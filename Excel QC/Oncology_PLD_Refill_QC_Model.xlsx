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ocuments\Vidisha Docs\Business Analytics Master's program\Project\Healthcare PLD Project\Healthcare-PLD-Project\Excel QC\"/>
    </mc:Choice>
  </mc:AlternateContent>
  <xr:revisionPtr revIDLastSave="0" documentId="13_ncr:1_{B30E1603-D199-46B9-8EC3-06A31633EDAB}" xr6:coauthVersionLast="47" xr6:coauthVersionMax="47" xr10:uidLastSave="{00000000-0000-0000-0000-000000000000}"/>
  <bookViews>
    <workbookView xWindow="-120" yWindow="-120" windowWidth="20730" windowHeight="11160" tabRatio="868" activeTab="4" xr2:uid="{00000000-000D-0000-FFFF-FFFF00000000}"/>
  </bookViews>
  <sheets>
    <sheet name="RAW Data" sheetId="9" r:id="rId1"/>
    <sheet name="Refill Gap Model" sheetId="10" r:id="rId2"/>
    <sheet name="QC Check" sheetId="11" r:id="rId3"/>
    <sheet name="QC_Summary" sheetId="12" r:id="rId4"/>
    <sheet name="QC_Tracker" sheetId="3" r:id="rId5"/>
    <sheet name="Pivot_RefillCounts" sheetId="4" r:id="rId6"/>
    <sheet name="Pivot_StartsByHCP" sheetId="5" r:id="rId7"/>
    <sheet name="Pivot_AvgQtyByPatient" sheetId="6" r:id="rId8"/>
    <sheet name="Pivot_OutcomesSummary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0" l="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1374" i="10"/>
  <c r="H1375" i="10"/>
  <c r="H1376" i="10"/>
  <c r="H1377" i="10"/>
  <c r="H1378" i="10"/>
  <c r="H1379" i="10"/>
  <c r="H1380" i="10"/>
  <c r="H1381" i="10"/>
  <c r="H1382" i="10"/>
  <c r="H1383" i="10"/>
  <c r="H1384" i="10"/>
  <c r="H1385" i="10"/>
  <c r="H1386" i="10"/>
  <c r="H1387" i="10"/>
  <c r="H1388" i="10"/>
  <c r="H1389" i="10"/>
  <c r="H1390" i="10"/>
  <c r="H1391" i="10"/>
  <c r="H1392" i="10"/>
  <c r="H1393" i="10"/>
  <c r="H1394" i="10"/>
  <c r="H1395" i="10"/>
  <c r="H1396" i="10"/>
  <c r="H1397" i="10"/>
  <c r="H1398" i="10"/>
  <c r="H1399" i="10"/>
  <c r="H1400" i="10"/>
  <c r="H1401" i="10"/>
  <c r="H1402" i="10"/>
  <c r="H1403" i="10"/>
  <c r="H1404" i="10"/>
  <c r="H1405" i="10"/>
  <c r="H1406" i="10"/>
  <c r="H1407" i="10"/>
  <c r="H1408" i="10"/>
  <c r="H1409" i="10"/>
  <c r="H1410" i="10"/>
  <c r="H1411" i="10"/>
  <c r="H1412" i="10"/>
  <c r="H1413" i="10"/>
  <c r="H1414" i="10"/>
  <c r="H1415" i="10"/>
  <c r="H1416" i="10"/>
  <c r="H1417" i="10"/>
  <c r="H1418" i="10"/>
  <c r="H1419" i="10"/>
  <c r="H1420" i="10"/>
  <c r="H1421" i="10"/>
  <c r="H1422" i="10"/>
  <c r="H1423" i="10"/>
  <c r="H1424" i="10"/>
  <c r="H1425" i="10"/>
  <c r="H1426" i="10"/>
  <c r="H1427" i="10"/>
  <c r="H1428" i="10"/>
  <c r="H1429" i="10"/>
  <c r="H1430" i="10"/>
  <c r="H1431" i="10"/>
  <c r="H1432" i="10"/>
  <c r="H1433" i="10"/>
  <c r="H1434" i="10"/>
  <c r="H1435" i="10"/>
  <c r="H1436" i="10"/>
  <c r="H1437" i="10"/>
  <c r="H1438" i="10"/>
  <c r="H1439" i="10"/>
  <c r="H1440" i="10"/>
  <c r="H1441" i="10"/>
  <c r="H1442" i="10"/>
  <c r="H1443" i="10"/>
  <c r="H1444" i="10"/>
  <c r="H1445" i="10"/>
  <c r="H1446" i="10"/>
  <c r="H1447" i="10"/>
  <c r="H1448" i="10"/>
  <c r="H1449" i="10"/>
  <c r="H1450" i="10"/>
  <c r="H1451" i="10"/>
  <c r="H1452" i="10"/>
  <c r="H1453" i="10"/>
  <c r="H1454" i="10"/>
  <c r="H1455" i="10"/>
  <c r="H1456" i="10"/>
  <c r="H1457" i="10"/>
  <c r="H1458" i="10"/>
  <c r="H1459" i="10"/>
  <c r="H1460" i="10"/>
  <c r="H1461" i="10"/>
  <c r="H1462" i="10"/>
  <c r="H1463" i="10"/>
  <c r="H1464" i="10"/>
  <c r="H1465" i="10"/>
  <c r="H1466" i="10"/>
  <c r="H1467" i="10"/>
  <c r="H1468" i="10"/>
  <c r="H1469" i="10"/>
  <c r="H1470" i="10"/>
  <c r="H1471" i="10"/>
  <c r="H1472" i="10"/>
  <c r="H1473" i="10"/>
  <c r="H1474" i="10"/>
  <c r="H1475" i="10"/>
  <c r="H1476" i="10"/>
  <c r="H1477" i="10"/>
  <c r="H1478" i="10"/>
  <c r="H1479" i="10"/>
  <c r="H1480" i="10"/>
  <c r="H1481" i="10"/>
  <c r="H1482" i="10"/>
  <c r="H1483" i="10"/>
  <c r="H1484" i="10"/>
  <c r="H1485" i="10"/>
  <c r="H1486" i="10"/>
  <c r="H1487" i="10"/>
  <c r="H1488" i="10"/>
  <c r="H1489" i="10"/>
  <c r="H1490" i="10"/>
  <c r="H1491" i="10"/>
  <c r="H1492" i="10"/>
  <c r="H1493" i="10"/>
  <c r="H1494" i="10"/>
  <c r="H1495" i="10"/>
  <c r="H1496" i="10"/>
  <c r="H1497" i="10"/>
  <c r="H1498" i="10"/>
  <c r="H1499" i="10"/>
  <c r="H1500" i="10"/>
  <c r="H1501" i="10"/>
  <c r="H1502" i="10"/>
  <c r="H1503" i="10"/>
  <c r="H1504" i="10"/>
  <c r="H1505" i="10"/>
  <c r="H1506" i="10"/>
  <c r="H1507" i="10"/>
  <c r="H1508" i="10"/>
  <c r="H1509" i="10"/>
  <c r="H1510" i="10"/>
  <c r="H1511" i="10"/>
  <c r="H1512" i="10"/>
  <c r="H1513" i="10"/>
  <c r="H1514" i="10"/>
  <c r="H1515" i="10"/>
  <c r="H1516" i="10"/>
  <c r="H1517" i="10"/>
  <c r="H1518" i="10"/>
  <c r="H1519" i="10"/>
  <c r="H1520" i="10"/>
  <c r="H1521" i="10"/>
  <c r="H1522" i="10"/>
  <c r="H1523" i="10"/>
  <c r="H1524" i="10"/>
  <c r="H1525" i="10"/>
  <c r="H1526" i="10"/>
  <c r="H1527" i="10"/>
  <c r="H1528" i="10"/>
  <c r="H1529" i="10"/>
  <c r="H1530" i="10"/>
  <c r="H1531" i="10"/>
  <c r="H1532" i="10"/>
  <c r="H1533" i="10"/>
  <c r="H1534" i="10"/>
  <c r="H1535" i="10"/>
  <c r="H1536" i="10"/>
  <c r="H1537" i="10"/>
  <c r="H1538" i="10"/>
  <c r="H1539" i="10"/>
  <c r="H1540" i="10"/>
  <c r="H1541" i="10"/>
  <c r="H1542" i="10"/>
  <c r="H1543" i="10"/>
  <c r="H1544" i="10"/>
  <c r="H1545" i="10"/>
  <c r="H1546" i="10"/>
  <c r="H1547" i="10"/>
  <c r="H1548" i="10"/>
  <c r="H1549" i="10"/>
  <c r="H1550" i="10"/>
  <c r="H1551" i="10"/>
  <c r="H1552" i="10"/>
  <c r="H1553" i="10"/>
  <c r="H1554" i="10"/>
  <c r="H1555" i="10"/>
  <c r="H1556" i="10"/>
  <c r="H1557" i="10"/>
  <c r="H1558" i="10"/>
  <c r="H1559" i="10"/>
  <c r="H1560" i="10"/>
  <c r="H1561" i="10"/>
  <c r="H1562" i="10"/>
  <c r="H1563" i="10"/>
  <c r="H1564" i="10"/>
  <c r="H1565" i="10"/>
  <c r="H1566" i="10"/>
  <c r="H1567" i="10"/>
  <c r="H1568" i="10"/>
  <c r="H1569" i="10"/>
  <c r="H1570" i="10"/>
  <c r="H1571" i="10"/>
  <c r="H1572" i="10"/>
  <c r="H1573" i="10"/>
  <c r="H1574" i="10"/>
  <c r="H1575" i="10"/>
  <c r="H1576" i="10"/>
  <c r="H1577" i="10"/>
  <c r="H1578" i="10"/>
  <c r="H1579" i="10"/>
  <c r="H1580" i="10"/>
  <c r="H1581" i="10"/>
  <c r="H1582" i="10"/>
  <c r="H1583" i="10"/>
  <c r="H1584" i="10"/>
  <c r="H1585" i="10"/>
  <c r="H1586" i="10"/>
  <c r="H1587" i="10"/>
  <c r="H1588" i="10"/>
  <c r="H1589" i="10"/>
  <c r="H1590" i="10"/>
  <c r="H1591" i="10"/>
  <c r="H1592" i="10"/>
  <c r="H1593" i="10"/>
  <c r="H1594" i="10"/>
  <c r="H1595" i="10"/>
  <c r="H1596" i="10"/>
  <c r="H1597" i="10"/>
  <c r="H1598" i="10"/>
  <c r="H1599" i="10"/>
  <c r="H1600" i="10"/>
  <c r="H1601" i="10"/>
  <c r="H1602" i="10"/>
  <c r="H1603" i="10"/>
  <c r="H1604" i="10"/>
  <c r="H1605" i="10"/>
  <c r="H1606" i="10"/>
  <c r="H1607" i="10"/>
  <c r="H1608" i="10"/>
  <c r="H1609" i="10"/>
  <c r="H1610" i="10"/>
  <c r="H1611" i="10"/>
  <c r="H1612" i="10"/>
  <c r="H1613" i="10"/>
  <c r="H1614" i="10"/>
  <c r="H1615" i="10"/>
  <c r="H1616" i="10"/>
  <c r="H1617" i="10"/>
  <c r="H1618" i="10"/>
  <c r="H1619" i="10"/>
  <c r="H1620" i="10"/>
  <c r="H1621" i="10"/>
  <c r="H1622" i="10"/>
  <c r="H1623" i="10"/>
  <c r="H1624" i="10"/>
  <c r="H1625" i="10"/>
  <c r="H1626" i="10"/>
  <c r="H1627" i="10"/>
  <c r="H1628" i="10"/>
  <c r="H1629" i="10"/>
  <c r="H1630" i="10"/>
  <c r="H1631" i="10"/>
  <c r="H1632" i="10"/>
  <c r="H1633" i="10"/>
  <c r="H1634" i="10"/>
  <c r="H1635" i="10"/>
  <c r="H1636" i="10"/>
  <c r="H1637" i="10"/>
  <c r="H1638" i="10"/>
  <c r="H1639" i="10"/>
  <c r="H1640" i="10"/>
  <c r="H1641" i="10"/>
  <c r="H1642" i="10"/>
  <c r="H1643" i="10"/>
  <c r="H1644" i="10"/>
  <c r="H1645" i="10"/>
  <c r="H1646" i="10"/>
  <c r="H1647" i="10"/>
  <c r="H1648" i="10"/>
  <c r="H1649" i="10"/>
  <c r="H1650" i="10"/>
  <c r="H1651" i="10"/>
  <c r="H1652" i="10"/>
  <c r="H1653" i="10"/>
  <c r="H1654" i="10"/>
  <c r="H1655" i="10"/>
  <c r="H1656" i="10"/>
  <c r="H1657" i="10"/>
  <c r="H1658" i="10"/>
  <c r="H1659" i="10"/>
  <c r="H1660" i="10"/>
  <c r="H1661" i="10"/>
  <c r="H1662" i="10"/>
  <c r="H1663" i="10"/>
  <c r="H1664" i="10"/>
  <c r="H1665" i="10"/>
  <c r="H1666" i="10"/>
  <c r="H1667" i="10"/>
  <c r="H1668" i="10"/>
  <c r="H1669" i="10"/>
  <c r="H1670" i="10"/>
  <c r="H1671" i="10"/>
  <c r="H1672" i="10"/>
  <c r="H1673" i="10"/>
  <c r="H1674" i="10"/>
  <c r="H1675" i="10"/>
  <c r="H1676" i="10"/>
  <c r="H1677" i="10"/>
  <c r="H1678" i="10"/>
  <c r="H1679" i="10"/>
  <c r="H1680" i="10"/>
  <c r="H1681" i="10"/>
  <c r="H1682" i="10"/>
  <c r="H1683" i="10"/>
  <c r="H1684" i="10"/>
  <c r="H1685" i="10"/>
  <c r="H1686" i="10"/>
  <c r="H1687" i="10"/>
  <c r="H1688" i="10"/>
  <c r="H1689" i="10"/>
  <c r="H1690" i="10"/>
  <c r="H1691" i="10"/>
  <c r="H1692" i="10"/>
  <c r="H1693" i="10"/>
  <c r="H1694" i="10"/>
  <c r="H1695" i="10"/>
  <c r="H1696" i="10"/>
  <c r="H1697" i="10"/>
  <c r="H1698" i="10"/>
  <c r="H1699" i="10"/>
  <c r="H1700" i="10"/>
  <c r="H1701" i="10"/>
  <c r="H1702" i="10"/>
  <c r="H1703" i="10"/>
  <c r="H1704" i="10"/>
  <c r="H1705" i="10"/>
  <c r="H1706" i="10"/>
  <c r="H1707" i="10"/>
  <c r="H1708" i="10"/>
  <c r="H1709" i="10"/>
  <c r="H1710" i="10"/>
  <c r="H1711" i="10"/>
  <c r="H1712" i="10"/>
  <c r="H1713" i="10"/>
  <c r="H1714" i="10"/>
  <c r="H1715" i="10"/>
  <c r="H1716" i="10"/>
  <c r="H1717" i="10"/>
  <c r="H1718" i="10"/>
  <c r="H1719" i="10"/>
  <c r="H1720" i="10"/>
  <c r="H1721" i="10"/>
  <c r="H1722" i="10"/>
  <c r="H1723" i="10"/>
  <c r="H1724" i="10"/>
  <c r="H1725" i="10"/>
  <c r="H1726" i="10"/>
  <c r="H1727" i="10"/>
  <c r="H1728" i="10"/>
  <c r="H1729" i="10"/>
  <c r="H1730" i="10"/>
  <c r="H1731" i="10"/>
  <c r="H1732" i="10"/>
  <c r="H1733" i="10"/>
  <c r="H1734" i="10"/>
  <c r="H1735" i="10"/>
  <c r="H1736" i="10"/>
  <c r="H1737" i="10"/>
  <c r="H1738" i="10"/>
  <c r="H1739" i="10"/>
  <c r="H1740" i="10"/>
  <c r="H1741" i="10"/>
  <c r="H1742" i="10"/>
  <c r="H1743" i="10"/>
  <c r="H1744" i="10"/>
  <c r="H1745" i="10"/>
  <c r="H1746" i="10"/>
  <c r="H1747" i="10"/>
  <c r="H1748" i="10"/>
  <c r="H1749" i="10"/>
  <c r="H1750" i="10"/>
  <c r="H1751" i="10"/>
  <c r="H1752" i="10"/>
  <c r="H1753" i="10"/>
  <c r="H1754" i="10"/>
  <c r="H1755" i="10"/>
  <c r="H1756" i="10"/>
  <c r="H1757" i="10"/>
  <c r="H1758" i="10"/>
  <c r="H1759" i="10"/>
  <c r="H1760" i="10"/>
  <c r="H1761" i="10"/>
  <c r="H1762" i="10"/>
  <c r="H1763" i="10"/>
  <c r="H1764" i="10"/>
  <c r="H1765" i="10"/>
  <c r="H1766" i="10"/>
  <c r="H1767" i="10"/>
  <c r="H1768" i="10"/>
  <c r="H1769" i="10"/>
  <c r="H1770" i="10"/>
  <c r="H1771" i="10"/>
  <c r="H1772" i="10"/>
  <c r="H1773" i="10"/>
  <c r="H1774" i="10"/>
  <c r="H1775" i="10"/>
  <c r="H1776" i="10"/>
  <c r="H1777" i="10"/>
  <c r="H1778" i="10"/>
  <c r="H1779" i="10"/>
  <c r="H1780" i="10"/>
  <c r="H1781" i="10"/>
  <c r="H1782" i="10"/>
  <c r="H1783" i="10"/>
  <c r="H1784" i="10"/>
  <c r="H1785" i="10"/>
  <c r="H1786" i="10"/>
  <c r="H1787" i="10"/>
  <c r="H1788" i="10"/>
  <c r="H1789" i="10"/>
  <c r="H1790" i="10"/>
  <c r="H1791" i="10"/>
  <c r="H1792" i="10"/>
  <c r="H1793" i="10"/>
  <c r="H1794" i="10"/>
  <c r="H1795" i="10"/>
  <c r="H1796" i="10"/>
  <c r="H1797" i="10"/>
  <c r="H1798" i="10"/>
  <c r="H1799" i="10"/>
  <c r="H1800" i="10"/>
  <c r="H1801" i="10"/>
  <c r="H1802" i="10"/>
  <c r="H1803" i="10"/>
  <c r="H1804" i="10"/>
  <c r="H1805" i="10"/>
  <c r="H1806" i="10"/>
  <c r="H1807" i="10"/>
  <c r="H1808" i="10"/>
  <c r="H1809" i="10"/>
  <c r="H1810" i="10"/>
  <c r="H1811" i="10"/>
  <c r="H1812" i="10"/>
  <c r="H1813" i="10"/>
  <c r="H1814" i="10"/>
  <c r="H1815" i="10"/>
  <c r="H1816" i="10"/>
  <c r="H1817" i="10"/>
  <c r="H1818" i="10"/>
  <c r="H1819" i="10"/>
  <c r="H1820" i="10"/>
  <c r="H1821" i="10"/>
  <c r="H1822" i="10"/>
  <c r="H1823" i="10"/>
  <c r="H1824" i="10"/>
  <c r="H1825" i="10"/>
  <c r="H1826" i="10"/>
  <c r="H1827" i="10"/>
  <c r="H1828" i="10"/>
  <c r="H1829" i="10"/>
  <c r="H1830" i="10"/>
  <c r="H1831" i="10"/>
  <c r="H1832" i="10"/>
  <c r="H1833" i="10"/>
  <c r="H1834" i="10"/>
  <c r="H1835" i="10"/>
  <c r="H1836" i="10"/>
  <c r="H1837" i="10"/>
  <c r="H1838" i="10"/>
  <c r="H1839" i="10"/>
  <c r="H1840" i="10"/>
  <c r="H1841" i="10"/>
  <c r="H1842" i="10"/>
  <c r="H1843" i="10"/>
  <c r="H1844" i="10"/>
  <c r="H1845" i="10"/>
  <c r="H1846" i="10"/>
  <c r="H1847" i="10"/>
  <c r="H1848" i="10"/>
  <c r="H1849" i="10"/>
  <c r="H1850" i="10"/>
  <c r="H1851" i="10"/>
  <c r="H1852" i="10"/>
  <c r="H1853" i="10"/>
  <c r="H1854" i="10"/>
  <c r="H1855" i="10"/>
  <c r="H1856" i="10"/>
  <c r="H1857" i="10"/>
  <c r="H1858" i="10"/>
  <c r="H1859" i="10"/>
  <c r="H1860" i="10"/>
  <c r="H1861" i="10"/>
  <c r="H1862" i="10"/>
  <c r="H1863" i="10"/>
  <c r="H1864" i="10"/>
  <c r="H1865" i="10"/>
  <c r="H1866" i="10"/>
  <c r="H1867" i="10"/>
  <c r="H1868" i="10"/>
  <c r="H1869" i="10"/>
  <c r="H1870" i="10"/>
  <c r="H1871" i="10"/>
  <c r="H1872" i="10"/>
  <c r="H1873" i="10"/>
  <c r="H1874" i="10"/>
  <c r="H1875" i="10"/>
  <c r="H1876" i="10"/>
  <c r="H1877" i="10"/>
  <c r="H1878" i="10"/>
  <c r="H1879" i="10"/>
  <c r="H1880" i="10"/>
  <c r="H1881" i="10"/>
  <c r="H1882" i="10"/>
  <c r="H1883" i="10"/>
  <c r="H1884" i="10"/>
  <c r="H1885" i="10"/>
  <c r="H1886" i="10"/>
  <c r="H1887" i="10"/>
  <c r="H1888" i="10"/>
  <c r="H1889" i="10"/>
  <c r="H1890" i="10"/>
  <c r="H1891" i="10"/>
  <c r="H1892" i="10"/>
  <c r="H1893" i="10"/>
  <c r="H1894" i="10"/>
  <c r="H1895" i="10"/>
  <c r="H1896" i="10"/>
  <c r="H1897" i="10"/>
  <c r="H1898" i="10"/>
  <c r="H1899" i="10"/>
  <c r="H1900" i="10"/>
  <c r="H1901" i="10"/>
  <c r="H1902" i="10"/>
  <c r="H1903" i="10"/>
  <c r="H1904" i="10"/>
  <c r="H1905" i="10"/>
  <c r="H1906" i="10"/>
  <c r="H1907" i="10"/>
  <c r="H1908" i="10"/>
  <c r="H1909" i="10"/>
  <c r="H1910" i="10"/>
  <c r="H1911" i="10"/>
  <c r="H1912" i="10"/>
  <c r="H1913" i="10"/>
  <c r="H1914" i="10"/>
  <c r="H1915" i="10"/>
  <c r="H1916" i="10"/>
  <c r="H1917" i="10"/>
  <c r="H1918" i="10"/>
  <c r="H1919" i="10"/>
  <c r="H1920" i="10"/>
  <c r="H1921" i="10"/>
  <c r="H1922" i="10"/>
  <c r="H1923" i="10"/>
  <c r="H1924" i="10"/>
  <c r="H1925" i="10"/>
  <c r="H1926" i="10"/>
  <c r="H1927" i="10"/>
  <c r="H1928" i="10"/>
  <c r="H1929" i="10"/>
  <c r="H1930" i="10"/>
  <c r="H1931" i="10"/>
  <c r="H1932" i="10"/>
  <c r="H1933" i="10"/>
  <c r="H1934" i="10"/>
  <c r="H1935" i="10"/>
  <c r="H1936" i="10"/>
  <c r="H1937" i="10"/>
  <c r="H1938" i="10"/>
  <c r="H1939" i="10"/>
  <c r="H1940" i="10"/>
  <c r="H1941" i="10"/>
  <c r="H1942" i="10"/>
  <c r="H1943" i="10"/>
  <c r="H1944" i="10"/>
  <c r="H1945" i="10"/>
  <c r="H1946" i="10"/>
  <c r="H1947" i="10"/>
  <c r="H1948" i="10"/>
  <c r="H1949" i="10"/>
  <c r="H1950" i="10"/>
  <c r="H1951" i="10"/>
  <c r="H1952" i="10"/>
  <c r="H1953" i="10"/>
  <c r="H1954" i="10"/>
  <c r="H1955" i="10"/>
  <c r="H1956" i="10"/>
  <c r="H1957" i="10"/>
  <c r="H1958" i="10"/>
  <c r="H1959" i="10"/>
  <c r="H1960" i="10"/>
  <c r="H1961" i="10"/>
  <c r="H1962" i="10"/>
  <c r="H1963" i="10"/>
  <c r="H1964" i="10"/>
  <c r="H1965" i="10"/>
  <c r="H1966" i="10"/>
  <c r="H1967" i="10"/>
  <c r="H1968" i="10"/>
  <c r="H1969" i="10"/>
  <c r="H1970" i="10"/>
  <c r="H1971" i="10"/>
  <c r="H1972" i="10"/>
  <c r="H1973" i="10"/>
  <c r="H1974" i="10"/>
  <c r="H1975" i="10"/>
  <c r="H1976" i="10"/>
  <c r="H1977" i="10"/>
  <c r="H1978" i="10"/>
  <c r="H1979" i="10"/>
  <c r="H1980" i="10"/>
  <c r="H1981" i="10"/>
  <c r="H1982" i="10"/>
  <c r="H1983" i="10"/>
  <c r="H1984" i="10"/>
  <c r="H1985" i="10"/>
  <c r="H1986" i="10"/>
  <c r="H1987" i="10"/>
  <c r="H1988" i="10"/>
  <c r="H1989" i="10"/>
  <c r="H1990" i="10"/>
  <c r="H1991" i="10"/>
  <c r="H1992" i="10"/>
  <c r="H1993" i="10"/>
  <c r="H1994" i="10"/>
  <c r="H1995" i="10"/>
  <c r="H1996" i="10"/>
  <c r="H1997" i="10"/>
  <c r="H1998" i="10"/>
  <c r="H1999" i="10"/>
  <c r="H2000" i="10"/>
  <c r="H2001" i="10"/>
  <c r="H2002" i="10"/>
  <c r="H2003" i="10"/>
  <c r="H2004" i="10"/>
  <c r="H2005" i="10"/>
  <c r="H2006" i="10"/>
  <c r="H2007" i="10"/>
  <c r="H2008" i="10"/>
  <c r="H2009" i="10"/>
  <c r="H2010" i="10"/>
  <c r="H2011" i="10"/>
  <c r="H2012" i="10"/>
  <c r="H2013" i="10"/>
  <c r="H2014" i="10"/>
  <c r="H2015" i="10"/>
  <c r="H2016" i="10"/>
  <c r="H2017" i="10"/>
  <c r="H2018" i="10"/>
  <c r="H2019" i="10"/>
  <c r="H2020" i="10"/>
  <c r="H2021" i="10"/>
  <c r="H2022" i="10"/>
  <c r="H2023" i="10"/>
  <c r="H2024" i="10"/>
  <c r="H2025" i="10"/>
  <c r="H2026" i="10"/>
  <c r="H2027" i="10"/>
  <c r="H2028" i="10"/>
  <c r="H2029" i="10"/>
  <c r="H2030" i="10"/>
  <c r="H2031" i="10"/>
  <c r="H2032" i="10"/>
  <c r="H2033" i="10"/>
  <c r="H2034" i="10"/>
  <c r="H2035" i="10"/>
  <c r="H2036" i="10"/>
  <c r="H2037" i="10"/>
  <c r="H2038" i="10"/>
  <c r="H2039" i="10"/>
  <c r="H2040" i="10"/>
  <c r="H2041" i="10"/>
  <c r="H2042" i="10"/>
  <c r="H2043" i="10"/>
  <c r="H2044" i="10"/>
  <c r="H2045" i="10"/>
  <c r="H2046" i="10"/>
  <c r="H2047" i="10"/>
  <c r="H2048" i="10"/>
  <c r="H2049" i="10"/>
  <c r="H2050" i="10"/>
  <c r="H2051" i="10"/>
  <c r="H2052" i="10"/>
  <c r="H2053" i="10"/>
  <c r="H2054" i="10"/>
  <c r="H2055" i="10"/>
  <c r="H2056" i="10"/>
  <c r="H2057" i="10"/>
  <c r="H2058" i="10"/>
  <c r="H2059" i="10"/>
  <c r="H2060" i="10"/>
  <c r="H2061" i="10"/>
  <c r="H2062" i="10"/>
  <c r="H2063" i="10"/>
  <c r="H2064" i="10"/>
  <c r="H2065" i="10"/>
  <c r="H2066" i="10"/>
  <c r="H2067" i="10"/>
  <c r="H2068" i="10"/>
  <c r="H2069" i="10"/>
  <c r="H2070" i="10"/>
  <c r="H2071" i="10"/>
  <c r="H2072" i="10"/>
  <c r="H2073" i="10"/>
  <c r="H2074" i="10"/>
  <c r="H2075" i="10"/>
  <c r="H2076" i="10"/>
  <c r="H2077" i="10"/>
  <c r="H2078" i="10"/>
  <c r="H2079" i="10"/>
  <c r="H2080" i="10"/>
  <c r="H2081" i="10"/>
  <c r="H2082" i="10"/>
  <c r="H2083" i="10"/>
  <c r="H2084" i="10"/>
  <c r="H2085" i="10"/>
  <c r="H2086" i="10"/>
  <c r="H2087" i="10"/>
  <c r="H2088" i="10"/>
  <c r="H2089" i="10"/>
  <c r="H2090" i="10"/>
  <c r="H2091" i="10"/>
  <c r="H2092" i="10"/>
  <c r="H2093" i="10"/>
  <c r="H2094" i="10"/>
  <c r="H2095" i="10"/>
  <c r="H2096" i="10"/>
  <c r="H2097" i="10"/>
  <c r="H2098" i="10"/>
  <c r="H2099" i="10"/>
  <c r="H2100" i="10"/>
  <c r="H2101" i="10"/>
  <c r="H2102" i="10"/>
  <c r="H2103" i="10"/>
  <c r="H2104" i="10"/>
  <c r="H2105" i="10"/>
  <c r="H2106" i="10"/>
  <c r="H2107" i="10"/>
  <c r="H2108" i="10"/>
  <c r="H2109" i="10"/>
  <c r="H2110" i="10"/>
  <c r="H2111" i="10"/>
  <c r="H2112" i="10"/>
  <c r="H2113" i="10"/>
  <c r="H2114" i="10"/>
  <c r="H2115" i="10"/>
  <c r="H2116" i="10"/>
  <c r="H2117" i="10"/>
  <c r="H2118" i="10"/>
  <c r="H2119" i="10"/>
  <c r="H2120" i="10"/>
  <c r="H2121" i="10"/>
  <c r="H2122" i="10"/>
  <c r="H2123" i="10"/>
  <c r="H2124" i="10"/>
  <c r="H2125" i="10"/>
  <c r="H2126" i="10"/>
  <c r="H2127" i="10"/>
  <c r="H2128" i="10"/>
  <c r="H2129" i="10"/>
  <c r="H2130" i="10"/>
  <c r="H2131" i="10"/>
  <c r="H2132" i="10"/>
  <c r="H2133" i="10"/>
  <c r="H2134" i="10"/>
  <c r="H2135" i="10"/>
  <c r="H2136" i="10"/>
  <c r="H2137" i="10"/>
  <c r="H2138" i="10"/>
  <c r="H2139" i="10"/>
  <c r="H2140" i="10"/>
  <c r="H2141" i="10"/>
  <c r="H2142" i="10"/>
  <c r="H2143" i="10"/>
  <c r="H2144" i="10"/>
  <c r="H2145" i="10"/>
  <c r="H2146" i="10"/>
  <c r="H2147" i="10"/>
  <c r="H2148" i="10"/>
  <c r="H2149" i="10"/>
  <c r="H2150" i="10"/>
  <c r="H2151" i="10"/>
  <c r="H2152" i="10"/>
  <c r="H2153" i="10"/>
  <c r="H2154" i="10"/>
  <c r="H2155" i="10"/>
  <c r="H2156" i="10"/>
  <c r="H2157" i="10"/>
  <c r="H2158" i="10"/>
  <c r="H2159" i="10"/>
  <c r="H2160" i="10"/>
  <c r="H2161" i="10"/>
  <c r="H2162" i="10"/>
  <c r="H2163" i="10"/>
  <c r="H2164" i="10"/>
  <c r="H2165" i="10"/>
  <c r="H2166" i="10"/>
  <c r="H2167" i="10"/>
  <c r="H2168" i="10"/>
  <c r="H2169" i="10"/>
  <c r="H2170" i="10"/>
  <c r="H2171" i="10"/>
  <c r="H2172" i="10"/>
  <c r="H2173" i="10"/>
  <c r="H2174" i="10"/>
  <c r="H2175" i="10"/>
  <c r="H2176" i="10"/>
  <c r="H2177" i="10"/>
  <c r="H2178" i="10"/>
  <c r="H2179" i="10"/>
  <c r="H2180" i="10"/>
  <c r="H2181" i="10"/>
  <c r="H2182" i="10"/>
  <c r="H2183" i="10"/>
  <c r="H2184" i="10"/>
  <c r="H2185" i="10"/>
  <c r="H2186" i="10"/>
  <c r="H2187" i="10"/>
  <c r="H2188" i="10"/>
  <c r="H2189" i="10"/>
  <c r="H2190" i="10"/>
  <c r="H2191" i="10"/>
  <c r="H2192" i="10"/>
  <c r="H2193" i="10"/>
  <c r="H2194" i="10"/>
  <c r="H2195" i="10"/>
  <c r="H2196" i="10"/>
  <c r="H2197" i="10"/>
  <c r="H2198" i="10"/>
  <c r="H2199" i="10"/>
  <c r="H2200" i="10"/>
  <c r="H2201" i="10"/>
  <c r="H2202" i="10"/>
  <c r="H2203" i="10"/>
  <c r="H2204" i="10"/>
  <c r="H2205" i="10"/>
  <c r="H2206" i="10"/>
  <c r="H2207" i="10"/>
  <c r="H2208" i="10"/>
  <c r="H2209" i="10"/>
  <c r="H2210" i="10"/>
  <c r="H2211" i="10"/>
  <c r="H2212" i="10"/>
  <c r="H2213" i="10"/>
  <c r="H2214" i="10"/>
  <c r="H2215" i="10"/>
  <c r="H2216" i="10"/>
  <c r="H2217" i="10"/>
  <c r="H2218" i="10"/>
  <c r="H2219" i="10"/>
  <c r="H2220" i="10"/>
  <c r="H2221" i="10"/>
  <c r="H2222" i="10"/>
  <c r="H2223" i="10"/>
  <c r="H2224" i="10"/>
  <c r="H2225" i="10"/>
  <c r="H2226" i="10"/>
  <c r="H2227" i="10"/>
  <c r="H2228" i="10"/>
  <c r="H2229" i="10"/>
  <c r="H2230" i="10"/>
  <c r="H2231" i="10"/>
  <c r="H2232" i="10"/>
  <c r="H2233" i="10"/>
  <c r="H2234" i="10"/>
  <c r="H2235" i="10"/>
  <c r="H2236" i="10"/>
  <c r="H2237" i="10"/>
  <c r="H2238" i="10"/>
  <c r="H2239" i="10"/>
  <c r="H2240" i="10"/>
  <c r="H2241" i="10"/>
  <c r="H2242" i="10"/>
  <c r="H2243" i="10"/>
  <c r="H2244" i="10"/>
  <c r="H2245" i="10"/>
  <c r="H2246" i="10"/>
  <c r="H2247" i="10"/>
  <c r="H2248" i="10"/>
  <c r="H2249" i="10"/>
  <c r="H2250" i="10"/>
  <c r="H2251" i="10"/>
  <c r="H2252" i="10"/>
  <c r="H2253" i="10"/>
  <c r="H2254" i="10"/>
  <c r="H2255" i="10"/>
  <c r="H2256" i="10"/>
  <c r="H2257" i="10"/>
  <c r="H2258" i="10"/>
  <c r="H2259" i="10"/>
  <c r="H2260" i="10"/>
  <c r="H2261" i="10"/>
  <c r="H2262" i="10"/>
  <c r="H2263" i="10"/>
  <c r="H2264" i="10"/>
  <c r="H2265" i="10"/>
  <c r="H2266" i="10"/>
  <c r="H2267" i="10"/>
  <c r="H2268" i="10"/>
  <c r="H2269" i="10"/>
  <c r="H2270" i="10"/>
  <c r="H2271" i="10"/>
  <c r="H2272" i="10"/>
  <c r="H2273" i="10"/>
  <c r="H2274" i="10"/>
  <c r="H2275" i="10"/>
  <c r="H2276" i="10"/>
  <c r="H2277" i="10"/>
  <c r="H2278" i="10"/>
  <c r="H2279" i="10"/>
  <c r="H2280" i="10"/>
  <c r="H2281" i="10"/>
  <c r="H2282" i="10"/>
  <c r="H2283" i="10"/>
  <c r="H2284" i="10"/>
  <c r="H2285" i="10"/>
  <c r="H2286" i="10"/>
  <c r="H2287" i="10"/>
  <c r="H2288" i="10"/>
  <c r="H2289" i="10"/>
  <c r="H2290" i="10"/>
  <c r="H2291" i="10"/>
  <c r="H2292" i="10"/>
  <c r="H2293" i="10"/>
  <c r="H2294" i="10"/>
  <c r="H2295" i="10"/>
  <c r="H2296" i="10"/>
  <c r="H2297" i="10"/>
  <c r="H2298" i="10"/>
  <c r="H2299" i="10"/>
  <c r="H2300" i="10"/>
  <c r="H2301" i="10"/>
  <c r="H2302" i="10"/>
  <c r="H2303" i="10"/>
  <c r="H2304" i="10"/>
  <c r="H2305" i="10"/>
  <c r="H2306" i="10"/>
  <c r="H2307" i="10"/>
  <c r="H2308" i="10"/>
  <c r="H2309" i="10"/>
  <c r="H2310" i="10"/>
  <c r="H2311" i="10"/>
  <c r="H2312" i="10"/>
  <c r="H2313" i="10"/>
  <c r="H2314" i="10"/>
  <c r="H2315" i="10"/>
  <c r="H2316" i="10"/>
  <c r="H2317" i="10"/>
  <c r="H2318" i="10"/>
  <c r="H2319" i="10"/>
  <c r="H2320" i="10"/>
  <c r="H2321" i="10"/>
  <c r="H2322" i="10"/>
  <c r="H2323" i="10"/>
  <c r="H2324" i="10"/>
  <c r="H2325" i="10"/>
  <c r="H2326" i="10"/>
  <c r="H2327" i="10"/>
  <c r="H2328" i="10"/>
  <c r="H2329" i="10"/>
  <c r="H2330" i="10"/>
  <c r="H2331" i="10"/>
  <c r="H2332" i="10"/>
  <c r="H2333" i="10"/>
  <c r="H2334" i="10"/>
  <c r="H2335" i="10"/>
  <c r="H2336" i="10"/>
  <c r="H2337" i="10"/>
  <c r="H2338" i="10"/>
  <c r="H2339" i="10"/>
  <c r="H2340" i="10"/>
  <c r="H2341" i="10"/>
  <c r="H2342" i="10"/>
  <c r="H2343" i="10"/>
  <c r="H2344" i="10"/>
  <c r="H2345" i="10"/>
  <c r="H2346" i="10"/>
  <c r="H2347" i="10"/>
  <c r="H2348" i="10"/>
  <c r="H2349" i="10"/>
  <c r="H2350" i="10"/>
  <c r="H2351" i="10"/>
  <c r="H2352" i="10"/>
  <c r="H2353" i="10"/>
  <c r="H2354" i="10"/>
  <c r="H2355" i="10"/>
  <c r="H2356" i="10"/>
  <c r="H2357" i="10"/>
  <c r="H2358" i="10"/>
  <c r="H2359" i="10"/>
  <c r="H2360" i="10"/>
  <c r="H2361" i="10"/>
  <c r="H2362" i="10"/>
  <c r="H2363" i="10"/>
  <c r="H2364" i="10"/>
  <c r="H2365" i="10"/>
  <c r="H2366" i="10"/>
  <c r="H2367" i="10"/>
  <c r="H2368" i="10"/>
  <c r="H2369" i="10"/>
  <c r="H2370" i="10"/>
  <c r="H2371" i="10"/>
  <c r="H2372" i="10"/>
  <c r="H2373" i="10"/>
  <c r="H2374" i="10"/>
  <c r="H2375" i="10"/>
  <c r="H2376" i="10"/>
  <c r="H2377" i="10"/>
  <c r="H2378" i="10"/>
  <c r="H2379" i="10"/>
  <c r="H2380" i="10"/>
  <c r="H2381" i="10"/>
  <c r="H2382" i="10"/>
  <c r="H2383" i="10"/>
  <c r="H2384" i="10"/>
  <c r="H2385" i="10"/>
  <c r="H2386" i="10"/>
  <c r="H2387" i="10"/>
  <c r="H2388" i="10"/>
  <c r="H2389" i="10"/>
  <c r="H2390" i="10"/>
  <c r="H2391" i="10"/>
  <c r="H2392" i="10"/>
  <c r="H2393" i="10"/>
  <c r="H2394" i="10"/>
  <c r="H2395" i="10"/>
  <c r="H2396" i="10"/>
  <c r="H2397" i="10"/>
  <c r="H2398" i="10"/>
  <c r="H2399" i="10"/>
  <c r="H2400" i="10"/>
  <c r="H2401" i="10"/>
  <c r="H2402" i="10"/>
  <c r="H2403" i="10"/>
  <c r="H2404" i="10"/>
  <c r="H2405" i="10"/>
  <c r="H2406" i="10"/>
  <c r="H2407" i="10"/>
  <c r="H2408" i="10"/>
  <c r="H2409" i="10"/>
  <c r="H2410" i="10"/>
  <c r="H2411" i="10"/>
  <c r="H2412" i="10"/>
  <c r="H2413" i="10"/>
  <c r="H2414" i="10"/>
  <c r="H2415" i="10"/>
  <c r="H2416" i="10"/>
  <c r="H2417" i="10"/>
  <c r="H2418" i="10"/>
  <c r="H2419" i="10"/>
  <c r="H2420" i="10"/>
  <c r="H2421" i="10"/>
  <c r="H2422" i="10"/>
  <c r="H2423" i="10"/>
  <c r="H2424" i="10"/>
  <c r="H2425" i="10"/>
  <c r="H2426" i="10"/>
  <c r="H2427" i="10"/>
  <c r="H2428" i="10"/>
  <c r="H2429" i="10"/>
  <c r="H2430" i="10"/>
  <c r="H2431" i="10"/>
  <c r="H2432" i="10"/>
  <c r="H2433" i="10"/>
  <c r="H2434" i="10"/>
  <c r="H2435" i="10"/>
  <c r="H2436" i="10"/>
  <c r="H2437" i="10"/>
  <c r="H2438" i="10"/>
  <c r="H2439" i="10"/>
  <c r="H2440" i="10"/>
  <c r="H2441" i="10"/>
  <c r="H2442" i="10"/>
  <c r="H2443" i="10"/>
  <c r="H2444" i="10"/>
  <c r="H2445" i="10"/>
  <c r="H2446" i="10"/>
  <c r="H2447" i="10"/>
  <c r="H2448" i="10"/>
  <c r="H2449" i="10"/>
  <c r="H2450" i="10"/>
  <c r="H2451" i="10"/>
  <c r="H2452" i="10"/>
  <c r="H2453" i="10"/>
  <c r="H2454" i="10"/>
  <c r="H2455" i="10"/>
  <c r="H2456" i="10"/>
  <c r="H2457" i="10"/>
  <c r="H2458" i="10"/>
  <c r="H2459" i="10"/>
  <c r="H2460" i="10"/>
  <c r="H2461" i="10"/>
  <c r="H2462" i="10"/>
  <c r="H2463" i="10"/>
  <c r="H2464" i="10"/>
  <c r="H2465" i="10"/>
  <c r="H2466" i="10"/>
  <c r="H2467" i="10"/>
  <c r="H2468" i="10"/>
  <c r="H2469" i="10"/>
  <c r="H2470" i="10"/>
  <c r="H2471" i="10"/>
  <c r="H2472" i="10"/>
  <c r="H2473" i="10"/>
  <c r="H2474" i="10"/>
  <c r="H2475" i="10"/>
  <c r="H2476" i="10"/>
  <c r="H2477" i="10"/>
  <c r="H2478" i="10"/>
  <c r="H2479" i="10"/>
  <c r="H2480" i="10"/>
  <c r="H2481" i="10"/>
  <c r="H2482" i="10"/>
  <c r="H2483" i="10"/>
  <c r="H2484" i="10"/>
  <c r="H2485" i="10"/>
  <c r="H2486" i="10"/>
  <c r="H2487" i="10"/>
  <c r="H2488" i="10"/>
  <c r="H2489" i="10"/>
  <c r="H2490" i="10"/>
  <c r="H2491" i="10"/>
  <c r="H2492" i="10"/>
  <c r="H2493" i="10"/>
  <c r="H2494" i="10"/>
  <c r="H2495" i="10"/>
  <c r="H2496" i="10"/>
  <c r="H2497" i="10"/>
  <c r="H2498" i="10"/>
  <c r="H2499" i="10"/>
  <c r="H2500" i="10"/>
  <c r="H2501" i="10"/>
  <c r="H2502" i="10"/>
  <c r="H2503" i="10"/>
  <c r="H2504" i="10"/>
  <c r="H2505" i="10"/>
  <c r="H2506" i="10"/>
  <c r="H2507" i="10"/>
  <c r="H2508" i="10"/>
  <c r="H2509" i="10"/>
  <c r="H2510" i="10"/>
  <c r="H2511" i="10"/>
  <c r="H2512" i="10"/>
  <c r="H2513" i="10"/>
  <c r="H2514" i="10"/>
  <c r="H2515" i="10"/>
  <c r="H2516" i="10"/>
  <c r="H2517" i="10"/>
  <c r="H2518" i="10"/>
  <c r="H2519" i="10"/>
  <c r="H2520" i="10"/>
  <c r="H2521" i="10"/>
  <c r="H2522" i="10"/>
  <c r="H2523" i="10"/>
  <c r="H2524" i="10"/>
  <c r="H2525" i="10"/>
  <c r="H2526" i="10"/>
  <c r="H2527" i="10"/>
  <c r="H2528" i="10"/>
  <c r="H2529" i="10"/>
  <c r="H2530" i="10"/>
  <c r="H2531" i="10"/>
  <c r="H2532" i="10"/>
  <c r="H2533" i="10"/>
  <c r="H2534" i="10"/>
  <c r="H2535" i="10"/>
  <c r="H2536" i="10"/>
  <c r="H2537" i="10"/>
  <c r="H2538" i="10"/>
  <c r="H2539" i="10"/>
  <c r="H2540" i="10"/>
  <c r="H2541" i="10"/>
  <c r="H2542" i="10"/>
  <c r="H2543" i="10"/>
  <c r="H2544" i="10"/>
  <c r="H2545" i="10"/>
  <c r="H2546" i="10"/>
  <c r="H2547" i="10"/>
  <c r="H2548" i="10"/>
  <c r="H2549" i="10"/>
  <c r="H2550" i="10"/>
  <c r="H2551" i="10"/>
  <c r="H2552" i="10"/>
  <c r="H2553" i="10"/>
  <c r="H2554" i="10"/>
  <c r="H2555" i="10"/>
  <c r="H2556" i="10"/>
  <c r="H2557" i="10"/>
  <c r="H2558" i="10"/>
  <c r="H2559" i="10"/>
  <c r="H2560" i="10"/>
  <c r="H2561" i="10"/>
  <c r="H2562" i="10"/>
  <c r="H2563" i="10"/>
  <c r="H2564" i="10"/>
  <c r="H2565" i="10"/>
  <c r="H2566" i="10"/>
  <c r="H2567" i="10"/>
  <c r="H2568" i="10"/>
  <c r="H2569" i="10"/>
  <c r="H2570" i="10"/>
  <c r="H2571" i="10"/>
  <c r="H2572" i="10"/>
  <c r="H2573" i="10"/>
  <c r="H2574" i="10"/>
  <c r="H2575" i="10"/>
  <c r="H2576" i="10"/>
  <c r="H2577" i="10"/>
  <c r="H2578" i="10"/>
  <c r="H2579" i="10"/>
  <c r="H2580" i="10"/>
  <c r="H2581" i="10"/>
  <c r="H2582" i="10"/>
  <c r="H2583" i="10"/>
  <c r="H2584" i="10"/>
  <c r="H2585" i="10"/>
  <c r="H2586" i="10"/>
  <c r="H2587" i="10"/>
  <c r="H2588" i="10"/>
  <c r="H2589" i="10"/>
  <c r="H2590" i="10"/>
  <c r="H2591" i="10"/>
  <c r="H2592" i="10"/>
  <c r="H2593" i="10"/>
  <c r="H2594" i="10"/>
  <c r="H2595" i="10"/>
  <c r="H2596" i="10"/>
  <c r="H2597" i="10"/>
  <c r="H2598" i="10"/>
  <c r="H2599" i="10"/>
  <c r="H2600" i="10"/>
  <c r="H2601" i="10"/>
  <c r="H2602" i="10"/>
  <c r="H2603" i="10"/>
  <c r="H2604" i="10"/>
  <c r="H2605" i="10"/>
  <c r="H2606" i="10"/>
  <c r="H2607" i="10"/>
  <c r="H2608" i="10"/>
  <c r="H2609" i="10"/>
  <c r="H2610" i="10"/>
  <c r="H2611" i="10"/>
  <c r="H2612" i="10"/>
  <c r="H2613" i="10"/>
  <c r="H2614" i="10"/>
  <c r="H2615" i="10"/>
  <c r="H2616" i="10"/>
  <c r="H2617" i="10"/>
  <c r="H2618" i="10"/>
  <c r="H2619" i="10"/>
  <c r="H2620" i="10"/>
  <c r="H2621" i="10"/>
  <c r="H2622" i="10"/>
  <c r="H2623" i="10"/>
  <c r="H2624" i="10"/>
  <c r="H2625" i="10"/>
  <c r="H2626" i="10"/>
  <c r="H2627" i="10"/>
  <c r="H2628" i="10"/>
  <c r="H2629" i="10"/>
  <c r="H2630" i="10"/>
  <c r="H2631" i="10"/>
  <c r="H2632" i="10"/>
  <c r="H2633" i="10"/>
  <c r="H2634" i="10"/>
  <c r="H2635" i="10"/>
  <c r="H2636" i="10"/>
  <c r="H2637" i="10"/>
  <c r="H2638" i="10"/>
  <c r="H2639" i="10"/>
  <c r="H2640" i="10"/>
  <c r="H2641" i="10"/>
  <c r="H2642" i="10"/>
  <c r="H2643" i="10"/>
  <c r="H2644" i="10"/>
  <c r="H2645" i="10"/>
  <c r="H2646" i="10"/>
  <c r="H2647" i="10"/>
  <c r="H2648" i="10"/>
  <c r="H2649" i="10"/>
  <c r="H2650" i="10"/>
  <c r="H2651" i="10"/>
  <c r="H2652" i="10"/>
  <c r="H2653" i="10"/>
  <c r="H2654" i="10"/>
  <c r="H2655" i="10"/>
  <c r="H2656" i="10"/>
  <c r="H2657" i="10"/>
  <c r="H2658" i="10"/>
  <c r="H2659" i="10"/>
  <c r="H2660" i="10"/>
  <c r="H2661" i="10"/>
  <c r="H2662" i="10"/>
  <c r="H2663" i="10"/>
  <c r="H2664" i="10"/>
  <c r="H2665" i="10"/>
  <c r="H2666" i="10"/>
  <c r="H2667" i="10"/>
  <c r="H2668" i="10"/>
  <c r="H2669" i="10"/>
  <c r="H2670" i="10"/>
  <c r="H2671" i="10"/>
  <c r="H2672" i="10"/>
  <c r="H2673" i="10"/>
  <c r="H2674" i="10"/>
  <c r="H2675" i="10"/>
  <c r="H2676" i="10"/>
  <c r="H2677" i="10"/>
  <c r="H2678" i="10"/>
  <c r="H2679" i="10"/>
  <c r="H2680" i="10"/>
  <c r="H2681" i="10"/>
  <c r="H2682" i="10"/>
  <c r="H2683" i="10"/>
  <c r="H2684" i="10"/>
  <c r="H2685" i="10"/>
  <c r="H2686" i="10"/>
  <c r="H2687" i="10"/>
  <c r="H2688" i="10"/>
  <c r="H2689" i="10"/>
  <c r="H2690" i="10"/>
  <c r="H2691" i="10"/>
  <c r="H2692" i="10"/>
  <c r="H2693" i="10"/>
  <c r="H2694" i="10"/>
  <c r="H2695" i="10"/>
  <c r="H2696" i="10"/>
  <c r="H2697" i="10"/>
  <c r="H2698" i="10"/>
  <c r="H2699" i="10"/>
  <c r="H2700" i="10"/>
  <c r="H2701" i="10"/>
  <c r="H2702" i="10"/>
  <c r="H2703" i="10"/>
  <c r="H2704" i="10"/>
  <c r="H2705" i="10"/>
  <c r="H2706" i="10"/>
  <c r="H2707" i="10"/>
  <c r="H2708" i="10"/>
  <c r="H2709" i="10"/>
  <c r="H2710" i="10"/>
  <c r="H2711" i="10"/>
  <c r="H2712" i="10"/>
  <c r="H2713" i="10"/>
  <c r="H2714" i="10"/>
  <c r="H2715" i="10"/>
  <c r="H2716" i="10"/>
  <c r="H2717" i="10"/>
  <c r="H2718" i="10"/>
  <c r="H2719" i="10"/>
  <c r="H2720" i="10"/>
  <c r="H2721" i="10"/>
  <c r="H2722" i="10"/>
  <c r="H2723" i="10"/>
  <c r="H2724" i="10"/>
  <c r="H2725" i="10"/>
  <c r="H2726" i="10"/>
  <c r="H2727" i="10"/>
  <c r="H2728" i="10"/>
  <c r="H2729" i="10"/>
  <c r="H2730" i="10"/>
  <c r="H2731" i="10"/>
  <c r="H2732" i="10"/>
  <c r="H2733" i="10"/>
  <c r="H2734" i="10"/>
  <c r="H2735" i="10"/>
  <c r="H2736" i="10"/>
  <c r="H2737" i="10"/>
  <c r="H2738" i="10"/>
  <c r="H2739" i="10"/>
  <c r="H2740" i="10"/>
  <c r="H2741" i="10"/>
  <c r="H2742" i="10"/>
  <c r="H2743" i="10"/>
  <c r="H2744" i="10"/>
  <c r="H2745" i="10"/>
  <c r="H2746" i="10"/>
  <c r="H2747" i="10"/>
  <c r="H2748" i="10"/>
  <c r="H2749" i="10"/>
  <c r="H2750" i="10"/>
  <c r="H2751" i="10"/>
  <c r="H2752" i="10"/>
  <c r="H2753" i="10"/>
  <c r="H2754" i="10"/>
  <c r="H2755" i="10"/>
  <c r="H2756" i="10"/>
  <c r="H2757" i="10"/>
  <c r="H2758" i="10"/>
  <c r="H2759" i="10"/>
  <c r="H2760" i="10"/>
  <c r="H2761" i="10"/>
  <c r="H2762" i="10"/>
  <c r="H2763" i="10"/>
  <c r="H2764" i="10"/>
  <c r="H2765" i="10"/>
  <c r="H2766" i="10"/>
  <c r="H2767" i="10"/>
  <c r="H2768" i="10"/>
  <c r="H2769" i="10"/>
  <c r="H2770" i="10"/>
  <c r="H2771" i="10"/>
  <c r="H2772" i="10"/>
  <c r="H2773" i="10"/>
  <c r="H2774" i="10"/>
  <c r="H2775" i="10"/>
  <c r="H2776" i="10"/>
  <c r="H2777" i="10"/>
  <c r="H2778" i="10"/>
  <c r="H2779" i="10"/>
  <c r="H2780" i="10"/>
  <c r="H2781" i="10"/>
  <c r="H2782" i="10"/>
  <c r="H2783" i="10"/>
  <c r="H2784" i="10"/>
  <c r="H2785" i="10"/>
  <c r="H2786" i="10"/>
  <c r="H2787" i="10"/>
  <c r="H2788" i="10"/>
  <c r="H2789" i="10"/>
  <c r="H2790" i="10"/>
  <c r="H2791" i="10"/>
  <c r="H2792" i="10"/>
  <c r="H2793" i="10"/>
  <c r="H2794" i="10"/>
  <c r="H2795" i="10"/>
  <c r="H2796" i="10"/>
  <c r="H2797" i="10"/>
  <c r="H2798" i="10"/>
  <c r="H2799" i="10"/>
  <c r="H2800" i="10"/>
  <c r="H2801" i="10"/>
  <c r="H2802" i="10"/>
  <c r="H2803" i="10"/>
  <c r="H2804" i="10"/>
  <c r="H2805" i="10"/>
  <c r="H2806" i="10"/>
  <c r="H2807" i="10"/>
  <c r="H2808" i="10"/>
  <c r="H2809" i="10"/>
  <c r="H2810" i="10"/>
  <c r="H2811" i="10"/>
  <c r="H2812" i="10"/>
  <c r="H2813" i="10"/>
  <c r="H2814" i="10"/>
  <c r="H2815" i="10"/>
  <c r="H2816" i="10"/>
  <c r="H2817" i="10"/>
  <c r="H2818" i="10"/>
  <c r="H2819" i="10"/>
  <c r="H2820" i="10"/>
  <c r="H2821" i="10"/>
  <c r="H2822" i="10"/>
  <c r="H2823" i="10"/>
  <c r="H2824" i="10"/>
  <c r="H2825" i="10"/>
  <c r="H2826" i="10"/>
  <c r="H2827" i="10"/>
  <c r="H2828" i="10"/>
  <c r="H2829" i="10"/>
  <c r="H2830" i="10"/>
  <c r="H2831" i="10"/>
  <c r="H2832" i="10"/>
  <c r="H2833" i="10"/>
  <c r="H2834" i="10"/>
  <c r="H2835" i="10"/>
  <c r="H2836" i="10"/>
  <c r="H2837" i="10"/>
  <c r="H2838" i="10"/>
  <c r="H2839" i="10"/>
  <c r="H2840" i="10"/>
  <c r="H2841" i="10"/>
  <c r="H2842" i="10"/>
  <c r="H2843" i="10"/>
  <c r="H2844" i="10"/>
  <c r="H2845" i="10"/>
  <c r="H2846" i="10"/>
  <c r="H2847" i="10"/>
  <c r="H2848" i="10"/>
  <c r="H2849" i="10"/>
  <c r="H2850" i="10"/>
  <c r="H2851" i="10"/>
  <c r="H2852" i="10"/>
  <c r="H2853" i="10"/>
  <c r="H2854" i="10"/>
  <c r="H2855" i="10"/>
  <c r="H2856" i="10"/>
  <c r="H2857" i="10"/>
  <c r="H2858" i="10"/>
  <c r="H2859" i="10"/>
  <c r="H2860" i="10"/>
  <c r="H2861" i="10"/>
  <c r="H2862" i="10"/>
  <c r="H2863" i="10"/>
  <c r="H2864" i="10"/>
  <c r="H2865" i="10"/>
  <c r="H2866" i="10"/>
  <c r="H2867" i="10"/>
  <c r="H2868" i="10"/>
  <c r="H2869" i="10"/>
  <c r="H2870" i="10"/>
  <c r="H2871" i="10"/>
  <c r="H2872" i="10"/>
  <c r="H2873" i="10"/>
  <c r="H2874" i="10"/>
  <c r="H2875" i="10"/>
  <c r="H2876" i="10"/>
  <c r="H2877" i="10"/>
  <c r="H2878" i="10"/>
  <c r="H2879" i="10"/>
  <c r="H2880" i="10"/>
  <c r="H2881" i="10"/>
  <c r="H2882" i="10"/>
  <c r="H2883" i="10"/>
  <c r="H2884" i="10"/>
  <c r="H2885" i="10"/>
  <c r="H2886" i="10"/>
  <c r="H2887" i="10"/>
  <c r="H2888" i="10"/>
  <c r="H2889" i="10"/>
  <c r="H2890" i="10"/>
  <c r="H2891" i="10"/>
  <c r="H2892" i="10"/>
  <c r="H2893" i="10"/>
  <c r="H2894" i="10"/>
  <c r="H2895" i="10"/>
  <c r="H2896" i="10"/>
  <c r="H2897" i="10"/>
  <c r="H2898" i="10"/>
  <c r="H2899" i="10"/>
  <c r="H2900" i="10"/>
  <c r="H2901" i="10"/>
  <c r="H2902" i="10"/>
  <c r="H2903" i="10"/>
  <c r="H2904" i="10"/>
  <c r="H2905" i="10"/>
  <c r="H2906" i="10"/>
  <c r="H2907" i="10"/>
  <c r="H2908" i="10"/>
  <c r="H2909" i="10"/>
  <c r="H2910" i="10"/>
  <c r="H2911" i="10"/>
  <c r="H2912" i="10"/>
  <c r="H2913" i="10"/>
  <c r="H2914" i="10"/>
  <c r="H2915" i="10"/>
  <c r="H2916" i="10"/>
  <c r="H2917" i="10"/>
  <c r="H2918" i="10"/>
  <c r="H2919" i="10"/>
  <c r="H2920" i="10"/>
  <c r="H2921" i="10"/>
  <c r="H2922" i="10"/>
  <c r="H2923" i="10"/>
  <c r="H2924" i="10"/>
  <c r="H2925" i="10"/>
  <c r="H2926" i="10"/>
  <c r="H2927" i="10"/>
  <c r="H2928" i="10"/>
  <c r="H2929" i="10"/>
  <c r="H2930" i="10"/>
  <c r="H2931" i="10"/>
  <c r="H2932" i="10"/>
  <c r="H2933" i="10"/>
  <c r="H2934" i="10"/>
  <c r="H2935" i="10"/>
  <c r="H2936" i="10"/>
  <c r="H2937" i="10"/>
  <c r="H2938" i="10"/>
  <c r="H2939" i="10"/>
  <c r="H2940" i="10"/>
  <c r="H2941" i="10"/>
  <c r="H2942" i="10"/>
  <c r="H2943" i="10"/>
  <c r="H2944" i="10"/>
  <c r="H2945" i="10"/>
  <c r="H2946" i="10"/>
  <c r="H2947" i="10"/>
  <c r="H2948" i="10"/>
  <c r="H2949" i="10"/>
  <c r="H2950" i="10"/>
  <c r="H2951" i="10"/>
  <c r="H2952" i="10"/>
  <c r="H2953" i="10"/>
  <c r="H2954" i="10"/>
  <c r="H2955" i="10"/>
  <c r="H2956" i="10"/>
  <c r="H2957" i="10"/>
  <c r="H2958" i="10"/>
  <c r="H2959" i="10"/>
  <c r="H2960" i="10"/>
  <c r="H2961" i="10"/>
  <c r="H2962" i="10"/>
  <c r="H2963" i="10"/>
  <c r="H2964" i="10"/>
  <c r="H2965" i="10"/>
  <c r="H2966" i="10"/>
  <c r="H2967" i="10"/>
  <c r="H2968" i="10"/>
  <c r="H2969" i="10"/>
  <c r="H2970" i="10"/>
  <c r="H2971" i="10"/>
  <c r="H2972" i="10"/>
  <c r="H2973" i="10"/>
  <c r="H2974" i="10"/>
  <c r="H2975" i="10"/>
  <c r="H2976" i="10"/>
  <c r="H2977" i="10"/>
  <c r="H2978" i="10"/>
  <c r="H2979" i="10"/>
  <c r="H2980" i="10"/>
  <c r="H2981" i="10"/>
  <c r="H2982" i="10"/>
  <c r="H2983" i="10"/>
  <c r="H2984" i="10"/>
  <c r="H2985" i="10"/>
  <c r="H2986" i="10"/>
  <c r="H2987" i="10"/>
  <c r="H2988" i="10"/>
  <c r="H2989" i="10"/>
  <c r="H2990" i="10"/>
  <c r="H2991" i="10"/>
  <c r="H2992" i="10"/>
  <c r="H2993" i="10"/>
  <c r="H2994" i="10"/>
  <c r="H2995" i="10"/>
  <c r="H2996" i="10"/>
  <c r="H2997" i="10"/>
  <c r="H2998" i="10"/>
  <c r="H2999" i="10"/>
  <c r="H3000" i="10"/>
  <c r="H3001" i="10"/>
  <c r="H3002" i="10"/>
  <c r="H3003" i="10"/>
  <c r="H3004" i="10"/>
  <c r="H3005" i="10"/>
  <c r="H3006" i="10"/>
  <c r="H3007" i="10"/>
  <c r="H3008" i="10"/>
  <c r="H3009" i="10"/>
  <c r="H3010" i="10"/>
  <c r="H3011" i="10"/>
  <c r="H3012" i="10"/>
  <c r="H3013" i="10"/>
  <c r="H3014" i="10"/>
  <c r="H3015" i="10"/>
  <c r="H3016" i="10"/>
  <c r="H3017" i="10"/>
  <c r="H3018" i="10"/>
  <c r="H3019" i="10"/>
  <c r="H3020" i="10"/>
  <c r="H3021" i="10"/>
  <c r="H3022" i="10"/>
  <c r="H3023" i="10"/>
  <c r="H3024" i="10"/>
  <c r="H3025" i="10"/>
  <c r="H3026" i="10"/>
  <c r="H3027" i="10"/>
  <c r="H3028" i="10"/>
  <c r="H3029" i="10"/>
  <c r="H3030" i="10"/>
  <c r="H3031" i="10"/>
  <c r="H3032" i="10"/>
  <c r="H3033" i="10"/>
  <c r="H3034" i="10"/>
  <c r="H3035" i="10"/>
  <c r="H3036" i="10"/>
  <c r="H3037" i="10"/>
  <c r="H3038" i="10"/>
  <c r="H3039" i="10"/>
  <c r="H3040" i="10"/>
  <c r="H3041" i="10"/>
  <c r="H3042" i="10"/>
  <c r="H3043" i="10"/>
  <c r="H3044" i="10"/>
  <c r="H3045" i="10"/>
  <c r="H3046" i="10"/>
  <c r="H3047" i="10"/>
  <c r="H3048" i="10"/>
  <c r="H3049" i="10"/>
  <c r="H3050" i="10"/>
  <c r="H3051" i="10"/>
  <c r="H3052" i="10"/>
  <c r="H3053" i="10"/>
  <c r="H3054" i="10"/>
  <c r="H3055" i="10"/>
  <c r="H3056" i="10"/>
  <c r="H3057" i="10"/>
  <c r="H3058" i="10"/>
  <c r="H3059" i="10"/>
  <c r="H3060" i="10"/>
  <c r="H3061" i="10"/>
  <c r="H3062" i="10"/>
  <c r="H3063" i="10"/>
  <c r="H3064" i="10"/>
  <c r="H3065" i="10"/>
  <c r="H3066" i="10"/>
  <c r="H3067" i="10"/>
  <c r="H3068" i="10"/>
  <c r="H3069" i="10"/>
  <c r="H3070" i="10"/>
  <c r="H3071" i="10"/>
  <c r="H3072" i="10"/>
  <c r="H3073" i="10"/>
  <c r="H3074" i="10"/>
  <c r="H3075" i="10"/>
  <c r="H3076" i="10"/>
  <c r="H3077" i="10"/>
  <c r="H3078" i="10"/>
  <c r="H3079" i="10"/>
  <c r="H3080" i="10"/>
  <c r="H3081" i="10"/>
  <c r="H3082" i="10"/>
  <c r="H3083" i="10"/>
  <c r="H3084" i="10"/>
  <c r="H3085" i="10"/>
  <c r="H3086" i="10"/>
  <c r="H3087" i="10"/>
  <c r="H3088" i="10"/>
  <c r="H3089" i="10"/>
  <c r="H3090" i="10"/>
  <c r="H3091" i="10"/>
  <c r="H3092" i="10"/>
  <c r="H3093" i="10"/>
  <c r="H3094" i="10"/>
  <c r="H3095" i="10"/>
  <c r="H3096" i="10"/>
  <c r="H3097" i="10"/>
  <c r="H3098" i="10"/>
  <c r="H3099" i="10"/>
  <c r="H3100" i="10"/>
  <c r="H3101" i="10"/>
  <c r="H3102" i="10"/>
  <c r="H3103" i="10"/>
  <c r="H3104" i="10"/>
  <c r="H3105" i="10"/>
  <c r="H3106" i="10"/>
  <c r="H3107" i="10"/>
  <c r="H3108" i="10"/>
  <c r="H3109" i="10"/>
  <c r="H3110" i="10"/>
  <c r="H3111" i="10"/>
  <c r="H3112" i="10"/>
  <c r="H3113" i="10"/>
  <c r="H3114" i="10"/>
  <c r="H3115" i="10"/>
  <c r="H3116" i="10"/>
  <c r="H3117" i="10"/>
  <c r="H3118" i="10"/>
  <c r="H3119" i="10"/>
  <c r="H3120" i="10"/>
  <c r="H3121" i="10"/>
  <c r="H3122" i="10"/>
  <c r="H3123" i="10"/>
  <c r="H3124" i="10"/>
  <c r="H3125" i="10"/>
  <c r="H3126" i="10"/>
  <c r="H3127" i="10"/>
  <c r="H3128" i="10"/>
  <c r="H3129" i="10"/>
  <c r="H3130" i="10"/>
  <c r="H3131" i="10"/>
  <c r="H3132" i="10"/>
  <c r="H3133" i="10"/>
  <c r="H3134" i="10"/>
  <c r="H3135" i="10"/>
  <c r="H3136" i="10"/>
  <c r="H3137" i="10"/>
  <c r="H3138" i="10"/>
  <c r="H3139" i="10"/>
  <c r="H3140" i="10"/>
  <c r="H3141" i="10"/>
  <c r="H3142" i="10"/>
  <c r="H3143" i="10"/>
  <c r="H3144" i="10"/>
  <c r="H3145" i="10"/>
  <c r="H3146" i="10"/>
  <c r="H3147" i="10"/>
  <c r="H3148" i="10"/>
  <c r="H3149" i="10"/>
  <c r="H3150" i="10"/>
  <c r="H3151" i="10"/>
  <c r="H3152" i="10"/>
  <c r="H3153" i="10"/>
  <c r="H3154" i="10"/>
  <c r="H3155" i="10"/>
  <c r="H3156" i="10"/>
  <c r="H3157" i="10"/>
  <c r="H3158" i="10"/>
  <c r="H3159" i="10"/>
  <c r="H3160" i="10"/>
  <c r="H3161" i="10"/>
  <c r="H3162" i="10"/>
  <c r="H3163" i="10"/>
  <c r="H3164" i="10"/>
  <c r="H3165" i="10"/>
  <c r="H3166" i="10"/>
  <c r="H3167" i="10"/>
  <c r="H3168" i="10"/>
  <c r="H3169" i="10"/>
  <c r="H3170" i="10"/>
  <c r="H3171" i="10"/>
  <c r="H3172" i="10"/>
  <c r="H3173" i="10"/>
  <c r="H3174" i="10"/>
  <c r="H3175" i="10"/>
  <c r="H3176" i="10"/>
  <c r="H3177" i="10"/>
  <c r="H3178" i="10"/>
  <c r="H3179" i="10"/>
  <c r="H3180" i="10"/>
  <c r="H3181" i="10"/>
  <c r="H3182" i="10"/>
  <c r="H3183" i="10"/>
  <c r="H3184" i="10"/>
  <c r="H3185" i="10"/>
  <c r="H3186" i="10"/>
  <c r="H3187" i="10"/>
  <c r="H3188" i="10"/>
  <c r="H3189" i="10"/>
  <c r="H3190" i="10"/>
  <c r="H3191" i="10"/>
  <c r="H3192" i="10"/>
  <c r="H3193" i="10"/>
  <c r="H3194" i="10"/>
  <c r="H3195" i="10"/>
  <c r="H3196" i="10"/>
  <c r="H3197" i="10"/>
  <c r="H3198" i="10"/>
  <c r="H3199" i="10"/>
  <c r="H3200" i="10"/>
  <c r="H3201" i="10"/>
  <c r="H3202" i="10"/>
  <c r="H3203" i="10"/>
  <c r="H3204" i="10"/>
  <c r="H3205" i="10"/>
  <c r="H3206" i="10"/>
  <c r="H3207" i="10"/>
  <c r="H3208" i="10"/>
  <c r="H3209" i="10"/>
  <c r="H3210" i="10"/>
  <c r="H3211" i="10"/>
  <c r="H3212" i="10"/>
  <c r="H3213" i="10"/>
  <c r="H3214" i="10"/>
  <c r="H3215" i="10"/>
  <c r="H3216" i="10"/>
  <c r="H3217" i="10"/>
  <c r="H3218" i="10"/>
  <c r="H3219" i="10"/>
  <c r="H3220" i="10"/>
  <c r="H3221" i="10"/>
  <c r="H3222" i="10"/>
  <c r="H3223" i="10"/>
  <c r="H3224" i="10"/>
  <c r="H3225" i="10"/>
  <c r="H3226" i="10"/>
  <c r="H3227" i="10"/>
  <c r="H3228" i="10"/>
  <c r="H3229" i="10"/>
  <c r="H3230" i="10"/>
  <c r="H3231" i="10"/>
  <c r="H3232" i="10"/>
  <c r="H3233" i="10"/>
  <c r="H3234" i="10"/>
  <c r="H3235" i="10"/>
  <c r="H3236" i="10"/>
  <c r="H3237" i="10"/>
  <c r="H3238" i="10"/>
  <c r="H3239" i="10"/>
  <c r="H3240" i="10"/>
  <c r="H3241" i="10"/>
  <c r="H3242" i="10"/>
  <c r="H3243" i="10"/>
  <c r="H3244" i="10"/>
  <c r="H3245" i="10"/>
  <c r="H3246" i="10"/>
  <c r="H3247" i="10"/>
  <c r="H3248" i="10"/>
  <c r="H3249" i="10"/>
  <c r="H3250" i="10"/>
  <c r="H3251" i="10"/>
  <c r="H3252" i="10"/>
  <c r="H3253" i="10"/>
  <c r="H3254" i="10"/>
  <c r="H3255" i="10"/>
  <c r="H3256" i="10"/>
  <c r="H3257" i="10"/>
  <c r="H3258" i="10"/>
  <c r="H3259" i="10"/>
  <c r="H3260" i="10"/>
  <c r="H3261" i="10"/>
  <c r="H3262" i="10"/>
  <c r="H3263" i="10"/>
  <c r="H3264" i="10"/>
  <c r="H3265" i="10"/>
  <c r="H3266" i="10"/>
  <c r="H3267" i="10"/>
  <c r="H3268" i="10"/>
  <c r="H3269" i="10"/>
  <c r="H3270" i="10"/>
  <c r="H3271" i="10"/>
  <c r="H3272" i="10"/>
  <c r="H3273" i="10"/>
  <c r="H3274" i="10"/>
  <c r="H3275" i="10"/>
  <c r="H3276" i="10"/>
  <c r="H3277" i="10"/>
  <c r="H3278" i="10"/>
  <c r="H3279" i="10"/>
  <c r="H3280" i="10"/>
  <c r="H3281" i="10"/>
  <c r="H3282" i="10"/>
  <c r="H3283" i="10"/>
  <c r="H3284" i="10"/>
  <c r="H3285" i="10"/>
  <c r="H3286" i="10"/>
  <c r="H3287" i="10"/>
  <c r="H3288" i="10"/>
  <c r="H3289" i="10"/>
  <c r="H3290" i="10"/>
  <c r="H3291" i="10"/>
  <c r="H3292" i="10"/>
  <c r="H3293" i="10"/>
  <c r="H3294" i="10"/>
  <c r="H3295" i="10"/>
  <c r="H3296" i="10"/>
  <c r="H3297" i="10"/>
  <c r="H3298" i="10"/>
  <c r="H3299" i="10"/>
  <c r="H3300" i="10"/>
  <c r="H3301" i="10"/>
  <c r="H3302" i="10"/>
  <c r="H3303" i="10"/>
  <c r="H3304" i="10"/>
  <c r="H3305" i="10"/>
  <c r="H3306" i="10"/>
  <c r="H3307" i="10"/>
  <c r="H3308" i="10"/>
  <c r="H3309" i="10"/>
  <c r="H3310" i="10"/>
  <c r="H3311" i="10"/>
  <c r="H3312" i="10"/>
  <c r="H3313" i="10"/>
  <c r="H3314" i="10"/>
  <c r="H3315" i="10"/>
  <c r="H3316" i="10"/>
  <c r="H3317" i="10"/>
  <c r="H3318" i="10"/>
  <c r="H3319" i="10"/>
  <c r="H3320" i="10"/>
  <c r="H3321" i="10"/>
  <c r="H3322" i="10"/>
  <c r="H3323" i="10"/>
  <c r="H3324" i="10"/>
  <c r="H3325" i="10"/>
  <c r="H3326" i="10"/>
  <c r="H3327" i="10"/>
  <c r="H3328" i="10"/>
  <c r="H3329" i="10"/>
  <c r="H3330" i="10"/>
  <c r="H3331" i="10"/>
  <c r="H3332" i="10"/>
  <c r="H3333" i="10"/>
  <c r="H3334" i="10"/>
  <c r="H3335" i="10"/>
  <c r="H3336" i="10"/>
  <c r="H3337" i="10"/>
  <c r="H3338" i="10"/>
  <c r="H3339" i="10"/>
  <c r="H3340" i="10"/>
  <c r="H3341" i="10"/>
  <c r="H3342" i="10"/>
  <c r="H3343" i="10"/>
  <c r="H3344" i="10"/>
  <c r="H3345" i="10"/>
  <c r="H3346" i="10"/>
  <c r="H3347" i="10"/>
  <c r="H3348" i="10"/>
  <c r="H3349" i="10"/>
  <c r="H3350" i="10"/>
  <c r="H3351" i="10"/>
  <c r="H3352" i="10"/>
  <c r="H3353" i="10"/>
  <c r="H3354" i="10"/>
  <c r="H3355" i="10"/>
  <c r="H3356" i="10"/>
  <c r="H3357" i="10"/>
  <c r="H3358" i="10"/>
  <c r="H3359" i="10"/>
  <c r="H3360" i="10"/>
  <c r="H3361" i="10"/>
  <c r="H3362" i="10"/>
  <c r="H3363" i="10"/>
  <c r="H3364" i="10"/>
  <c r="H3365" i="10"/>
  <c r="H3366" i="10"/>
  <c r="H3367" i="10"/>
  <c r="H3368" i="10"/>
  <c r="H3369" i="10"/>
  <c r="H3370" i="10"/>
  <c r="H3371" i="10"/>
  <c r="H3372" i="10"/>
  <c r="H3373" i="10"/>
  <c r="H3374" i="10"/>
  <c r="H3375" i="10"/>
  <c r="H3376" i="10"/>
  <c r="H3377" i="10"/>
  <c r="H3378" i="10"/>
  <c r="H3379" i="10"/>
  <c r="H3380" i="10"/>
  <c r="H3381" i="10"/>
  <c r="H3382" i="10"/>
  <c r="H3383" i="10"/>
  <c r="H3384" i="10"/>
  <c r="H3385" i="10"/>
  <c r="H3386" i="10"/>
  <c r="H3387" i="10"/>
  <c r="H3388" i="10"/>
  <c r="H3389" i="10"/>
  <c r="H3390" i="10"/>
  <c r="H3391" i="10"/>
  <c r="H3392" i="10"/>
  <c r="H3393" i="10"/>
  <c r="H3394" i="10"/>
  <c r="H3395" i="10"/>
  <c r="H3396" i="10"/>
  <c r="H3397" i="10"/>
  <c r="H3398" i="10"/>
  <c r="H3399" i="10"/>
  <c r="H3400" i="10"/>
  <c r="H3401" i="10"/>
  <c r="H3402" i="10"/>
  <c r="H3403" i="10"/>
  <c r="H3404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G2337" i="10"/>
  <c r="G2338" i="10"/>
  <c r="G2339" i="10"/>
  <c r="G2340" i="10"/>
  <c r="G2341" i="10"/>
  <c r="G2342" i="10"/>
  <c r="G2343" i="10"/>
  <c r="G2344" i="10"/>
  <c r="G2345" i="10"/>
  <c r="G2346" i="10"/>
  <c r="G2347" i="10"/>
  <c r="G2348" i="10"/>
  <c r="G2349" i="10"/>
  <c r="G2350" i="10"/>
  <c r="G2351" i="10"/>
  <c r="G2352" i="10"/>
  <c r="G2353" i="10"/>
  <c r="G2354" i="10"/>
  <c r="G2355" i="10"/>
  <c r="G2356" i="10"/>
  <c r="G2357" i="10"/>
  <c r="G2358" i="10"/>
  <c r="G2359" i="10"/>
  <c r="G2360" i="10"/>
  <c r="G2361" i="10"/>
  <c r="G2362" i="10"/>
  <c r="G2363" i="10"/>
  <c r="G2364" i="10"/>
  <c r="G2365" i="10"/>
  <c r="G2366" i="10"/>
  <c r="G2367" i="10"/>
  <c r="G2368" i="10"/>
  <c r="G2369" i="10"/>
  <c r="G2370" i="10"/>
  <c r="G2371" i="10"/>
  <c r="G2372" i="10"/>
  <c r="G2373" i="10"/>
  <c r="G2374" i="10"/>
  <c r="G2375" i="10"/>
  <c r="G2376" i="10"/>
  <c r="G2377" i="10"/>
  <c r="G2378" i="10"/>
  <c r="G2379" i="10"/>
  <c r="G2380" i="10"/>
  <c r="G2381" i="10"/>
  <c r="G2382" i="10"/>
  <c r="G2383" i="10"/>
  <c r="G2384" i="10"/>
  <c r="G2385" i="10"/>
  <c r="G2386" i="10"/>
  <c r="G2387" i="10"/>
  <c r="G2388" i="10"/>
  <c r="G2389" i="10"/>
  <c r="G2390" i="10"/>
  <c r="G2391" i="10"/>
  <c r="G2392" i="10"/>
  <c r="G2393" i="10"/>
  <c r="G2394" i="10"/>
  <c r="G2395" i="10"/>
  <c r="G2396" i="10"/>
  <c r="G2397" i="10"/>
  <c r="G2398" i="10"/>
  <c r="G2399" i="10"/>
  <c r="G2400" i="10"/>
  <c r="G2401" i="10"/>
  <c r="G2402" i="10"/>
  <c r="G2403" i="10"/>
  <c r="G2404" i="10"/>
  <c r="G2405" i="10"/>
  <c r="G2406" i="10"/>
  <c r="G2407" i="10"/>
  <c r="G2408" i="10"/>
  <c r="G2409" i="10"/>
  <c r="G2410" i="10"/>
  <c r="G2411" i="10"/>
  <c r="G2412" i="10"/>
  <c r="G2413" i="10"/>
  <c r="G2414" i="10"/>
  <c r="G2415" i="10"/>
  <c r="G2416" i="10"/>
  <c r="G2417" i="10"/>
  <c r="G2418" i="10"/>
  <c r="G2419" i="10"/>
  <c r="G2420" i="10"/>
  <c r="G2421" i="10"/>
  <c r="G2422" i="10"/>
  <c r="G2423" i="10"/>
  <c r="G2424" i="10"/>
  <c r="G2425" i="10"/>
  <c r="G2426" i="10"/>
  <c r="G2427" i="10"/>
  <c r="G2428" i="10"/>
  <c r="G2429" i="10"/>
  <c r="G2430" i="10"/>
  <c r="G2431" i="10"/>
  <c r="G2432" i="10"/>
  <c r="G2433" i="10"/>
  <c r="G2434" i="10"/>
  <c r="G2435" i="10"/>
  <c r="G2436" i="10"/>
  <c r="G2437" i="10"/>
  <c r="G2438" i="10"/>
  <c r="G2439" i="10"/>
  <c r="G2440" i="10"/>
  <c r="G2441" i="10"/>
  <c r="G2442" i="10"/>
  <c r="G2443" i="10"/>
  <c r="G2444" i="10"/>
  <c r="G2445" i="10"/>
  <c r="G2446" i="10"/>
  <c r="G2447" i="10"/>
  <c r="G2448" i="10"/>
  <c r="G2449" i="10"/>
  <c r="G2450" i="10"/>
  <c r="G2451" i="10"/>
  <c r="G2452" i="10"/>
  <c r="G2453" i="10"/>
  <c r="G2454" i="10"/>
  <c r="G2455" i="10"/>
  <c r="G2456" i="10"/>
  <c r="G2457" i="10"/>
  <c r="G2458" i="10"/>
  <c r="G2459" i="10"/>
  <c r="G2460" i="10"/>
  <c r="G2461" i="10"/>
  <c r="G2462" i="10"/>
  <c r="G2463" i="10"/>
  <c r="G2464" i="10"/>
  <c r="G2465" i="10"/>
  <c r="G2466" i="10"/>
  <c r="G2467" i="10"/>
  <c r="G2468" i="10"/>
  <c r="G2469" i="10"/>
  <c r="G2470" i="10"/>
  <c r="G2471" i="10"/>
  <c r="G2472" i="10"/>
  <c r="G2473" i="10"/>
  <c r="G2474" i="10"/>
  <c r="G2475" i="10"/>
  <c r="G2476" i="10"/>
  <c r="G2477" i="10"/>
  <c r="G2478" i="10"/>
  <c r="G2479" i="10"/>
  <c r="G2480" i="10"/>
  <c r="G2481" i="10"/>
  <c r="G2482" i="10"/>
  <c r="G2483" i="10"/>
  <c r="G2484" i="10"/>
  <c r="G2485" i="10"/>
  <c r="G2486" i="10"/>
  <c r="G2487" i="10"/>
  <c r="G2488" i="10"/>
  <c r="G2489" i="10"/>
  <c r="G2490" i="10"/>
  <c r="G2491" i="10"/>
  <c r="G2492" i="10"/>
  <c r="G2493" i="10"/>
  <c r="G2494" i="10"/>
  <c r="G2495" i="10"/>
  <c r="G2496" i="10"/>
  <c r="G2497" i="10"/>
  <c r="G2498" i="10"/>
  <c r="G2499" i="10"/>
  <c r="G2500" i="10"/>
  <c r="G2501" i="10"/>
  <c r="G2502" i="10"/>
  <c r="G2503" i="10"/>
  <c r="G2504" i="10"/>
  <c r="G2505" i="10"/>
  <c r="G2506" i="10"/>
  <c r="G2507" i="10"/>
  <c r="G2508" i="10"/>
  <c r="G2509" i="10"/>
  <c r="G2510" i="10"/>
  <c r="G2511" i="10"/>
  <c r="G2512" i="10"/>
  <c r="G2513" i="10"/>
  <c r="G2514" i="10"/>
  <c r="G2515" i="10"/>
  <c r="G2516" i="10"/>
  <c r="G2517" i="10"/>
  <c r="G2518" i="10"/>
  <c r="G2519" i="10"/>
  <c r="G2520" i="10"/>
  <c r="G2521" i="10"/>
  <c r="G2522" i="10"/>
  <c r="G2523" i="10"/>
  <c r="G2524" i="10"/>
  <c r="G2525" i="10"/>
  <c r="G2526" i="10"/>
  <c r="G2527" i="10"/>
  <c r="G2528" i="10"/>
  <c r="G2529" i="10"/>
  <c r="G2530" i="10"/>
  <c r="G2531" i="10"/>
  <c r="G2532" i="10"/>
  <c r="G2533" i="10"/>
  <c r="G2534" i="10"/>
  <c r="G2535" i="10"/>
  <c r="G2536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57" i="10"/>
  <c r="G2558" i="10"/>
  <c r="G2559" i="10"/>
  <c r="G2560" i="10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F1121" i="10" s="1"/>
  <c r="E1122" i="10"/>
  <c r="F1122" i="10" s="1"/>
  <c r="E1123" i="10"/>
  <c r="F1123" i="10" s="1"/>
  <c r="E1124" i="10"/>
  <c r="F1124" i="10" s="1"/>
  <c r="E1125" i="10"/>
  <c r="F1125" i="10" s="1"/>
  <c r="E1126" i="10"/>
  <c r="F1126" i="10" s="1"/>
  <c r="E1127" i="10"/>
  <c r="F1127" i="10" s="1"/>
  <c r="E1128" i="10"/>
  <c r="F1128" i="10" s="1"/>
  <c r="E1129" i="10"/>
  <c r="F1129" i="10" s="1"/>
  <c r="E1130" i="10"/>
  <c r="F1130" i="10" s="1"/>
  <c r="E1131" i="10"/>
  <c r="F1131" i="10" s="1"/>
  <c r="E1132" i="10"/>
  <c r="F1132" i="10" s="1"/>
  <c r="E1133" i="10"/>
  <c r="F1133" i="10" s="1"/>
  <c r="E1134" i="10"/>
  <c r="F1134" i="10" s="1"/>
  <c r="E1135" i="10"/>
  <c r="F1135" i="10" s="1"/>
  <c r="E1136" i="10"/>
  <c r="F1136" i="10" s="1"/>
  <c r="E1137" i="10"/>
  <c r="F1137" i="10" s="1"/>
  <c r="E1138" i="10"/>
  <c r="F1138" i="10" s="1"/>
  <c r="E1139" i="10"/>
  <c r="F1139" i="10" s="1"/>
  <c r="E1140" i="10"/>
  <c r="F1140" i="10" s="1"/>
  <c r="E1141" i="10"/>
  <c r="F1141" i="10" s="1"/>
  <c r="E1142" i="10"/>
  <c r="F1142" i="10" s="1"/>
  <c r="E1143" i="10"/>
  <c r="F1143" i="10" s="1"/>
  <c r="E1144" i="10"/>
  <c r="F1144" i="10" s="1"/>
  <c r="E1145" i="10"/>
  <c r="F1145" i="10" s="1"/>
  <c r="E1146" i="10"/>
  <c r="F1146" i="10" s="1"/>
  <c r="E1147" i="10"/>
  <c r="F1147" i="10" s="1"/>
  <c r="E1148" i="10"/>
  <c r="F1148" i="10" s="1"/>
  <c r="E1149" i="10"/>
  <c r="F1149" i="10" s="1"/>
  <c r="E1150" i="10"/>
  <c r="F1150" i="10" s="1"/>
  <c r="E1151" i="10"/>
  <c r="F1151" i="10" s="1"/>
  <c r="E1152" i="10"/>
  <c r="F1152" i="10" s="1"/>
  <c r="E1153" i="10"/>
  <c r="F1153" i="10" s="1"/>
  <c r="E1154" i="10"/>
  <c r="F1154" i="10" s="1"/>
  <c r="E1155" i="10"/>
  <c r="F1155" i="10" s="1"/>
  <c r="E1156" i="10"/>
  <c r="F1156" i="10" s="1"/>
  <c r="E1157" i="10"/>
  <c r="F1157" i="10" s="1"/>
  <c r="E1158" i="10"/>
  <c r="F1158" i="10" s="1"/>
  <c r="E1159" i="10"/>
  <c r="F1159" i="10" s="1"/>
  <c r="E1160" i="10"/>
  <c r="F1160" i="10" s="1"/>
  <c r="E1161" i="10"/>
  <c r="F1161" i="10" s="1"/>
  <c r="E1162" i="10"/>
  <c r="F1162" i="10" s="1"/>
  <c r="E1163" i="10"/>
  <c r="F1163" i="10" s="1"/>
  <c r="E1164" i="10"/>
  <c r="F1164" i="10" s="1"/>
  <c r="E1165" i="10"/>
  <c r="F1165" i="10" s="1"/>
  <c r="E1166" i="10"/>
  <c r="F1166" i="10" s="1"/>
  <c r="E1167" i="10"/>
  <c r="F1167" i="10" s="1"/>
  <c r="E1168" i="10"/>
  <c r="F1168" i="10" s="1"/>
  <c r="E1169" i="10"/>
  <c r="F1169" i="10" s="1"/>
  <c r="E1170" i="10"/>
  <c r="F1170" i="10" s="1"/>
  <c r="E1171" i="10"/>
  <c r="F1171" i="10" s="1"/>
  <c r="E1172" i="10"/>
  <c r="F1172" i="10" s="1"/>
  <c r="E1173" i="10"/>
  <c r="F1173" i="10" s="1"/>
  <c r="E1174" i="10"/>
  <c r="F1174" i="10" s="1"/>
  <c r="E1175" i="10"/>
  <c r="F1175" i="10" s="1"/>
  <c r="E1176" i="10"/>
  <c r="F1176" i="10" s="1"/>
  <c r="E1177" i="10"/>
  <c r="F1177" i="10" s="1"/>
  <c r="E1178" i="10"/>
  <c r="F1178" i="10" s="1"/>
  <c r="E1179" i="10"/>
  <c r="F1179" i="10" s="1"/>
  <c r="E1180" i="10"/>
  <c r="F1180" i="10" s="1"/>
  <c r="E1181" i="10"/>
  <c r="F1181" i="10" s="1"/>
  <c r="E1182" i="10"/>
  <c r="F1182" i="10" s="1"/>
  <c r="E1183" i="10"/>
  <c r="F1183" i="10" s="1"/>
  <c r="E1184" i="10"/>
  <c r="F1184" i="10" s="1"/>
  <c r="E1185" i="10"/>
  <c r="F1185" i="10" s="1"/>
  <c r="E1186" i="10"/>
  <c r="F1186" i="10" s="1"/>
  <c r="E1187" i="10"/>
  <c r="F1187" i="10" s="1"/>
  <c r="E1188" i="10"/>
  <c r="F1188" i="10" s="1"/>
  <c r="E1189" i="10"/>
  <c r="F1189" i="10" s="1"/>
  <c r="E1190" i="10"/>
  <c r="F1190" i="10" s="1"/>
  <c r="E1191" i="10"/>
  <c r="F1191" i="10" s="1"/>
  <c r="E1192" i="10"/>
  <c r="F1192" i="10" s="1"/>
  <c r="E1193" i="10"/>
  <c r="F1193" i="10" s="1"/>
  <c r="E1194" i="10"/>
  <c r="F1194" i="10" s="1"/>
  <c r="E1195" i="10"/>
  <c r="F1195" i="10" s="1"/>
  <c r="E1196" i="10"/>
  <c r="F1196" i="10" s="1"/>
  <c r="E1197" i="10"/>
  <c r="F1197" i="10" s="1"/>
  <c r="E1198" i="10"/>
  <c r="F1198" i="10" s="1"/>
  <c r="E1199" i="10"/>
  <c r="F1199" i="10" s="1"/>
  <c r="E1200" i="10"/>
  <c r="F1200" i="10" s="1"/>
  <c r="E1201" i="10"/>
  <c r="F1201" i="10" s="1"/>
  <c r="E1202" i="10"/>
  <c r="F1202" i="10" s="1"/>
  <c r="E1203" i="10"/>
  <c r="F1203" i="10" s="1"/>
  <c r="E1204" i="10"/>
  <c r="F1204" i="10" s="1"/>
  <c r="E1205" i="10"/>
  <c r="F1205" i="10" s="1"/>
  <c r="E1206" i="10"/>
  <c r="F1206" i="10" s="1"/>
  <c r="E1207" i="10"/>
  <c r="F1207" i="10" s="1"/>
  <c r="E1208" i="10"/>
  <c r="F1208" i="10" s="1"/>
  <c r="E1209" i="10"/>
  <c r="F1209" i="10" s="1"/>
  <c r="E1210" i="10"/>
  <c r="F1210" i="10" s="1"/>
  <c r="E1211" i="10"/>
  <c r="F1211" i="10" s="1"/>
  <c r="E1212" i="10"/>
  <c r="F1212" i="10" s="1"/>
  <c r="E1213" i="10"/>
  <c r="F1213" i="10" s="1"/>
  <c r="E1214" i="10"/>
  <c r="F1214" i="10" s="1"/>
  <c r="E1215" i="10"/>
  <c r="F1215" i="10" s="1"/>
  <c r="E1216" i="10"/>
  <c r="F1216" i="10" s="1"/>
  <c r="E1217" i="10"/>
  <c r="F1217" i="10" s="1"/>
  <c r="E1218" i="10"/>
  <c r="F1218" i="10" s="1"/>
  <c r="E1219" i="10"/>
  <c r="F1219" i="10" s="1"/>
  <c r="E1220" i="10"/>
  <c r="F1220" i="10" s="1"/>
  <c r="E1221" i="10"/>
  <c r="F1221" i="10" s="1"/>
  <c r="E1222" i="10"/>
  <c r="F1222" i="10" s="1"/>
  <c r="E1223" i="10"/>
  <c r="F1223" i="10" s="1"/>
  <c r="E1224" i="10"/>
  <c r="F1224" i="10" s="1"/>
  <c r="E1225" i="10"/>
  <c r="F1225" i="10" s="1"/>
  <c r="E1226" i="10"/>
  <c r="F1226" i="10" s="1"/>
  <c r="E1227" i="10"/>
  <c r="F1227" i="10" s="1"/>
  <c r="E1228" i="10"/>
  <c r="F1228" i="10" s="1"/>
  <c r="E1229" i="10"/>
  <c r="F1229" i="10" s="1"/>
  <c r="E1230" i="10"/>
  <c r="F1230" i="10" s="1"/>
  <c r="E1231" i="10"/>
  <c r="F1231" i="10" s="1"/>
  <c r="E1232" i="10"/>
  <c r="F1232" i="10" s="1"/>
  <c r="E1233" i="10"/>
  <c r="F1233" i="10" s="1"/>
  <c r="E1234" i="10"/>
  <c r="F1234" i="10" s="1"/>
  <c r="E1235" i="10"/>
  <c r="F1235" i="10" s="1"/>
  <c r="E1236" i="10"/>
  <c r="F1236" i="10" s="1"/>
  <c r="E1237" i="10"/>
  <c r="F1237" i="10" s="1"/>
  <c r="E1238" i="10"/>
  <c r="F1238" i="10" s="1"/>
  <c r="E1239" i="10"/>
  <c r="F1239" i="10" s="1"/>
  <c r="E1240" i="10"/>
  <c r="F1240" i="10" s="1"/>
  <c r="E1241" i="10"/>
  <c r="F1241" i="10" s="1"/>
  <c r="E1242" i="10"/>
  <c r="F1242" i="10" s="1"/>
  <c r="E1243" i="10"/>
  <c r="F1243" i="10" s="1"/>
  <c r="E1244" i="10"/>
  <c r="F1244" i="10" s="1"/>
  <c r="E1245" i="10"/>
  <c r="F1245" i="10" s="1"/>
  <c r="E1246" i="10"/>
  <c r="F1246" i="10" s="1"/>
  <c r="E1247" i="10"/>
  <c r="F1247" i="10" s="1"/>
  <c r="E1248" i="10"/>
  <c r="F1248" i="10" s="1"/>
  <c r="E1249" i="10"/>
  <c r="F1249" i="10" s="1"/>
  <c r="E1250" i="10"/>
  <c r="F1250" i="10" s="1"/>
  <c r="E1251" i="10"/>
  <c r="F1251" i="10" s="1"/>
  <c r="E1252" i="10"/>
  <c r="F1252" i="10" s="1"/>
  <c r="E1253" i="10"/>
  <c r="F1253" i="10" s="1"/>
  <c r="E1254" i="10"/>
  <c r="F1254" i="10" s="1"/>
  <c r="E1255" i="10"/>
  <c r="F1255" i="10" s="1"/>
  <c r="E1256" i="10"/>
  <c r="F1256" i="10" s="1"/>
  <c r="E1257" i="10"/>
  <c r="F1257" i="10" s="1"/>
  <c r="E1258" i="10"/>
  <c r="F1258" i="10" s="1"/>
  <c r="E1259" i="10"/>
  <c r="F1259" i="10" s="1"/>
  <c r="E1260" i="10"/>
  <c r="F1260" i="10" s="1"/>
  <c r="E1261" i="10"/>
  <c r="F1261" i="10" s="1"/>
  <c r="E1262" i="10"/>
  <c r="F1262" i="10" s="1"/>
  <c r="E1263" i="10"/>
  <c r="F1263" i="10" s="1"/>
  <c r="E1264" i="10"/>
  <c r="F1264" i="10" s="1"/>
  <c r="E1265" i="10"/>
  <c r="F1265" i="10" s="1"/>
  <c r="E1266" i="10"/>
  <c r="F1266" i="10" s="1"/>
  <c r="E1267" i="10"/>
  <c r="F1267" i="10" s="1"/>
  <c r="E1268" i="10"/>
  <c r="F1268" i="10" s="1"/>
  <c r="E1269" i="10"/>
  <c r="F1269" i="10" s="1"/>
  <c r="E1270" i="10"/>
  <c r="F1270" i="10" s="1"/>
  <c r="E1271" i="10"/>
  <c r="F1271" i="10" s="1"/>
  <c r="E1272" i="10"/>
  <c r="F1272" i="10" s="1"/>
  <c r="E1273" i="10"/>
  <c r="F1273" i="10" s="1"/>
  <c r="E1274" i="10"/>
  <c r="F1274" i="10" s="1"/>
  <c r="E1275" i="10"/>
  <c r="F1275" i="10" s="1"/>
  <c r="E1276" i="10"/>
  <c r="F1276" i="10" s="1"/>
  <c r="E1277" i="10"/>
  <c r="F1277" i="10" s="1"/>
  <c r="E1278" i="10"/>
  <c r="F1278" i="10" s="1"/>
  <c r="E1279" i="10"/>
  <c r="F1279" i="10" s="1"/>
  <c r="E1280" i="10"/>
  <c r="F1280" i="10" s="1"/>
  <c r="E1281" i="10"/>
  <c r="F1281" i="10" s="1"/>
  <c r="E1282" i="10"/>
  <c r="F1282" i="10" s="1"/>
  <c r="E1283" i="10"/>
  <c r="F1283" i="10" s="1"/>
  <c r="E1284" i="10"/>
  <c r="F1284" i="10" s="1"/>
  <c r="E1285" i="10"/>
  <c r="F1285" i="10" s="1"/>
  <c r="E1286" i="10"/>
  <c r="F1286" i="10" s="1"/>
  <c r="E1287" i="10"/>
  <c r="F1287" i="10" s="1"/>
  <c r="E1288" i="10"/>
  <c r="F1288" i="10" s="1"/>
  <c r="E1289" i="10"/>
  <c r="F1289" i="10" s="1"/>
  <c r="E1290" i="10"/>
  <c r="F1290" i="10" s="1"/>
  <c r="E1291" i="10"/>
  <c r="F1291" i="10" s="1"/>
  <c r="E1292" i="10"/>
  <c r="F1292" i="10" s="1"/>
  <c r="E1293" i="10"/>
  <c r="F1293" i="10" s="1"/>
  <c r="E1294" i="10"/>
  <c r="F1294" i="10" s="1"/>
  <c r="E1295" i="10"/>
  <c r="F1295" i="10" s="1"/>
  <c r="E1296" i="10"/>
  <c r="F1296" i="10" s="1"/>
  <c r="E1297" i="10"/>
  <c r="F1297" i="10" s="1"/>
  <c r="E1298" i="10"/>
  <c r="F1298" i="10" s="1"/>
  <c r="E1299" i="10"/>
  <c r="F1299" i="10" s="1"/>
  <c r="E1300" i="10"/>
  <c r="F1300" i="10" s="1"/>
  <c r="E1301" i="10"/>
  <c r="F1301" i="10" s="1"/>
  <c r="E1302" i="10"/>
  <c r="F1302" i="10" s="1"/>
  <c r="E1303" i="10"/>
  <c r="F1303" i="10" s="1"/>
  <c r="E1304" i="10"/>
  <c r="F1304" i="10" s="1"/>
  <c r="E1305" i="10"/>
  <c r="F1305" i="10" s="1"/>
  <c r="E1306" i="10"/>
  <c r="F1306" i="10" s="1"/>
  <c r="E1307" i="10"/>
  <c r="F1307" i="10" s="1"/>
  <c r="E1308" i="10"/>
  <c r="F1308" i="10" s="1"/>
  <c r="E1309" i="10"/>
  <c r="F1309" i="10" s="1"/>
  <c r="E1310" i="10"/>
  <c r="F1310" i="10" s="1"/>
  <c r="E1311" i="10"/>
  <c r="F1311" i="10" s="1"/>
  <c r="E1312" i="10"/>
  <c r="F1312" i="10" s="1"/>
  <c r="E1313" i="10"/>
  <c r="F1313" i="10" s="1"/>
  <c r="E1314" i="10"/>
  <c r="F1314" i="10" s="1"/>
  <c r="E1315" i="10"/>
  <c r="F1315" i="10" s="1"/>
  <c r="E1316" i="10"/>
  <c r="F1316" i="10" s="1"/>
  <c r="E1317" i="10"/>
  <c r="F1317" i="10" s="1"/>
  <c r="E1318" i="10"/>
  <c r="F1318" i="10" s="1"/>
  <c r="E1319" i="10"/>
  <c r="F1319" i="10" s="1"/>
  <c r="E1320" i="10"/>
  <c r="F1320" i="10" s="1"/>
  <c r="E1321" i="10"/>
  <c r="F1321" i="10" s="1"/>
  <c r="E1322" i="10"/>
  <c r="F1322" i="10" s="1"/>
  <c r="E1323" i="10"/>
  <c r="F1323" i="10" s="1"/>
  <c r="E1324" i="10"/>
  <c r="F1324" i="10" s="1"/>
  <c r="E1325" i="10"/>
  <c r="F1325" i="10" s="1"/>
  <c r="E1326" i="10"/>
  <c r="F1326" i="10" s="1"/>
  <c r="E1327" i="10"/>
  <c r="F1327" i="10" s="1"/>
  <c r="E1328" i="10"/>
  <c r="F1328" i="10" s="1"/>
  <c r="E1329" i="10"/>
  <c r="F1329" i="10" s="1"/>
  <c r="E1330" i="10"/>
  <c r="F1330" i="10" s="1"/>
  <c r="E1331" i="10"/>
  <c r="F1331" i="10" s="1"/>
  <c r="E1332" i="10"/>
  <c r="F1332" i="10" s="1"/>
  <c r="E1333" i="10"/>
  <c r="F1333" i="10" s="1"/>
  <c r="E1334" i="10"/>
  <c r="F1334" i="10" s="1"/>
  <c r="E1335" i="10"/>
  <c r="F1335" i="10" s="1"/>
  <c r="E1336" i="10"/>
  <c r="F1336" i="10" s="1"/>
  <c r="E1337" i="10"/>
  <c r="F1337" i="10" s="1"/>
  <c r="E1338" i="10"/>
  <c r="F1338" i="10" s="1"/>
  <c r="E1339" i="10"/>
  <c r="F1339" i="10" s="1"/>
  <c r="E1340" i="10"/>
  <c r="F1340" i="10" s="1"/>
  <c r="E1341" i="10"/>
  <c r="F1341" i="10" s="1"/>
  <c r="E1342" i="10"/>
  <c r="F1342" i="10" s="1"/>
  <c r="E1343" i="10"/>
  <c r="F1343" i="10" s="1"/>
  <c r="E1344" i="10"/>
  <c r="F1344" i="10" s="1"/>
  <c r="E1345" i="10"/>
  <c r="F1345" i="10" s="1"/>
  <c r="E1346" i="10"/>
  <c r="F1346" i="10" s="1"/>
  <c r="E1347" i="10"/>
  <c r="F1347" i="10" s="1"/>
  <c r="E1348" i="10"/>
  <c r="F1348" i="10" s="1"/>
  <c r="E1349" i="10"/>
  <c r="F1349" i="10" s="1"/>
  <c r="E1350" i="10"/>
  <c r="F1350" i="10" s="1"/>
  <c r="E1351" i="10"/>
  <c r="F1351" i="10" s="1"/>
  <c r="E1352" i="10"/>
  <c r="F1352" i="10" s="1"/>
  <c r="E1353" i="10"/>
  <c r="F1353" i="10" s="1"/>
  <c r="E1354" i="10"/>
  <c r="F1354" i="10" s="1"/>
  <c r="E1355" i="10"/>
  <c r="F1355" i="10" s="1"/>
  <c r="E1356" i="10"/>
  <c r="F1356" i="10" s="1"/>
  <c r="E1357" i="10"/>
  <c r="F1357" i="10" s="1"/>
  <c r="E1358" i="10"/>
  <c r="F1358" i="10" s="1"/>
  <c r="E1359" i="10"/>
  <c r="F1359" i="10" s="1"/>
  <c r="E1360" i="10"/>
  <c r="F1360" i="10" s="1"/>
  <c r="E1361" i="10"/>
  <c r="F1361" i="10" s="1"/>
  <c r="E1362" i="10"/>
  <c r="F1362" i="10" s="1"/>
  <c r="E1363" i="10"/>
  <c r="F1363" i="10" s="1"/>
  <c r="E1364" i="10"/>
  <c r="F1364" i="10" s="1"/>
  <c r="E1365" i="10"/>
  <c r="F1365" i="10" s="1"/>
  <c r="E1366" i="10"/>
  <c r="F1366" i="10" s="1"/>
  <c r="E1367" i="10"/>
  <c r="F1367" i="10" s="1"/>
  <c r="E1368" i="10"/>
  <c r="F1368" i="10" s="1"/>
  <c r="E1369" i="10"/>
  <c r="F1369" i="10" s="1"/>
  <c r="E1370" i="10"/>
  <c r="F1370" i="10" s="1"/>
  <c r="E1371" i="10"/>
  <c r="F1371" i="10" s="1"/>
  <c r="E1372" i="10"/>
  <c r="F1372" i="10" s="1"/>
  <c r="E1373" i="10"/>
  <c r="F1373" i="10" s="1"/>
  <c r="E1374" i="10"/>
  <c r="F1374" i="10" s="1"/>
  <c r="E1375" i="10"/>
  <c r="F1375" i="10" s="1"/>
  <c r="E1376" i="10"/>
  <c r="F1376" i="10" s="1"/>
  <c r="E1377" i="10"/>
  <c r="F1377" i="10" s="1"/>
  <c r="E1378" i="10"/>
  <c r="F1378" i="10" s="1"/>
  <c r="E1379" i="10"/>
  <c r="F1379" i="10" s="1"/>
  <c r="E1380" i="10"/>
  <c r="F1380" i="10" s="1"/>
  <c r="E1381" i="10"/>
  <c r="F1381" i="10" s="1"/>
  <c r="E1382" i="10"/>
  <c r="F1382" i="10" s="1"/>
  <c r="E1383" i="10"/>
  <c r="F1383" i="10" s="1"/>
  <c r="E1384" i="10"/>
  <c r="F1384" i="10" s="1"/>
  <c r="E1385" i="10"/>
  <c r="F1385" i="10" s="1"/>
  <c r="E1386" i="10"/>
  <c r="F1386" i="10" s="1"/>
  <c r="E1387" i="10"/>
  <c r="F1387" i="10" s="1"/>
  <c r="E1388" i="10"/>
  <c r="F1388" i="10" s="1"/>
  <c r="E1389" i="10"/>
  <c r="F1389" i="10" s="1"/>
  <c r="E1390" i="10"/>
  <c r="F1390" i="10" s="1"/>
  <c r="E1391" i="10"/>
  <c r="F1391" i="10" s="1"/>
  <c r="E1392" i="10"/>
  <c r="F1392" i="10" s="1"/>
  <c r="E1393" i="10"/>
  <c r="F1393" i="10" s="1"/>
  <c r="E1394" i="10"/>
  <c r="F1394" i="10" s="1"/>
  <c r="E1395" i="10"/>
  <c r="F1395" i="10" s="1"/>
  <c r="E1396" i="10"/>
  <c r="F1396" i="10" s="1"/>
  <c r="E1397" i="10"/>
  <c r="F1397" i="10" s="1"/>
  <c r="E1398" i="10"/>
  <c r="F1398" i="10" s="1"/>
  <c r="E1399" i="10"/>
  <c r="F1399" i="10" s="1"/>
  <c r="E1400" i="10"/>
  <c r="F1400" i="10" s="1"/>
  <c r="E1401" i="10"/>
  <c r="F1401" i="10" s="1"/>
  <c r="E1402" i="10"/>
  <c r="F1402" i="10" s="1"/>
  <c r="E1403" i="10"/>
  <c r="F1403" i="10" s="1"/>
  <c r="E1404" i="10"/>
  <c r="F1404" i="10" s="1"/>
  <c r="E1405" i="10"/>
  <c r="F1405" i="10" s="1"/>
  <c r="E1406" i="10"/>
  <c r="F1406" i="10" s="1"/>
  <c r="E1407" i="10"/>
  <c r="F1407" i="10" s="1"/>
  <c r="E1408" i="10"/>
  <c r="F1408" i="10" s="1"/>
  <c r="E1409" i="10"/>
  <c r="F1409" i="10" s="1"/>
  <c r="E1410" i="10"/>
  <c r="F1410" i="10" s="1"/>
  <c r="E1411" i="10"/>
  <c r="F1411" i="10" s="1"/>
  <c r="E1412" i="10"/>
  <c r="F1412" i="10" s="1"/>
  <c r="E1413" i="10"/>
  <c r="F1413" i="10" s="1"/>
  <c r="E1414" i="10"/>
  <c r="F1414" i="10" s="1"/>
  <c r="E1415" i="10"/>
  <c r="F1415" i="10" s="1"/>
  <c r="E1416" i="10"/>
  <c r="F1416" i="10" s="1"/>
  <c r="E1417" i="10"/>
  <c r="F1417" i="10" s="1"/>
  <c r="E1418" i="10"/>
  <c r="F1418" i="10" s="1"/>
  <c r="E1419" i="10"/>
  <c r="F1419" i="10" s="1"/>
  <c r="E1420" i="10"/>
  <c r="F1420" i="10" s="1"/>
  <c r="E1421" i="10"/>
  <c r="F1421" i="10" s="1"/>
  <c r="E1422" i="10"/>
  <c r="F1422" i="10" s="1"/>
  <c r="E1423" i="10"/>
  <c r="F1423" i="10" s="1"/>
  <c r="E1424" i="10"/>
  <c r="F1424" i="10" s="1"/>
  <c r="E1425" i="10"/>
  <c r="F1425" i="10" s="1"/>
  <c r="E1426" i="10"/>
  <c r="F1426" i="10" s="1"/>
  <c r="E1427" i="10"/>
  <c r="F1427" i="10" s="1"/>
  <c r="E1428" i="10"/>
  <c r="F1428" i="10" s="1"/>
  <c r="E1429" i="10"/>
  <c r="F1429" i="10" s="1"/>
  <c r="E1430" i="10"/>
  <c r="F1430" i="10" s="1"/>
  <c r="E1431" i="10"/>
  <c r="F1431" i="10" s="1"/>
  <c r="E1432" i="10"/>
  <c r="F1432" i="10" s="1"/>
  <c r="E1433" i="10"/>
  <c r="F1433" i="10" s="1"/>
  <c r="E1434" i="10"/>
  <c r="F1434" i="10" s="1"/>
  <c r="E1435" i="10"/>
  <c r="F1435" i="10" s="1"/>
  <c r="E1436" i="10"/>
  <c r="F1436" i="10" s="1"/>
  <c r="E1437" i="10"/>
  <c r="F1437" i="10" s="1"/>
  <c r="E1438" i="10"/>
  <c r="F1438" i="10" s="1"/>
  <c r="E1439" i="10"/>
  <c r="F1439" i="10" s="1"/>
  <c r="E1440" i="10"/>
  <c r="F1440" i="10" s="1"/>
  <c r="E1441" i="10"/>
  <c r="F1441" i="10" s="1"/>
  <c r="E1442" i="10"/>
  <c r="F1442" i="10" s="1"/>
  <c r="E1443" i="10"/>
  <c r="F1443" i="10" s="1"/>
  <c r="E1444" i="10"/>
  <c r="F1444" i="10" s="1"/>
  <c r="E1445" i="10"/>
  <c r="F1445" i="10" s="1"/>
  <c r="E1446" i="10"/>
  <c r="F1446" i="10" s="1"/>
  <c r="E1447" i="10"/>
  <c r="F1447" i="10" s="1"/>
  <c r="E1448" i="10"/>
  <c r="F1448" i="10" s="1"/>
  <c r="E1449" i="10"/>
  <c r="F1449" i="10" s="1"/>
  <c r="E1450" i="10"/>
  <c r="F1450" i="10" s="1"/>
  <c r="E1451" i="10"/>
  <c r="F1451" i="10" s="1"/>
  <c r="E1452" i="10"/>
  <c r="F1452" i="10" s="1"/>
  <c r="E1453" i="10"/>
  <c r="F1453" i="10" s="1"/>
  <c r="E1454" i="10"/>
  <c r="F1454" i="10" s="1"/>
  <c r="E1455" i="10"/>
  <c r="F1455" i="10" s="1"/>
  <c r="E1456" i="10"/>
  <c r="F1456" i="10" s="1"/>
  <c r="E1457" i="10"/>
  <c r="F1457" i="10" s="1"/>
  <c r="E1458" i="10"/>
  <c r="F1458" i="10" s="1"/>
  <c r="E1459" i="10"/>
  <c r="F1459" i="10" s="1"/>
  <c r="E1460" i="10"/>
  <c r="F1460" i="10" s="1"/>
  <c r="E1461" i="10"/>
  <c r="F1461" i="10" s="1"/>
  <c r="E1462" i="10"/>
  <c r="F1462" i="10" s="1"/>
  <c r="E1463" i="10"/>
  <c r="F1463" i="10" s="1"/>
  <c r="E1464" i="10"/>
  <c r="F1464" i="10" s="1"/>
  <c r="E1465" i="10"/>
  <c r="F1465" i="10" s="1"/>
  <c r="E1466" i="10"/>
  <c r="F1466" i="10" s="1"/>
  <c r="E1467" i="10"/>
  <c r="F1467" i="10" s="1"/>
  <c r="E1468" i="10"/>
  <c r="F1468" i="10" s="1"/>
  <c r="E1469" i="10"/>
  <c r="F1469" i="10" s="1"/>
  <c r="E1470" i="10"/>
  <c r="F1470" i="10" s="1"/>
  <c r="E1471" i="10"/>
  <c r="F1471" i="10" s="1"/>
  <c r="E1472" i="10"/>
  <c r="F1472" i="10" s="1"/>
  <c r="E1473" i="10"/>
  <c r="F1473" i="10" s="1"/>
  <c r="E1474" i="10"/>
  <c r="F1474" i="10" s="1"/>
  <c r="E1475" i="10"/>
  <c r="F1475" i="10" s="1"/>
  <c r="E1476" i="10"/>
  <c r="F1476" i="10" s="1"/>
  <c r="E1477" i="10"/>
  <c r="F1477" i="10" s="1"/>
  <c r="E1478" i="10"/>
  <c r="F1478" i="10" s="1"/>
  <c r="E1479" i="10"/>
  <c r="F1479" i="10" s="1"/>
  <c r="E1480" i="10"/>
  <c r="F1480" i="10" s="1"/>
  <c r="E1481" i="10"/>
  <c r="F1481" i="10" s="1"/>
  <c r="E1482" i="10"/>
  <c r="F1482" i="10" s="1"/>
  <c r="E1483" i="10"/>
  <c r="F1483" i="10" s="1"/>
  <c r="E1484" i="10"/>
  <c r="F1484" i="10" s="1"/>
  <c r="E1485" i="10"/>
  <c r="F1485" i="10" s="1"/>
  <c r="E1486" i="10"/>
  <c r="F1486" i="10" s="1"/>
  <c r="E1487" i="10"/>
  <c r="F1487" i="10" s="1"/>
  <c r="E1488" i="10"/>
  <c r="F1488" i="10" s="1"/>
  <c r="E1489" i="10"/>
  <c r="F1489" i="10" s="1"/>
  <c r="E1490" i="10"/>
  <c r="F1490" i="10" s="1"/>
  <c r="E1491" i="10"/>
  <c r="F1491" i="10" s="1"/>
  <c r="E1492" i="10"/>
  <c r="F1492" i="10" s="1"/>
  <c r="E1493" i="10"/>
  <c r="F1493" i="10" s="1"/>
  <c r="E1494" i="10"/>
  <c r="F1494" i="10" s="1"/>
  <c r="E1495" i="10"/>
  <c r="F1495" i="10" s="1"/>
  <c r="E1496" i="10"/>
  <c r="F1496" i="10" s="1"/>
  <c r="E1497" i="10"/>
  <c r="F1497" i="10" s="1"/>
  <c r="E1498" i="10"/>
  <c r="F1498" i="10" s="1"/>
  <c r="E1499" i="10"/>
  <c r="F1499" i="10" s="1"/>
  <c r="E1500" i="10"/>
  <c r="F1500" i="10" s="1"/>
  <c r="E1501" i="10"/>
  <c r="F1501" i="10" s="1"/>
  <c r="E1502" i="10"/>
  <c r="F1502" i="10" s="1"/>
  <c r="E1503" i="10"/>
  <c r="F1503" i="10" s="1"/>
  <c r="E1504" i="10"/>
  <c r="F1504" i="10" s="1"/>
  <c r="E1505" i="10"/>
  <c r="F1505" i="10" s="1"/>
  <c r="E1506" i="10"/>
  <c r="F1506" i="10" s="1"/>
  <c r="E1507" i="10"/>
  <c r="F1507" i="10" s="1"/>
  <c r="E1508" i="10"/>
  <c r="F1508" i="10" s="1"/>
  <c r="E1509" i="10"/>
  <c r="F1509" i="10" s="1"/>
  <c r="E1510" i="10"/>
  <c r="F1510" i="10" s="1"/>
  <c r="E1511" i="10"/>
  <c r="F1511" i="10" s="1"/>
  <c r="E1512" i="10"/>
  <c r="F1512" i="10" s="1"/>
  <c r="E1513" i="10"/>
  <c r="F1513" i="10" s="1"/>
  <c r="E1514" i="10"/>
  <c r="F1514" i="10" s="1"/>
  <c r="E1515" i="10"/>
  <c r="F1515" i="10" s="1"/>
  <c r="E1516" i="10"/>
  <c r="F1516" i="10" s="1"/>
  <c r="E1517" i="10"/>
  <c r="F1517" i="10" s="1"/>
  <c r="E1518" i="10"/>
  <c r="F1518" i="10" s="1"/>
  <c r="E1519" i="10"/>
  <c r="F1519" i="10" s="1"/>
  <c r="E1520" i="10"/>
  <c r="F1520" i="10" s="1"/>
  <c r="E1521" i="10"/>
  <c r="F1521" i="10" s="1"/>
  <c r="E1522" i="10"/>
  <c r="F1522" i="10" s="1"/>
  <c r="E1523" i="10"/>
  <c r="F1523" i="10" s="1"/>
  <c r="E1524" i="10"/>
  <c r="F1524" i="10" s="1"/>
  <c r="E1525" i="10"/>
  <c r="F1525" i="10" s="1"/>
  <c r="E1526" i="10"/>
  <c r="F1526" i="10" s="1"/>
  <c r="E1527" i="10"/>
  <c r="F1527" i="10" s="1"/>
  <c r="E1528" i="10"/>
  <c r="F1528" i="10" s="1"/>
  <c r="E1529" i="10"/>
  <c r="F1529" i="10" s="1"/>
  <c r="E1530" i="10"/>
  <c r="F1530" i="10" s="1"/>
  <c r="E1531" i="10"/>
  <c r="F1531" i="10" s="1"/>
  <c r="E1532" i="10"/>
  <c r="F1532" i="10" s="1"/>
  <c r="E1533" i="10"/>
  <c r="F1533" i="10" s="1"/>
  <c r="E1534" i="10"/>
  <c r="F1534" i="10" s="1"/>
  <c r="E1535" i="10"/>
  <c r="F1535" i="10" s="1"/>
  <c r="E1536" i="10"/>
  <c r="F1536" i="10" s="1"/>
  <c r="E1537" i="10"/>
  <c r="F1537" i="10" s="1"/>
  <c r="E1538" i="10"/>
  <c r="F1538" i="10" s="1"/>
  <c r="E1539" i="10"/>
  <c r="F1539" i="10" s="1"/>
  <c r="E1540" i="10"/>
  <c r="F1540" i="10" s="1"/>
  <c r="E1541" i="10"/>
  <c r="F1541" i="10" s="1"/>
  <c r="E1542" i="10"/>
  <c r="F1542" i="10" s="1"/>
  <c r="E1543" i="10"/>
  <c r="F1543" i="10" s="1"/>
  <c r="E1544" i="10"/>
  <c r="F1544" i="10" s="1"/>
  <c r="E1545" i="10"/>
  <c r="F1545" i="10" s="1"/>
  <c r="E1546" i="10"/>
  <c r="F1546" i="10" s="1"/>
  <c r="E1547" i="10"/>
  <c r="F1547" i="10" s="1"/>
  <c r="E1548" i="10"/>
  <c r="F1548" i="10" s="1"/>
  <c r="E1549" i="10"/>
  <c r="F1549" i="10" s="1"/>
  <c r="E1550" i="10"/>
  <c r="F1550" i="10" s="1"/>
  <c r="E1551" i="10"/>
  <c r="F1551" i="10" s="1"/>
  <c r="E1552" i="10"/>
  <c r="F1552" i="10" s="1"/>
  <c r="E1553" i="10"/>
  <c r="F1553" i="10" s="1"/>
  <c r="E1554" i="10"/>
  <c r="F1554" i="10" s="1"/>
  <c r="E1555" i="10"/>
  <c r="F1555" i="10" s="1"/>
  <c r="E1556" i="10"/>
  <c r="F1556" i="10" s="1"/>
  <c r="E1557" i="10"/>
  <c r="F1557" i="10" s="1"/>
  <c r="E1558" i="10"/>
  <c r="F1558" i="10" s="1"/>
  <c r="E1559" i="10"/>
  <c r="F1559" i="10" s="1"/>
  <c r="E1560" i="10"/>
  <c r="F1560" i="10" s="1"/>
  <c r="E1561" i="10"/>
  <c r="F1561" i="10" s="1"/>
  <c r="E1562" i="10"/>
  <c r="F1562" i="10" s="1"/>
  <c r="E1563" i="10"/>
  <c r="F1563" i="10" s="1"/>
  <c r="E1564" i="10"/>
  <c r="F1564" i="10" s="1"/>
  <c r="E1565" i="10"/>
  <c r="F1565" i="10" s="1"/>
  <c r="E1566" i="10"/>
  <c r="F1566" i="10" s="1"/>
  <c r="E1567" i="10"/>
  <c r="F1567" i="10" s="1"/>
  <c r="E1568" i="10"/>
  <c r="F1568" i="10" s="1"/>
  <c r="E1569" i="10"/>
  <c r="F1569" i="10" s="1"/>
  <c r="E1570" i="10"/>
  <c r="F1570" i="10" s="1"/>
  <c r="E1571" i="10"/>
  <c r="F1571" i="10" s="1"/>
  <c r="E1572" i="10"/>
  <c r="F1572" i="10" s="1"/>
  <c r="E1573" i="10"/>
  <c r="F1573" i="10" s="1"/>
  <c r="E1574" i="10"/>
  <c r="F1574" i="10" s="1"/>
  <c r="E1575" i="10"/>
  <c r="F1575" i="10" s="1"/>
  <c r="E1576" i="10"/>
  <c r="F1576" i="10" s="1"/>
  <c r="E1577" i="10"/>
  <c r="F1577" i="10" s="1"/>
  <c r="E1578" i="10"/>
  <c r="F1578" i="10" s="1"/>
  <c r="E1579" i="10"/>
  <c r="F1579" i="10" s="1"/>
  <c r="E1580" i="10"/>
  <c r="F1580" i="10" s="1"/>
  <c r="E1581" i="10"/>
  <c r="F1581" i="10" s="1"/>
  <c r="E1582" i="10"/>
  <c r="F1582" i="10" s="1"/>
  <c r="E1583" i="10"/>
  <c r="F1583" i="10" s="1"/>
  <c r="E1584" i="10"/>
  <c r="F1584" i="10" s="1"/>
  <c r="E1585" i="10"/>
  <c r="F1585" i="10" s="1"/>
  <c r="E1586" i="10"/>
  <c r="F1586" i="10" s="1"/>
  <c r="E1587" i="10"/>
  <c r="F1587" i="10" s="1"/>
  <c r="E1588" i="10"/>
  <c r="F1588" i="10" s="1"/>
  <c r="E1589" i="10"/>
  <c r="F1589" i="10" s="1"/>
  <c r="E1590" i="10"/>
  <c r="F1590" i="10" s="1"/>
  <c r="E1591" i="10"/>
  <c r="F1591" i="10" s="1"/>
  <c r="E1592" i="10"/>
  <c r="F1592" i="10" s="1"/>
  <c r="E1593" i="10"/>
  <c r="F1593" i="10" s="1"/>
  <c r="E1594" i="10"/>
  <c r="F1594" i="10" s="1"/>
  <c r="E1595" i="10"/>
  <c r="F1595" i="10" s="1"/>
  <c r="E1596" i="10"/>
  <c r="F1596" i="10" s="1"/>
  <c r="E1597" i="10"/>
  <c r="F1597" i="10" s="1"/>
  <c r="E1598" i="10"/>
  <c r="F1598" i="10" s="1"/>
  <c r="E1599" i="10"/>
  <c r="F1599" i="10" s="1"/>
  <c r="E1600" i="10"/>
  <c r="F1600" i="10" s="1"/>
  <c r="E1601" i="10"/>
  <c r="F1601" i="10" s="1"/>
  <c r="E1602" i="10"/>
  <c r="F1602" i="10" s="1"/>
  <c r="E1603" i="10"/>
  <c r="F1603" i="10" s="1"/>
  <c r="E1604" i="10"/>
  <c r="F1604" i="10" s="1"/>
  <c r="E1605" i="10"/>
  <c r="F1605" i="10" s="1"/>
  <c r="E1606" i="10"/>
  <c r="F1606" i="10" s="1"/>
  <c r="E1607" i="10"/>
  <c r="F1607" i="10" s="1"/>
  <c r="E1608" i="10"/>
  <c r="F1608" i="10" s="1"/>
  <c r="E1609" i="10"/>
  <c r="F1609" i="10" s="1"/>
  <c r="E1610" i="10"/>
  <c r="F1610" i="10" s="1"/>
  <c r="E1611" i="10"/>
  <c r="F1611" i="10" s="1"/>
  <c r="E1612" i="10"/>
  <c r="F1612" i="10" s="1"/>
  <c r="E1613" i="10"/>
  <c r="F1613" i="10" s="1"/>
  <c r="E1614" i="10"/>
  <c r="F1614" i="10" s="1"/>
  <c r="E1615" i="10"/>
  <c r="F1615" i="10" s="1"/>
  <c r="E1616" i="10"/>
  <c r="F1616" i="10" s="1"/>
  <c r="E1617" i="10"/>
  <c r="F1617" i="10" s="1"/>
  <c r="E1618" i="10"/>
  <c r="F1618" i="10" s="1"/>
  <c r="E1619" i="10"/>
  <c r="F1619" i="10" s="1"/>
  <c r="E1620" i="10"/>
  <c r="F1620" i="10" s="1"/>
  <c r="E1621" i="10"/>
  <c r="F1621" i="10" s="1"/>
  <c r="E1622" i="10"/>
  <c r="F1622" i="10" s="1"/>
  <c r="E1623" i="10"/>
  <c r="F1623" i="10" s="1"/>
  <c r="E1624" i="10"/>
  <c r="F1624" i="10" s="1"/>
  <c r="E1625" i="10"/>
  <c r="F1625" i="10" s="1"/>
  <c r="E1626" i="10"/>
  <c r="F1626" i="10" s="1"/>
  <c r="E1627" i="10"/>
  <c r="F1627" i="10" s="1"/>
  <c r="E1628" i="10"/>
  <c r="F1628" i="10" s="1"/>
  <c r="E1629" i="10"/>
  <c r="F1629" i="10" s="1"/>
  <c r="E1630" i="10"/>
  <c r="F1630" i="10" s="1"/>
  <c r="E1631" i="10"/>
  <c r="F1631" i="10" s="1"/>
  <c r="E1632" i="10"/>
  <c r="F1632" i="10" s="1"/>
  <c r="E1633" i="10"/>
  <c r="F1633" i="10" s="1"/>
  <c r="E1634" i="10"/>
  <c r="F1634" i="10" s="1"/>
  <c r="E1635" i="10"/>
  <c r="F1635" i="10" s="1"/>
  <c r="E1636" i="10"/>
  <c r="F1636" i="10" s="1"/>
  <c r="E1637" i="10"/>
  <c r="F1637" i="10" s="1"/>
  <c r="E1638" i="10"/>
  <c r="F1638" i="10" s="1"/>
  <c r="E1639" i="10"/>
  <c r="F1639" i="10" s="1"/>
  <c r="E1640" i="10"/>
  <c r="F1640" i="10" s="1"/>
  <c r="E1641" i="10"/>
  <c r="F1641" i="10" s="1"/>
  <c r="E1642" i="10"/>
  <c r="F1642" i="10" s="1"/>
  <c r="E1643" i="10"/>
  <c r="F1643" i="10" s="1"/>
  <c r="E1644" i="10"/>
  <c r="F1644" i="10" s="1"/>
  <c r="E1645" i="10"/>
  <c r="F1645" i="10" s="1"/>
  <c r="E1646" i="10"/>
  <c r="F1646" i="10" s="1"/>
  <c r="E1647" i="10"/>
  <c r="F1647" i="10" s="1"/>
  <c r="E1648" i="10"/>
  <c r="F1648" i="10" s="1"/>
  <c r="E1649" i="10"/>
  <c r="F1649" i="10" s="1"/>
  <c r="E1650" i="10"/>
  <c r="F1650" i="10" s="1"/>
  <c r="E1651" i="10"/>
  <c r="F1651" i="10" s="1"/>
  <c r="E1652" i="10"/>
  <c r="F1652" i="10" s="1"/>
  <c r="E1653" i="10"/>
  <c r="F1653" i="10" s="1"/>
  <c r="E1654" i="10"/>
  <c r="F1654" i="10" s="1"/>
  <c r="E1655" i="10"/>
  <c r="F1655" i="10" s="1"/>
  <c r="E1656" i="10"/>
  <c r="F1656" i="10" s="1"/>
  <c r="E1657" i="10"/>
  <c r="F1657" i="10" s="1"/>
  <c r="E1658" i="10"/>
  <c r="F1658" i="10" s="1"/>
  <c r="E1659" i="10"/>
  <c r="F1659" i="10" s="1"/>
  <c r="E1660" i="10"/>
  <c r="F1660" i="10" s="1"/>
  <c r="E1661" i="10"/>
  <c r="F1661" i="10" s="1"/>
  <c r="E1662" i="10"/>
  <c r="F1662" i="10" s="1"/>
  <c r="E1663" i="10"/>
  <c r="F1663" i="10" s="1"/>
  <c r="E1664" i="10"/>
  <c r="F1664" i="10" s="1"/>
  <c r="E1665" i="10"/>
  <c r="F1665" i="10" s="1"/>
  <c r="E1666" i="10"/>
  <c r="F1666" i="10" s="1"/>
  <c r="E1667" i="10"/>
  <c r="F1667" i="10" s="1"/>
  <c r="E1668" i="10"/>
  <c r="F1668" i="10" s="1"/>
  <c r="E1669" i="10"/>
  <c r="F1669" i="10" s="1"/>
  <c r="E1670" i="10"/>
  <c r="F1670" i="10" s="1"/>
  <c r="E1671" i="10"/>
  <c r="F1671" i="10" s="1"/>
  <c r="E1672" i="10"/>
  <c r="F1672" i="10" s="1"/>
  <c r="E1673" i="10"/>
  <c r="F1673" i="10" s="1"/>
  <c r="E1674" i="10"/>
  <c r="F1674" i="10" s="1"/>
  <c r="E1675" i="10"/>
  <c r="F1675" i="10" s="1"/>
  <c r="E1676" i="10"/>
  <c r="F1676" i="10" s="1"/>
  <c r="E1677" i="10"/>
  <c r="F1677" i="10" s="1"/>
  <c r="E1678" i="10"/>
  <c r="F1678" i="10" s="1"/>
  <c r="E1679" i="10"/>
  <c r="F1679" i="10" s="1"/>
  <c r="E1680" i="10"/>
  <c r="F1680" i="10" s="1"/>
  <c r="E1681" i="10"/>
  <c r="F1681" i="10" s="1"/>
  <c r="E1682" i="10"/>
  <c r="F1682" i="10" s="1"/>
  <c r="E1683" i="10"/>
  <c r="F1683" i="10" s="1"/>
  <c r="E1684" i="10"/>
  <c r="F1684" i="10" s="1"/>
  <c r="E1685" i="10"/>
  <c r="F1685" i="10" s="1"/>
  <c r="E1686" i="10"/>
  <c r="F1686" i="10" s="1"/>
  <c r="E1687" i="10"/>
  <c r="F1687" i="10" s="1"/>
  <c r="E1688" i="10"/>
  <c r="F1688" i="10" s="1"/>
  <c r="E1689" i="10"/>
  <c r="F1689" i="10" s="1"/>
  <c r="E1690" i="10"/>
  <c r="F1690" i="10" s="1"/>
  <c r="E1691" i="10"/>
  <c r="F1691" i="10" s="1"/>
  <c r="E1692" i="10"/>
  <c r="F1692" i="10" s="1"/>
  <c r="E1693" i="10"/>
  <c r="F1693" i="10" s="1"/>
  <c r="E1694" i="10"/>
  <c r="F1694" i="10" s="1"/>
  <c r="E1695" i="10"/>
  <c r="F1695" i="10" s="1"/>
  <c r="E1696" i="10"/>
  <c r="F1696" i="10" s="1"/>
  <c r="E1697" i="10"/>
  <c r="F1697" i="10" s="1"/>
  <c r="E1698" i="10"/>
  <c r="F1698" i="10" s="1"/>
  <c r="E1699" i="10"/>
  <c r="F1699" i="10" s="1"/>
  <c r="E1700" i="10"/>
  <c r="F1700" i="10" s="1"/>
  <c r="E1701" i="10"/>
  <c r="F1701" i="10" s="1"/>
  <c r="E1702" i="10"/>
  <c r="F1702" i="10" s="1"/>
  <c r="E1703" i="10"/>
  <c r="F1703" i="10" s="1"/>
  <c r="E1704" i="10"/>
  <c r="F1704" i="10" s="1"/>
  <c r="E1705" i="10"/>
  <c r="F1705" i="10" s="1"/>
  <c r="E1706" i="10"/>
  <c r="F1706" i="10" s="1"/>
  <c r="E1707" i="10"/>
  <c r="F1707" i="10" s="1"/>
  <c r="E1708" i="10"/>
  <c r="F1708" i="10" s="1"/>
  <c r="E1709" i="10"/>
  <c r="F1709" i="10" s="1"/>
  <c r="E1710" i="10"/>
  <c r="F1710" i="10" s="1"/>
  <c r="E1711" i="10"/>
  <c r="F1711" i="10" s="1"/>
  <c r="E1712" i="10"/>
  <c r="F1712" i="10" s="1"/>
  <c r="E1713" i="10"/>
  <c r="F1713" i="10" s="1"/>
  <c r="E1714" i="10"/>
  <c r="F1714" i="10" s="1"/>
  <c r="E1715" i="10"/>
  <c r="F1715" i="10" s="1"/>
  <c r="E1716" i="10"/>
  <c r="F1716" i="10" s="1"/>
  <c r="E1717" i="10"/>
  <c r="F1717" i="10" s="1"/>
  <c r="E1718" i="10"/>
  <c r="F1718" i="10" s="1"/>
  <c r="E1719" i="10"/>
  <c r="F1719" i="10" s="1"/>
  <c r="E1720" i="10"/>
  <c r="F1720" i="10" s="1"/>
  <c r="E1721" i="10"/>
  <c r="F1721" i="10" s="1"/>
  <c r="E1722" i="10"/>
  <c r="F1722" i="10" s="1"/>
  <c r="E1723" i="10"/>
  <c r="F1723" i="10" s="1"/>
  <c r="E1724" i="10"/>
  <c r="F1724" i="10" s="1"/>
  <c r="E1725" i="10"/>
  <c r="F1725" i="10" s="1"/>
  <c r="E1726" i="10"/>
  <c r="F1726" i="10" s="1"/>
  <c r="E1727" i="10"/>
  <c r="F1727" i="10" s="1"/>
  <c r="E1728" i="10"/>
  <c r="F1728" i="10" s="1"/>
  <c r="E1729" i="10"/>
  <c r="F1729" i="10" s="1"/>
  <c r="E1730" i="10"/>
  <c r="F1730" i="10" s="1"/>
  <c r="E1731" i="10"/>
  <c r="F1731" i="10" s="1"/>
  <c r="E1732" i="10"/>
  <c r="F1732" i="10" s="1"/>
  <c r="E1733" i="10"/>
  <c r="F1733" i="10" s="1"/>
  <c r="E1734" i="10"/>
  <c r="F1734" i="10" s="1"/>
  <c r="E1735" i="10"/>
  <c r="F1735" i="10" s="1"/>
  <c r="E1736" i="10"/>
  <c r="F1736" i="10" s="1"/>
  <c r="E1737" i="10"/>
  <c r="F1737" i="10" s="1"/>
  <c r="E1738" i="10"/>
  <c r="F1738" i="10" s="1"/>
  <c r="E1739" i="10"/>
  <c r="F1739" i="10" s="1"/>
  <c r="E1740" i="10"/>
  <c r="F1740" i="10" s="1"/>
  <c r="E1741" i="10"/>
  <c r="F1741" i="10" s="1"/>
  <c r="E1742" i="10"/>
  <c r="F1742" i="10" s="1"/>
  <c r="E1743" i="10"/>
  <c r="F1743" i="10" s="1"/>
  <c r="E1744" i="10"/>
  <c r="F1744" i="10" s="1"/>
  <c r="E1745" i="10"/>
  <c r="F1745" i="10" s="1"/>
  <c r="E1746" i="10"/>
  <c r="F1746" i="10" s="1"/>
  <c r="E1747" i="10"/>
  <c r="F1747" i="10" s="1"/>
  <c r="E1748" i="10"/>
  <c r="F1748" i="10" s="1"/>
  <c r="E1749" i="10"/>
  <c r="F1749" i="10" s="1"/>
  <c r="E1750" i="10"/>
  <c r="F1750" i="10" s="1"/>
  <c r="E1751" i="10"/>
  <c r="F1751" i="10" s="1"/>
  <c r="E1752" i="10"/>
  <c r="F1752" i="10" s="1"/>
  <c r="E1753" i="10"/>
  <c r="F1753" i="10" s="1"/>
  <c r="E1754" i="10"/>
  <c r="F1754" i="10" s="1"/>
  <c r="E1755" i="10"/>
  <c r="F1755" i="10" s="1"/>
  <c r="E1756" i="10"/>
  <c r="F1756" i="10" s="1"/>
  <c r="E1757" i="10"/>
  <c r="F1757" i="10" s="1"/>
  <c r="E1758" i="10"/>
  <c r="F1758" i="10" s="1"/>
  <c r="E1759" i="10"/>
  <c r="F1759" i="10" s="1"/>
  <c r="E1760" i="10"/>
  <c r="F1760" i="10" s="1"/>
  <c r="E1761" i="10"/>
  <c r="F1761" i="10" s="1"/>
  <c r="E1762" i="10"/>
  <c r="F1762" i="10" s="1"/>
  <c r="E1763" i="10"/>
  <c r="F1763" i="10" s="1"/>
  <c r="E1764" i="10"/>
  <c r="F1764" i="10" s="1"/>
  <c r="E1765" i="10"/>
  <c r="F1765" i="10" s="1"/>
  <c r="E1766" i="10"/>
  <c r="F1766" i="10" s="1"/>
  <c r="E1767" i="10"/>
  <c r="F1767" i="10" s="1"/>
  <c r="E1768" i="10"/>
  <c r="F1768" i="10" s="1"/>
  <c r="E1769" i="10"/>
  <c r="F1769" i="10" s="1"/>
  <c r="E1770" i="10"/>
  <c r="F1770" i="10" s="1"/>
  <c r="E1771" i="10"/>
  <c r="F1771" i="10" s="1"/>
  <c r="E1772" i="10"/>
  <c r="F1772" i="10" s="1"/>
  <c r="E1773" i="10"/>
  <c r="F1773" i="10" s="1"/>
  <c r="E1774" i="10"/>
  <c r="F1774" i="10" s="1"/>
  <c r="E1775" i="10"/>
  <c r="F1775" i="10" s="1"/>
  <c r="E1776" i="10"/>
  <c r="F1776" i="10" s="1"/>
  <c r="E1777" i="10"/>
  <c r="F1777" i="10" s="1"/>
  <c r="E1778" i="10"/>
  <c r="F1778" i="10" s="1"/>
  <c r="E1779" i="10"/>
  <c r="F1779" i="10" s="1"/>
  <c r="E1780" i="10"/>
  <c r="F1780" i="10" s="1"/>
  <c r="E1781" i="10"/>
  <c r="F1781" i="10" s="1"/>
  <c r="E1782" i="10"/>
  <c r="F1782" i="10" s="1"/>
  <c r="E1783" i="10"/>
  <c r="F1783" i="10" s="1"/>
  <c r="E1784" i="10"/>
  <c r="F1784" i="10" s="1"/>
  <c r="E1785" i="10"/>
  <c r="F1785" i="10" s="1"/>
  <c r="E1786" i="10"/>
  <c r="F1786" i="10" s="1"/>
  <c r="E1787" i="10"/>
  <c r="F1787" i="10" s="1"/>
  <c r="E1788" i="10"/>
  <c r="F1788" i="10" s="1"/>
  <c r="E1789" i="10"/>
  <c r="F1789" i="10" s="1"/>
  <c r="E1790" i="10"/>
  <c r="F1790" i="10" s="1"/>
  <c r="E1791" i="10"/>
  <c r="F1791" i="10" s="1"/>
  <c r="E1792" i="10"/>
  <c r="F1792" i="10" s="1"/>
  <c r="E1793" i="10"/>
  <c r="F1793" i="10" s="1"/>
  <c r="E1794" i="10"/>
  <c r="F1794" i="10" s="1"/>
  <c r="E1795" i="10"/>
  <c r="F1795" i="10" s="1"/>
  <c r="E1796" i="10"/>
  <c r="F1796" i="10" s="1"/>
  <c r="E1797" i="10"/>
  <c r="F1797" i="10" s="1"/>
  <c r="E1798" i="10"/>
  <c r="F1798" i="10" s="1"/>
  <c r="E1799" i="10"/>
  <c r="F1799" i="10" s="1"/>
  <c r="E1800" i="10"/>
  <c r="F1800" i="10" s="1"/>
  <c r="E1801" i="10"/>
  <c r="F1801" i="10" s="1"/>
  <c r="E1802" i="10"/>
  <c r="F1802" i="10" s="1"/>
  <c r="E1803" i="10"/>
  <c r="F1803" i="10" s="1"/>
  <c r="E1804" i="10"/>
  <c r="F1804" i="10" s="1"/>
  <c r="E1805" i="10"/>
  <c r="F1805" i="10" s="1"/>
  <c r="E1806" i="10"/>
  <c r="F1806" i="10" s="1"/>
  <c r="E1807" i="10"/>
  <c r="F1807" i="10" s="1"/>
  <c r="E1808" i="10"/>
  <c r="F1808" i="10" s="1"/>
  <c r="E1809" i="10"/>
  <c r="F1809" i="10" s="1"/>
  <c r="E1810" i="10"/>
  <c r="F1810" i="10" s="1"/>
  <c r="E1811" i="10"/>
  <c r="F1811" i="10" s="1"/>
  <c r="E1812" i="10"/>
  <c r="F1812" i="10" s="1"/>
  <c r="E1813" i="10"/>
  <c r="F1813" i="10" s="1"/>
  <c r="E1814" i="10"/>
  <c r="F1814" i="10" s="1"/>
  <c r="E1815" i="10"/>
  <c r="F1815" i="10" s="1"/>
  <c r="E1816" i="10"/>
  <c r="F1816" i="10" s="1"/>
  <c r="E1817" i="10"/>
  <c r="F1817" i="10" s="1"/>
  <c r="E1818" i="10"/>
  <c r="F1818" i="10" s="1"/>
  <c r="E1819" i="10"/>
  <c r="F1819" i="10" s="1"/>
  <c r="E1820" i="10"/>
  <c r="F1820" i="10" s="1"/>
  <c r="E1821" i="10"/>
  <c r="F1821" i="10" s="1"/>
  <c r="E1822" i="10"/>
  <c r="F1822" i="10" s="1"/>
  <c r="E1823" i="10"/>
  <c r="F1823" i="10" s="1"/>
  <c r="E1824" i="10"/>
  <c r="F1824" i="10" s="1"/>
  <c r="E1825" i="10"/>
  <c r="F1825" i="10" s="1"/>
  <c r="E1826" i="10"/>
  <c r="F1826" i="10" s="1"/>
  <c r="E1827" i="10"/>
  <c r="F1827" i="10" s="1"/>
  <c r="E1828" i="10"/>
  <c r="F1828" i="10" s="1"/>
  <c r="E1829" i="10"/>
  <c r="F1829" i="10" s="1"/>
  <c r="E1830" i="10"/>
  <c r="F1830" i="10" s="1"/>
  <c r="E1831" i="10"/>
  <c r="F1831" i="10" s="1"/>
  <c r="E1832" i="10"/>
  <c r="F1832" i="10" s="1"/>
  <c r="E1833" i="10"/>
  <c r="F1833" i="10" s="1"/>
  <c r="E1834" i="10"/>
  <c r="F1834" i="10" s="1"/>
  <c r="E1835" i="10"/>
  <c r="F1835" i="10" s="1"/>
  <c r="E1836" i="10"/>
  <c r="F1836" i="10" s="1"/>
  <c r="E1837" i="10"/>
  <c r="F1837" i="10" s="1"/>
  <c r="E1838" i="10"/>
  <c r="F1838" i="10" s="1"/>
  <c r="E1839" i="10"/>
  <c r="F1839" i="10" s="1"/>
  <c r="E1840" i="10"/>
  <c r="F1840" i="10" s="1"/>
  <c r="E1841" i="10"/>
  <c r="F1841" i="10" s="1"/>
  <c r="E1842" i="10"/>
  <c r="F1842" i="10" s="1"/>
  <c r="E1843" i="10"/>
  <c r="F1843" i="10" s="1"/>
  <c r="E1844" i="10"/>
  <c r="F1844" i="10" s="1"/>
  <c r="E1845" i="10"/>
  <c r="F1845" i="10" s="1"/>
  <c r="E1846" i="10"/>
  <c r="F1846" i="10" s="1"/>
  <c r="E1847" i="10"/>
  <c r="F1847" i="10" s="1"/>
  <c r="E1848" i="10"/>
  <c r="F1848" i="10" s="1"/>
  <c r="E1849" i="10"/>
  <c r="F1849" i="10" s="1"/>
  <c r="E1850" i="10"/>
  <c r="F1850" i="10" s="1"/>
  <c r="E1851" i="10"/>
  <c r="F1851" i="10" s="1"/>
  <c r="E1852" i="10"/>
  <c r="F1852" i="10" s="1"/>
  <c r="E1853" i="10"/>
  <c r="F1853" i="10" s="1"/>
  <c r="E1854" i="10"/>
  <c r="F1854" i="10" s="1"/>
  <c r="E1855" i="10"/>
  <c r="F1855" i="10" s="1"/>
  <c r="E1856" i="10"/>
  <c r="F1856" i="10" s="1"/>
  <c r="E1857" i="10"/>
  <c r="F1857" i="10" s="1"/>
  <c r="E1858" i="10"/>
  <c r="F1858" i="10" s="1"/>
  <c r="E1859" i="10"/>
  <c r="F1859" i="10" s="1"/>
  <c r="E1860" i="10"/>
  <c r="F1860" i="10" s="1"/>
  <c r="E1861" i="10"/>
  <c r="F1861" i="10" s="1"/>
  <c r="E1862" i="10"/>
  <c r="F1862" i="10" s="1"/>
  <c r="E1863" i="10"/>
  <c r="F1863" i="10" s="1"/>
  <c r="E1864" i="10"/>
  <c r="F1864" i="10" s="1"/>
  <c r="E1865" i="10"/>
  <c r="F1865" i="10" s="1"/>
  <c r="E1866" i="10"/>
  <c r="F1866" i="10" s="1"/>
  <c r="E1867" i="10"/>
  <c r="F1867" i="10" s="1"/>
  <c r="E1868" i="10"/>
  <c r="F1868" i="10" s="1"/>
  <c r="E1869" i="10"/>
  <c r="F1869" i="10" s="1"/>
  <c r="E1870" i="10"/>
  <c r="F1870" i="10" s="1"/>
  <c r="E1871" i="10"/>
  <c r="F1871" i="10" s="1"/>
  <c r="E1872" i="10"/>
  <c r="F1872" i="10" s="1"/>
  <c r="E1873" i="10"/>
  <c r="F1873" i="10" s="1"/>
  <c r="E1874" i="10"/>
  <c r="F1874" i="10" s="1"/>
  <c r="E1875" i="10"/>
  <c r="F1875" i="10" s="1"/>
  <c r="E1876" i="10"/>
  <c r="F1876" i="10" s="1"/>
  <c r="E1877" i="10"/>
  <c r="F1877" i="10" s="1"/>
  <c r="E1878" i="10"/>
  <c r="F1878" i="10" s="1"/>
  <c r="E1879" i="10"/>
  <c r="F1879" i="10" s="1"/>
  <c r="E1880" i="10"/>
  <c r="F1880" i="10" s="1"/>
  <c r="E1881" i="10"/>
  <c r="F1881" i="10" s="1"/>
  <c r="E1882" i="10"/>
  <c r="F1882" i="10" s="1"/>
  <c r="E1883" i="10"/>
  <c r="F1883" i="10" s="1"/>
  <c r="E1884" i="10"/>
  <c r="F1884" i="10" s="1"/>
  <c r="E1885" i="10"/>
  <c r="F1885" i="10" s="1"/>
  <c r="E1886" i="10"/>
  <c r="F1886" i="10" s="1"/>
  <c r="E1887" i="10"/>
  <c r="F1887" i="10" s="1"/>
  <c r="E1888" i="10"/>
  <c r="F1888" i="10" s="1"/>
  <c r="E1889" i="10"/>
  <c r="F1889" i="10" s="1"/>
  <c r="E1890" i="10"/>
  <c r="F1890" i="10" s="1"/>
  <c r="E1891" i="10"/>
  <c r="F1891" i="10" s="1"/>
  <c r="E1892" i="10"/>
  <c r="F1892" i="10" s="1"/>
  <c r="E1893" i="10"/>
  <c r="F1893" i="10" s="1"/>
  <c r="E1894" i="10"/>
  <c r="F1894" i="10" s="1"/>
  <c r="E1895" i="10"/>
  <c r="F1895" i="10" s="1"/>
  <c r="E1896" i="10"/>
  <c r="F1896" i="10" s="1"/>
  <c r="E1897" i="10"/>
  <c r="F1897" i="10" s="1"/>
  <c r="E1898" i="10"/>
  <c r="F1898" i="10" s="1"/>
  <c r="E1899" i="10"/>
  <c r="F1899" i="10" s="1"/>
  <c r="E1900" i="10"/>
  <c r="F1900" i="10" s="1"/>
  <c r="E1901" i="10"/>
  <c r="F1901" i="10" s="1"/>
  <c r="E1902" i="10"/>
  <c r="F1902" i="10" s="1"/>
  <c r="E1903" i="10"/>
  <c r="F1903" i="10" s="1"/>
  <c r="E1904" i="10"/>
  <c r="F1904" i="10" s="1"/>
  <c r="E1905" i="10"/>
  <c r="F1905" i="10" s="1"/>
  <c r="E1906" i="10"/>
  <c r="F1906" i="10" s="1"/>
  <c r="E1907" i="10"/>
  <c r="F1907" i="10" s="1"/>
  <c r="E1908" i="10"/>
  <c r="F1908" i="10" s="1"/>
  <c r="E1909" i="10"/>
  <c r="F1909" i="10" s="1"/>
  <c r="E1910" i="10"/>
  <c r="F1910" i="10" s="1"/>
  <c r="E1911" i="10"/>
  <c r="F1911" i="10" s="1"/>
  <c r="E1912" i="10"/>
  <c r="F1912" i="10" s="1"/>
  <c r="E1913" i="10"/>
  <c r="F1913" i="10" s="1"/>
  <c r="E1914" i="10"/>
  <c r="F1914" i="10" s="1"/>
  <c r="E1915" i="10"/>
  <c r="F1915" i="10" s="1"/>
  <c r="E1916" i="10"/>
  <c r="F1916" i="10" s="1"/>
  <c r="E1917" i="10"/>
  <c r="F1917" i="10" s="1"/>
  <c r="E1918" i="10"/>
  <c r="F1918" i="10" s="1"/>
  <c r="E1919" i="10"/>
  <c r="F1919" i="10" s="1"/>
  <c r="E1920" i="10"/>
  <c r="F1920" i="10" s="1"/>
  <c r="E1921" i="10"/>
  <c r="F1921" i="10" s="1"/>
  <c r="E1922" i="10"/>
  <c r="F1922" i="10" s="1"/>
  <c r="E1923" i="10"/>
  <c r="F1923" i="10" s="1"/>
  <c r="E1924" i="10"/>
  <c r="F1924" i="10" s="1"/>
  <c r="E1925" i="10"/>
  <c r="F1925" i="10" s="1"/>
  <c r="E1926" i="10"/>
  <c r="F1926" i="10" s="1"/>
  <c r="E1927" i="10"/>
  <c r="F1927" i="10" s="1"/>
  <c r="E1928" i="10"/>
  <c r="F1928" i="10" s="1"/>
  <c r="E1929" i="10"/>
  <c r="F1929" i="10" s="1"/>
  <c r="E1930" i="10"/>
  <c r="F1930" i="10" s="1"/>
  <c r="E1931" i="10"/>
  <c r="F1931" i="10" s="1"/>
  <c r="E1932" i="10"/>
  <c r="F1932" i="10" s="1"/>
  <c r="E1933" i="10"/>
  <c r="F1933" i="10" s="1"/>
  <c r="E1934" i="10"/>
  <c r="F1934" i="10" s="1"/>
  <c r="E1935" i="10"/>
  <c r="F1935" i="10" s="1"/>
  <c r="E1936" i="10"/>
  <c r="F1936" i="10" s="1"/>
  <c r="E1937" i="10"/>
  <c r="F1937" i="10" s="1"/>
  <c r="E1938" i="10"/>
  <c r="F1938" i="10" s="1"/>
  <c r="E1939" i="10"/>
  <c r="F1939" i="10" s="1"/>
  <c r="E1940" i="10"/>
  <c r="F1940" i="10" s="1"/>
  <c r="E1941" i="10"/>
  <c r="F1941" i="10" s="1"/>
  <c r="E1942" i="10"/>
  <c r="F1942" i="10" s="1"/>
  <c r="E1943" i="10"/>
  <c r="F1943" i="10" s="1"/>
  <c r="E1944" i="10"/>
  <c r="F1944" i="10" s="1"/>
  <c r="E1945" i="10"/>
  <c r="F1945" i="10" s="1"/>
  <c r="E1946" i="10"/>
  <c r="F1946" i="10" s="1"/>
  <c r="E1947" i="10"/>
  <c r="F1947" i="10" s="1"/>
  <c r="E1948" i="10"/>
  <c r="F1948" i="10" s="1"/>
  <c r="E1949" i="10"/>
  <c r="F1949" i="10" s="1"/>
  <c r="E1950" i="10"/>
  <c r="F1950" i="10" s="1"/>
  <c r="E1951" i="10"/>
  <c r="F1951" i="10" s="1"/>
  <c r="E1952" i="10"/>
  <c r="F1952" i="10" s="1"/>
  <c r="E1953" i="10"/>
  <c r="F1953" i="10" s="1"/>
  <c r="E1954" i="10"/>
  <c r="F1954" i="10" s="1"/>
  <c r="E1955" i="10"/>
  <c r="F1955" i="10" s="1"/>
  <c r="E1956" i="10"/>
  <c r="F1956" i="10" s="1"/>
  <c r="E1957" i="10"/>
  <c r="F1957" i="10" s="1"/>
  <c r="E1958" i="10"/>
  <c r="F1958" i="10" s="1"/>
  <c r="E1959" i="10"/>
  <c r="F1959" i="10" s="1"/>
  <c r="E1960" i="10"/>
  <c r="F1960" i="10" s="1"/>
  <c r="E1961" i="10"/>
  <c r="F1961" i="10" s="1"/>
  <c r="E1962" i="10"/>
  <c r="F1962" i="10" s="1"/>
  <c r="E1963" i="10"/>
  <c r="F1963" i="10" s="1"/>
  <c r="E1964" i="10"/>
  <c r="F1964" i="10" s="1"/>
  <c r="E1965" i="10"/>
  <c r="F1965" i="10" s="1"/>
  <c r="E1966" i="10"/>
  <c r="F1966" i="10" s="1"/>
  <c r="E1967" i="10"/>
  <c r="F1967" i="10" s="1"/>
  <c r="E1968" i="10"/>
  <c r="F1968" i="10" s="1"/>
  <c r="E1969" i="10"/>
  <c r="F1969" i="10" s="1"/>
  <c r="E1970" i="10"/>
  <c r="F1970" i="10" s="1"/>
  <c r="E1971" i="10"/>
  <c r="F1971" i="10" s="1"/>
  <c r="E1972" i="10"/>
  <c r="F1972" i="10" s="1"/>
  <c r="E1973" i="10"/>
  <c r="F1973" i="10" s="1"/>
  <c r="E1974" i="10"/>
  <c r="F1974" i="10" s="1"/>
  <c r="E1975" i="10"/>
  <c r="F1975" i="10" s="1"/>
  <c r="E1976" i="10"/>
  <c r="F1976" i="10" s="1"/>
  <c r="E1977" i="10"/>
  <c r="F1977" i="10" s="1"/>
  <c r="E1978" i="10"/>
  <c r="F1978" i="10" s="1"/>
  <c r="E1979" i="10"/>
  <c r="F1979" i="10" s="1"/>
  <c r="E1980" i="10"/>
  <c r="F1980" i="10" s="1"/>
  <c r="E1981" i="10"/>
  <c r="F1981" i="10" s="1"/>
  <c r="E1982" i="10"/>
  <c r="F1982" i="10" s="1"/>
  <c r="E1983" i="10"/>
  <c r="F1983" i="10" s="1"/>
  <c r="E1984" i="10"/>
  <c r="F1984" i="10" s="1"/>
  <c r="E1985" i="10"/>
  <c r="F1985" i="10" s="1"/>
  <c r="E1986" i="10"/>
  <c r="F1986" i="10" s="1"/>
  <c r="E1987" i="10"/>
  <c r="F1987" i="10" s="1"/>
  <c r="E1988" i="10"/>
  <c r="F1988" i="10" s="1"/>
  <c r="E1989" i="10"/>
  <c r="F1989" i="10" s="1"/>
  <c r="E1990" i="10"/>
  <c r="F1990" i="10" s="1"/>
  <c r="E1991" i="10"/>
  <c r="F1991" i="10" s="1"/>
  <c r="E1992" i="10"/>
  <c r="F1992" i="10" s="1"/>
  <c r="E1993" i="10"/>
  <c r="F1993" i="10" s="1"/>
  <c r="E1994" i="10"/>
  <c r="F1994" i="10" s="1"/>
  <c r="E1995" i="10"/>
  <c r="F1995" i="10" s="1"/>
  <c r="E1996" i="10"/>
  <c r="F1996" i="10" s="1"/>
  <c r="E1997" i="10"/>
  <c r="F1997" i="10" s="1"/>
  <c r="E1998" i="10"/>
  <c r="F1998" i="10" s="1"/>
  <c r="E1999" i="10"/>
  <c r="F1999" i="10" s="1"/>
  <c r="E2000" i="10"/>
  <c r="F2000" i="10" s="1"/>
  <c r="E2001" i="10"/>
  <c r="F2001" i="10" s="1"/>
  <c r="E2002" i="10"/>
  <c r="F2002" i="10" s="1"/>
  <c r="E2003" i="10"/>
  <c r="F2003" i="10" s="1"/>
  <c r="E2004" i="10"/>
  <c r="F2004" i="10" s="1"/>
  <c r="E2005" i="10"/>
  <c r="F2005" i="10" s="1"/>
  <c r="E2006" i="10"/>
  <c r="F2006" i="10" s="1"/>
  <c r="E2007" i="10"/>
  <c r="F2007" i="10" s="1"/>
  <c r="E2008" i="10"/>
  <c r="F2008" i="10" s="1"/>
  <c r="E2009" i="10"/>
  <c r="F2009" i="10" s="1"/>
  <c r="E2010" i="10"/>
  <c r="F2010" i="10" s="1"/>
  <c r="E2011" i="10"/>
  <c r="F2011" i="10" s="1"/>
  <c r="E2012" i="10"/>
  <c r="F2012" i="10" s="1"/>
  <c r="E2013" i="10"/>
  <c r="F2013" i="10" s="1"/>
  <c r="E2014" i="10"/>
  <c r="F2014" i="10" s="1"/>
  <c r="E2015" i="10"/>
  <c r="F2015" i="10" s="1"/>
  <c r="E2016" i="10"/>
  <c r="F2016" i="10" s="1"/>
  <c r="E2017" i="10"/>
  <c r="F2017" i="10" s="1"/>
  <c r="E2018" i="10"/>
  <c r="F2018" i="10" s="1"/>
  <c r="E2019" i="10"/>
  <c r="F2019" i="10" s="1"/>
  <c r="E2020" i="10"/>
  <c r="F2020" i="10" s="1"/>
  <c r="E2021" i="10"/>
  <c r="F2021" i="10" s="1"/>
  <c r="E2022" i="10"/>
  <c r="F2022" i="10" s="1"/>
  <c r="E2023" i="10"/>
  <c r="F2023" i="10" s="1"/>
  <c r="E2024" i="10"/>
  <c r="F2024" i="10" s="1"/>
  <c r="E2025" i="10"/>
  <c r="F2025" i="10" s="1"/>
  <c r="E2026" i="10"/>
  <c r="F2026" i="10" s="1"/>
  <c r="E2027" i="10"/>
  <c r="F2027" i="10" s="1"/>
  <c r="E2028" i="10"/>
  <c r="F2028" i="10" s="1"/>
  <c r="E2029" i="10"/>
  <c r="F2029" i="10" s="1"/>
  <c r="E2030" i="10"/>
  <c r="F2030" i="10" s="1"/>
  <c r="E2031" i="10"/>
  <c r="F2031" i="10" s="1"/>
  <c r="E2032" i="10"/>
  <c r="F2032" i="10" s="1"/>
  <c r="E2033" i="10"/>
  <c r="F2033" i="10" s="1"/>
  <c r="E2034" i="10"/>
  <c r="F2034" i="10" s="1"/>
  <c r="E2035" i="10"/>
  <c r="F2035" i="10" s="1"/>
  <c r="E2036" i="10"/>
  <c r="F2036" i="10" s="1"/>
  <c r="E2037" i="10"/>
  <c r="F2037" i="10" s="1"/>
  <c r="E2038" i="10"/>
  <c r="F2038" i="10" s="1"/>
  <c r="E2039" i="10"/>
  <c r="F2039" i="10" s="1"/>
  <c r="E2040" i="10"/>
  <c r="F2040" i="10" s="1"/>
  <c r="E2041" i="10"/>
  <c r="F2041" i="10" s="1"/>
  <c r="E2042" i="10"/>
  <c r="F2042" i="10" s="1"/>
  <c r="E2043" i="10"/>
  <c r="F2043" i="10" s="1"/>
  <c r="E2044" i="10"/>
  <c r="F2044" i="10" s="1"/>
  <c r="E2045" i="10"/>
  <c r="F2045" i="10" s="1"/>
  <c r="E2046" i="10"/>
  <c r="F2046" i="10" s="1"/>
  <c r="E2047" i="10"/>
  <c r="F2047" i="10" s="1"/>
  <c r="E2048" i="10"/>
  <c r="F2048" i="10" s="1"/>
  <c r="E2049" i="10"/>
  <c r="F2049" i="10" s="1"/>
  <c r="E2050" i="10"/>
  <c r="F2050" i="10" s="1"/>
  <c r="E2051" i="10"/>
  <c r="F2051" i="10" s="1"/>
  <c r="E2052" i="10"/>
  <c r="F2052" i="10" s="1"/>
  <c r="E2053" i="10"/>
  <c r="F2053" i="10" s="1"/>
  <c r="E2054" i="10"/>
  <c r="F2054" i="10" s="1"/>
  <c r="E2055" i="10"/>
  <c r="F2055" i="10" s="1"/>
  <c r="E2056" i="10"/>
  <c r="F2056" i="10" s="1"/>
  <c r="E2057" i="10"/>
  <c r="F2057" i="10" s="1"/>
  <c r="E2058" i="10"/>
  <c r="F2058" i="10" s="1"/>
  <c r="E2059" i="10"/>
  <c r="F2059" i="10" s="1"/>
  <c r="E2060" i="10"/>
  <c r="F2060" i="10" s="1"/>
  <c r="E2061" i="10"/>
  <c r="F2061" i="10" s="1"/>
  <c r="E2062" i="10"/>
  <c r="F2062" i="10" s="1"/>
  <c r="E2063" i="10"/>
  <c r="F2063" i="10" s="1"/>
  <c r="E2064" i="10"/>
  <c r="F2064" i="10" s="1"/>
  <c r="E2065" i="10"/>
  <c r="F2065" i="10" s="1"/>
  <c r="E2066" i="10"/>
  <c r="F2066" i="10" s="1"/>
  <c r="E2067" i="10"/>
  <c r="F2067" i="10" s="1"/>
  <c r="E2068" i="10"/>
  <c r="F2068" i="10" s="1"/>
  <c r="E2069" i="10"/>
  <c r="F2069" i="10" s="1"/>
  <c r="E2070" i="10"/>
  <c r="F2070" i="10" s="1"/>
  <c r="E2071" i="10"/>
  <c r="F2071" i="10" s="1"/>
  <c r="E2072" i="10"/>
  <c r="F2072" i="10" s="1"/>
  <c r="E2073" i="10"/>
  <c r="F2073" i="10" s="1"/>
  <c r="E2074" i="10"/>
  <c r="F2074" i="10" s="1"/>
  <c r="E2075" i="10"/>
  <c r="F2075" i="10" s="1"/>
  <c r="E2076" i="10"/>
  <c r="F2076" i="10" s="1"/>
  <c r="E2077" i="10"/>
  <c r="F2077" i="10" s="1"/>
  <c r="E2078" i="10"/>
  <c r="F2078" i="10" s="1"/>
  <c r="E2079" i="10"/>
  <c r="F2079" i="10" s="1"/>
  <c r="E2080" i="10"/>
  <c r="F2080" i="10" s="1"/>
  <c r="E2081" i="10"/>
  <c r="F2081" i="10" s="1"/>
  <c r="E2082" i="10"/>
  <c r="F2082" i="10" s="1"/>
  <c r="E2083" i="10"/>
  <c r="F2083" i="10" s="1"/>
  <c r="E2084" i="10"/>
  <c r="F2084" i="10" s="1"/>
  <c r="E2085" i="10"/>
  <c r="F2085" i="10" s="1"/>
  <c r="E2086" i="10"/>
  <c r="F2086" i="10" s="1"/>
  <c r="E2087" i="10"/>
  <c r="F2087" i="10" s="1"/>
  <c r="E2088" i="10"/>
  <c r="F2088" i="10" s="1"/>
  <c r="E2089" i="10"/>
  <c r="F2089" i="10" s="1"/>
  <c r="E2090" i="10"/>
  <c r="F2090" i="10" s="1"/>
  <c r="E2091" i="10"/>
  <c r="F2091" i="10" s="1"/>
  <c r="E2092" i="10"/>
  <c r="F2092" i="10" s="1"/>
  <c r="E2093" i="10"/>
  <c r="F2093" i="10" s="1"/>
  <c r="E2094" i="10"/>
  <c r="F2094" i="10" s="1"/>
  <c r="E2095" i="10"/>
  <c r="F2095" i="10" s="1"/>
  <c r="E2096" i="10"/>
  <c r="F2096" i="10" s="1"/>
  <c r="E2097" i="10"/>
  <c r="F2097" i="10" s="1"/>
  <c r="E2098" i="10"/>
  <c r="F2098" i="10" s="1"/>
  <c r="E2099" i="10"/>
  <c r="F2099" i="10" s="1"/>
  <c r="E2100" i="10"/>
  <c r="F2100" i="10" s="1"/>
  <c r="E2101" i="10"/>
  <c r="F2101" i="10" s="1"/>
  <c r="E2102" i="10"/>
  <c r="F2102" i="10" s="1"/>
  <c r="E2103" i="10"/>
  <c r="F2103" i="10" s="1"/>
  <c r="E2104" i="10"/>
  <c r="F2104" i="10" s="1"/>
  <c r="E2105" i="10"/>
  <c r="F2105" i="10" s="1"/>
  <c r="E2106" i="10"/>
  <c r="F2106" i="10" s="1"/>
  <c r="E2107" i="10"/>
  <c r="F2107" i="10" s="1"/>
  <c r="E2108" i="10"/>
  <c r="F2108" i="10" s="1"/>
  <c r="E2109" i="10"/>
  <c r="F2109" i="10" s="1"/>
  <c r="E2110" i="10"/>
  <c r="F2110" i="10" s="1"/>
  <c r="E2111" i="10"/>
  <c r="F2111" i="10" s="1"/>
  <c r="E2112" i="10"/>
  <c r="F2112" i="10" s="1"/>
  <c r="E2113" i="10"/>
  <c r="F2113" i="10" s="1"/>
  <c r="E2114" i="10"/>
  <c r="F2114" i="10" s="1"/>
  <c r="E2115" i="10"/>
  <c r="F2115" i="10" s="1"/>
  <c r="E2116" i="10"/>
  <c r="F2116" i="10" s="1"/>
  <c r="E2117" i="10"/>
  <c r="F2117" i="10" s="1"/>
  <c r="E2118" i="10"/>
  <c r="F2118" i="10" s="1"/>
  <c r="E2119" i="10"/>
  <c r="F2119" i="10" s="1"/>
  <c r="E2120" i="10"/>
  <c r="F2120" i="10" s="1"/>
  <c r="E2121" i="10"/>
  <c r="F2121" i="10" s="1"/>
  <c r="E2122" i="10"/>
  <c r="F2122" i="10" s="1"/>
  <c r="E2123" i="10"/>
  <c r="F2123" i="10" s="1"/>
  <c r="E2124" i="10"/>
  <c r="F2124" i="10" s="1"/>
  <c r="E2125" i="10"/>
  <c r="F2125" i="10" s="1"/>
  <c r="E2126" i="10"/>
  <c r="F2126" i="10" s="1"/>
  <c r="E2127" i="10"/>
  <c r="F2127" i="10" s="1"/>
  <c r="E2128" i="10"/>
  <c r="F2128" i="10" s="1"/>
  <c r="E2129" i="10"/>
  <c r="F2129" i="10" s="1"/>
  <c r="E2130" i="10"/>
  <c r="F2130" i="10" s="1"/>
  <c r="E2131" i="10"/>
  <c r="F2131" i="10" s="1"/>
  <c r="E2132" i="10"/>
  <c r="F2132" i="10" s="1"/>
  <c r="E2133" i="10"/>
  <c r="F2133" i="10" s="1"/>
  <c r="E2134" i="10"/>
  <c r="F2134" i="10" s="1"/>
  <c r="E2135" i="10"/>
  <c r="F2135" i="10" s="1"/>
  <c r="E2136" i="10"/>
  <c r="F2136" i="10" s="1"/>
  <c r="E2137" i="10"/>
  <c r="F2137" i="10" s="1"/>
  <c r="E2138" i="10"/>
  <c r="F2138" i="10" s="1"/>
  <c r="E2139" i="10"/>
  <c r="F2139" i="10" s="1"/>
  <c r="E2140" i="10"/>
  <c r="F2140" i="10" s="1"/>
  <c r="E2141" i="10"/>
  <c r="F2141" i="10" s="1"/>
  <c r="E2142" i="10"/>
  <c r="F2142" i="10" s="1"/>
  <c r="E2143" i="10"/>
  <c r="F2143" i="10" s="1"/>
  <c r="E2144" i="10"/>
  <c r="F2144" i="10" s="1"/>
  <c r="E2145" i="10"/>
  <c r="F2145" i="10" s="1"/>
  <c r="E2146" i="10"/>
  <c r="F2146" i="10" s="1"/>
  <c r="E2147" i="10"/>
  <c r="F2147" i="10" s="1"/>
  <c r="E2148" i="10"/>
  <c r="F2148" i="10" s="1"/>
  <c r="E2149" i="10"/>
  <c r="F2149" i="10" s="1"/>
  <c r="E2150" i="10"/>
  <c r="F2150" i="10" s="1"/>
  <c r="E2151" i="10"/>
  <c r="F2151" i="10" s="1"/>
  <c r="E2152" i="10"/>
  <c r="F2152" i="10" s="1"/>
  <c r="E2153" i="10"/>
  <c r="F2153" i="10" s="1"/>
  <c r="E2154" i="10"/>
  <c r="F2154" i="10" s="1"/>
  <c r="E2155" i="10"/>
  <c r="F2155" i="10" s="1"/>
  <c r="E2156" i="10"/>
  <c r="F2156" i="10" s="1"/>
  <c r="E2157" i="10"/>
  <c r="F2157" i="10" s="1"/>
  <c r="E2158" i="10"/>
  <c r="F2158" i="10" s="1"/>
  <c r="E2159" i="10"/>
  <c r="F2159" i="10" s="1"/>
  <c r="E2160" i="10"/>
  <c r="F2160" i="10" s="1"/>
  <c r="E2161" i="10"/>
  <c r="F2161" i="10" s="1"/>
  <c r="E2162" i="10"/>
  <c r="F2162" i="10" s="1"/>
  <c r="E2163" i="10"/>
  <c r="F2163" i="10" s="1"/>
  <c r="E2164" i="10"/>
  <c r="F2164" i="10" s="1"/>
  <c r="E2165" i="10"/>
  <c r="F2165" i="10" s="1"/>
  <c r="E2166" i="10"/>
  <c r="F2166" i="10" s="1"/>
  <c r="E2167" i="10"/>
  <c r="F2167" i="10" s="1"/>
  <c r="E2168" i="10"/>
  <c r="F2168" i="10" s="1"/>
  <c r="E2169" i="10"/>
  <c r="F2169" i="10" s="1"/>
  <c r="E2170" i="10"/>
  <c r="F2170" i="10" s="1"/>
  <c r="E2171" i="10"/>
  <c r="F2171" i="10" s="1"/>
  <c r="E2172" i="10"/>
  <c r="F2172" i="10" s="1"/>
  <c r="E2173" i="10"/>
  <c r="F2173" i="10" s="1"/>
  <c r="E2174" i="10"/>
  <c r="F2174" i="10" s="1"/>
  <c r="E2175" i="10"/>
  <c r="F2175" i="10" s="1"/>
  <c r="E2176" i="10"/>
  <c r="F2176" i="10" s="1"/>
  <c r="E2177" i="10"/>
  <c r="F2177" i="10" s="1"/>
  <c r="E2178" i="10"/>
  <c r="F2178" i="10" s="1"/>
  <c r="E2179" i="10"/>
  <c r="F2179" i="10" s="1"/>
  <c r="E2180" i="10"/>
  <c r="F2180" i="10" s="1"/>
  <c r="E2181" i="10"/>
  <c r="F2181" i="10" s="1"/>
  <c r="E2182" i="10"/>
  <c r="F2182" i="10" s="1"/>
  <c r="E2183" i="10"/>
  <c r="F2183" i="10" s="1"/>
  <c r="E2184" i="10"/>
  <c r="F2184" i="10" s="1"/>
  <c r="E2185" i="10"/>
  <c r="F2185" i="10" s="1"/>
  <c r="E2186" i="10"/>
  <c r="F2186" i="10" s="1"/>
  <c r="E2187" i="10"/>
  <c r="F2187" i="10" s="1"/>
  <c r="E2188" i="10"/>
  <c r="F2188" i="10" s="1"/>
  <c r="E2189" i="10"/>
  <c r="F2189" i="10" s="1"/>
  <c r="E2190" i="10"/>
  <c r="F2190" i="10" s="1"/>
  <c r="E2191" i="10"/>
  <c r="F2191" i="10" s="1"/>
  <c r="E2192" i="10"/>
  <c r="F2192" i="10" s="1"/>
  <c r="E2193" i="10"/>
  <c r="F2193" i="10" s="1"/>
  <c r="E2194" i="10"/>
  <c r="F2194" i="10" s="1"/>
  <c r="E2195" i="10"/>
  <c r="F2195" i="10" s="1"/>
  <c r="E2196" i="10"/>
  <c r="F2196" i="10" s="1"/>
  <c r="E2197" i="10"/>
  <c r="F2197" i="10" s="1"/>
  <c r="E2198" i="10"/>
  <c r="F2198" i="10" s="1"/>
  <c r="E2199" i="10"/>
  <c r="F2199" i="10" s="1"/>
  <c r="E2200" i="10"/>
  <c r="F2200" i="10" s="1"/>
  <c r="E2201" i="10"/>
  <c r="F2201" i="10" s="1"/>
  <c r="E2202" i="10"/>
  <c r="F2202" i="10" s="1"/>
  <c r="E2203" i="10"/>
  <c r="F2203" i="10" s="1"/>
  <c r="E2204" i="10"/>
  <c r="F2204" i="10" s="1"/>
  <c r="E2205" i="10"/>
  <c r="F2205" i="10" s="1"/>
  <c r="E2206" i="10"/>
  <c r="F2206" i="10" s="1"/>
  <c r="E2207" i="10"/>
  <c r="F2207" i="10" s="1"/>
  <c r="E2208" i="10"/>
  <c r="F2208" i="10" s="1"/>
  <c r="E2209" i="10"/>
  <c r="F2209" i="10" s="1"/>
  <c r="E2210" i="10"/>
  <c r="F2210" i="10" s="1"/>
  <c r="E2211" i="10"/>
  <c r="F2211" i="10" s="1"/>
  <c r="E2212" i="10"/>
  <c r="F2212" i="10" s="1"/>
  <c r="E2213" i="10"/>
  <c r="F2213" i="10" s="1"/>
  <c r="E2214" i="10"/>
  <c r="F2214" i="10" s="1"/>
  <c r="E2215" i="10"/>
  <c r="F2215" i="10" s="1"/>
  <c r="E2216" i="10"/>
  <c r="F2216" i="10" s="1"/>
  <c r="E2217" i="10"/>
  <c r="F2217" i="10" s="1"/>
  <c r="E2218" i="10"/>
  <c r="F2218" i="10" s="1"/>
  <c r="E2219" i="10"/>
  <c r="F2219" i="10" s="1"/>
  <c r="E2220" i="10"/>
  <c r="F2220" i="10" s="1"/>
  <c r="E2221" i="10"/>
  <c r="F2221" i="10" s="1"/>
  <c r="E2222" i="10"/>
  <c r="F2222" i="10" s="1"/>
  <c r="E2223" i="10"/>
  <c r="F2223" i="10" s="1"/>
  <c r="E2224" i="10"/>
  <c r="F2224" i="10" s="1"/>
  <c r="E2225" i="10"/>
  <c r="F2225" i="10" s="1"/>
  <c r="E2226" i="10"/>
  <c r="F2226" i="10" s="1"/>
  <c r="E2227" i="10"/>
  <c r="F2227" i="10" s="1"/>
  <c r="E2228" i="10"/>
  <c r="F2228" i="10" s="1"/>
  <c r="E2229" i="10"/>
  <c r="F2229" i="10" s="1"/>
  <c r="E2230" i="10"/>
  <c r="F2230" i="10" s="1"/>
  <c r="E2231" i="10"/>
  <c r="F2231" i="10" s="1"/>
  <c r="E2232" i="10"/>
  <c r="F2232" i="10" s="1"/>
  <c r="E2233" i="10"/>
  <c r="F2233" i="10" s="1"/>
  <c r="E2234" i="10"/>
  <c r="F2234" i="10" s="1"/>
  <c r="E2235" i="10"/>
  <c r="F2235" i="10" s="1"/>
  <c r="E2236" i="10"/>
  <c r="F2236" i="10" s="1"/>
  <c r="E2237" i="10"/>
  <c r="F2237" i="10" s="1"/>
  <c r="E2238" i="10"/>
  <c r="F2238" i="10" s="1"/>
  <c r="E2239" i="10"/>
  <c r="F2239" i="10" s="1"/>
  <c r="E2240" i="10"/>
  <c r="F2240" i="10" s="1"/>
  <c r="E2241" i="10"/>
  <c r="F2241" i="10" s="1"/>
  <c r="E2242" i="10"/>
  <c r="F2242" i="10" s="1"/>
  <c r="E2243" i="10"/>
  <c r="F2243" i="10" s="1"/>
  <c r="E2244" i="10"/>
  <c r="F2244" i="10" s="1"/>
  <c r="E2245" i="10"/>
  <c r="F2245" i="10" s="1"/>
  <c r="E2246" i="10"/>
  <c r="F2246" i="10" s="1"/>
  <c r="E2247" i="10"/>
  <c r="F2247" i="10" s="1"/>
  <c r="E2248" i="10"/>
  <c r="F2248" i="10" s="1"/>
  <c r="E2249" i="10"/>
  <c r="F2249" i="10" s="1"/>
  <c r="E2250" i="10"/>
  <c r="F2250" i="10" s="1"/>
  <c r="E2251" i="10"/>
  <c r="F2251" i="10" s="1"/>
  <c r="E2252" i="10"/>
  <c r="F2252" i="10" s="1"/>
  <c r="E2253" i="10"/>
  <c r="F2253" i="10" s="1"/>
  <c r="E2254" i="10"/>
  <c r="F2254" i="10" s="1"/>
  <c r="E2255" i="10"/>
  <c r="F2255" i="10" s="1"/>
  <c r="E2256" i="10"/>
  <c r="F2256" i="10" s="1"/>
  <c r="E2257" i="10"/>
  <c r="F2257" i="10" s="1"/>
  <c r="E2258" i="10"/>
  <c r="F2258" i="10" s="1"/>
  <c r="E2259" i="10"/>
  <c r="F2259" i="10" s="1"/>
  <c r="E2260" i="10"/>
  <c r="F2260" i="10" s="1"/>
  <c r="E2261" i="10"/>
  <c r="F2261" i="10" s="1"/>
  <c r="E2262" i="10"/>
  <c r="F2262" i="10" s="1"/>
  <c r="E2263" i="10"/>
  <c r="F2263" i="10" s="1"/>
  <c r="E2264" i="10"/>
  <c r="F2264" i="10" s="1"/>
  <c r="E2265" i="10"/>
  <c r="F2265" i="10" s="1"/>
  <c r="E2266" i="10"/>
  <c r="F2266" i="10" s="1"/>
  <c r="E2267" i="10"/>
  <c r="F2267" i="10" s="1"/>
  <c r="E2268" i="10"/>
  <c r="F2268" i="10" s="1"/>
  <c r="E2269" i="10"/>
  <c r="F2269" i="10" s="1"/>
  <c r="E2270" i="10"/>
  <c r="F2270" i="10" s="1"/>
  <c r="E2271" i="10"/>
  <c r="F2271" i="10" s="1"/>
  <c r="E2272" i="10"/>
  <c r="F2272" i="10" s="1"/>
  <c r="E2273" i="10"/>
  <c r="F2273" i="10" s="1"/>
  <c r="E2274" i="10"/>
  <c r="F2274" i="10" s="1"/>
  <c r="E2275" i="10"/>
  <c r="F2275" i="10" s="1"/>
  <c r="E2276" i="10"/>
  <c r="F2276" i="10" s="1"/>
  <c r="E2277" i="10"/>
  <c r="F2277" i="10" s="1"/>
  <c r="E2278" i="10"/>
  <c r="F2278" i="10" s="1"/>
  <c r="E2279" i="10"/>
  <c r="F2279" i="10" s="1"/>
  <c r="E2280" i="10"/>
  <c r="F2280" i="10" s="1"/>
  <c r="E2281" i="10"/>
  <c r="F2281" i="10" s="1"/>
  <c r="E2282" i="10"/>
  <c r="F2282" i="10" s="1"/>
  <c r="E2283" i="10"/>
  <c r="F2283" i="10" s="1"/>
  <c r="E2284" i="10"/>
  <c r="F2284" i="10" s="1"/>
  <c r="E2285" i="10"/>
  <c r="F2285" i="10" s="1"/>
  <c r="E2286" i="10"/>
  <c r="F2286" i="10" s="1"/>
  <c r="E2287" i="10"/>
  <c r="F2287" i="10" s="1"/>
  <c r="E2288" i="10"/>
  <c r="F2288" i="10" s="1"/>
  <c r="E2289" i="10"/>
  <c r="F2289" i="10" s="1"/>
  <c r="E2290" i="10"/>
  <c r="F2290" i="10" s="1"/>
  <c r="E2291" i="10"/>
  <c r="F2291" i="10" s="1"/>
  <c r="E2292" i="10"/>
  <c r="F2292" i="10" s="1"/>
  <c r="E2293" i="10"/>
  <c r="F2293" i="10" s="1"/>
  <c r="E2294" i="10"/>
  <c r="F2294" i="10" s="1"/>
  <c r="E2295" i="10"/>
  <c r="F2295" i="10" s="1"/>
  <c r="E2296" i="10"/>
  <c r="F2296" i="10" s="1"/>
  <c r="E2297" i="10"/>
  <c r="F2297" i="10" s="1"/>
  <c r="E2298" i="10"/>
  <c r="F2298" i="10" s="1"/>
  <c r="E2299" i="10"/>
  <c r="F2299" i="10" s="1"/>
  <c r="E2300" i="10"/>
  <c r="F2300" i="10" s="1"/>
  <c r="E2301" i="10"/>
  <c r="F2301" i="10" s="1"/>
  <c r="E2302" i="10"/>
  <c r="F2302" i="10" s="1"/>
  <c r="E2303" i="10"/>
  <c r="F2303" i="10" s="1"/>
  <c r="E2304" i="10"/>
  <c r="F2304" i="10" s="1"/>
  <c r="E2305" i="10"/>
  <c r="F2305" i="10" s="1"/>
  <c r="E2306" i="10"/>
  <c r="F2306" i="10" s="1"/>
  <c r="E2307" i="10"/>
  <c r="F2307" i="10" s="1"/>
  <c r="E2308" i="10"/>
  <c r="F2308" i="10" s="1"/>
  <c r="E2309" i="10"/>
  <c r="F2309" i="10" s="1"/>
  <c r="E2310" i="10"/>
  <c r="F2310" i="10" s="1"/>
  <c r="E2311" i="10"/>
  <c r="F2311" i="10" s="1"/>
  <c r="E2312" i="10"/>
  <c r="F2312" i="10" s="1"/>
  <c r="E2313" i="10"/>
  <c r="F2313" i="10" s="1"/>
  <c r="E2314" i="10"/>
  <c r="F2314" i="10" s="1"/>
  <c r="E2315" i="10"/>
  <c r="F2315" i="10" s="1"/>
  <c r="E2316" i="10"/>
  <c r="F2316" i="10" s="1"/>
  <c r="E2317" i="10"/>
  <c r="F2317" i="10" s="1"/>
  <c r="E2318" i="10"/>
  <c r="F2318" i="10" s="1"/>
  <c r="E2319" i="10"/>
  <c r="F2319" i="10" s="1"/>
  <c r="E2320" i="10"/>
  <c r="F2320" i="10" s="1"/>
  <c r="E2321" i="10"/>
  <c r="F2321" i="10" s="1"/>
  <c r="E2322" i="10"/>
  <c r="F2322" i="10" s="1"/>
  <c r="E2323" i="10"/>
  <c r="F2323" i="10" s="1"/>
  <c r="E2324" i="10"/>
  <c r="F2324" i="10" s="1"/>
  <c r="E2325" i="10"/>
  <c r="F2325" i="10" s="1"/>
  <c r="E2326" i="10"/>
  <c r="F2326" i="10" s="1"/>
  <c r="E2327" i="10"/>
  <c r="F2327" i="10" s="1"/>
  <c r="E2328" i="10"/>
  <c r="F2328" i="10" s="1"/>
  <c r="E2329" i="10"/>
  <c r="F2329" i="10" s="1"/>
  <c r="E2330" i="10"/>
  <c r="F2330" i="10" s="1"/>
  <c r="E2331" i="10"/>
  <c r="F2331" i="10" s="1"/>
  <c r="E2332" i="10"/>
  <c r="F2332" i="10" s="1"/>
  <c r="E2333" i="10"/>
  <c r="F2333" i="10" s="1"/>
  <c r="E2334" i="10"/>
  <c r="F2334" i="10" s="1"/>
  <c r="E2335" i="10"/>
  <c r="F2335" i="10" s="1"/>
  <c r="E2336" i="10"/>
  <c r="F2336" i="10" s="1"/>
  <c r="E2337" i="10"/>
  <c r="F2337" i="10" s="1"/>
  <c r="E2338" i="10"/>
  <c r="F2338" i="10" s="1"/>
  <c r="E2339" i="10"/>
  <c r="F2339" i="10" s="1"/>
  <c r="E2340" i="10"/>
  <c r="F2340" i="10" s="1"/>
  <c r="E2341" i="10"/>
  <c r="F2341" i="10" s="1"/>
  <c r="E2342" i="10"/>
  <c r="F2342" i="10" s="1"/>
  <c r="E2343" i="10"/>
  <c r="F2343" i="10" s="1"/>
  <c r="E2344" i="10"/>
  <c r="F2344" i="10" s="1"/>
  <c r="E2345" i="10"/>
  <c r="F2345" i="10" s="1"/>
  <c r="E2346" i="10"/>
  <c r="F2346" i="10" s="1"/>
  <c r="E2347" i="10"/>
  <c r="F2347" i="10" s="1"/>
  <c r="E2348" i="10"/>
  <c r="F2348" i="10" s="1"/>
  <c r="E2349" i="10"/>
  <c r="F2349" i="10" s="1"/>
  <c r="E2350" i="10"/>
  <c r="F2350" i="10" s="1"/>
  <c r="E2351" i="10"/>
  <c r="F2351" i="10" s="1"/>
  <c r="E2352" i="10"/>
  <c r="F2352" i="10" s="1"/>
  <c r="E2353" i="10"/>
  <c r="F2353" i="10" s="1"/>
  <c r="E2354" i="10"/>
  <c r="F2354" i="10" s="1"/>
  <c r="E2355" i="10"/>
  <c r="F2355" i="10" s="1"/>
  <c r="E2356" i="10"/>
  <c r="F2356" i="10" s="1"/>
  <c r="E2357" i="10"/>
  <c r="F2357" i="10" s="1"/>
  <c r="E2358" i="10"/>
  <c r="F2358" i="10" s="1"/>
  <c r="E2359" i="10"/>
  <c r="F2359" i="10" s="1"/>
  <c r="E2360" i="10"/>
  <c r="F2360" i="10" s="1"/>
  <c r="E2361" i="10"/>
  <c r="F2361" i="10" s="1"/>
  <c r="E2362" i="10"/>
  <c r="F2362" i="10" s="1"/>
  <c r="E2363" i="10"/>
  <c r="F2363" i="10" s="1"/>
  <c r="E2364" i="10"/>
  <c r="F2364" i="10" s="1"/>
  <c r="E2365" i="10"/>
  <c r="F2365" i="10" s="1"/>
  <c r="E2366" i="10"/>
  <c r="F2366" i="10" s="1"/>
  <c r="E2367" i="10"/>
  <c r="F2367" i="10" s="1"/>
  <c r="E2368" i="10"/>
  <c r="F2368" i="10" s="1"/>
  <c r="E2369" i="10"/>
  <c r="F2369" i="10" s="1"/>
  <c r="E2370" i="10"/>
  <c r="F2370" i="10" s="1"/>
  <c r="E2371" i="10"/>
  <c r="F2371" i="10" s="1"/>
  <c r="E2372" i="10"/>
  <c r="F2372" i="10" s="1"/>
  <c r="E2373" i="10"/>
  <c r="F2373" i="10" s="1"/>
  <c r="E2374" i="10"/>
  <c r="F2374" i="10" s="1"/>
  <c r="E2375" i="10"/>
  <c r="F2375" i="10" s="1"/>
  <c r="E2376" i="10"/>
  <c r="F2376" i="10" s="1"/>
  <c r="E2377" i="10"/>
  <c r="F2377" i="10" s="1"/>
  <c r="E2378" i="10"/>
  <c r="F2378" i="10" s="1"/>
  <c r="E2379" i="10"/>
  <c r="F2379" i="10" s="1"/>
  <c r="E2380" i="10"/>
  <c r="F2380" i="10" s="1"/>
  <c r="E2381" i="10"/>
  <c r="F2381" i="10" s="1"/>
  <c r="E2382" i="10"/>
  <c r="F2382" i="10" s="1"/>
  <c r="E2383" i="10"/>
  <c r="F2383" i="10" s="1"/>
  <c r="E2384" i="10"/>
  <c r="F2384" i="10" s="1"/>
  <c r="E2385" i="10"/>
  <c r="F2385" i="10" s="1"/>
  <c r="E2386" i="10"/>
  <c r="F2386" i="10" s="1"/>
  <c r="E2387" i="10"/>
  <c r="F2387" i="10" s="1"/>
  <c r="E2388" i="10"/>
  <c r="F2388" i="10" s="1"/>
  <c r="E2389" i="10"/>
  <c r="F2389" i="10" s="1"/>
  <c r="E2390" i="10"/>
  <c r="F2390" i="10" s="1"/>
  <c r="E2391" i="10"/>
  <c r="F2391" i="10" s="1"/>
  <c r="E2392" i="10"/>
  <c r="F2392" i="10" s="1"/>
  <c r="E2393" i="10"/>
  <c r="F2393" i="10" s="1"/>
  <c r="E2394" i="10"/>
  <c r="F2394" i="10" s="1"/>
  <c r="E2395" i="10"/>
  <c r="F2395" i="10" s="1"/>
  <c r="E2396" i="10"/>
  <c r="F2396" i="10" s="1"/>
  <c r="E2397" i="10"/>
  <c r="F2397" i="10" s="1"/>
  <c r="E2398" i="10"/>
  <c r="F2398" i="10" s="1"/>
  <c r="E2399" i="10"/>
  <c r="F2399" i="10" s="1"/>
  <c r="E2400" i="10"/>
  <c r="F2400" i="10" s="1"/>
  <c r="E2401" i="10"/>
  <c r="F2401" i="10" s="1"/>
  <c r="E2402" i="10"/>
  <c r="F2402" i="10" s="1"/>
  <c r="E2403" i="10"/>
  <c r="F2403" i="10" s="1"/>
  <c r="E2404" i="10"/>
  <c r="F2404" i="10" s="1"/>
  <c r="E2405" i="10"/>
  <c r="F2405" i="10" s="1"/>
  <c r="E2406" i="10"/>
  <c r="F2406" i="10" s="1"/>
  <c r="E2407" i="10"/>
  <c r="F2407" i="10" s="1"/>
  <c r="E2408" i="10"/>
  <c r="F2408" i="10" s="1"/>
  <c r="E2409" i="10"/>
  <c r="F2409" i="10" s="1"/>
  <c r="E2410" i="10"/>
  <c r="F2410" i="10" s="1"/>
  <c r="E2411" i="10"/>
  <c r="F2411" i="10" s="1"/>
  <c r="E2412" i="10"/>
  <c r="F2412" i="10" s="1"/>
  <c r="E2413" i="10"/>
  <c r="F2413" i="10" s="1"/>
  <c r="E2414" i="10"/>
  <c r="F2414" i="10" s="1"/>
  <c r="E2415" i="10"/>
  <c r="F2415" i="10" s="1"/>
  <c r="E2416" i="10"/>
  <c r="F2416" i="10" s="1"/>
  <c r="E2417" i="10"/>
  <c r="F2417" i="10" s="1"/>
  <c r="E2418" i="10"/>
  <c r="F2418" i="10" s="1"/>
  <c r="E2419" i="10"/>
  <c r="F2419" i="10" s="1"/>
  <c r="E2420" i="10"/>
  <c r="F2420" i="10" s="1"/>
  <c r="E2421" i="10"/>
  <c r="F2421" i="10" s="1"/>
  <c r="E2422" i="10"/>
  <c r="F2422" i="10" s="1"/>
  <c r="E2423" i="10"/>
  <c r="F2423" i="10" s="1"/>
  <c r="E2424" i="10"/>
  <c r="F2424" i="10" s="1"/>
  <c r="E2425" i="10"/>
  <c r="F2425" i="10" s="1"/>
  <c r="E2426" i="10"/>
  <c r="F2426" i="10" s="1"/>
  <c r="E2427" i="10"/>
  <c r="F2427" i="10" s="1"/>
  <c r="E2428" i="10"/>
  <c r="F2428" i="10" s="1"/>
  <c r="E2429" i="10"/>
  <c r="F2429" i="10" s="1"/>
  <c r="E2430" i="10"/>
  <c r="F2430" i="10" s="1"/>
  <c r="E2431" i="10"/>
  <c r="F2431" i="10" s="1"/>
  <c r="E2432" i="10"/>
  <c r="F2432" i="10" s="1"/>
  <c r="E2433" i="10"/>
  <c r="F2433" i="10" s="1"/>
  <c r="E2434" i="10"/>
  <c r="F2434" i="10" s="1"/>
  <c r="E2435" i="10"/>
  <c r="F2435" i="10" s="1"/>
  <c r="E2436" i="10"/>
  <c r="F2436" i="10" s="1"/>
  <c r="E2437" i="10"/>
  <c r="F2437" i="10" s="1"/>
  <c r="E2438" i="10"/>
  <c r="F2438" i="10" s="1"/>
  <c r="E2439" i="10"/>
  <c r="F2439" i="10" s="1"/>
  <c r="E2440" i="10"/>
  <c r="F2440" i="10" s="1"/>
  <c r="E2441" i="10"/>
  <c r="F2441" i="10" s="1"/>
  <c r="E2442" i="10"/>
  <c r="F2442" i="10" s="1"/>
  <c r="E2443" i="10"/>
  <c r="F2443" i="10" s="1"/>
  <c r="E2444" i="10"/>
  <c r="F2444" i="10" s="1"/>
  <c r="E2445" i="10"/>
  <c r="F2445" i="10" s="1"/>
  <c r="E2446" i="10"/>
  <c r="F2446" i="10" s="1"/>
  <c r="E2447" i="10"/>
  <c r="F2447" i="10" s="1"/>
  <c r="E2448" i="10"/>
  <c r="F2448" i="10" s="1"/>
  <c r="E2449" i="10"/>
  <c r="F2449" i="10" s="1"/>
  <c r="E2450" i="10"/>
  <c r="F2450" i="10" s="1"/>
  <c r="E2451" i="10"/>
  <c r="F2451" i="10" s="1"/>
  <c r="E2452" i="10"/>
  <c r="F2452" i="10" s="1"/>
  <c r="E2453" i="10"/>
  <c r="F2453" i="10" s="1"/>
  <c r="E2454" i="10"/>
  <c r="F2454" i="10" s="1"/>
  <c r="E2455" i="10"/>
  <c r="F2455" i="10" s="1"/>
  <c r="E2456" i="10"/>
  <c r="F2456" i="10" s="1"/>
  <c r="E2457" i="10"/>
  <c r="F2457" i="10" s="1"/>
  <c r="E2458" i="10"/>
  <c r="F2458" i="10" s="1"/>
  <c r="E2459" i="10"/>
  <c r="F2459" i="10" s="1"/>
  <c r="E2460" i="10"/>
  <c r="F2460" i="10" s="1"/>
  <c r="E2461" i="10"/>
  <c r="F2461" i="10" s="1"/>
  <c r="E2462" i="10"/>
  <c r="F2462" i="10" s="1"/>
  <c r="E2463" i="10"/>
  <c r="F2463" i="10" s="1"/>
  <c r="E2464" i="10"/>
  <c r="F2464" i="10" s="1"/>
  <c r="E2465" i="10"/>
  <c r="F2465" i="10" s="1"/>
  <c r="E2466" i="10"/>
  <c r="F2466" i="10" s="1"/>
  <c r="E2467" i="10"/>
  <c r="F2467" i="10" s="1"/>
  <c r="E2468" i="10"/>
  <c r="F2468" i="10" s="1"/>
  <c r="E2469" i="10"/>
  <c r="F2469" i="10" s="1"/>
  <c r="E2470" i="10"/>
  <c r="F2470" i="10" s="1"/>
  <c r="E2471" i="10"/>
  <c r="F2471" i="10" s="1"/>
  <c r="E2472" i="10"/>
  <c r="F2472" i="10" s="1"/>
  <c r="E2473" i="10"/>
  <c r="F2473" i="10" s="1"/>
  <c r="E2474" i="10"/>
  <c r="F2474" i="10" s="1"/>
  <c r="E2475" i="10"/>
  <c r="F2475" i="10" s="1"/>
  <c r="E2476" i="10"/>
  <c r="F2476" i="10" s="1"/>
  <c r="E2477" i="10"/>
  <c r="F2477" i="10" s="1"/>
  <c r="E2478" i="10"/>
  <c r="F2478" i="10" s="1"/>
  <c r="E2479" i="10"/>
  <c r="F2479" i="10" s="1"/>
  <c r="E2480" i="10"/>
  <c r="F2480" i="10" s="1"/>
  <c r="E2481" i="10"/>
  <c r="F2481" i="10" s="1"/>
  <c r="E2482" i="10"/>
  <c r="F2482" i="10" s="1"/>
  <c r="E2483" i="10"/>
  <c r="F2483" i="10" s="1"/>
  <c r="E2484" i="10"/>
  <c r="F2484" i="10" s="1"/>
  <c r="E2485" i="10"/>
  <c r="F2485" i="10" s="1"/>
  <c r="E2486" i="10"/>
  <c r="F2486" i="10" s="1"/>
  <c r="E2487" i="10"/>
  <c r="F2487" i="10" s="1"/>
  <c r="E2488" i="10"/>
  <c r="F2488" i="10" s="1"/>
  <c r="E2489" i="10"/>
  <c r="F2489" i="10" s="1"/>
  <c r="E2490" i="10"/>
  <c r="F2490" i="10" s="1"/>
  <c r="E2491" i="10"/>
  <c r="F2491" i="10" s="1"/>
  <c r="E2492" i="10"/>
  <c r="F2492" i="10" s="1"/>
  <c r="E2493" i="10"/>
  <c r="F2493" i="10" s="1"/>
  <c r="E2494" i="10"/>
  <c r="F2494" i="10" s="1"/>
  <c r="E2495" i="10"/>
  <c r="F2495" i="10" s="1"/>
  <c r="E2496" i="10"/>
  <c r="F2496" i="10" s="1"/>
  <c r="E2497" i="10"/>
  <c r="F2497" i="10" s="1"/>
  <c r="E2498" i="10"/>
  <c r="F2498" i="10" s="1"/>
  <c r="E2499" i="10"/>
  <c r="F2499" i="10" s="1"/>
  <c r="E2500" i="10"/>
  <c r="F2500" i="10" s="1"/>
  <c r="E2501" i="10"/>
  <c r="F2501" i="10" s="1"/>
  <c r="E2502" i="10"/>
  <c r="F2502" i="10" s="1"/>
  <c r="E2503" i="10"/>
  <c r="F2503" i="10" s="1"/>
  <c r="E2504" i="10"/>
  <c r="F2504" i="10" s="1"/>
  <c r="E2505" i="10"/>
  <c r="F2505" i="10" s="1"/>
  <c r="E2506" i="10"/>
  <c r="F2506" i="10" s="1"/>
  <c r="E2507" i="10"/>
  <c r="F2507" i="10" s="1"/>
  <c r="E2508" i="10"/>
  <c r="F2508" i="10" s="1"/>
  <c r="E2509" i="10"/>
  <c r="F2509" i="10" s="1"/>
  <c r="E2510" i="10"/>
  <c r="F2510" i="10" s="1"/>
  <c r="E2511" i="10"/>
  <c r="F2511" i="10" s="1"/>
  <c r="E2512" i="10"/>
  <c r="F2512" i="10" s="1"/>
  <c r="E2513" i="10"/>
  <c r="F2513" i="10" s="1"/>
  <c r="E2514" i="10"/>
  <c r="F2514" i="10" s="1"/>
  <c r="E2515" i="10"/>
  <c r="F2515" i="10" s="1"/>
  <c r="E2516" i="10"/>
  <c r="F2516" i="10" s="1"/>
  <c r="E2517" i="10"/>
  <c r="F2517" i="10" s="1"/>
  <c r="E2518" i="10"/>
  <c r="F2518" i="10" s="1"/>
  <c r="E2519" i="10"/>
  <c r="F2519" i="10" s="1"/>
  <c r="E2520" i="10"/>
  <c r="F2520" i="10" s="1"/>
  <c r="E2521" i="10"/>
  <c r="F2521" i="10" s="1"/>
  <c r="E2522" i="10"/>
  <c r="F2522" i="10" s="1"/>
  <c r="E2523" i="10"/>
  <c r="F2523" i="10" s="1"/>
  <c r="E2524" i="10"/>
  <c r="F2524" i="10" s="1"/>
  <c r="E2525" i="10"/>
  <c r="F2525" i="10" s="1"/>
  <c r="E2526" i="10"/>
  <c r="F2526" i="10" s="1"/>
  <c r="E2527" i="10"/>
  <c r="F2527" i="10" s="1"/>
  <c r="E2528" i="10"/>
  <c r="F2528" i="10" s="1"/>
  <c r="E2529" i="10"/>
  <c r="F2529" i="10" s="1"/>
  <c r="E2530" i="10"/>
  <c r="F2530" i="10" s="1"/>
  <c r="E2531" i="10"/>
  <c r="F2531" i="10" s="1"/>
  <c r="E2532" i="10"/>
  <c r="F2532" i="10" s="1"/>
  <c r="E2533" i="10"/>
  <c r="F2533" i="10" s="1"/>
  <c r="E2534" i="10"/>
  <c r="F2534" i="10" s="1"/>
  <c r="E2535" i="10"/>
  <c r="F2535" i="10" s="1"/>
  <c r="E2536" i="10"/>
  <c r="F2536" i="10" s="1"/>
  <c r="E2537" i="10"/>
  <c r="F2537" i="10" s="1"/>
  <c r="E2538" i="10"/>
  <c r="F2538" i="10" s="1"/>
  <c r="E2539" i="10"/>
  <c r="F2539" i="10" s="1"/>
  <c r="E2540" i="10"/>
  <c r="F2540" i="10" s="1"/>
  <c r="E2541" i="10"/>
  <c r="F2541" i="10" s="1"/>
  <c r="E2542" i="10"/>
  <c r="F2542" i="10" s="1"/>
  <c r="E2543" i="10"/>
  <c r="F2543" i="10" s="1"/>
  <c r="E2544" i="10"/>
  <c r="F2544" i="10" s="1"/>
  <c r="E2545" i="10"/>
  <c r="F2545" i="10" s="1"/>
  <c r="E2546" i="10"/>
  <c r="F2546" i="10" s="1"/>
  <c r="E2547" i="10"/>
  <c r="F2547" i="10" s="1"/>
  <c r="E2548" i="10"/>
  <c r="F2548" i="10" s="1"/>
  <c r="E2549" i="10"/>
  <c r="F2549" i="10" s="1"/>
  <c r="E2550" i="10"/>
  <c r="F2550" i="10" s="1"/>
  <c r="E2551" i="10"/>
  <c r="F2551" i="10" s="1"/>
  <c r="E2552" i="10"/>
  <c r="F2552" i="10" s="1"/>
  <c r="E2553" i="10"/>
  <c r="F2553" i="10" s="1"/>
  <c r="E2554" i="10"/>
  <c r="F2554" i="10" s="1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F2555" i="10"/>
  <c r="F2556" i="10"/>
  <c r="F2557" i="10"/>
  <c r="F2558" i="10"/>
  <c r="F2559" i="10"/>
  <c r="F2560" i="10"/>
  <c r="F2561" i="10"/>
  <c r="F2562" i="10"/>
  <c r="F2563" i="10"/>
  <c r="F2564" i="10"/>
  <c r="F2565" i="10"/>
  <c r="F2566" i="10"/>
  <c r="F2567" i="10"/>
  <c r="F2568" i="10"/>
  <c r="F2569" i="10"/>
  <c r="F2570" i="10"/>
  <c r="F2571" i="10"/>
  <c r="F2572" i="10"/>
  <c r="F2573" i="10"/>
  <c r="F2574" i="10"/>
  <c r="F2575" i="10"/>
  <c r="F2576" i="10"/>
  <c r="F2577" i="10"/>
  <c r="F2578" i="10"/>
  <c r="F2579" i="10"/>
  <c r="F2580" i="10"/>
  <c r="F2581" i="10"/>
  <c r="F2582" i="10"/>
  <c r="F2583" i="10"/>
  <c r="F2584" i="10"/>
  <c r="F2585" i="10"/>
  <c r="F2586" i="10"/>
  <c r="F2587" i="10"/>
  <c r="F2588" i="10"/>
  <c r="F2589" i="10"/>
  <c r="F2590" i="10"/>
  <c r="F2591" i="10"/>
  <c r="F2592" i="10"/>
  <c r="F2593" i="10"/>
  <c r="F2594" i="10"/>
  <c r="F2595" i="10"/>
  <c r="F2596" i="10"/>
  <c r="F2597" i="10"/>
  <c r="F2598" i="10"/>
  <c r="F2599" i="10"/>
  <c r="F2600" i="10"/>
  <c r="F2601" i="10"/>
  <c r="F2602" i="10"/>
  <c r="F2603" i="10"/>
  <c r="F2604" i="10"/>
  <c r="F2605" i="10"/>
  <c r="F2606" i="10"/>
  <c r="F2607" i="10"/>
  <c r="F2608" i="10"/>
  <c r="F2609" i="10"/>
  <c r="F2610" i="10"/>
  <c r="F2611" i="10"/>
  <c r="F2612" i="10"/>
  <c r="F2613" i="10"/>
  <c r="F2614" i="10"/>
  <c r="F2615" i="10"/>
  <c r="F2616" i="10"/>
  <c r="F2617" i="10"/>
  <c r="F2618" i="10"/>
  <c r="F2619" i="10"/>
  <c r="F2620" i="10"/>
  <c r="F2621" i="10"/>
  <c r="F2622" i="10"/>
  <c r="F2623" i="10"/>
  <c r="F2624" i="10"/>
  <c r="F2625" i="10"/>
  <c r="F2626" i="10"/>
  <c r="F2627" i="10"/>
  <c r="F2628" i="10"/>
  <c r="F2629" i="10"/>
  <c r="F2630" i="10"/>
  <c r="F2631" i="10"/>
  <c r="F2632" i="10"/>
  <c r="F2633" i="10"/>
  <c r="F2634" i="10"/>
  <c r="F2635" i="10"/>
  <c r="F2636" i="10"/>
  <c r="F2637" i="10"/>
  <c r="F2638" i="10"/>
  <c r="F2639" i="10"/>
  <c r="F2640" i="10"/>
  <c r="F2641" i="10"/>
  <c r="F2642" i="10"/>
  <c r="F2643" i="10"/>
  <c r="F2644" i="10"/>
  <c r="F2645" i="10"/>
  <c r="F2646" i="10"/>
  <c r="F2647" i="10"/>
  <c r="F2648" i="10"/>
  <c r="F2649" i="10"/>
  <c r="F2650" i="10"/>
  <c r="F2651" i="10"/>
  <c r="F2652" i="10"/>
  <c r="F2653" i="10"/>
  <c r="F2654" i="10"/>
  <c r="F2655" i="10"/>
  <c r="F2656" i="10"/>
  <c r="F2657" i="10"/>
  <c r="F2658" i="10"/>
  <c r="F2659" i="10"/>
  <c r="F2660" i="10"/>
  <c r="F2661" i="10"/>
  <c r="F2662" i="10"/>
  <c r="F2663" i="10"/>
  <c r="F2664" i="10"/>
  <c r="F2665" i="10"/>
  <c r="F2666" i="10"/>
  <c r="F2667" i="10"/>
  <c r="F2668" i="10"/>
  <c r="F2669" i="10"/>
  <c r="F2670" i="10"/>
  <c r="F2671" i="10"/>
  <c r="F2672" i="10"/>
  <c r="F2673" i="10"/>
  <c r="F2674" i="10"/>
  <c r="F2675" i="10"/>
  <c r="F2676" i="10"/>
  <c r="F2677" i="10"/>
  <c r="F2678" i="10"/>
  <c r="F2679" i="10"/>
  <c r="F2680" i="10"/>
  <c r="F2681" i="10"/>
  <c r="F2682" i="10"/>
  <c r="F2683" i="10"/>
  <c r="F2684" i="10"/>
  <c r="F2685" i="10"/>
  <c r="F2686" i="10"/>
  <c r="F2687" i="10"/>
  <c r="F2688" i="10"/>
  <c r="F2689" i="10"/>
  <c r="F2690" i="10"/>
  <c r="F2691" i="10"/>
  <c r="F2692" i="10"/>
  <c r="F2693" i="10"/>
  <c r="F2694" i="10"/>
  <c r="F2695" i="10"/>
  <c r="F2696" i="10"/>
  <c r="F2697" i="10"/>
  <c r="F2698" i="10"/>
  <c r="F2699" i="10"/>
  <c r="F2700" i="10"/>
  <c r="F2701" i="10"/>
  <c r="F2702" i="10"/>
  <c r="F2703" i="10"/>
  <c r="F2704" i="10"/>
  <c r="F2705" i="10"/>
  <c r="F2706" i="10"/>
  <c r="F2707" i="10"/>
  <c r="F2708" i="10"/>
  <c r="F2709" i="10"/>
  <c r="F2710" i="10"/>
  <c r="F2711" i="10"/>
  <c r="F2712" i="10"/>
  <c r="F2713" i="10"/>
  <c r="F2714" i="10"/>
  <c r="F2715" i="10"/>
  <c r="F2716" i="10"/>
  <c r="F2717" i="10"/>
  <c r="F2718" i="10"/>
  <c r="F2719" i="10"/>
  <c r="F2720" i="10"/>
  <c r="F2721" i="10"/>
  <c r="F2722" i="10"/>
  <c r="F2723" i="10"/>
  <c r="F2724" i="10"/>
  <c r="F2725" i="10"/>
  <c r="F2726" i="10"/>
  <c r="F2727" i="10"/>
  <c r="F2728" i="10"/>
  <c r="F2729" i="10"/>
  <c r="F2730" i="10"/>
  <c r="F2731" i="10"/>
  <c r="F2732" i="10"/>
  <c r="F2733" i="10"/>
  <c r="F2734" i="10"/>
  <c r="F2735" i="10"/>
  <c r="F2736" i="10"/>
  <c r="F2737" i="10"/>
  <c r="F2738" i="10"/>
  <c r="F2739" i="10"/>
  <c r="F2740" i="10"/>
  <c r="F2741" i="10"/>
  <c r="F2742" i="10"/>
  <c r="F2743" i="10"/>
  <c r="F2744" i="10"/>
  <c r="F2745" i="10"/>
  <c r="F2746" i="10"/>
  <c r="F2747" i="10"/>
  <c r="F2748" i="10"/>
  <c r="F2749" i="10"/>
  <c r="F2750" i="10"/>
  <c r="F2751" i="10"/>
  <c r="F2752" i="10"/>
  <c r="F2753" i="10"/>
  <c r="F2754" i="10"/>
  <c r="F2755" i="10"/>
  <c r="F2756" i="10"/>
  <c r="F2757" i="10"/>
  <c r="F2758" i="10"/>
  <c r="F2759" i="10"/>
  <c r="F2760" i="10"/>
  <c r="F2761" i="10"/>
  <c r="F2762" i="10"/>
  <c r="F2763" i="10"/>
  <c r="F2764" i="10"/>
  <c r="F2765" i="10"/>
  <c r="F2766" i="10"/>
  <c r="F2767" i="10"/>
  <c r="F2768" i="10"/>
  <c r="F2769" i="10"/>
  <c r="F2770" i="10"/>
  <c r="F2771" i="10"/>
  <c r="F2772" i="10"/>
  <c r="F2773" i="10"/>
  <c r="F2774" i="10"/>
  <c r="F2775" i="10"/>
  <c r="F2776" i="10"/>
  <c r="F2777" i="10"/>
  <c r="F2778" i="10"/>
  <c r="F2779" i="10"/>
  <c r="F2780" i="10"/>
  <c r="F2781" i="10"/>
  <c r="F2782" i="10"/>
  <c r="F2783" i="10"/>
  <c r="F2784" i="10"/>
  <c r="F2785" i="10"/>
  <c r="F2786" i="10"/>
  <c r="F2787" i="10"/>
  <c r="F2788" i="10"/>
  <c r="F2789" i="10"/>
  <c r="F2790" i="10"/>
  <c r="F2791" i="10"/>
  <c r="F2792" i="10"/>
  <c r="F2793" i="10"/>
  <c r="F2794" i="10"/>
  <c r="F2795" i="10"/>
  <c r="F2796" i="10"/>
  <c r="F2797" i="10"/>
  <c r="F2798" i="10"/>
  <c r="F2799" i="10"/>
  <c r="F2800" i="10"/>
  <c r="F2801" i="10"/>
  <c r="F2802" i="10"/>
  <c r="F2803" i="10"/>
  <c r="F2804" i="10"/>
  <c r="F2805" i="10"/>
  <c r="F2806" i="10"/>
  <c r="F2807" i="10"/>
  <c r="F2808" i="10"/>
  <c r="F2809" i="10"/>
  <c r="F2810" i="10"/>
  <c r="F2811" i="10"/>
  <c r="F2812" i="10"/>
  <c r="F2813" i="10"/>
  <c r="F2814" i="10"/>
  <c r="F2815" i="10"/>
  <c r="F2816" i="10"/>
  <c r="F2817" i="10"/>
  <c r="F2818" i="10"/>
  <c r="F2819" i="10"/>
  <c r="F2820" i="10"/>
  <c r="F2821" i="10"/>
  <c r="F2822" i="10"/>
  <c r="F2823" i="10"/>
  <c r="F2824" i="10"/>
  <c r="F2825" i="10"/>
  <c r="F2826" i="10"/>
  <c r="F2827" i="10"/>
  <c r="F2828" i="10"/>
  <c r="F2829" i="10"/>
  <c r="F2830" i="10"/>
  <c r="F2831" i="10"/>
  <c r="F2832" i="10"/>
  <c r="F2833" i="10"/>
  <c r="F2834" i="10"/>
  <c r="F2835" i="10"/>
  <c r="F2836" i="10"/>
  <c r="F2837" i="10"/>
  <c r="F2838" i="10"/>
  <c r="F2839" i="10"/>
  <c r="F2840" i="10"/>
  <c r="F2841" i="10"/>
  <c r="F2842" i="10"/>
  <c r="F2843" i="10"/>
  <c r="F2844" i="10"/>
  <c r="F2845" i="10"/>
  <c r="F2846" i="10"/>
  <c r="F2847" i="10"/>
  <c r="F2848" i="10"/>
  <c r="F2849" i="10"/>
  <c r="F2850" i="10"/>
  <c r="F2851" i="10"/>
  <c r="F2852" i="10"/>
  <c r="F2853" i="10"/>
  <c r="F2854" i="10"/>
  <c r="F2855" i="10"/>
  <c r="F2856" i="10"/>
  <c r="F2857" i="10"/>
  <c r="F2858" i="10"/>
  <c r="F2859" i="10"/>
  <c r="F2860" i="10"/>
  <c r="F2861" i="10"/>
  <c r="F2862" i="10"/>
  <c r="F2863" i="10"/>
  <c r="F2864" i="10"/>
  <c r="F2865" i="10"/>
  <c r="F2866" i="10"/>
  <c r="F2867" i="10"/>
  <c r="F2868" i="10"/>
  <c r="F2869" i="10"/>
  <c r="F2870" i="10"/>
  <c r="F2871" i="10"/>
  <c r="F2872" i="10"/>
  <c r="F2873" i="10"/>
  <c r="F2874" i="10"/>
  <c r="F2875" i="10"/>
  <c r="F2876" i="10"/>
  <c r="F2877" i="10"/>
  <c r="F2878" i="10"/>
  <c r="F2879" i="10"/>
  <c r="F2880" i="10"/>
  <c r="F2881" i="10"/>
  <c r="F2882" i="10"/>
  <c r="F2883" i="10"/>
  <c r="F2884" i="10"/>
  <c r="F2885" i="10"/>
  <c r="F2886" i="10"/>
  <c r="F2887" i="10"/>
  <c r="F2888" i="10"/>
  <c r="F2889" i="10"/>
  <c r="F2890" i="10"/>
  <c r="F2891" i="10"/>
  <c r="F2892" i="10"/>
  <c r="F2893" i="10"/>
  <c r="F2894" i="10"/>
  <c r="F2895" i="10"/>
  <c r="F2896" i="10"/>
  <c r="F2897" i="10"/>
  <c r="F2898" i="10"/>
  <c r="F2899" i="10"/>
  <c r="F2900" i="10"/>
  <c r="F2901" i="10"/>
  <c r="F2902" i="10"/>
  <c r="F2903" i="10"/>
  <c r="F2904" i="10"/>
  <c r="F2905" i="10"/>
  <c r="F2906" i="10"/>
  <c r="F2907" i="10"/>
  <c r="F2908" i="10"/>
  <c r="F2909" i="10"/>
  <c r="F2910" i="10"/>
  <c r="F2911" i="10"/>
  <c r="F2912" i="10"/>
  <c r="F2913" i="10"/>
  <c r="F2914" i="10"/>
  <c r="F2915" i="10"/>
  <c r="F2916" i="10"/>
  <c r="F2917" i="10"/>
  <c r="F2918" i="10"/>
  <c r="F2919" i="10"/>
  <c r="F2920" i="10"/>
  <c r="F2921" i="10"/>
  <c r="F2922" i="10"/>
  <c r="F2923" i="10"/>
  <c r="F2924" i="10"/>
  <c r="F2925" i="10"/>
  <c r="F2926" i="10"/>
  <c r="F2927" i="10"/>
  <c r="F2928" i="10"/>
  <c r="F2929" i="10"/>
  <c r="F2930" i="10"/>
  <c r="F2931" i="10"/>
  <c r="F2932" i="10"/>
  <c r="F2933" i="10"/>
  <c r="F2934" i="10"/>
  <c r="F2935" i="10"/>
  <c r="F2936" i="10"/>
  <c r="F2937" i="10"/>
  <c r="F2938" i="10"/>
  <c r="F2939" i="10"/>
  <c r="F2940" i="10"/>
  <c r="F2941" i="10"/>
  <c r="F2942" i="10"/>
  <c r="F2943" i="10"/>
  <c r="F2944" i="10"/>
  <c r="F2945" i="10"/>
  <c r="F2946" i="10"/>
  <c r="F2947" i="10"/>
  <c r="F2948" i="10"/>
  <c r="F2949" i="10"/>
  <c r="F2950" i="10"/>
  <c r="F2951" i="10"/>
  <c r="F2952" i="10"/>
  <c r="F2953" i="10"/>
  <c r="F2954" i="10"/>
  <c r="F2955" i="10"/>
  <c r="F2956" i="10"/>
  <c r="F2957" i="10"/>
  <c r="F2958" i="10"/>
  <c r="F2959" i="10"/>
  <c r="F2960" i="10"/>
  <c r="F2961" i="10"/>
  <c r="F2962" i="10"/>
  <c r="F2963" i="10"/>
  <c r="F2964" i="10"/>
  <c r="F2965" i="10"/>
  <c r="F2966" i="10"/>
  <c r="F2967" i="10"/>
  <c r="F2968" i="10"/>
  <c r="F2969" i="10"/>
  <c r="F2970" i="10"/>
  <c r="F2971" i="10"/>
  <c r="F2972" i="10"/>
  <c r="F2973" i="10"/>
  <c r="F2974" i="10"/>
  <c r="F2975" i="10"/>
  <c r="F2976" i="10"/>
  <c r="F2977" i="10"/>
  <c r="F2978" i="10"/>
  <c r="F2979" i="10"/>
  <c r="F2980" i="10"/>
  <c r="F2981" i="10"/>
  <c r="F2982" i="10"/>
  <c r="F2983" i="10"/>
  <c r="F2984" i="10"/>
  <c r="F2985" i="10"/>
  <c r="F2986" i="10"/>
  <c r="F2987" i="10"/>
  <c r="F2988" i="10"/>
  <c r="F2989" i="10"/>
  <c r="F2990" i="10"/>
  <c r="F2991" i="10"/>
  <c r="F2992" i="10"/>
  <c r="F2993" i="10"/>
  <c r="F2994" i="10"/>
  <c r="F2995" i="10"/>
  <c r="F2996" i="10"/>
  <c r="F2997" i="10"/>
  <c r="F2998" i="10"/>
  <c r="F2999" i="10"/>
  <c r="F3000" i="10"/>
  <c r="F3001" i="10"/>
  <c r="F3002" i="10"/>
  <c r="F3003" i="10"/>
  <c r="F3004" i="10"/>
  <c r="F3005" i="10"/>
  <c r="F3006" i="10"/>
  <c r="F3007" i="10"/>
  <c r="F3008" i="10"/>
  <c r="F3009" i="10"/>
  <c r="F3010" i="10"/>
  <c r="F3011" i="10"/>
  <c r="F3012" i="10"/>
  <c r="F3013" i="10"/>
  <c r="F3014" i="10"/>
  <c r="F3015" i="10"/>
  <c r="F3016" i="10"/>
  <c r="F3017" i="10"/>
  <c r="F3018" i="10"/>
  <c r="F3019" i="10"/>
  <c r="F3020" i="10"/>
  <c r="F3021" i="10"/>
  <c r="F3022" i="10"/>
  <c r="F3023" i="10"/>
  <c r="F3024" i="10"/>
  <c r="F3025" i="10"/>
  <c r="F3026" i="10"/>
  <c r="F3027" i="10"/>
  <c r="F3028" i="10"/>
  <c r="F3029" i="10"/>
  <c r="F3030" i="10"/>
  <c r="F3031" i="10"/>
  <c r="F3032" i="10"/>
  <c r="F3033" i="10"/>
  <c r="F3034" i="10"/>
  <c r="F3035" i="10"/>
  <c r="F3036" i="10"/>
  <c r="F3037" i="10"/>
  <c r="F3038" i="10"/>
  <c r="F3039" i="10"/>
  <c r="F3040" i="10"/>
  <c r="F3041" i="10"/>
  <c r="F3042" i="10"/>
  <c r="F3043" i="10"/>
  <c r="F3044" i="10"/>
  <c r="F3045" i="10"/>
  <c r="F3046" i="10"/>
  <c r="F3047" i="10"/>
  <c r="F3048" i="10"/>
  <c r="F3049" i="10"/>
  <c r="F3050" i="10"/>
  <c r="F3051" i="10"/>
  <c r="F3052" i="10"/>
  <c r="F3053" i="10"/>
  <c r="F3054" i="10"/>
  <c r="F3055" i="10"/>
  <c r="F3056" i="10"/>
  <c r="F3057" i="10"/>
  <c r="F3058" i="10"/>
  <c r="F3059" i="10"/>
  <c r="F3060" i="10"/>
  <c r="F3061" i="10"/>
  <c r="F3062" i="10"/>
  <c r="F3063" i="10"/>
  <c r="F3064" i="10"/>
  <c r="F3065" i="10"/>
  <c r="F3066" i="10"/>
  <c r="F3067" i="10"/>
  <c r="F3068" i="10"/>
  <c r="F3069" i="10"/>
  <c r="F3070" i="10"/>
  <c r="F3071" i="10"/>
  <c r="F3072" i="10"/>
  <c r="F3073" i="10"/>
  <c r="F3074" i="10"/>
  <c r="F3075" i="10"/>
  <c r="F3076" i="10"/>
  <c r="F3077" i="10"/>
  <c r="F3078" i="10"/>
  <c r="F3079" i="10"/>
  <c r="F3080" i="10"/>
  <c r="F3081" i="10"/>
  <c r="F3082" i="10"/>
  <c r="F3083" i="10"/>
  <c r="F3084" i="10"/>
  <c r="F3085" i="10"/>
  <c r="F3086" i="10"/>
  <c r="F3087" i="10"/>
  <c r="F3088" i="10"/>
  <c r="F3089" i="10"/>
  <c r="F3090" i="10"/>
  <c r="F3091" i="10"/>
  <c r="F3092" i="10"/>
  <c r="F3093" i="10"/>
  <c r="F3094" i="10"/>
  <c r="F3095" i="10"/>
  <c r="F3096" i="10"/>
  <c r="F3097" i="10"/>
  <c r="F3098" i="10"/>
  <c r="F3099" i="10"/>
  <c r="F3100" i="10"/>
  <c r="F3101" i="10"/>
  <c r="F3102" i="10"/>
  <c r="F3103" i="10"/>
  <c r="F3104" i="10"/>
  <c r="F3105" i="10"/>
  <c r="F3106" i="10"/>
  <c r="F3107" i="10"/>
  <c r="F3108" i="10"/>
  <c r="F3109" i="10"/>
  <c r="F3110" i="10"/>
  <c r="F3111" i="10"/>
  <c r="F3112" i="10"/>
  <c r="F3113" i="10"/>
  <c r="F3114" i="10"/>
  <c r="F3115" i="10"/>
  <c r="F3116" i="10"/>
  <c r="F3117" i="10"/>
  <c r="F3118" i="10"/>
  <c r="F3119" i="10"/>
  <c r="F3120" i="10"/>
  <c r="F3121" i="10"/>
  <c r="F3122" i="10"/>
  <c r="F3123" i="10"/>
  <c r="F3124" i="10"/>
  <c r="F3125" i="10"/>
  <c r="F3126" i="10"/>
  <c r="F3127" i="10"/>
  <c r="F3128" i="10"/>
  <c r="F3129" i="10"/>
  <c r="F3130" i="10"/>
  <c r="F3131" i="10"/>
  <c r="F3132" i="10"/>
  <c r="F3133" i="10"/>
  <c r="F3134" i="10"/>
  <c r="F3135" i="10"/>
  <c r="F3136" i="10"/>
  <c r="F3137" i="10"/>
  <c r="F3138" i="10"/>
  <c r="F3139" i="10"/>
  <c r="F3140" i="10"/>
  <c r="F3141" i="10"/>
  <c r="F3142" i="10"/>
  <c r="F3143" i="10"/>
  <c r="F3144" i="10"/>
  <c r="F3145" i="10"/>
  <c r="F3146" i="10"/>
  <c r="F3147" i="10"/>
  <c r="F3148" i="10"/>
  <c r="F3149" i="10"/>
  <c r="F3150" i="10"/>
  <c r="F3151" i="10"/>
  <c r="F3152" i="10"/>
  <c r="F3153" i="10"/>
  <c r="F3154" i="10"/>
  <c r="F3155" i="10"/>
  <c r="F3156" i="10"/>
  <c r="F3157" i="10"/>
  <c r="F3158" i="10"/>
  <c r="F3159" i="10"/>
  <c r="F3160" i="10"/>
  <c r="F3161" i="10"/>
  <c r="F3162" i="10"/>
  <c r="F3163" i="10"/>
  <c r="F3164" i="10"/>
  <c r="F3165" i="10"/>
  <c r="F3166" i="10"/>
  <c r="F3167" i="10"/>
  <c r="F3168" i="10"/>
  <c r="F3169" i="10"/>
  <c r="F3170" i="10"/>
  <c r="F3171" i="10"/>
  <c r="F3172" i="10"/>
  <c r="F3173" i="10"/>
  <c r="F3174" i="10"/>
  <c r="F3175" i="10"/>
  <c r="F3176" i="10"/>
  <c r="F3177" i="10"/>
  <c r="F3178" i="10"/>
  <c r="F3179" i="10"/>
  <c r="F3180" i="10"/>
  <c r="F3181" i="10"/>
  <c r="F3182" i="10"/>
  <c r="F3183" i="10"/>
  <c r="F3184" i="10"/>
  <c r="F3185" i="10"/>
  <c r="F3186" i="10"/>
  <c r="F3187" i="10"/>
  <c r="F3188" i="10"/>
  <c r="F3189" i="10"/>
  <c r="F3190" i="10"/>
  <c r="F3191" i="10"/>
  <c r="F3192" i="10"/>
  <c r="F3193" i="10"/>
  <c r="F3194" i="10"/>
  <c r="F3195" i="10"/>
  <c r="F3196" i="10"/>
  <c r="F3197" i="10"/>
  <c r="F3198" i="10"/>
  <c r="F3199" i="10"/>
  <c r="F3200" i="10"/>
  <c r="F3201" i="10"/>
  <c r="F3202" i="10"/>
  <c r="F3203" i="10"/>
  <c r="F3204" i="10"/>
  <c r="F3205" i="10"/>
  <c r="F3206" i="10"/>
  <c r="F3207" i="10"/>
  <c r="F3208" i="10"/>
  <c r="F3209" i="10"/>
  <c r="F3210" i="10"/>
  <c r="F3211" i="10"/>
  <c r="F3212" i="10"/>
  <c r="F3213" i="10"/>
  <c r="F3214" i="10"/>
  <c r="F3215" i="10"/>
  <c r="F3216" i="10"/>
  <c r="F3217" i="10"/>
  <c r="F3218" i="10"/>
  <c r="F3219" i="10"/>
  <c r="F3220" i="10"/>
  <c r="F3221" i="10"/>
  <c r="F3222" i="10"/>
  <c r="F3223" i="10"/>
  <c r="F3224" i="10"/>
  <c r="F3225" i="10"/>
  <c r="F3226" i="10"/>
  <c r="F3227" i="10"/>
  <c r="F3228" i="10"/>
  <c r="F3229" i="10"/>
  <c r="F3230" i="10"/>
  <c r="F3231" i="10"/>
  <c r="F3232" i="10"/>
  <c r="F3233" i="10"/>
  <c r="F3234" i="10"/>
  <c r="F3235" i="10"/>
  <c r="F3236" i="10"/>
  <c r="F3237" i="10"/>
  <c r="F3238" i="10"/>
  <c r="F3239" i="10"/>
  <c r="F3240" i="10"/>
  <c r="F3241" i="10"/>
  <c r="F3242" i="10"/>
  <c r="F3243" i="10"/>
  <c r="F3244" i="10"/>
  <c r="F3245" i="10"/>
  <c r="F3246" i="10"/>
  <c r="F3247" i="10"/>
  <c r="F3248" i="10"/>
  <c r="F3249" i="10"/>
  <c r="F3250" i="10"/>
  <c r="F3251" i="10"/>
  <c r="F3252" i="10"/>
  <c r="F3253" i="10"/>
  <c r="F3254" i="10"/>
  <c r="F3255" i="10"/>
  <c r="F3256" i="10"/>
  <c r="F3257" i="10"/>
  <c r="F3258" i="10"/>
  <c r="F3259" i="10"/>
  <c r="F3260" i="10"/>
  <c r="F3261" i="10"/>
  <c r="F3262" i="10"/>
  <c r="F3263" i="10"/>
  <c r="F3264" i="10"/>
  <c r="F3265" i="10"/>
  <c r="F3266" i="10"/>
  <c r="F3267" i="10"/>
  <c r="F3268" i="10"/>
  <c r="F3269" i="10"/>
  <c r="F3270" i="10"/>
  <c r="F3271" i="10"/>
  <c r="F3272" i="10"/>
  <c r="F3273" i="10"/>
  <c r="F3274" i="10"/>
  <c r="F3275" i="10"/>
  <c r="F3276" i="10"/>
  <c r="F3277" i="10"/>
  <c r="F3278" i="10"/>
  <c r="F3279" i="10"/>
  <c r="F3280" i="10"/>
  <c r="F3281" i="10"/>
  <c r="F3282" i="10"/>
  <c r="F3283" i="10"/>
  <c r="F3284" i="10"/>
  <c r="F3285" i="10"/>
  <c r="F3286" i="10"/>
  <c r="F3287" i="10"/>
  <c r="F3288" i="10"/>
  <c r="F3289" i="10"/>
  <c r="F3290" i="10"/>
  <c r="F3291" i="10"/>
  <c r="F3292" i="10"/>
  <c r="F3293" i="10"/>
  <c r="F3294" i="10"/>
  <c r="F3295" i="10"/>
  <c r="F3296" i="10"/>
  <c r="F3297" i="10"/>
  <c r="F3298" i="10"/>
  <c r="F3299" i="10"/>
  <c r="F3300" i="10"/>
  <c r="F3301" i="10"/>
  <c r="F3302" i="10"/>
  <c r="F3303" i="10"/>
  <c r="F3304" i="10"/>
  <c r="F3305" i="10"/>
  <c r="F3306" i="10"/>
  <c r="F3307" i="10"/>
  <c r="F3308" i="10"/>
  <c r="F3309" i="10"/>
  <c r="F3310" i="10"/>
  <c r="F3311" i="10"/>
  <c r="F3312" i="10"/>
  <c r="F3313" i="10"/>
  <c r="F3314" i="10"/>
  <c r="F3315" i="10"/>
  <c r="F3316" i="10"/>
  <c r="F3317" i="10"/>
  <c r="F3318" i="10"/>
  <c r="F3319" i="10"/>
  <c r="F3320" i="10"/>
  <c r="F3321" i="10"/>
  <c r="F3322" i="10"/>
  <c r="F3323" i="10"/>
  <c r="F3324" i="10"/>
  <c r="F3325" i="10"/>
  <c r="F3326" i="10"/>
  <c r="F3327" i="10"/>
  <c r="F3328" i="10"/>
  <c r="F3329" i="10"/>
  <c r="F3330" i="10"/>
  <c r="F3331" i="10"/>
  <c r="F3332" i="10"/>
  <c r="F3333" i="10"/>
  <c r="F3334" i="10"/>
  <c r="F3335" i="10"/>
  <c r="F3336" i="10"/>
  <c r="F3337" i="10"/>
  <c r="F3338" i="10"/>
  <c r="F3339" i="10"/>
  <c r="F3340" i="10"/>
  <c r="F3341" i="10"/>
  <c r="F3342" i="10"/>
  <c r="F3343" i="10"/>
  <c r="F3344" i="10"/>
  <c r="F3345" i="10"/>
  <c r="F3346" i="10"/>
  <c r="F3347" i="10"/>
  <c r="F3348" i="10"/>
  <c r="F3349" i="10"/>
  <c r="F3350" i="10"/>
  <c r="F3351" i="10"/>
  <c r="F3352" i="10"/>
  <c r="F3353" i="10"/>
  <c r="F3354" i="10"/>
  <c r="F3355" i="10"/>
  <c r="F3356" i="10"/>
  <c r="F3357" i="10"/>
  <c r="F3358" i="10"/>
  <c r="F3359" i="10"/>
  <c r="F3360" i="10"/>
  <c r="F3361" i="10"/>
  <c r="F3362" i="10"/>
  <c r="F3363" i="10"/>
  <c r="F3364" i="10"/>
  <c r="F3365" i="10"/>
  <c r="F3366" i="10"/>
  <c r="F3401" i="10"/>
  <c r="F3402" i="10"/>
  <c r="F3403" i="10"/>
  <c r="F3404" i="10"/>
  <c r="F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3367" i="10"/>
  <c r="F3368" i="10"/>
  <c r="F3369" i="10"/>
  <c r="F3370" i="10"/>
  <c r="F3371" i="10"/>
  <c r="F3372" i="10"/>
  <c r="F3373" i="10"/>
  <c r="F3374" i="10"/>
  <c r="F3375" i="10"/>
  <c r="F3376" i="10"/>
  <c r="F3377" i="10"/>
  <c r="F3378" i="10"/>
  <c r="F3379" i="10"/>
  <c r="F3380" i="10"/>
  <c r="F3381" i="10"/>
  <c r="F3382" i="10"/>
  <c r="F3383" i="10"/>
  <c r="F3384" i="10"/>
  <c r="F3385" i="10"/>
  <c r="F3386" i="10"/>
  <c r="F3387" i="10"/>
  <c r="F3388" i="10"/>
  <c r="F3389" i="10"/>
  <c r="F3390" i="10"/>
  <c r="F3391" i="10"/>
  <c r="F3392" i="10"/>
  <c r="F3393" i="10"/>
  <c r="F3394" i="10"/>
  <c r="F3395" i="10"/>
  <c r="F3396" i="10"/>
  <c r="F3397" i="10"/>
  <c r="F3398" i="10"/>
  <c r="F3399" i="10"/>
  <c r="F3400" i="10"/>
  <c r="B3" i="12"/>
  <c r="C3" i="12" s="1"/>
  <c r="B2" i="12"/>
  <c r="C2" i="12" s="1"/>
  <c r="C2" i="11"/>
  <c r="C3" i="11"/>
  <c r="I1366" i="10" l="1"/>
  <c r="I251" i="10"/>
  <c r="I1473" i="10"/>
  <c r="I1477" i="10"/>
  <c r="I1480" i="10"/>
  <c r="I1568" i="10"/>
  <c r="I135" i="10"/>
  <c r="I178" i="10"/>
  <c r="I195" i="10"/>
  <c r="I210" i="10"/>
  <c r="I281" i="10"/>
  <c r="I283" i="10"/>
  <c r="I284" i="10"/>
  <c r="I288" i="10"/>
  <c r="I319" i="10"/>
  <c r="I320" i="10"/>
  <c r="I389" i="10"/>
  <c r="I397" i="10"/>
  <c r="I419" i="10"/>
  <c r="I427" i="10"/>
  <c r="I432" i="10"/>
  <c r="I439" i="10"/>
  <c r="I451" i="10"/>
  <c r="I456" i="10"/>
  <c r="I459" i="10"/>
  <c r="I504" i="10"/>
  <c r="I505" i="10"/>
  <c r="I531" i="10"/>
  <c r="I553" i="10"/>
  <c r="I554" i="10"/>
  <c r="I559" i="10"/>
  <c r="I591" i="10"/>
  <c r="I614" i="10"/>
  <c r="I624" i="10"/>
  <c r="I639" i="10"/>
  <c r="I698" i="10"/>
  <c r="I709" i="10"/>
  <c r="I712" i="10"/>
  <c r="I868" i="10"/>
  <c r="I976" i="10"/>
  <c r="I980" i="10"/>
  <c r="I983" i="10"/>
  <c r="I1032" i="10"/>
  <c r="I1119" i="10"/>
  <c r="I1121" i="10"/>
  <c r="I1142" i="10"/>
  <c r="I1235" i="10"/>
  <c r="I1628" i="10"/>
  <c r="I1637" i="10"/>
  <c r="I2711" i="10"/>
  <c r="I2" i="10"/>
  <c r="I2827" i="10"/>
  <c r="I2834" i="10"/>
  <c r="I2855" i="10"/>
  <c r="I2862" i="10"/>
  <c r="I2887" i="10"/>
  <c r="I2888" i="10"/>
  <c r="I2898" i="10"/>
  <c r="I2951" i="10"/>
  <c r="I2954" i="10"/>
  <c r="I2971" i="10"/>
  <c r="I3010" i="10"/>
  <c r="I3048" i="10"/>
  <c r="I3077" i="10"/>
  <c r="I3130" i="10"/>
  <c r="I3143" i="10"/>
  <c r="I3183" i="10"/>
  <c r="I3207" i="10"/>
  <c r="I3220" i="10"/>
  <c r="I3240" i="10"/>
  <c r="I3248" i="10"/>
  <c r="I3249" i="10"/>
  <c r="I3263" i="10"/>
  <c r="I3276" i="10"/>
  <c r="I3279" i="10"/>
  <c r="I3280" i="10"/>
  <c r="I3293" i="10"/>
  <c r="I3299" i="10"/>
  <c r="I3300" i="10"/>
  <c r="I3301" i="10"/>
  <c r="I3308" i="10"/>
  <c r="I3340" i="10"/>
  <c r="I3346" i="10"/>
  <c r="I3365" i="10"/>
  <c r="I1997" i="10"/>
  <c r="I2006" i="10"/>
  <c r="I2033" i="10"/>
  <c r="I2043" i="10"/>
  <c r="I2053" i="10"/>
  <c r="I2079" i="10"/>
  <c r="I2082" i="10"/>
  <c r="I2090" i="10"/>
  <c r="I2111" i="10"/>
  <c r="I2125" i="10"/>
  <c r="I2153" i="10"/>
  <c r="I2154" i="10"/>
  <c r="I2155" i="10"/>
  <c r="I2170" i="10"/>
  <c r="I2186" i="10"/>
  <c r="I2236" i="10"/>
  <c r="I2263" i="10"/>
  <c r="I2295" i="10"/>
  <c r="I2303" i="10"/>
  <c r="I2317" i="10"/>
  <c r="I2318" i="10"/>
  <c r="I2325" i="10"/>
  <c r="I94" i="10" l="1"/>
  <c r="I91" i="10"/>
  <c r="I92" i="10"/>
  <c r="I93" i="10"/>
  <c r="I95" i="10"/>
  <c r="I97" i="10"/>
  <c r="I96" i="10"/>
  <c r="I99" i="10"/>
  <c r="I101" i="10"/>
  <c r="I102" i="10"/>
  <c r="I100" i="10"/>
  <c r="I98" i="10"/>
  <c r="I103" i="10"/>
  <c r="I104" i="10"/>
  <c r="I105" i="10"/>
  <c r="I107" i="10"/>
  <c r="I108" i="10"/>
  <c r="I106" i="10"/>
  <c r="I113" i="10"/>
  <c r="I116" i="10"/>
  <c r="I117" i="10"/>
  <c r="I115" i="10"/>
  <c r="I112" i="10"/>
  <c r="I111" i="10"/>
  <c r="I110" i="10"/>
  <c r="I109" i="10"/>
  <c r="I114" i="10"/>
  <c r="I120" i="10"/>
  <c r="I118" i="10"/>
  <c r="I119" i="10"/>
  <c r="I123" i="10"/>
  <c r="I121" i="10"/>
  <c r="I122" i="10"/>
  <c r="I125" i="10"/>
  <c r="I124" i="10"/>
  <c r="I129" i="10"/>
  <c r="I130" i="10"/>
  <c r="I128" i="10"/>
  <c r="I127" i="10"/>
  <c r="I126" i="10"/>
  <c r="I138" i="10"/>
  <c r="I139" i="10"/>
  <c r="I137" i="10"/>
  <c r="I136" i="10"/>
  <c r="I143" i="10"/>
  <c r="I145" i="10"/>
  <c r="I142" i="10"/>
  <c r="I141" i="10"/>
  <c r="I144" i="10"/>
  <c r="I140" i="10"/>
  <c r="I147" i="10"/>
  <c r="I146" i="10"/>
  <c r="I149" i="10"/>
  <c r="I150" i="10"/>
  <c r="I148" i="10"/>
  <c r="I311" i="10"/>
  <c r="I310" i="10"/>
  <c r="I313" i="10"/>
  <c r="I312" i="10"/>
  <c r="I321" i="10"/>
  <c r="I323" i="10"/>
  <c r="I325" i="10"/>
  <c r="I322" i="10"/>
  <c r="I324" i="10"/>
  <c r="I326" i="10"/>
  <c r="I327" i="10"/>
  <c r="I328" i="10"/>
  <c r="I330" i="10"/>
  <c r="I329" i="10"/>
  <c r="I332" i="10"/>
  <c r="I334" i="10"/>
  <c r="I333" i="10"/>
  <c r="I331" i="10"/>
  <c r="I335" i="10"/>
  <c r="I336" i="10"/>
  <c r="I340" i="10"/>
  <c r="I339" i="10"/>
  <c r="I338" i="10"/>
  <c r="I337" i="10"/>
  <c r="I344" i="10"/>
  <c r="I343" i="10"/>
  <c r="I341" i="10"/>
  <c r="I342" i="10"/>
  <c r="I345" i="10"/>
  <c r="I346" i="10"/>
  <c r="I349" i="10"/>
  <c r="I347" i="10"/>
  <c r="I350" i="10"/>
  <c r="I348" i="10"/>
  <c r="I351" i="10"/>
  <c r="I353" i="10"/>
  <c r="I352" i="10"/>
  <c r="I354" i="10"/>
  <c r="I355" i="10"/>
  <c r="I357" i="10"/>
  <c r="I356" i="10"/>
  <c r="I363" i="10"/>
  <c r="I361" i="10"/>
  <c r="I360" i="10"/>
  <c r="I362" i="10"/>
  <c r="I359" i="10"/>
  <c r="I358" i="10"/>
  <c r="I364" i="10"/>
  <c r="I366" i="10"/>
  <c r="I365" i="10"/>
  <c r="I368" i="10"/>
  <c r="I367" i="10"/>
  <c r="I369" i="10"/>
  <c r="I371" i="10"/>
  <c r="I374" i="10"/>
  <c r="I372" i="10"/>
  <c r="I373" i="10"/>
  <c r="I370" i="10"/>
  <c r="I376" i="10"/>
  <c r="I375" i="10"/>
  <c r="I395" i="10"/>
  <c r="I394" i="10"/>
  <c r="I396" i="10"/>
  <c r="I400" i="10"/>
  <c r="I399" i="10"/>
  <c r="I402" i="10"/>
  <c r="I398" i="10"/>
  <c r="I401" i="10"/>
  <c r="I404" i="10"/>
  <c r="I405" i="10"/>
  <c r="I403" i="10"/>
  <c r="I407" i="10"/>
  <c r="I406" i="10"/>
  <c r="I408" i="10"/>
  <c r="I409" i="10"/>
  <c r="I410" i="10"/>
  <c r="I411" i="10"/>
  <c r="I412" i="10"/>
  <c r="I431" i="10"/>
  <c r="I430" i="10"/>
  <c r="I440" i="10"/>
  <c r="I441" i="10"/>
  <c r="I442" i="10"/>
  <c r="I450" i="10"/>
  <c r="I449" i="10"/>
  <c r="I457" i="10"/>
  <c r="I458" i="10"/>
  <c r="I460" i="10"/>
  <c r="I463" i="10"/>
  <c r="I462" i="10"/>
  <c r="I461" i="10"/>
  <c r="I466" i="10"/>
  <c r="I464" i="10"/>
  <c r="I465" i="10"/>
  <c r="I467" i="10"/>
  <c r="I468" i="10"/>
  <c r="I471" i="10"/>
  <c r="I469" i="10"/>
  <c r="I470" i="10"/>
  <c r="I474" i="10"/>
  <c r="I472" i="10"/>
  <c r="I473" i="10"/>
  <c r="I478" i="10"/>
  <c r="I475" i="10"/>
  <c r="I476" i="10"/>
  <c r="I477" i="10"/>
  <c r="I480" i="10"/>
  <c r="I482" i="10"/>
  <c r="I479" i="10"/>
  <c r="I481" i="10"/>
  <c r="I484" i="10"/>
  <c r="I485" i="10"/>
  <c r="I483" i="10"/>
  <c r="I486" i="10"/>
  <c r="I487" i="10"/>
  <c r="I488" i="10"/>
  <c r="I489" i="10"/>
  <c r="I490" i="10"/>
  <c r="I491" i="10"/>
  <c r="I493" i="10"/>
  <c r="I492" i="10"/>
  <c r="I494" i="10"/>
  <c r="I510" i="10"/>
  <c r="I508" i="10"/>
  <c r="I506" i="10"/>
  <c r="I509" i="10"/>
  <c r="I507" i="10"/>
  <c r="I516" i="10"/>
  <c r="I512" i="10"/>
  <c r="I513" i="10"/>
  <c r="I511" i="10"/>
  <c r="I515" i="10"/>
  <c r="I514" i="10"/>
  <c r="I521" i="10"/>
  <c r="I522" i="10"/>
  <c r="I518" i="10"/>
  <c r="I519" i="10"/>
  <c r="I517" i="10"/>
  <c r="I520" i="10"/>
  <c r="I530" i="10"/>
  <c r="I529" i="10"/>
  <c r="I532" i="10"/>
  <c r="I535" i="10"/>
  <c r="I533" i="10"/>
  <c r="I534" i="10"/>
  <c r="I536" i="10"/>
  <c r="I537" i="10"/>
  <c r="I543" i="10"/>
  <c r="I542" i="10"/>
  <c r="I538" i="10"/>
  <c r="I539" i="10"/>
  <c r="I541" i="10"/>
  <c r="I540" i="10"/>
  <c r="I544" i="10"/>
  <c r="I545" i="10"/>
  <c r="I561" i="10"/>
  <c r="I564" i="10"/>
  <c r="I567" i="10"/>
  <c r="I569" i="10"/>
  <c r="I566" i="10"/>
  <c r="I565" i="10"/>
  <c r="I560" i="10"/>
  <c r="I563" i="10"/>
  <c r="I562" i="10"/>
  <c r="I568" i="10"/>
  <c r="I575" i="10"/>
  <c r="I574" i="10"/>
  <c r="I570" i="10"/>
  <c r="I572" i="10"/>
  <c r="I571" i="10"/>
  <c r="I573" i="10"/>
  <c r="I2531" i="10"/>
  <c r="I2567" i="10"/>
  <c r="I2619" i="10"/>
  <c r="I2667" i="10"/>
  <c r="I2630" i="10"/>
  <c r="I1695" i="10"/>
  <c r="I1754" i="10"/>
  <c r="I1802" i="10"/>
  <c r="I2574" i="10"/>
  <c r="I2668" i="10"/>
  <c r="I1890" i="10"/>
  <c r="I1971" i="10"/>
  <c r="I2792" i="10"/>
  <c r="I2803" i="10"/>
  <c r="I2817" i="10"/>
  <c r="I1727" i="10"/>
  <c r="I1994" i="10"/>
  <c r="I1787" i="10"/>
  <c r="I2507" i="10"/>
  <c r="I2518" i="10"/>
  <c r="I3404" i="10"/>
  <c r="I3403" i="10"/>
  <c r="I2562" i="10"/>
  <c r="I2653" i="10"/>
  <c r="I2608" i="10"/>
  <c r="I2698" i="10"/>
  <c r="I2720" i="10"/>
  <c r="I2346" i="10"/>
  <c r="I2453" i="10"/>
  <c r="I2473" i="10"/>
  <c r="I2498" i="10"/>
  <c r="I1607" i="10"/>
  <c r="I1668" i="10"/>
  <c r="I1724" i="10"/>
  <c r="I1763" i="10"/>
  <c r="I1832" i="10"/>
  <c r="I2379" i="10"/>
  <c r="I1633" i="10"/>
  <c r="I1743" i="10"/>
  <c r="I1797" i="10"/>
  <c r="I1936" i="10"/>
  <c r="I1977" i="10"/>
  <c r="I1624" i="10"/>
  <c r="I1625" i="10"/>
  <c r="I1880" i="10"/>
  <c r="I1881" i="10"/>
  <c r="I1921" i="10"/>
  <c r="I1922" i="10"/>
  <c r="I2555" i="10"/>
  <c r="I2556" i="10"/>
  <c r="I2580" i="10"/>
  <c r="I2581" i="10"/>
  <c r="I2582" i="10"/>
  <c r="I2706" i="10"/>
  <c r="I2707" i="10"/>
  <c r="I2768" i="10"/>
  <c r="I2769" i="10"/>
  <c r="I2770" i="10"/>
  <c r="I2771" i="10"/>
  <c r="I1296" i="10"/>
  <c r="I1322" i="10"/>
  <c r="I1365" i="10"/>
  <c r="I1367" i="10"/>
  <c r="I229" i="10"/>
  <c r="I252" i="10"/>
  <c r="I1403" i="10"/>
  <c r="I1428" i="10"/>
  <c r="I1439" i="10"/>
  <c r="I1440" i="10"/>
  <c r="I1463" i="10"/>
  <c r="I1506" i="10"/>
  <c r="I1545" i="10"/>
  <c r="I1565" i="10"/>
  <c r="I10" i="10"/>
  <c r="I184" i="10"/>
  <c r="I207" i="10"/>
  <c r="I266" i="10"/>
  <c r="I273" i="10"/>
  <c r="I280" i="10"/>
  <c r="I282" i="10"/>
  <c r="I301" i="10"/>
  <c r="I620" i="10"/>
  <c r="I633" i="10"/>
  <c r="I678" i="10"/>
  <c r="I695" i="10"/>
  <c r="I706" i="10"/>
  <c r="I732" i="10"/>
  <c r="I762" i="10"/>
  <c r="I806" i="10"/>
  <c r="I816" i="10"/>
  <c r="I867" i="10"/>
  <c r="I869" i="10"/>
  <c r="I925" i="10"/>
  <c r="I953" i="10"/>
  <c r="I971" i="10"/>
  <c r="I972" i="10"/>
  <c r="I1021" i="10"/>
  <c r="I1049" i="10"/>
  <c r="I1057" i="10"/>
  <c r="I1118" i="10"/>
  <c r="I1120" i="10"/>
  <c r="I1133" i="10"/>
  <c r="I1161" i="10"/>
  <c r="I1162" i="10"/>
  <c r="I1181" i="10"/>
  <c r="I1189" i="10"/>
  <c r="I1213" i="10"/>
  <c r="I11" i="10"/>
  <c r="I3402" i="10"/>
  <c r="I3401" i="10"/>
  <c r="I16" i="10"/>
  <c r="I17" i="10"/>
  <c r="I20" i="10"/>
  <c r="I18" i="10"/>
  <c r="I19" i="10"/>
  <c r="I21" i="10"/>
  <c r="I27" i="10"/>
  <c r="I30" i="10"/>
  <c r="I29" i="10"/>
  <c r="I28" i="10"/>
  <c r="I33" i="10"/>
  <c r="I32" i="10"/>
  <c r="I31" i="10"/>
  <c r="I34" i="10"/>
  <c r="I35" i="10"/>
  <c r="I37" i="10"/>
  <c r="I42" i="10"/>
  <c r="I41" i="10"/>
  <c r="I40" i="10"/>
  <c r="I36" i="10"/>
  <c r="I38" i="10"/>
  <c r="I39" i="10"/>
  <c r="I49" i="10"/>
  <c r="I43" i="10"/>
  <c r="I46" i="10"/>
  <c r="I47" i="10"/>
  <c r="I44" i="10"/>
  <c r="I48" i="10"/>
  <c r="I45" i="10"/>
  <c r="I51" i="10"/>
  <c r="I50" i="10"/>
  <c r="I54" i="10"/>
  <c r="I55" i="10"/>
  <c r="I53" i="10"/>
  <c r="I52" i="10"/>
  <c r="I61" i="10"/>
  <c r="I63" i="10"/>
  <c r="I64" i="10"/>
  <c r="I62" i="10"/>
  <c r="I69" i="10"/>
  <c r="I70" i="10"/>
  <c r="I65" i="10"/>
  <c r="I67" i="10"/>
  <c r="I68" i="10"/>
  <c r="I66" i="10"/>
  <c r="I72" i="10"/>
  <c r="I76" i="10"/>
  <c r="I71" i="10"/>
  <c r="I75" i="10"/>
  <c r="I74" i="10"/>
  <c r="I73" i="10"/>
  <c r="I81" i="10"/>
  <c r="I78" i="10"/>
  <c r="I77" i="10"/>
  <c r="I79" i="10"/>
  <c r="I80" i="10"/>
  <c r="I84" i="10"/>
  <c r="I85" i="10"/>
  <c r="I83" i="10"/>
  <c r="I82" i="10"/>
  <c r="I87" i="10"/>
  <c r="I90" i="10"/>
  <c r="I86" i="10"/>
  <c r="I88" i="10"/>
  <c r="I89" i="10"/>
  <c r="I3" i="10"/>
  <c r="I4" i="10"/>
  <c r="I5" i="10"/>
  <c r="I7" i="10"/>
  <c r="I9" i="10"/>
  <c r="I8" i="10"/>
  <c r="B4" i="12"/>
  <c r="C4" i="12" s="1"/>
  <c r="I60" i="10"/>
  <c r="I316" i="10"/>
  <c r="I455" i="10"/>
  <c r="I500" i="10"/>
  <c r="I158" i="10"/>
  <c r="I162" i="10"/>
  <c r="I161" i="10"/>
  <c r="I159" i="10"/>
  <c r="I163" i="10"/>
  <c r="I160" i="10"/>
  <c r="I157" i="10"/>
  <c r="I167" i="10"/>
  <c r="I164" i="10"/>
  <c r="I168" i="10"/>
  <c r="I169" i="10"/>
  <c r="I166" i="10"/>
  <c r="I165" i="10"/>
  <c r="I173" i="10"/>
  <c r="I172" i="10"/>
  <c r="I171" i="10"/>
  <c r="I170" i="10"/>
  <c r="I174" i="10"/>
  <c r="I175" i="10"/>
  <c r="I177" i="10"/>
  <c r="I176" i="10"/>
  <c r="I181" i="10"/>
  <c r="I179" i="10"/>
  <c r="I180" i="10"/>
  <c r="I182" i="10"/>
  <c r="I183" i="10"/>
  <c r="I185" i="10"/>
  <c r="I186" i="10"/>
  <c r="I190" i="10"/>
  <c r="I188" i="10"/>
  <c r="I191" i="10"/>
  <c r="I187" i="10"/>
  <c r="I189" i="10"/>
  <c r="I194" i="10"/>
  <c r="I192" i="10"/>
  <c r="I193" i="10"/>
  <c r="I200" i="10"/>
  <c r="I198" i="10"/>
  <c r="I199" i="10"/>
  <c r="I196" i="10"/>
  <c r="I197" i="10"/>
  <c r="I201" i="10"/>
  <c r="I202" i="10"/>
  <c r="I203" i="10"/>
  <c r="I204" i="10"/>
  <c r="I205" i="10"/>
  <c r="I206" i="10"/>
  <c r="I209" i="10"/>
  <c r="I208" i="10"/>
  <c r="I214" i="10"/>
  <c r="I213" i="10"/>
  <c r="I212" i="10"/>
  <c r="I211" i="10"/>
  <c r="I216" i="10"/>
  <c r="I215" i="10"/>
  <c r="I218" i="10"/>
  <c r="I219" i="10"/>
  <c r="I220" i="10"/>
  <c r="I217" i="10"/>
  <c r="I222" i="10"/>
  <c r="I221" i="10"/>
  <c r="I223" i="10"/>
  <c r="I228" i="10"/>
  <c r="I224" i="10"/>
  <c r="I225" i="10"/>
  <c r="I227" i="10"/>
  <c r="I226" i="10"/>
  <c r="I230" i="10"/>
  <c r="I231" i="10"/>
  <c r="I232" i="10"/>
  <c r="I234" i="10"/>
  <c r="I235" i="10"/>
  <c r="I233" i="10"/>
  <c r="I237" i="10"/>
  <c r="I236" i="10"/>
  <c r="I239" i="10"/>
  <c r="I240" i="10"/>
  <c r="I238" i="10"/>
  <c r="I246" i="10"/>
  <c r="I247" i="10"/>
  <c r="I243" i="10"/>
  <c r="I244" i="10"/>
  <c r="I242" i="10"/>
  <c r="I245" i="10"/>
  <c r="I241" i="10"/>
  <c r="I249" i="10"/>
  <c r="I250" i="10"/>
  <c r="I248" i="10"/>
  <c r="I253" i="10"/>
  <c r="I254" i="10"/>
  <c r="I260" i="10"/>
  <c r="I259" i="10"/>
  <c r="I256" i="10"/>
  <c r="I255" i="10"/>
  <c r="I257" i="10"/>
  <c r="I258" i="10"/>
  <c r="I261" i="10"/>
  <c r="I262" i="10"/>
  <c r="I263" i="10"/>
  <c r="I265" i="10"/>
  <c r="I264" i="10"/>
  <c r="I268" i="10"/>
  <c r="I267" i="10"/>
  <c r="I271" i="10"/>
  <c r="I270" i="10"/>
  <c r="I272" i="10"/>
  <c r="I269" i="10"/>
  <c r="I275" i="10"/>
  <c r="I274" i="10"/>
  <c r="I276" i="10"/>
  <c r="I277" i="10"/>
  <c r="I279" i="10"/>
  <c r="I278" i="10"/>
  <c r="I286" i="10"/>
  <c r="I285" i="10"/>
  <c r="I287" i="10"/>
  <c r="I290" i="10"/>
  <c r="I289" i="10"/>
  <c r="I291" i="10"/>
  <c r="I292" i="10"/>
  <c r="I294" i="10"/>
  <c r="I293" i="10"/>
  <c r="I298" i="10"/>
  <c r="I299" i="10"/>
  <c r="I300" i="10"/>
  <c r="I295" i="10"/>
  <c r="I297" i="10"/>
  <c r="I296" i="10"/>
  <c r="I303" i="10"/>
  <c r="I304" i="10"/>
  <c r="I302" i="10"/>
  <c r="I305" i="10"/>
  <c r="I307" i="10"/>
  <c r="I306" i="10"/>
  <c r="I308" i="10"/>
  <c r="I309" i="10"/>
  <c r="I578" i="10"/>
  <c r="I579" i="10"/>
  <c r="I581" i="10"/>
  <c r="I576" i="10"/>
  <c r="I582" i="10"/>
  <c r="I577" i="10"/>
  <c r="I580" i="10"/>
  <c r="I584" i="10"/>
  <c r="I583" i="10"/>
  <c r="I586" i="10"/>
  <c r="I587" i="10"/>
  <c r="I585" i="10"/>
  <c r="I590" i="10"/>
  <c r="I588" i="10"/>
  <c r="I589" i="10"/>
  <c r="I598" i="10"/>
  <c r="I596" i="10"/>
  <c r="I594" i="10"/>
  <c r="I592" i="10"/>
  <c r="I599" i="10"/>
  <c r="I597" i="10"/>
  <c r="I595" i="10"/>
  <c r="I593" i="10"/>
  <c r="I602" i="10"/>
  <c r="I601" i="10"/>
  <c r="I600" i="10"/>
  <c r="I607" i="10"/>
  <c r="I606" i="10"/>
  <c r="I604" i="10"/>
  <c r="I605" i="10"/>
  <c r="I603" i="10"/>
  <c r="I609" i="10"/>
  <c r="I610" i="10"/>
  <c r="I608" i="10"/>
  <c r="I613" i="10"/>
  <c r="I611" i="10"/>
  <c r="I612" i="10"/>
  <c r="I619" i="10"/>
  <c r="I617" i="10"/>
  <c r="I615" i="10"/>
  <c r="I618" i="10"/>
  <c r="I616" i="10"/>
  <c r="I623" i="10"/>
  <c r="I621" i="10"/>
  <c r="I622" i="10"/>
  <c r="I627" i="10"/>
  <c r="I625" i="10"/>
  <c r="I628" i="10"/>
  <c r="I626" i="10"/>
  <c r="I629" i="10"/>
  <c r="I630" i="10"/>
  <c r="I632" i="10"/>
  <c r="I631" i="10"/>
  <c r="I634" i="10"/>
  <c r="I635" i="10"/>
  <c r="I637" i="10"/>
  <c r="I638" i="10"/>
  <c r="I636" i="10"/>
  <c r="I643" i="10"/>
  <c r="I641" i="10"/>
  <c r="I644" i="10"/>
  <c r="I642" i="10"/>
  <c r="I640" i="10"/>
  <c r="I647" i="10"/>
  <c r="I645" i="10"/>
  <c r="I648" i="10"/>
  <c r="I646" i="10"/>
  <c r="I653" i="10"/>
  <c r="I651" i="10"/>
  <c r="I649" i="10"/>
  <c r="I652" i="10"/>
  <c r="I650" i="10"/>
  <c r="I655" i="10"/>
  <c r="I654" i="10"/>
  <c r="I663" i="10"/>
  <c r="I661" i="10"/>
  <c r="I659" i="10"/>
  <c r="I657" i="10"/>
  <c r="I662" i="10"/>
  <c r="I660" i="10"/>
  <c r="I658" i="10"/>
  <c r="I656" i="10"/>
  <c r="I665" i="10"/>
  <c r="I664" i="10"/>
  <c r="I667" i="10"/>
  <c r="I666" i="10"/>
  <c r="I673" i="10"/>
  <c r="I671" i="10"/>
  <c r="I669" i="10"/>
  <c r="I672" i="10"/>
  <c r="I670" i="10"/>
  <c r="I668" i="10"/>
  <c r="I677" i="10"/>
  <c r="I675" i="10"/>
  <c r="I676" i="10"/>
  <c r="I674" i="10"/>
  <c r="I679" i="10"/>
  <c r="I680" i="10"/>
  <c r="I686" i="10"/>
  <c r="I684" i="10"/>
  <c r="I682" i="10"/>
  <c r="I685" i="10"/>
  <c r="I683" i="10"/>
  <c r="I681" i="10"/>
  <c r="I688" i="10"/>
  <c r="I687" i="10"/>
  <c r="I694" i="10"/>
  <c r="I692" i="10"/>
  <c r="I690" i="10"/>
  <c r="I693" i="10"/>
  <c r="I691" i="10"/>
  <c r="I689" i="10"/>
  <c r="I696" i="10"/>
  <c r="I697" i="10"/>
  <c r="I704" i="10"/>
  <c r="I702" i="10"/>
  <c r="I700" i="10"/>
  <c r="I705" i="10"/>
  <c r="I703" i="10"/>
  <c r="I701" i="10"/>
  <c r="I699" i="10"/>
  <c r="I708" i="10"/>
  <c r="I707" i="10"/>
  <c r="I710" i="10"/>
  <c r="I711" i="10"/>
  <c r="I716" i="10"/>
  <c r="I714" i="10"/>
  <c r="I715" i="10"/>
  <c r="I713" i="10"/>
  <c r="I718" i="10"/>
  <c r="I717" i="10"/>
  <c r="I722" i="10"/>
  <c r="I720" i="10"/>
  <c r="I721" i="10"/>
  <c r="I719" i="10"/>
  <c r="I726" i="10"/>
  <c r="I724" i="10"/>
  <c r="I725" i="10"/>
  <c r="I723" i="10"/>
  <c r="I731" i="10"/>
  <c r="I728" i="10"/>
  <c r="I730" i="10"/>
  <c r="I729" i="10"/>
  <c r="I727" i="10"/>
  <c r="I735" i="10"/>
  <c r="I733" i="10"/>
  <c r="I736" i="10"/>
  <c r="I734" i="10"/>
  <c r="I741" i="10"/>
  <c r="I739" i="10"/>
  <c r="I737" i="10"/>
  <c r="I742" i="10"/>
  <c r="I740" i="10"/>
  <c r="I738" i="10"/>
  <c r="I747" i="10"/>
  <c r="I745" i="10"/>
  <c r="I743" i="10"/>
  <c r="I748" i="10"/>
  <c r="I746" i="10"/>
  <c r="I744" i="10"/>
  <c r="I751" i="10"/>
  <c r="I749" i="10"/>
  <c r="I750" i="10"/>
  <c r="I753" i="10"/>
  <c r="I754" i="10"/>
  <c r="I752" i="10"/>
  <c r="I760" i="10"/>
  <c r="I758" i="10"/>
  <c r="I756" i="10"/>
  <c r="I755" i="10"/>
  <c r="I761" i="10"/>
  <c r="I759" i="10"/>
  <c r="I757" i="10"/>
  <c r="I764" i="10"/>
  <c r="I766" i="10"/>
  <c r="I765" i="10"/>
  <c r="I763" i="10"/>
  <c r="I769" i="10"/>
  <c r="I767" i="10"/>
  <c r="I770" i="10"/>
  <c r="I768" i="10"/>
  <c r="I774" i="10"/>
  <c r="I772" i="10"/>
  <c r="I771" i="10"/>
  <c r="I773" i="10"/>
  <c r="I780" i="10"/>
  <c r="I778" i="10"/>
  <c r="I776" i="10"/>
  <c r="I779" i="10"/>
  <c r="I777" i="10"/>
  <c r="I775" i="10"/>
  <c r="I783" i="10"/>
  <c r="I784" i="10"/>
  <c r="I782" i="10"/>
  <c r="I781" i="10"/>
  <c r="I785" i="10"/>
  <c r="I786" i="10"/>
  <c r="I791" i="10"/>
  <c r="I789" i="10"/>
  <c r="I787" i="10"/>
  <c r="I790" i="10"/>
  <c r="I788" i="10"/>
  <c r="I793" i="10"/>
  <c r="I794" i="10"/>
  <c r="I792" i="10"/>
  <c r="I795" i="10"/>
  <c r="I796" i="10"/>
  <c r="I801" i="10"/>
  <c r="I799" i="10"/>
  <c r="I797" i="10"/>
  <c r="I800" i="10"/>
  <c r="I798" i="10"/>
  <c r="I803" i="10"/>
  <c r="I802" i="10"/>
  <c r="I805" i="10"/>
  <c r="I804" i="10"/>
  <c r="I815" i="10"/>
  <c r="I813" i="10"/>
  <c r="I811" i="10"/>
  <c r="I809" i="10"/>
  <c r="I807" i="10"/>
  <c r="I814" i="10"/>
  <c r="I812" i="10"/>
  <c r="I810" i="10"/>
  <c r="I808" i="10"/>
  <c r="I824" i="10"/>
  <c r="I823" i="10"/>
  <c r="I821" i="10"/>
  <c r="I819" i="10"/>
  <c r="I817" i="10"/>
  <c r="I822" i="10"/>
  <c r="I820" i="10"/>
  <c r="I818" i="10"/>
  <c r="I830" i="10"/>
  <c r="I828" i="10"/>
  <c r="I826" i="10"/>
  <c r="I829" i="10"/>
  <c r="I827" i="10"/>
  <c r="I825" i="10"/>
  <c r="I832" i="10"/>
  <c r="I831" i="10"/>
  <c r="I834" i="10"/>
  <c r="I833" i="10"/>
  <c r="I836" i="10"/>
  <c r="I837" i="10"/>
  <c r="I835" i="10"/>
  <c r="I842" i="10"/>
  <c r="I840" i="10"/>
  <c r="I838" i="10"/>
  <c r="I843" i="10"/>
  <c r="I841" i="10"/>
  <c r="I839" i="10"/>
  <c r="I844" i="10"/>
  <c r="I845" i="10"/>
  <c r="I850" i="10"/>
  <c r="I848" i="10"/>
  <c r="I846" i="10"/>
  <c r="I851" i="10"/>
  <c r="I849" i="10"/>
  <c r="I847" i="10"/>
  <c r="I854" i="10"/>
  <c r="I853" i="10"/>
  <c r="I852" i="10"/>
  <c r="I861" i="10"/>
  <c r="I860" i="10"/>
  <c r="I859" i="10"/>
  <c r="I858" i="10"/>
  <c r="I857" i="10"/>
  <c r="I856" i="10"/>
  <c r="I855" i="10"/>
  <c r="I864" i="10"/>
  <c r="I863" i="10"/>
  <c r="I862" i="10"/>
  <c r="I866" i="10"/>
  <c r="I865" i="10"/>
  <c r="I875" i="10"/>
  <c r="I874" i="10"/>
  <c r="I873" i="10"/>
  <c r="I872" i="10"/>
  <c r="I871" i="10"/>
  <c r="I870" i="10"/>
  <c r="I881" i="10"/>
  <c r="I880" i="10"/>
  <c r="I879" i="10"/>
  <c r="I878" i="10"/>
  <c r="I877" i="10"/>
  <c r="I876" i="10"/>
  <c r="I884" i="10"/>
  <c r="I883" i="10"/>
  <c r="I882" i="10"/>
  <c r="I891" i="10"/>
  <c r="I890" i="10"/>
  <c r="I889" i="10"/>
  <c r="I888" i="10"/>
  <c r="I887" i="10"/>
  <c r="I886" i="10"/>
  <c r="I885" i="10"/>
  <c r="I897" i="10"/>
  <c r="I896" i="10"/>
  <c r="I895" i="10"/>
  <c r="I894" i="10"/>
  <c r="I893" i="10"/>
  <c r="I892" i="10"/>
  <c r="I903" i="10"/>
  <c r="I902" i="10"/>
  <c r="I901" i="10"/>
  <c r="I900" i="10"/>
  <c r="I899" i="10"/>
  <c r="I898" i="10"/>
  <c r="I905" i="10"/>
  <c r="I904" i="10"/>
  <c r="I912" i="10"/>
  <c r="I911" i="10"/>
  <c r="I910" i="10"/>
  <c r="I909" i="10"/>
  <c r="I908" i="10"/>
  <c r="I907" i="10"/>
  <c r="I906" i="10"/>
  <c r="I916" i="10"/>
  <c r="I915" i="10"/>
  <c r="I914" i="10"/>
  <c r="I913" i="10"/>
  <c r="I919" i="10"/>
  <c r="I918" i="10"/>
  <c r="I917" i="10"/>
  <c r="I922" i="10"/>
  <c r="I921" i="10"/>
  <c r="I920" i="10"/>
  <c r="I924" i="10"/>
  <c r="I923" i="10"/>
  <c r="I927" i="10"/>
  <c r="I926" i="10"/>
  <c r="I933" i="10"/>
  <c r="I932" i="10"/>
  <c r="I931" i="10"/>
  <c r="I930" i="10"/>
  <c r="I929" i="10"/>
  <c r="I928" i="10"/>
  <c r="I938" i="10"/>
  <c r="I937" i="10"/>
  <c r="I936" i="10"/>
  <c r="I935" i="10"/>
  <c r="I934" i="10"/>
  <c r="I942" i="10"/>
  <c r="I941" i="10"/>
  <c r="I940" i="10"/>
  <c r="I939" i="10"/>
  <c r="I946" i="10"/>
  <c r="I945" i="10"/>
  <c r="I944" i="10"/>
  <c r="I943" i="10"/>
  <c r="I952" i="10"/>
  <c r="I951" i="10"/>
  <c r="I950" i="10"/>
  <c r="I949" i="10"/>
  <c r="I948" i="10"/>
  <c r="I947" i="10"/>
  <c r="I956" i="10"/>
  <c r="I955" i="10"/>
  <c r="I954" i="10"/>
  <c r="I963" i="10"/>
  <c r="I962" i="10"/>
  <c r="I961" i="10"/>
  <c r="I960" i="10"/>
  <c r="I959" i="10"/>
  <c r="I958" i="10"/>
  <c r="I957" i="10"/>
  <c r="I970" i="10"/>
  <c r="I969" i="10"/>
  <c r="I968" i="10"/>
  <c r="I967" i="10"/>
  <c r="I966" i="10"/>
  <c r="I965" i="10"/>
  <c r="I964" i="10"/>
  <c r="I975" i="10"/>
  <c r="I974" i="10"/>
  <c r="I973" i="10"/>
  <c r="I979" i="10"/>
  <c r="I978" i="10"/>
  <c r="I977" i="10"/>
  <c r="I982" i="10"/>
  <c r="I981" i="10"/>
  <c r="I985" i="10"/>
  <c r="I984" i="10"/>
  <c r="I989" i="10"/>
  <c r="I988" i="10"/>
  <c r="I987" i="10"/>
  <c r="I986" i="10"/>
  <c r="I992" i="10"/>
  <c r="I991" i="10"/>
  <c r="I990" i="10"/>
  <c r="I996" i="10"/>
  <c r="I995" i="10"/>
  <c r="I994" i="10"/>
  <c r="I993" i="10"/>
  <c r="I998" i="10"/>
  <c r="I997" i="10"/>
  <c r="I1001" i="10"/>
  <c r="I1000" i="10"/>
  <c r="I999" i="10"/>
  <c r="I1010" i="10"/>
  <c r="I1009" i="10"/>
  <c r="I1008" i="10"/>
  <c r="I1007" i="10"/>
  <c r="I1006" i="10"/>
  <c r="I1005" i="10"/>
  <c r="I1004" i="10"/>
  <c r="I1003" i="10"/>
  <c r="I1002" i="10"/>
  <c r="I1012" i="10"/>
  <c r="I1011" i="10"/>
  <c r="I1018" i="10"/>
  <c r="I1017" i="10"/>
  <c r="I1016" i="10"/>
  <c r="I1015" i="10"/>
  <c r="I1014" i="10"/>
  <c r="I1013" i="10"/>
  <c r="I1020" i="10"/>
  <c r="I1019" i="10"/>
  <c r="I1028" i="10"/>
  <c r="I1027" i="10"/>
  <c r="I1026" i="10"/>
  <c r="I1025" i="10"/>
  <c r="I1024" i="10"/>
  <c r="I1023" i="10"/>
  <c r="I1022" i="10"/>
  <c r="I1031" i="10"/>
  <c r="I1030" i="10"/>
  <c r="I1029" i="10"/>
  <c r="I1034" i="10"/>
  <c r="I1033" i="10"/>
  <c r="I1036" i="10"/>
  <c r="I1035" i="10"/>
  <c r="I1039" i="10"/>
  <c r="I1038" i="10"/>
  <c r="I1037" i="10"/>
  <c r="I1041" i="10"/>
  <c r="I1040" i="10"/>
  <c r="I1044" i="10"/>
  <c r="I1043" i="10"/>
  <c r="I1042" i="10"/>
  <c r="I1046" i="10"/>
  <c r="I1045" i="10"/>
  <c r="I1048" i="10"/>
  <c r="I1047" i="10"/>
  <c r="I1056" i="10"/>
  <c r="I1055" i="10"/>
  <c r="I1054" i="10"/>
  <c r="I1053" i="10"/>
  <c r="I1052" i="10"/>
  <c r="I1051" i="10"/>
  <c r="I1050" i="10"/>
  <c r="I1062" i="10"/>
  <c r="I1061" i="10"/>
  <c r="I1060" i="10"/>
  <c r="I1059" i="10"/>
  <c r="I1058" i="10"/>
  <c r="I1065" i="10"/>
  <c r="I1064" i="10"/>
  <c r="I1063" i="10"/>
  <c r="I1068" i="10"/>
  <c r="I1067" i="10"/>
  <c r="I1066" i="10"/>
  <c r="I1071" i="10"/>
  <c r="I1070" i="10"/>
  <c r="I1069" i="10"/>
  <c r="I1076" i="10"/>
  <c r="I1075" i="10"/>
  <c r="I1074" i="10"/>
  <c r="I1073" i="10"/>
  <c r="I1072" i="10"/>
  <c r="I1079" i="10"/>
  <c r="I1078" i="10"/>
  <c r="I1077" i="10"/>
  <c r="I1081" i="10"/>
  <c r="I1080" i="10"/>
  <c r="I1087" i="10"/>
  <c r="I1086" i="10"/>
  <c r="I1085" i="10"/>
  <c r="I1084" i="10"/>
  <c r="I1083" i="10"/>
  <c r="I1082" i="10"/>
  <c r="I1089" i="10"/>
  <c r="I1088" i="10"/>
  <c r="I1094" i="10"/>
  <c r="I1093" i="10"/>
  <c r="I1092" i="10"/>
  <c r="I1091" i="10"/>
  <c r="I1090" i="10"/>
  <c r="I1098" i="10"/>
  <c r="I1097" i="10"/>
  <c r="I1096" i="10"/>
  <c r="I1095" i="10"/>
  <c r="I1101" i="10"/>
  <c r="I1100" i="10"/>
  <c r="I1099" i="10"/>
  <c r="I1108" i="10"/>
  <c r="I1107" i="10"/>
  <c r="I1106" i="10"/>
  <c r="I1105" i="10"/>
  <c r="I1104" i="10"/>
  <c r="I1103" i="10"/>
  <c r="I1102" i="10"/>
  <c r="I1113" i="10"/>
  <c r="I1112" i="10"/>
  <c r="I1111" i="10"/>
  <c r="I1110" i="10"/>
  <c r="I1109" i="10"/>
  <c r="I1115" i="10"/>
  <c r="I1114" i="10"/>
  <c r="I1117" i="10"/>
  <c r="I1116" i="10"/>
  <c r="I1126" i="10"/>
  <c r="I1125" i="10"/>
  <c r="I1124" i="10"/>
  <c r="I1123" i="10"/>
  <c r="I1122" i="10"/>
  <c r="I1130" i="10"/>
  <c r="I1129" i="10"/>
  <c r="I1128" i="10"/>
  <c r="I1127" i="10"/>
  <c r="I1132" i="10"/>
  <c r="I1131" i="10"/>
  <c r="I1138" i="10"/>
  <c r="I1137" i="10"/>
  <c r="I1136" i="10"/>
  <c r="I1135" i="10"/>
  <c r="I1134" i="10"/>
  <c r="I1141" i="10"/>
  <c r="I1140" i="10"/>
  <c r="I1139" i="10"/>
  <c r="I1146" i="10"/>
  <c r="I1145" i="10"/>
  <c r="I1144" i="10"/>
  <c r="I1143" i="10"/>
  <c r="I1149" i="10"/>
  <c r="I1148" i="10"/>
  <c r="I1147" i="10"/>
  <c r="I1154" i="10"/>
  <c r="I1153" i="10"/>
  <c r="I1152" i="10"/>
  <c r="I1151" i="10"/>
  <c r="I1150" i="10"/>
  <c r="I1159" i="10"/>
  <c r="I1156" i="10"/>
  <c r="I1158" i="10"/>
  <c r="I1155" i="10"/>
  <c r="I1160" i="10"/>
  <c r="I1157" i="10"/>
  <c r="I1165" i="10"/>
  <c r="I1164" i="10"/>
  <c r="I1166" i="10"/>
  <c r="I1163" i="10"/>
  <c r="I1178" i="10"/>
  <c r="I1175" i="10"/>
  <c r="I1180" i="10"/>
  <c r="I1177" i="10"/>
  <c r="I1174" i="10"/>
  <c r="I1179" i="10"/>
  <c r="I1176" i="10"/>
  <c r="I1187" i="10"/>
  <c r="I1184" i="10"/>
  <c r="I1186" i="10"/>
  <c r="I1183" i="10"/>
  <c r="I1188" i="10"/>
  <c r="I1185" i="10"/>
  <c r="I1182" i="10"/>
  <c r="I1190" i="10"/>
  <c r="I1192" i="10"/>
  <c r="I1191" i="10"/>
  <c r="I1193" i="10"/>
  <c r="I1194" i="10"/>
  <c r="I1195" i="10"/>
  <c r="I1196" i="10"/>
  <c r="I1198" i="10"/>
  <c r="I1197" i="10"/>
  <c r="I1202" i="10"/>
  <c r="I1199" i="10"/>
  <c r="I1204" i="10"/>
  <c r="I1201" i="10"/>
  <c r="I1203" i="10"/>
  <c r="I1200" i="10"/>
  <c r="I1205" i="10"/>
  <c r="I1206" i="10"/>
  <c r="I1208" i="10"/>
  <c r="I1207" i="10"/>
  <c r="I1211" i="10"/>
  <c r="I1210" i="10"/>
  <c r="I1212" i="10"/>
  <c r="I1209" i="10"/>
  <c r="I1220" i="10"/>
  <c r="I1217" i="10"/>
  <c r="I1214" i="10"/>
  <c r="I1222" i="10"/>
  <c r="I1219" i="10"/>
  <c r="I1216" i="10"/>
  <c r="I1221" i="10"/>
  <c r="I1218" i="10"/>
  <c r="I1215" i="10"/>
  <c r="I1223" i="10"/>
  <c r="I1224" i="10"/>
  <c r="I1226" i="10"/>
  <c r="I1225" i="10"/>
  <c r="I1227" i="10"/>
  <c r="I1229" i="10"/>
  <c r="I1231" i="10"/>
  <c r="I1228" i="10"/>
  <c r="I1230" i="10"/>
  <c r="I1232" i="10"/>
  <c r="I1234" i="10"/>
  <c r="I1233" i="10"/>
  <c r="I1244" i="10"/>
  <c r="I1241" i="10"/>
  <c r="I1238" i="10"/>
  <c r="I1246" i="10"/>
  <c r="I1243" i="10"/>
  <c r="I1240" i="10"/>
  <c r="I1237" i="10"/>
  <c r="I1245" i="10"/>
  <c r="I1242" i="10"/>
  <c r="I1239" i="10"/>
  <c r="I1236" i="10"/>
  <c r="I1247" i="10"/>
  <c r="I1248" i="10"/>
  <c r="I1251" i="10"/>
  <c r="I1250" i="10"/>
  <c r="I1249" i="10"/>
  <c r="I1254" i="10"/>
  <c r="I1253" i="10"/>
  <c r="I1252" i="10"/>
  <c r="I1256" i="10"/>
  <c r="I1255" i="10"/>
  <c r="I1260" i="10"/>
  <c r="I1257" i="10"/>
  <c r="I1259" i="10"/>
  <c r="I1258" i="10"/>
  <c r="I1263" i="10"/>
  <c r="I1262" i="10"/>
  <c r="I1264" i="10"/>
  <c r="I1261" i="10"/>
  <c r="I1269" i="10"/>
  <c r="I1266" i="10"/>
  <c r="I1268" i="10"/>
  <c r="I1265" i="10"/>
  <c r="I1270" i="10"/>
  <c r="I1267" i="10"/>
  <c r="I1272" i="10"/>
  <c r="I1275" i="10"/>
  <c r="I1274" i="10"/>
  <c r="I1271" i="10"/>
  <c r="I1276" i="10"/>
  <c r="I1273" i="10"/>
  <c r="I1278" i="10"/>
  <c r="I1277" i="10"/>
  <c r="I1280" i="10"/>
  <c r="I1279" i="10"/>
  <c r="I1285" i="10"/>
  <c r="I1282" i="10"/>
  <c r="I1286" i="10"/>
  <c r="I1284" i="10"/>
  <c r="I1281" i="10"/>
  <c r="I1287" i="10"/>
  <c r="I1283" i="10"/>
  <c r="I1288" i="10"/>
  <c r="I1290" i="10"/>
  <c r="I1289" i="10"/>
  <c r="I1294" i="10"/>
  <c r="I1291" i="10"/>
  <c r="I1293" i="10"/>
  <c r="I1295" i="10"/>
  <c r="I1292" i="10"/>
  <c r="I1297" i="10"/>
  <c r="I1299" i="10"/>
  <c r="I1298" i="10"/>
  <c r="I1303" i="10"/>
  <c r="I1300" i="10"/>
  <c r="I1302" i="10"/>
  <c r="I1301" i="10"/>
  <c r="I1312" i="10"/>
  <c r="I1309" i="10"/>
  <c r="I1306" i="10"/>
  <c r="I1311" i="10"/>
  <c r="I1308" i="10"/>
  <c r="I1305" i="10"/>
  <c r="I1313" i="10"/>
  <c r="I1310" i="10"/>
  <c r="I1307" i="10"/>
  <c r="I1304" i="10"/>
  <c r="I1314" i="10"/>
  <c r="I1315" i="10"/>
  <c r="I1316" i="10"/>
  <c r="I1317" i="10"/>
  <c r="I1319" i="10"/>
  <c r="I1320" i="10"/>
  <c r="I1321" i="10"/>
  <c r="I1318" i="10"/>
  <c r="I1323" i="10"/>
  <c r="I1324" i="10"/>
  <c r="I1325" i="10"/>
  <c r="I1326" i="10"/>
  <c r="I1328" i="10"/>
  <c r="I1329" i="10"/>
  <c r="I1327" i="10"/>
  <c r="I1334" i="10"/>
  <c r="I1331" i="10"/>
  <c r="I1332" i="10"/>
  <c r="I1333" i="10"/>
  <c r="I1330" i="10"/>
  <c r="I1339" i="10"/>
  <c r="I1337" i="10"/>
  <c r="I1340" i="10"/>
  <c r="I1338" i="10"/>
  <c r="I1335" i="10"/>
  <c r="I1336" i="10"/>
  <c r="I1348" i="10"/>
  <c r="I1345" i="10"/>
  <c r="I1343" i="10"/>
  <c r="I1341" i="10"/>
  <c r="I1346" i="10"/>
  <c r="I1344" i="10"/>
  <c r="I1342" i="10"/>
  <c r="I1347" i="10"/>
  <c r="I1351" i="10"/>
  <c r="I1349" i="10"/>
  <c r="I1350" i="10"/>
  <c r="I1356" i="10"/>
  <c r="I1353" i="10"/>
  <c r="I1354" i="10"/>
  <c r="I1352" i="10"/>
  <c r="I1355" i="10"/>
  <c r="I1357" i="10"/>
  <c r="I1358" i="10"/>
  <c r="I1361" i="10"/>
  <c r="I1359" i="10"/>
  <c r="I1362" i="10"/>
  <c r="I1360" i="10"/>
  <c r="I1364" i="10"/>
  <c r="I1363" i="10"/>
  <c r="I1369" i="10"/>
  <c r="I1368" i="10"/>
  <c r="I1371" i="10"/>
  <c r="I1372" i="10"/>
  <c r="I1370" i="10"/>
  <c r="I1376" i="10"/>
  <c r="I1374" i="10"/>
  <c r="I1375" i="10"/>
  <c r="I1373" i="10"/>
  <c r="I1378" i="10"/>
  <c r="I1379" i="10"/>
  <c r="I1377" i="10"/>
  <c r="I1384" i="10"/>
  <c r="I1382" i="10"/>
  <c r="I1380" i="10"/>
  <c r="I1385" i="10"/>
  <c r="I1383" i="10"/>
  <c r="I1381" i="10"/>
  <c r="I1386" i="10"/>
  <c r="I1387" i="10"/>
  <c r="I1391" i="10"/>
  <c r="I1388" i="10"/>
  <c r="I1390" i="10"/>
  <c r="I1389" i="10"/>
  <c r="I1398" i="10"/>
  <c r="I1394" i="10"/>
  <c r="I1397" i="10"/>
  <c r="I1393" i="10"/>
  <c r="I1396" i="10"/>
  <c r="I1395" i="10"/>
  <c r="I1392" i="10"/>
  <c r="I1401" i="10"/>
  <c r="I1400" i="10"/>
  <c r="I1402" i="10"/>
  <c r="I1399" i="10"/>
  <c r="I1404" i="10"/>
  <c r="I1405" i="10"/>
  <c r="I1409" i="10"/>
  <c r="I1407" i="10"/>
  <c r="I1406" i="10"/>
  <c r="I1408" i="10"/>
  <c r="I1410" i="10"/>
  <c r="I1411" i="10"/>
  <c r="I1412" i="10"/>
  <c r="I1413" i="10"/>
  <c r="I1415" i="10"/>
  <c r="I1414" i="10"/>
  <c r="I1419" i="10"/>
  <c r="I1416" i="10"/>
  <c r="I1422" i="10"/>
  <c r="I1420" i="10"/>
  <c r="I1417" i="10"/>
  <c r="I1421" i="10"/>
  <c r="I1418" i="10"/>
  <c r="I1426" i="10"/>
  <c r="I1423" i="10"/>
  <c r="I1425" i="10"/>
  <c r="I1427" i="10"/>
  <c r="I1424" i="10"/>
  <c r="I1431" i="10"/>
  <c r="I1429" i="10"/>
  <c r="I1430" i="10"/>
  <c r="I1438" i="10"/>
  <c r="I1435" i="10"/>
  <c r="I1436" i="10"/>
  <c r="I1432" i="10"/>
  <c r="I1437" i="10"/>
  <c r="I1434" i="10"/>
  <c r="I1433" i="10"/>
  <c r="I1448" i="10"/>
  <c r="I1444" i="10"/>
  <c r="I1441" i="10"/>
  <c r="I1447" i="10"/>
  <c r="I1445" i="10"/>
  <c r="I1442" i="10"/>
  <c r="I1446" i="10"/>
  <c r="I1443" i="10"/>
  <c r="I1454" i="10"/>
  <c r="I1450" i="10"/>
  <c r="I1451" i="10"/>
  <c r="I1453" i="10"/>
  <c r="I1452" i="10"/>
  <c r="I1449" i="10"/>
  <c r="I1461" i="10"/>
  <c r="I1458" i="10"/>
  <c r="I1460" i="10"/>
  <c r="I1457" i="10"/>
  <c r="I1455" i="10"/>
  <c r="I1462" i="10"/>
  <c r="I1459" i="10"/>
  <c r="I1456" i="10"/>
  <c r="I1466" i="10"/>
  <c r="I1464" i="10"/>
  <c r="I1465" i="10"/>
  <c r="I1469" i="10"/>
  <c r="I1467" i="10"/>
  <c r="I1468" i="10"/>
  <c r="I1470" i="10"/>
  <c r="I1472" i="10"/>
  <c r="I1471" i="10"/>
  <c r="I1475" i="10"/>
  <c r="I1474" i="10"/>
  <c r="I1476" i="10"/>
  <c r="I1478" i="10"/>
  <c r="I1479" i="10"/>
  <c r="I1484" i="10"/>
  <c r="I1481" i="10"/>
  <c r="I1486" i="10"/>
  <c r="I1483" i="10"/>
  <c r="I1485" i="10"/>
  <c r="I1482" i="10"/>
  <c r="I1490" i="10"/>
  <c r="I1487" i="10"/>
  <c r="I1492" i="10"/>
  <c r="I1489" i="10"/>
  <c r="I1491" i="10"/>
  <c r="I1488" i="10"/>
  <c r="I1493" i="10"/>
  <c r="I1494" i="10"/>
  <c r="I1500" i="10"/>
  <c r="I1497" i="10"/>
  <c r="I1499" i="10"/>
  <c r="I1496" i="10"/>
  <c r="I1498" i="10"/>
  <c r="I1495" i="10"/>
  <c r="I1503" i="10"/>
  <c r="I1505" i="10"/>
  <c r="I1502" i="10"/>
  <c r="I1504" i="10"/>
  <c r="I1501" i="10"/>
  <c r="I1509" i="10"/>
  <c r="I1508" i="10"/>
  <c r="I1507" i="10"/>
  <c r="I1515" i="10"/>
  <c r="I1512" i="10"/>
  <c r="I1514" i="10"/>
  <c r="I1511" i="10"/>
  <c r="I1513" i="10"/>
  <c r="I1510" i="10"/>
  <c r="I1517" i="10"/>
  <c r="I1516" i="10"/>
  <c r="I1521" i="10"/>
  <c r="I1518" i="10"/>
  <c r="I1520" i="10"/>
  <c r="I1522" i="10"/>
  <c r="I1519" i="10"/>
  <c r="I1524" i="10"/>
  <c r="I1523" i="10"/>
  <c r="I1529" i="10"/>
  <c r="I1526" i="10"/>
  <c r="I1527" i="10"/>
  <c r="I1525" i="10"/>
  <c r="I1528" i="10"/>
  <c r="I1531" i="10"/>
  <c r="I1530" i="10"/>
  <c r="I1536" i="10"/>
  <c r="I1533" i="10"/>
  <c r="I1535" i="10"/>
  <c r="I1532" i="10"/>
  <c r="I1537" i="10"/>
  <c r="I1534" i="10"/>
  <c r="I1540" i="10"/>
  <c r="I1539" i="10"/>
  <c r="I1542" i="10"/>
  <c r="I1538" i="10"/>
  <c r="I1541" i="10"/>
  <c r="I1544" i="10"/>
  <c r="I1543" i="10"/>
  <c r="I1548" i="10"/>
  <c r="I1546" i="10"/>
  <c r="I1547" i="10"/>
  <c r="I1552" i="10"/>
  <c r="I1549" i="10"/>
  <c r="I1554" i="10"/>
  <c r="I1550" i="10"/>
  <c r="I1553" i="10"/>
  <c r="I1551" i="10"/>
  <c r="I1560" i="10"/>
  <c r="I1556" i="10"/>
  <c r="I1559" i="10"/>
  <c r="I1555" i="10"/>
  <c r="I1558" i="10"/>
  <c r="I1557" i="10"/>
  <c r="I1564" i="10"/>
  <c r="I1563" i="10"/>
  <c r="I1562" i="10"/>
  <c r="I1561" i="10"/>
  <c r="I1567" i="10"/>
  <c r="I1566" i="10"/>
  <c r="I1572" i="10"/>
  <c r="I1571" i="10"/>
  <c r="I1570" i="10"/>
  <c r="I1569" i="10"/>
  <c r="I1576" i="10"/>
  <c r="I1579" i="10"/>
  <c r="I1575" i="10"/>
  <c r="I1578" i="10"/>
  <c r="I1574" i="10"/>
  <c r="I1577" i="10"/>
  <c r="I1573" i="10"/>
  <c r="I1584" i="10"/>
  <c r="I1580" i="10"/>
  <c r="I1583" i="10"/>
  <c r="I1582" i="10"/>
  <c r="I1581" i="10"/>
  <c r="I1586" i="10"/>
  <c r="I1585" i="10"/>
  <c r="I1590" i="10"/>
  <c r="I1588" i="10"/>
  <c r="I1587" i="10"/>
  <c r="I1591" i="10"/>
  <c r="I1589" i="10"/>
  <c r="I1603" i="10"/>
  <c r="I1600" i="10"/>
  <c r="I1595" i="10"/>
  <c r="I1599" i="10"/>
  <c r="I1596" i="10"/>
  <c r="I1592" i="10"/>
  <c r="I1602" i="10"/>
  <c r="I1598" i="10"/>
  <c r="I1594" i="10"/>
  <c r="I1601" i="10"/>
  <c r="I1597" i="10"/>
  <c r="I1593" i="10"/>
  <c r="I1604" i="10"/>
  <c r="I1606" i="10"/>
  <c r="I1605" i="10"/>
  <c r="I1608" i="10"/>
  <c r="I1609" i="10"/>
  <c r="I1614" i="10"/>
  <c r="I1610" i="10"/>
  <c r="I1616" i="10"/>
  <c r="I1612" i="10"/>
  <c r="I1615" i="10"/>
  <c r="I1611" i="10"/>
  <c r="I1613" i="10"/>
  <c r="I1618" i="10"/>
  <c r="I1617" i="10"/>
  <c r="I1620" i="10"/>
  <c r="I1619" i="10"/>
  <c r="I1621" i="10"/>
  <c r="I1622" i="10"/>
  <c r="I1623" i="10"/>
  <c r="I1626" i="10"/>
  <c r="I1627" i="10"/>
  <c r="I1630" i="10"/>
  <c r="I1632" i="10"/>
  <c r="I1631" i="10"/>
  <c r="I1629" i="10"/>
  <c r="I1634" i="10"/>
  <c r="I1636" i="10"/>
  <c r="I1635" i="10"/>
  <c r="I1642" i="10"/>
  <c r="I1638" i="10"/>
  <c r="I1640" i="10"/>
  <c r="I1643" i="10"/>
  <c r="I1639" i="10"/>
  <c r="I1641" i="10"/>
  <c r="I1644" i="10"/>
  <c r="I1645" i="10"/>
  <c r="I1646" i="10"/>
  <c r="I1648" i="10"/>
  <c r="I1647" i="10"/>
  <c r="I1649" i="10"/>
  <c r="I1654" i="10"/>
  <c r="I1650" i="10"/>
  <c r="I1652" i="10"/>
  <c r="I1651" i="10"/>
  <c r="I1653" i="10"/>
  <c r="I1656" i="10"/>
  <c r="I1655" i="10"/>
  <c r="I1657" i="10"/>
  <c r="I1662" i="10"/>
  <c r="I1658" i="10"/>
  <c r="I1660" i="10"/>
  <c r="I1664" i="10"/>
  <c r="I1661" i="10"/>
  <c r="I1663" i="10"/>
  <c r="I1659" i="10"/>
  <c r="I1666" i="10"/>
  <c r="I1665" i="10"/>
  <c r="I1667" i="10"/>
  <c r="I1670" i="10"/>
  <c r="I1669" i="10"/>
  <c r="I1674" i="10"/>
  <c r="I1673" i="10"/>
  <c r="I1672" i="10"/>
  <c r="I1675" i="10"/>
  <c r="I1671" i="10"/>
  <c r="I1678" i="10"/>
  <c r="I1677" i="10"/>
  <c r="I1676" i="10"/>
  <c r="I1681" i="10"/>
  <c r="I1680" i="10"/>
  <c r="I1679" i="10"/>
  <c r="I1686" i="10"/>
  <c r="I1682" i="10"/>
  <c r="I1685" i="10"/>
  <c r="I1684" i="10"/>
  <c r="I1683" i="10"/>
  <c r="I1694" i="10"/>
  <c r="I1690" i="10"/>
  <c r="I1693" i="10"/>
  <c r="I1689" i="10"/>
  <c r="I1692" i="10"/>
  <c r="I1688" i="10"/>
  <c r="I1691" i="10"/>
  <c r="I1687" i="10"/>
  <c r="I1697" i="10"/>
  <c r="I1696" i="10"/>
  <c r="I1702" i="10"/>
  <c r="I1698" i="10"/>
  <c r="I1701" i="10"/>
  <c r="I1704" i="10"/>
  <c r="I1700" i="10"/>
  <c r="I1703" i="10"/>
  <c r="I1699" i="10"/>
  <c r="I1706" i="10"/>
  <c r="I1709" i="10"/>
  <c r="I1705" i="10"/>
  <c r="I1708" i="10"/>
  <c r="I1707" i="10"/>
  <c r="I1714" i="10"/>
  <c r="I1710" i="10"/>
  <c r="I1713" i="10"/>
  <c r="I1712" i="10"/>
  <c r="I1715" i="10"/>
  <c r="I1711" i="10"/>
  <c r="I1718" i="10"/>
  <c r="I1721" i="10"/>
  <c r="I1717" i="10"/>
  <c r="I1720" i="10"/>
  <c r="I1716" i="10"/>
  <c r="I1719" i="10"/>
  <c r="I1722" i="10"/>
  <c r="I1723" i="10"/>
  <c r="I1726" i="10"/>
  <c r="I1725" i="10"/>
  <c r="I1730" i="10"/>
  <c r="I1729" i="10"/>
  <c r="I1728" i="10"/>
  <c r="I1734" i="10"/>
  <c r="I1733" i="10"/>
  <c r="I1732" i="10"/>
  <c r="I1731" i="10"/>
  <c r="I1742" i="10"/>
  <c r="I1738" i="10"/>
  <c r="I1741" i="10"/>
  <c r="I1737" i="10"/>
  <c r="I1740" i="10"/>
  <c r="I1736" i="10"/>
  <c r="I1739" i="10"/>
  <c r="I1735" i="10"/>
  <c r="I1746" i="10"/>
  <c r="I1745" i="10"/>
  <c r="I1748" i="10"/>
  <c r="I1744" i="10"/>
  <c r="I1747" i="10"/>
  <c r="I1750" i="10"/>
  <c r="I1749" i="10"/>
  <c r="I1753" i="10"/>
  <c r="I1752" i="10"/>
  <c r="I1751" i="10"/>
  <c r="I1758" i="10"/>
  <c r="I1757" i="10"/>
  <c r="I1756" i="10"/>
  <c r="I1755" i="10"/>
  <c r="I1762" i="10"/>
  <c r="I1761" i="10"/>
  <c r="I1760" i="10"/>
  <c r="I1759" i="10"/>
  <c r="I1767" i="10"/>
  <c r="I1765" i="10"/>
  <c r="I1768" i="10"/>
  <c r="I1764" i="10"/>
  <c r="I1766" i="10"/>
  <c r="I1771" i="10"/>
  <c r="I1773" i="10"/>
  <c r="I1769" i="10"/>
  <c r="I1772" i="10"/>
  <c r="I1770" i="10"/>
  <c r="I1779" i="10"/>
  <c r="I1775" i="10"/>
  <c r="I1777" i="10"/>
  <c r="I1776" i="10"/>
  <c r="I1778" i="10"/>
  <c r="I1774" i="10"/>
  <c r="I1781" i="10"/>
  <c r="I1780" i="10"/>
  <c r="I1786" i="10"/>
  <c r="I1783" i="10"/>
  <c r="I1785" i="10"/>
  <c r="I1784" i="10"/>
  <c r="I1782" i="10"/>
  <c r="I1789" i="10"/>
  <c r="I1788" i="10"/>
  <c r="I1794" i="10"/>
  <c r="I1791" i="10"/>
  <c r="I1793" i="10"/>
  <c r="I1796" i="10"/>
  <c r="I1792" i="10"/>
  <c r="I1795" i="10"/>
  <c r="I1790" i="10"/>
  <c r="I1798" i="10"/>
  <c r="I1799" i="10"/>
  <c r="I1801" i="10"/>
  <c r="I1800" i="10"/>
  <c r="I1807" i="10"/>
  <c r="I1805" i="10"/>
  <c r="I1808" i="10"/>
  <c r="I1804" i="10"/>
  <c r="I1806" i="10"/>
  <c r="I1803" i="10"/>
  <c r="I1814" i="10"/>
  <c r="I1810" i="10"/>
  <c r="I1813" i="10"/>
  <c r="I1809" i="10"/>
  <c r="I1812" i="10"/>
  <c r="I1811" i="10"/>
  <c r="I1818" i="10"/>
  <c r="I1817" i="10"/>
  <c r="I1816" i="10"/>
  <c r="I1819" i="10"/>
  <c r="I1815" i="10"/>
  <c r="I1821" i="10"/>
  <c r="I1820" i="10"/>
  <c r="I1826" i="10"/>
  <c r="I1822" i="10"/>
  <c r="I1825" i="10"/>
  <c r="I1824" i="10"/>
  <c r="I1823" i="10"/>
  <c r="I1831" i="10"/>
  <c r="I1829" i="10"/>
  <c r="I1830" i="10"/>
  <c r="I1827" i="10"/>
  <c r="I1828" i="10"/>
  <c r="I1835" i="10"/>
  <c r="I1833" i="10"/>
  <c r="I1834" i="10"/>
  <c r="I1837" i="10"/>
  <c r="I1836" i="10"/>
  <c r="I1840" i="10"/>
  <c r="I1838" i="10"/>
  <c r="I1839" i="10"/>
  <c r="I1841" i="10"/>
  <c r="I1842" i="10"/>
  <c r="I1844" i="10"/>
  <c r="I1845" i="10"/>
  <c r="I1843" i="10"/>
  <c r="I1848" i="10"/>
  <c r="I1847" i="10"/>
  <c r="I1850" i="10"/>
  <c r="I1846" i="10"/>
  <c r="I1849" i="10"/>
  <c r="I1853" i="10"/>
  <c r="I1851" i="10"/>
  <c r="I1852" i="10"/>
  <c r="I1856" i="10"/>
  <c r="I1859" i="10"/>
  <c r="I1855" i="10"/>
  <c r="I1858" i="10"/>
  <c r="I1854" i="10"/>
  <c r="I1857" i="10"/>
  <c r="I1861" i="10"/>
  <c r="I1863" i="10"/>
  <c r="I1862" i="10"/>
  <c r="I1860" i="10"/>
  <c r="I1865" i="10"/>
  <c r="I1864" i="10"/>
  <c r="I1868" i="10"/>
  <c r="I1867" i="10"/>
  <c r="I1870" i="10"/>
  <c r="I1866" i="10"/>
  <c r="I1869" i="10"/>
  <c r="I1875" i="10"/>
  <c r="I1872" i="10"/>
  <c r="I1879" i="10"/>
  <c r="I1877" i="10"/>
  <c r="I1874" i="10"/>
  <c r="I1871" i="10"/>
  <c r="I1878" i="10"/>
  <c r="I1876" i="10"/>
  <c r="I1873" i="10"/>
  <c r="I1885" i="10"/>
  <c r="I1883" i="10"/>
  <c r="I1882" i="10"/>
  <c r="I1887" i="10"/>
  <c r="I1884" i="10"/>
  <c r="I1886" i="10"/>
  <c r="I1889" i="10"/>
  <c r="I1888" i="10"/>
  <c r="I1893" i="10"/>
  <c r="I1892" i="10"/>
  <c r="I1895" i="10"/>
  <c r="I1891" i="10"/>
  <c r="I1894" i="10"/>
  <c r="I1897" i="10"/>
  <c r="I1900" i="10"/>
  <c r="I1896" i="10"/>
  <c r="I1899" i="10"/>
  <c r="I1898" i="10"/>
  <c r="I1901" i="10"/>
  <c r="I1904" i="10"/>
  <c r="I1903" i="10"/>
  <c r="I1902" i="10"/>
  <c r="I1907" i="10"/>
  <c r="I1905" i="10"/>
  <c r="I1909" i="10"/>
  <c r="I1908" i="10"/>
  <c r="I1906" i="10"/>
  <c r="I1915" i="10"/>
  <c r="I1913" i="10"/>
  <c r="I1912" i="10"/>
  <c r="I1911" i="10"/>
  <c r="I1914" i="10"/>
  <c r="I1910" i="10"/>
  <c r="I1919" i="10"/>
  <c r="I1917" i="10"/>
  <c r="I1920" i="10"/>
  <c r="I1916" i="10"/>
  <c r="I1918" i="10"/>
  <c r="I1923" i="10"/>
  <c r="I1925" i="10"/>
  <c r="I1924" i="10"/>
  <c r="I1927" i="10"/>
  <c r="I1928" i="10"/>
  <c r="I1926" i="10"/>
  <c r="I1931" i="10"/>
  <c r="I1929" i="10"/>
  <c r="I1932" i="10"/>
  <c r="I1930" i="10"/>
  <c r="I1935" i="10"/>
  <c r="I1933" i="10"/>
  <c r="I1934" i="10"/>
  <c r="I1939" i="10"/>
  <c r="I1937" i="10"/>
  <c r="I1940" i="10"/>
  <c r="I1938" i="10"/>
  <c r="I1943" i="10"/>
  <c r="I1941" i="10"/>
  <c r="I1944" i="10"/>
  <c r="I1942" i="10"/>
  <c r="I1945" i="10"/>
  <c r="I1946" i="10"/>
  <c r="I1951" i="10"/>
  <c r="I1947" i="10"/>
  <c r="I1949" i="10"/>
  <c r="I1952" i="10"/>
  <c r="I1948" i="10"/>
  <c r="I1950" i="10"/>
  <c r="I1955" i="10"/>
  <c r="I1953" i="10"/>
  <c r="I1954" i="10"/>
  <c r="I1963" i="10"/>
  <c r="I1959" i="10"/>
  <c r="I1961" i="10"/>
  <c r="I1957" i="10"/>
  <c r="I1960" i="10"/>
  <c r="I1956" i="10"/>
  <c r="I1962" i="10"/>
  <c r="I1958" i="10"/>
  <c r="I1966" i="10"/>
  <c r="I1965" i="10"/>
  <c r="I1964" i="10"/>
  <c r="I1967" i="10"/>
  <c r="I1968" i="10"/>
  <c r="I1970" i="10"/>
  <c r="I1969" i="10"/>
  <c r="I1975" i="10"/>
  <c r="I1974" i="10"/>
  <c r="I1973" i="10"/>
  <c r="I1976" i="10"/>
  <c r="I1972" i="10"/>
  <c r="I1979" i="10"/>
  <c r="I1978" i="10"/>
  <c r="I1980" i="10"/>
  <c r="I1983" i="10"/>
  <c r="I1986" i="10"/>
  <c r="I1982" i="10"/>
  <c r="I1985" i="10"/>
  <c r="I1981" i="10"/>
  <c r="I1984" i="10"/>
  <c r="I1987" i="10"/>
  <c r="I1990" i="10"/>
  <c r="I1989" i="10"/>
  <c r="I1988" i="10"/>
  <c r="I1991" i="10"/>
  <c r="I1993" i="10"/>
  <c r="I1992" i="10"/>
  <c r="I2341" i="10"/>
  <c r="I2338" i="10"/>
  <c r="I2340" i="10"/>
  <c r="I2342" i="10"/>
  <c r="I2339" i="10"/>
  <c r="I2344" i="10"/>
  <c r="I2343" i="10"/>
  <c r="I2345" i="10"/>
  <c r="I2351" i="10"/>
  <c r="I2350" i="10"/>
  <c r="I2347" i="10"/>
  <c r="I2349" i="10"/>
  <c r="I2348" i="10"/>
  <c r="I2354" i="10"/>
  <c r="I2353" i="10"/>
  <c r="I2355" i="10"/>
  <c r="I2352" i="10"/>
  <c r="I2360" i="10"/>
  <c r="I2357" i="10"/>
  <c r="I2359" i="10"/>
  <c r="I2356" i="10"/>
  <c r="I2361" i="10"/>
  <c r="I2358" i="10"/>
  <c r="I2363" i="10"/>
  <c r="I2362" i="10"/>
  <c r="I2366" i="10"/>
  <c r="I2365" i="10"/>
  <c r="I2367" i="10"/>
  <c r="I2364" i="10"/>
  <c r="I2369" i="10"/>
  <c r="I2371" i="10"/>
  <c r="I2368" i="10"/>
  <c r="I2370" i="10"/>
  <c r="I2372" i="10"/>
  <c r="I2373" i="10"/>
  <c r="I2378" i="10"/>
  <c r="I2375" i="10"/>
  <c r="I2377" i="10"/>
  <c r="I2374" i="10"/>
  <c r="I2376" i="10"/>
  <c r="I2381" i="10"/>
  <c r="I2380" i="10"/>
  <c r="I2384" i="10"/>
  <c r="I2383" i="10"/>
  <c r="I2382" i="10"/>
  <c r="I2390" i="10"/>
  <c r="I2387" i="10"/>
  <c r="I2389" i="10"/>
  <c r="I2386" i="10"/>
  <c r="I2391" i="10"/>
  <c r="I2388" i="10"/>
  <c r="I2385" i="10"/>
  <c r="I2393" i="10"/>
  <c r="I2395" i="10"/>
  <c r="I2392" i="10"/>
  <c r="I2394" i="10"/>
  <c r="I2405" i="10"/>
  <c r="I2402" i="10"/>
  <c r="I2399" i="10"/>
  <c r="I2396" i="10"/>
  <c r="I2407" i="10"/>
  <c r="I2404" i="10"/>
  <c r="I2401" i="10"/>
  <c r="I2398" i="10"/>
  <c r="I2406" i="10"/>
  <c r="I2403" i="10"/>
  <c r="I2400" i="10"/>
  <c r="I2397" i="10"/>
  <c r="I2408" i="10"/>
  <c r="I2409" i="10"/>
  <c r="I2411" i="10"/>
  <c r="I2413" i="10"/>
  <c r="I2410" i="10"/>
  <c r="I2412" i="10"/>
  <c r="I2420" i="10"/>
  <c r="I2417" i="10"/>
  <c r="I2414" i="10"/>
  <c r="I2419" i="10"/>
  <c r="I2416" i="10"/>
  <c r="I2418" i="10"/>
  <c r="I2415" i="10"/>
  <c r="I2422" i="10"/>
  <c r="I2421" i="10"/>
  <c r="I2429" i="10"/>
  <c r="I2426" i="10"/>
  <c r="I2423" i="10"/>
  <c r="I2428" i="10"/>
  <c r="I2425" i="10"/>
  <c r="I2427" i="10"/>
  <c r="I2424" i="10"/>
  <c r="I2431" i="10"/>
  <c r="I2430" i="10"/>
  <c r="I2432" i="10"/>
  <c r="I2433" i="10"/>
  <c r="I2438" i="10"/>
  <c r="I2435" i="10"/>
  <c r="I2437" i="10"/>
  <c r="I2434" i="10"/>
  <c r="I2436" i="10"/>
  <c r="I2441" i="10"/>
  <c r="I2440" i="10"/>
  <c r="I2439" i="10"/>
  <c r="I2444" i="10"/>
  <c r="I2443" i="10"/>
  <c r="I2442" i="10"/>
  <c r="I2447" i="10"/>
  <c r="I2449" i="10"/>
  <c r="I2446" i="10"/>
  <c r="I2448" i="10"/>
  <c r="I2445" i="10"/>
  <c r="I2450" i="10"/>
  <c r="I2452" i="10"/>
  <c r="I2451" i="10"/>
  <c r="I2456" i="10"/>
  <c r="I2455" i="10"/>
  <c r="I2454" i="10"/>
  <c r="I2459" i="10"/>
  <c r="I2458" i="10"/>
  <c r="I2457" i="10"/>
  <c r="I2462" i="10"/>
  <c r="I2461" i="10"/>
  <c r="I2460" i="10"/>
  <c r="I2468" i="10"/>
  <c r="I2465" i="10"/>
  <c r="I2467" i="10"/>
  <c r="I2464" i="10"/>
  <c r="I2466" i="10"/>
  <c r="I2463" i="10"/>
  <c r="I2471" i="10"/>
  <c r="I2470" i="10"/>
  <c r="I2472" i="10"/>
  <c r="I2469" i="10"/>
  <c r="I2474" i="10"/>
  <c r="I2475" i="10"/>
  <c r="I2483" i="10"/>
  <c r="I2480" i="10"/>
  <c r="I2477" i="10"/>
  <c r="I2485" i="10"/>
  <c r="I2482" i="10"/>
  <c r="I2479" i="10"/>
  <c r="I2476" i="10"/>
  <c r="I2484" i="10"/>
  <c r="I2481" i="10"/>
  <c r="I2478" i="10"/>
  <c r="I2486" i="10"/>
  <c r="I2488" i="10"/>
  <c r="I2487" i="10"/>
  <c r="I2490" i="10"/>
  <c r="I2489" i="10"/>
  <c r="I2492" i="10"/>
  <c r="I2491" i="10"/>
  <c r="I2496" i="10"/>
  <c r="I2493" i="10"/>
  <c r="I2495" i="10"/>
  <c r="I2497" i="10"/>
  <c r="I2494" i="10"/>
  <c r="I2502" i="10"/>
  <c r="I2499" i="10"/>
  <c r="I2501" i="10"/>
  <c r="I2500" i="10"/>
  <c r="I2505" i="10"/>
  <c r="I2504" i="10"/>
  <c r="I2506" i="10"/>
  <c r="I2503" i="10"/>
  <c r="I2511" i="10"/>
  <c r="I2508" i="10"/>
  <c r="I2513" i="10"/>
  <c r="I2510" i="10"/>
  <c r="I2512" i="10"/>
  <c r="I2509" i="10"/>
  <c r="I2515" i="10"/>
  <c r="I2517" i="10"/>
  <c r="I2514" i="10"/>
  <c r="I2516" i="10"/>
  <c r="I2521" i="10"/>
  <c r="I2520" i="10"/>
  <c r="I2519" i="10"/>
  <c r="I2524" i="10"/>
  <c r="I2526" i="10"/>
  <c r="I2523" i="10"/>
  <c r="I2525" i="10"/>
  <c r="I2522" i="10"/>
  <c r="I2530" i="10"/>
  <c r="I2527" i="10"/>
  <c r="I2529" i="10"/>
  <c r="I2528" i="10"/>
  <c r="I2533" i="10"/>
  <c r="I2532" i="10"/>
  <c r="I2534" i="10"/>
  <c r="I2536" i="10"/>
  <c r="I2535" i="10"/>
  <c r="I2539" i="10"/>
  <c r="I2538" i="10"/>
  <c r="I2537" i="10"/>
  <c r="I2542" i="10"/>
  <c r="I2541" i="10"/>
  <c r="I2543" i="10"/>
  <c r="I2540" i="10"/>
  <c r="I2548" i="10"/>
  <c r="I2545" i="10"/>
  <c r="I2547" i="10"/>
  <c r="I2544" i="10"/>
  <c r="I2549" i="10"/>
  <c r="I2546" i="10"/>
  <c r="I2552" i="10"/>
  <c r="I2553" i="10"/>
  <c r="I2550" i="10"/>
  <c r="I2554" i="10"/>
  <c r="I2551" i="10"/>
  <c r="I2558" i="10"/>
  <c r="I2559" i="10"/>
  <c r="I2557" i="10"/>
  <c r="I2561" i="10"/>
  <c r="I2560" i="10"/>
  <c r="I2564" i="10"/>
  <c r="I2565" i="10"/>
  <c r="I2566" i="10"/>
  <c r="I2563" i="10"/>
  <c r="I2570" i="10"/>
  <c r="I2568" i="10"/>
  <c r="I2569" i="10"/>
  <c r="I2573" i="10"/>
  <c r="I2571" i="10"/>
  <c r="I2572" i="10"/>
  <c r="I2579" i="10"/>
  <c r="I2576" i="10"/>
  <c r="I2577" i="10"/>
  <c r="I2578" i="10"/>
  <c r="I2575" i="10"/>
  <c r="I2583" i="10"/>
  <c r="I2584" i="10"/>
  <c r="I2585" i="10"/>
  <c r="I2586" i="10"/>
  <c r="I2587" i="10"/>
  <c r="I2588" i="10"/>
  <c r="I2589" i="10"/>
  <c r="I2590" i="10"/>
  <c r="I2591" i="10"/>
  <c r="I2592" i="10"/>
  <c r="I2594" i="10"/>
  <c r="I2595" i="10"/>
  <c r="I2593" i="10"/>
  <c r="I2601" i="10"/>
  <c r="I2598" i="10"/>
  <c r="I2600" i="10"/>
  <c r="I2597" i="10"/>
  <c r="I2602" i="10"/>
  <c r="I2599" i="10"/>
  <c r="I2596" i="10"/>
  <c r="I2604" i="10"/>
  <c r="I2603" i="10"/>
  <c r="I2605" i="10"/>
  <c r="I2607" i="10"/>
  <c r="I2606" i="10"/>
  <c r="I2613" i="10"/>
  <c r="I2610" i="10"/>
  <c r="I2612" i="10"/>
  <c r="I2609" i="10"/>
  <c r="I2614" i="10"/>
  <c r="I2611" i="10"/>
  <c r="I2616" i="10"/>
  <c r="I2618" i="10"/>
  <c r="I2615" i="10"/>
  <c r="I2617" i="10"/>
  <c r="I2624" i="10"/>
  <c r="I2621" i="10"/>
  <c r="I2625" i="10"/>
  <c r="I2622" i="10"/>
  <c r="I2623" i="10"/>
  <c r="I2620" i="10"/>
  <c r="I2627" i="10"/>
  <c r="I2626" i="10"/>
  <c r="I2628" i="10"/>
  <c r="I2629" i="10"/>
  <c r="I2633" i="10"/>
  <c r="I2631" i="10"/>
  <c r="I2632" i="10"/>
  <c r="I2636" i="10"/>
  <c r="I2637" i="10"/>
  <c r="I2634" i="10"/>
  <c r="I2635" i="10"/>
  <c r="I2639" i="10"/>
  <c r="I2640" i="10"/>
  <c r="I2638" i="10"/>
  <c r="I2645" i="10"/>
  <c r="I2642" i="10"/>
  <c r="I2647" i="10"/>
  <c r="I2644" i="10"/>
  <c r="I2646" i="10"/>
  <c r="I2643" i="10"/>
  <c r="I2641" i="10"/>
  <c r="I2648" i="10"/>
  <c r="I2649" i="10"/>
  <c r="I2651" i="10"/>
  <c r="I2650" i="10"/>
  <c r="I2652" i="10"/>
  <c r="I2654" i="10"/>
  <c r="I2655" i="10"/>
  <c r="I2657" i="10"/>
  <c r="I2656" i="10"/>
  <c r="I2663" i="10"/>
  <c r="I2660" i="10"/>
  <c r="I2662" i="10"/>
  <c r="I2659" i="10"/>
  <c r="I2661" i="10"/>
  <c r="I2658" i="10"/>
  <c r="I2666" i="10"/>
  <c r="I2665" i="10"/>
  <c r="I2664" i="10"/>
  <c r="I2669" i="10"/>
  <c r="I2670" i="10"/>
  <c r="I2675" i="10"/>
  <c r="I2672" i="10"/>
  <c r="I2677" i="10"/>
  <c r="I2674" i="10"/>
  <c r="I2671" i="10"/>
  <c r="I2676" i="10"/>
  <c r="I2673" i="10"/>
  <c r="I2681" i="10"/>
  <c r="I2678" i="10"/>
  <c r="I2683" i="10"/>
  <c r="I2680" i="10"/>
  <c r="I2682" i="10"/>
  <c r="I2679" i="10"/>
  <c r="I2684" i="10"/>
  <c r="I2686" i="10"/>
  <c r="I2685" i="10"/>
  <c r="I2697" i="10"/>
  <c r="I2696" i="10"/>
  <c r="I2693" i="10"/>
  <c r="I2690" i="10"/>
  <c r="I2687" i="10"/>
  <c r="I2695" i="10"/>
  <c r="I2692" i="10"/>
  <c r="I2689" i="10"/>
  <c r="I2694" i="10"/>
  <c r="I2691" i="10"/>
  <c r="I2688" i="10"/>
  <c r="I2700" i="10"/>
  <c r="I2699" i="10"/>
  <c r="I2703" i="10"/>
  <c r="I2701" i="10"/>
  <c r="I2702" i="10"/>
  <c r="I2705" i="10"/>
  <c r="I2704" i="10"/>
  <c r="I2709" i="10"/>
  <c r="I2708" i="10"/>
  <c r="I2710" i="10"/>
  <c r="I2715" i="10"/>
  <c r="I2712" i="10"/>
  <c r="I2714" i="10"/>
  <c r="I2713" i="10"/>
  <c r="I2719" i="10"/>
  <c r="I2717" i="10"/>
  <c r="I2718" i="10"/>
  <c r="I2716" i="10"/>
  <c r="I2732" i="10"/>
  <c r="I2729" i="10"/>
  <c r="I2726" i="10"/>
  <c r="I2723" i="10"/>
  <c r="I2734" i="10"/>
  <c r="I2731" i="10"/>
  <c r="I2728" i="10"/>
  <c r="I2725" i="10"/>
  <c r="I2722" i="10"/>
  <c r="I2733" i="10"/>
  <c r="I2730" i="10"/>
  <c r="I2727" i="10"/>
  <c r="I2724" i="10"/>
  <c r="I2721" i="10"/>
  <c r="I2738" i="10"/>
  <c r="I2735" i="10"/>
  <c r="I2737" i="10"/>
  <c r="I2736" i="10"/>
  <c r="I2744" i="10"/>
  <c r="I2741" i="10"/>
  <c r="I2743" i="10"/>
  <c r="I2740" i="10"/>
  <c r="I2742" i="10"/>
  <c r="I2739" i="10"/>
  <c r="I2747" i="10"/>
  <c r="I2746" i="10"/>
  <c r="I2745" i="10"/>
  <c r="I2750" i="10"/>
  <c r="I2749" i="10"/>
  <c r="I2748" i="10"/>
  <c r="I2756" i="10"/>
  <c r="I2753" i="10"/>
  <c r="I2755" i="10"/>
  <c r="I2752" i="10"/>
  <c r="I2754" i="10"/>
  <c r="I2751" i="10"/>
  <c r="I2759" i="10"/>
  <c r="I2761" i="10"/>
  <c r="I2758" i="10"/>
  <c r="I2760" i="10"/>
  <c r="I2757" i="10"/>
  <c r="I2762" i="10"/>
  <c r="I2763" i="10"/>
  <c r="I2765" i="10"/>
  <c r="I2767" i="10"/>
  <c r="I2764" i="10"/>
  <c r="I2766" i="10"/>
  <c r="I2783" i="10"/>
  <c r="I2780" i="10"/>
  <c r="I2777" i="10"/>
  <c r="I2774" i="10"/>
  <c r="I2782" i="10"/>
  <c r="I2779" i="10"/>
  <c r="I2776" i="10"/>
  <c r="I2773" i="10"/>
  <c r="I2781" i="10"/>
  <c r="I2778" i="10"/>
  <c r="I2775" i="10"/>
  <c r="I2772" i="10"/>
  <c r="I2785" i="10"/>
  <c r="I2784" i="10"/>
  <c r="I2786" i="10"/>
  <c r="I2788" i="10"/>
  <c r="I2787" i="10"/>
  <c r="I2789" i="10"/>
  <c r="I2791" i="10"/>
  <c r="I2790" i="10"/>
  <c r="I2795" i="10"/>
  <c r="I2797" i="10"/>
  <c r="I2794" i="10"/>
  <c r="I2796" i="10"/>
  <c r="I2793" i="10"/>
  <c r="I2801" i="10"/>
  <c r="I2798" i="10"/>
  <c r="I2800" i="10"/>
  <c r="I2802" i="10"/>
  <c r="I2799" i="10"/>
  <c r="I2810" i="10"/>
  <c r="I2807" i="10"/>
  <c r="I2804" i="10"/>
  <c r="I2809" i="10"/>
  <c r="I2806" i="10"/>
  <c r="I2808" i="10"/>
  <c r="I2805" i="10"/>
  <c r="I2816" i="10"/>
  <c r="I2813" i="10"/>
  <c r="I2815" i="10"/>
  <c r="I2812" i="10"/>
  <c r="I2814" i="10"/>
  <c r="I2811" i="10"/>
  <c r="I2819" i="10"/>
  <c r="I2821" i="10"/>
  <c r="I2818" i="10"/>
  <c r="I2820" i="10"/>
  <c r="I2822" i="10"/>
  <c r="I2823" i="10"/>
  <c r="I2825" i="10"/>
  <c r="I2824" i="10"/>
  <c r="I2826" i="10"/>
  <c r="I2828" i="10"/>
  <c r="I2829" i="10"/>
  <c r="I2831" i="10"/>
  <c r="I2833" i="10"/>
  <c r="I2830" i="10"/>
  <c r="I2832" i="10"/>
  <c r="I2837" i="10"/>
  <c r="I2836" i="10"/>
  <c r="I2838" i="10"/>
  <c r="I2835" i="10"/>
  <c r="I2845" i="10"/>
  <c r="I2842" i="10"/>
  <c r="I2844" i="10"/>
  <c r="I2841" i="10"/>
  <c r="I2839" i="10"/>
  <c r="I2846" i="10"/>
  <c r="I2843" i="10"/>
  <c r="I2840" i="10"/>
  <c r="I2848" i="10"/>
  <c r="I2850" i="10"/>
  <c r="I2847" i="10"/>
  <c r="I2849" i="10"/>
  <c r="I2851" i="10"/>
  <c r="I2852" i="10"/>
  <c r="I2854" i="10"/>
  <c r="I2853" i="10"/>
  <c r="I2857" i="10"/>
  <c r="I2859" i="10"/>
  <c r="I2856" i="10"/>
  <c r="I2858" i="10"/>
  <c r="I2860" i="10"/>
  <c r="I2861" i="10"/>
  <c r="I2866" i="10"/>
  <c r="I2863" i="10"/>
  <c r="I2865" i="10"/>
  <c r="I2864" i="10"/>
  <c r="I2869" i="10"/>
  <c r="I2871" i="10"/>
  <c r="I2868" i="10"/>
  <c r="I2870" i="10"/>
  <c r="I2867" i="10"/>
  <c r="I2875" i="10"/>
  <c r="I2872" i="10"/>
  <c r="I2877" i="10"/>
  <c r="I2874" i="10"/>
  <c r="I2876" i="10"/>
  <c r="I2873" i="10"/>
  <c r="I2878" i="10"/>
  <c r="I2879" i="10"/>
  <c r="I2881" i="10"/>
  <c r="I2880" i="10"/>
  <c r="I2882" i="10"/>
  <c r="I2884" i="10"/>
  <c r="I2886" i="10"/>
  <c r="I2883" i="10"/>
  <c r="I2885" i="10"/>
  <c r="I2890" i="10"/>
  <c r="I2889" i="10"/>
  <c r="I2891" i="10"/>
  <c r="I2893" i="10"/>
  <c r="I2892" i="10"/>
  <c r="I2894" i="10"/>
  <c r="I2897" i="10"/>
  <c r="I2896" i="10"/>
  <c r="I2895" i="10"/>
  <c r="I2900" i="10"/>
  <c r="I2899" i="10"/>
  <c r="I2903" i="10"/>
  <c r="I2902" i="10"/>
  <c r="I2901" i="10"/>
  <c r="I2915" i="10"/>
  <c r="I2912" i="10"/>
  <c r="I2909" i="10"/>
  <c r="I2906" i="10"/>
  <c r="I2914" i="10"/>
  <c r="I2911" i="10"/>
  <c r="I2908" i="10"/>
  <c r="I2905" i="10"/>
  <c r="I2913" i="10"/>
  <c r="I2910" i="10"/>
  <c r="I2907" i="10"/>
  <c r="I2904" i="10"/>
  <c r="I2918" i="10"/>
  <c r="I2917" i="10"/>
  <c r="I2919" i="10"/>
  <c r="I2916" i="10"/>
  <c r="I2921" i="10"/>
  <c r="I2920" i="10"/>
  <c r="I2922" i="10"/>
  <c r="I2927" i="10"/>
  <c r="I2924" i="10"/>
  <c r="I2929" i="10"/>
  <c r="I2926" i="10"/>
  <c r="I2923" i="10"/>
  <c r="I2928" i="10"/>
  <c r="I2925" i="10"/>
  <c r="I2936" i="10"/>
  <c r="I2933" i="10"/>
  <c r="I2930" i="10"/>
  <c r="I2935" i="10"/>
  <c r="I2932" i="10"/>
  <c r="I2934" i="10"/>
  <c r="I2931" i="10"/>
  <c r="I2942" i="10"/>
  <c r="I2939" i="10"/>
  <c r="I2944" i="10"/>
  <c r="I2941" i="10"/>
  <c r="I2938" i="10"/>
  <c r="I2943" i="10"/>
  <c r="I2940" i="10"/>
  <c r="I2937" i="10"/>
  <c r="I2945" i="10"/>
  <c r="I2946" i="10"/>
  <c r="I2948" i="10"/>
  <c r="I2947" i="10"/>
  <c r="I2950" i="10"/>
  <c r="I2949" i="10"/>
  <c r="I2953" i="10"/>
  <c r="I2952" i="10"/>
  <c r="I2956" i="10"/>
  <c r="I2955" i="10"/>
  <c r="I2958" i="10"/>
  <c r="I2957" i="10"/>
  <c r="I2960" i="10"/>
  <c r="I2959" i="10"/>
  <c r="I2961" i="10"/>
  <c r="I2967" i="10"/>
  <c r="I2965" i="10"/>
  <c r="I2963" i="10"/>
  <c r="I2966" i="10"/>
  <c r="I2964" i="10"/>
  <c r="I2962" i="10"/>
  <c r="I2968" i="10"/>
  <c r="I2970" i="10"/>
  <c r="I2969" i="10"/>
  <c r="I2973" i="10"/>
  <c r="I2974" i="10"/>
  <c r="I2972" i="10"/>
  <c r="I2977" i="10"/>
  <c r="I2976" i="10"/>
  <c r="I2975" i="10"/>
  <c r="I2979" i="10"/>
  <c r="I2978" i="10"/>
  <c r="I2980" i="10"/>
  <c r="I2981" i="10"/>
  <c r="I2983" i="10"/>
  <c r="I2985" i="10"/>
  <c r="I2984" i="10"/>
  <c r="I2982" i="10"/>
  <c r="I2986" i="10"/>
  <c r="I2987" i="10"/>
  <c r="I2990" i="10"/>
  <c r="I2989" i="10"/>
  <c r="I2991" i="10"/>
  <c r="I2988" i="10"/>
  <c r="I2993" i="10"/>
  <c r="I2992" i="10"/>
  <c r="I2996" i="10"/>
  <c r="I2995" i="10"/>
  <c r="I2994" i="10"/>
  <c r="I2998" i="10"/>
  <c r="I2997" i="10"/>
  <c r="I3009" i="10"/>
  <c r="I3006" i="10"/>
  <c r="I3005" i="10"/>
  <c r="I3002" i="10"/>
  <c r="I2999" i="10"/>
  <c r="I3008" i="10"/>
  <c r="I3004" i="10"/>
  <c r="I3001" i="10"/>
  <c r="I3007" i="10"/>
  <c r="I3003" i="10"/>
  <c r="I3000" i="10"/>
  <c r="I3015" i="10"/>
  <c r="I3012" i="10"/>
  <c r="I3014" i="10"/>
  <c r="I3011" i="10"/>
  <c r="I3013" i="10"/>
  <c r="I3019" i="10"/>
  <c r="I3018" i="10"/>
  <c r="I3020" i="10"/>
  <c r="I3017" i="10"/>
  <c r="I3021" i="10"/>
  <c r="I3016" i="10"/>
  <c r="I3022" i="10"/>
  <c r="I3023" i="10"/>
  <c r="I3024" i="10"/>
  <c r="I3035" i="10"/>
  <c r="I3032" i="10"/>
  <c r="I3031" i="10"/>
  <c r="I3028" i="10"/>
  <c r="I3025" i="10"/>
  <c r="I3034" i="10"/>
  <c r="I3030" i="10"/>
  <c r="I3027" i="10"/>
  <c r="I3036" i="10"/>
  <c r="I3033" i="10"/>
  <c r="I3029" i="10"/>
  <c r="I3026" i="10"/>
  <c r="I3041" i="10"/>
  <c r="I3038" i="10"/>
  <c r="I3040" i="10"/>
  <c r="I3037" i="10"/>
  <c r="I3042" i="10"/>
  <c r="I3039" i="10"/>
  <c r="I3047" i="10"/>
  <c r="I3044" i="10"/>
  <c r="I3046" i="10"/>
  <c r="I3043" i="10"/>
  <c r="I3045" i="10"/>
  <c r="I3051" i="10"/>
  <c r="I3050" i="10"/>
  <c r="I3052" i="10"/>
  <c r="I3049" i="10"/>
  <c r="I3054" i="10"/>
  <c r="I3053" i="10"/>
  <c r="I3057" i="10"/>
  <c r="I3055" i="10"/>
  <c r="I3056" i="10"/>
  <c r="I3058" i="10"/>
  <c r="I3059" i="10"/>
  <c r="I3064" i="10"/>
  <c r="I3061" i="10"/>
  <c r="I3060" i="10"/>
  <c r="I3063" i="10"/>
  <c r="I3062" i="10"/>
  <c r="I3066" i="10"/>
  <c r="I3065" i="10"/>
  <c r="I3070" i="10"/>
  <c r="I3067" i="10"/>
  <c r="I3072" i="10"/>
  <c r="I3069" i="10"/>
  <c r="I3071" i="10"/>
  <c r="I3068" i="10"/>
  <c r="I3074" i="10"/>
  <c r="I3073" i="10"/>
  <c r="I3076" i="10"/>
  <c r="I3075" i="10"/>
  <c r="I3079" i="10"/>
  <c r="I3078" i="10"/>
  <c r="I3083" i="10"/>
  <c r="I3080" i="10"/>
  <c r="I3082" i="10"/>
  <c r="I3081" i="10"/>
  <c r="I3087" i="10"/>
  <c r="I3086" i="10"/>
  <c r="I3085" i="10"/>
  <c r="I3084" i="10"/>
  <c r="I3090" i="10"/>
  <c r="I3088" i="10"/>
  <c r="I3089" i="10"/>
  <c r="I3092" i="10"/>
  <c r="I3091" i="10"/>
  <c r="I3095" i="10"/>
  <c r="I3097" i="10"/>
  <c r="I3094" i="10"/>
  <c r="I3098" i="10"/>
  <c r="I3096" i="10"/>
  <c r="I3093" i="10"/>
  <c r="I3100" i="10"/>
  <c r="I3099" i="10"/>
  <c r="I3101" i="10"/>
  <c r="I3104" i="10"/>
  <c r="I3105" i="10"/>
  <c r="I3102" i="10"/>
  <c r="I3103" i="10"/>
  <c r="I3107" i="10"/>
  <c r="I3106" i="10"/>
  <c r="I3112" i="10"/>
  <c r="I3108" i="10"/>
  <c r="I3113" i="10"/>
  <c r="I3109" i="10"/>
  <c r="I3111" i="10"/>
  <c r="I3110" i="10"/>
  <c r="I3116" i="10"/>
  <c r="I3117" i="10"/>
  <c r="I3118" i="10"/>
  <c r="I3114" i="10"/>
  <c r="I3119" i="10"/>
  <c r="I3115" i="10"/>
  <c r="I3124" i="10"/>
  <c r="I3120" i="10"/>
  <c r="I3121" i="10"/>
  <c r="I3123" i="10"/>
  <c r="I3122" i="10"/>
  <c r="I3128" i="10"/>
  <c r="I3129" i="10"/>
  <c r="I3125" i="10"/>
  <c r="I3126" i="10"/>
  <c r="I3127" i="10"/>
  <c r="I3132" i="10"/>
  <c r="I3133" i="10"/>
  <c r="I3131" i="10"/>
  <c r="I3134" i="10"/>
  <c r="I3135" i="10"/>
  <c r="I3136" i="10"/>
  <c r="I3137" i="10"/>
  <c r="I3138" i="10"/>
  <c r="I3139" i="10"/>
  <c r="I3140" i="10"/>
  <c r="I3141" i="10"/>
  <c r="I3142" i="10"/>
  <c r="I3144" i="10"/>
  <c r="I3145" i="10"/>
  <c r="I3156" i="10"/>
  <c r="I3152" i="10"/>
  <c r="I3148" i="10"/>
  <c r="I3153" i="10"/>
  <c r="I3149" i="10"/>
  <c r="I3157" i="10"/>
  <c r="I3154" i="10"/>
  <c r="I3150" i="10"/>
  <c r="I3146" i="10"/>
  <c r="I3155" i="10"/>
  <c r="I3151" i="10"/>
  <c r="I3147" i="10"/>
  <c r="I3158" i="10"/>
  <c r="I3159" i="10"/>
  <c r="I3163" i="10"/>
  <c r="I3164" i="10"/>
  <c r="I3161" i="10"/>
  <c r="I3160" i="10"/>
  <c r="I3162" i="10"/>
  <c r="I3167" i="10"/>
  <c r="I3168" i="10"/>
  <c r="I3165" i="10"/>
  <c r="I3166" i="10"/>
  <c r="I3171" i="10"/>
  <c r="I3169" i="10"/>
  <c r="I3170" i="10"/>
  <c r="I3173" i="10"/>
  <c r="I3172" i="10"/>
  <c r="I3177" i="10"/>
  <c r="I3176" i="10"/>
  <c r="I3179" i="10"/>
  <c r="I3175" i="10"/>
  <c r="I3178" i="10"/>
  <c r="I3174" i="10"/>
  <c r="I3181" i="10"/>
  <c r="I3180" i="10"/>
  <c r="I3182" i="10"/>
  <c r="I3185" i="10"/>
  <c r="I3184" i="10"/>
  <c r="I3186" i="10"/>
  <c r="I3189" i="10"/>
  <c r="I3192" i="10"/>
  <c r="I3188" i="10"/>
  <c r="I3191" i="10"/>
  <c r="I3187" i="10"/>
  <c r="I3190" i="10"/>
  <c r="I3193" i="10"/>
  <c r="I3194" i="10"/>
  <c r="I3197" i="10"/>
  <c r="I3196" i="10"/>
  <c r="I3199" i="10"/>
  <c r="I3195" i="10"/>
  <c r="I3198" i="10"/>
  <c r="I3205" i="10"/>
  <c r="I3201" i="10"/>
  <c r="I3204" i="10"/>
  <c r="I3200" i="10"/>
  <c r="I3203" i="10"/>
  <c r="I3206" i="10"/>
  <c r="I3202" i="10"/>
  <c r="I3209" i="10"/>
  <c r="I3208" i="10"/>
  <c r="I3211" i="10"/>
  <c r="I3210" i="10"/>
  <c r="I3213" i="10"/>
  <c r="I3212" i="10"/>
  <c r="I3214" i="10"/>
  <c r="I3217" i="10"/>
  <c r="I3216" i="10"/>
  <c r="I3219" i="10"/>
  <c r="I3215" i="10"/>
  <c r="I3218" i="10"/>
  <c r="I3221" i="10"/>
  <c r="I3222" i="10"/>
  <c r="I3227" i="10"/>
  <c r="I3225" i="10"/>
  <c r="I3229" i="10"/>
  <c r="I3224" i="10"/>
  <c r="I3228" i="10"/>
  <c r="I3223" i="10"/>
  <c r="I3230" i="10"/>
  <c r="I3226" i="10"/>
  <c r="I3231" i="10"/>
  <c r="I3232" i="10"/>
  <c r="I3239" i="10"/>
  <c r="I3235" i="10"/>
  <c r="I3237" i="10"/>
  <c r="I3233" i="10"/>
  <c r="I3236" i="10"/>
  <c r="I3238" i="10"/>
  <c r="I3234" i="10"/>
  <c r="I3243" i="10"/>
  <c r="I3241" i="10"/>
  <c r="I3242" i="10"/>
  <c r="I3247" i="10"/>
  <c r="I3245" i="10"/>
  <c r="I3244" i="10"/>
  <c r="I3246" i="10"/>
  <c r="I3255" i="10"/>
  <c r="I3251" i="10"/>
  <c r="I3253" i="10"/>
  <c r="I3252" i="10"/>
  <c r="I3254" i="10"/>
  <c r="I3250" i="10"/>
  <c r="I3257" i="10"/>
  <c r="I3256" i="10"/>
  <c r="I3258" i="10"/>
  <c r="I3259" i="10"/>
  <c r="I3260" i="10"/>
  <c r="I3261" i="10"/>
  <c r="I3262" i="10"/>
  <c r="I3267" i="10"/>
  <c r="I3266" i="10"/>
  <c r="I3265" i="10"/>
  <c r="I3268" i="10"/>
  <c r="I3264" i="10"/>
  <c r="I3271" i="10"/>
  <c r="I3270" i="10"/>
  <c r="I3269" i="10"/>
  <c r="I3274" i="10"/>
  <c r="I3275" i="10"/>
  <c r="I3273" i="10"/>
  <c r="I3272" i="10"/>
  <c r="I3278" i="10"/>
  <c r="I3277" i="10"/>
  <c r="I3286" i="10"/>
  <c r="I3282" i="10"/>
  <c r="I3287" i="10"/>
  <c r="I3283" i="10"/>
  <c r="I3289" i="10"/>
  <c r="I3285" i="10"/>
  <c r="I3281" i="10"/>
  <c r="I3288" i="10"/>
  <c r="I3284" i="10"/>
  <c r="I3290" i="10"/>
  <c r="I3291" i="10"/>
  <c r="I3292" i="10"/>
  <c r="I3298" i="10"/>
  <c r="I3294" i="10"/>
  <c r="I3295" i="10"/>
  <c r="I3297" i="10"/>
  <c r="I3296" i="10"/>
  <c r="I3306" i="10"/>
  <c r="I3302" i="10"/>
  <c r="I3307" i="10"/>
  <c r="I3303" i="10"/>
  <c r="I3305" i="10"/>
  <c r="I3304" i="10"/>
  <c r="I3310" i="10"/>
  <c r="I3309" i="10"/>
  <c r="I3314" i="10"/>
  <c r="I3315" i="10"/>
  <c r="I3311" i="10"/>
  <c r="I3313" i="10"/>
  <c r="I3312" i="10"/>
  <c r="I3316" i="10"/>
  <c r="I3317" i="10"/>
  <c r="I3323" i="10"/>
  <c r="I3319" i="10"/>
  <c r="I3322" i="10"/>
  <c r="I3318" i="10"/>
  <c r="I3324" i="10"/>
  <c r="I3320" i="10"/>
  <c r="I3321" i="10"/>
  <c r="I3326" i="10"/>
  <c r="I3325" i="10"/>
  <c r="I3327" i="10"/>
  <c r="I3330" i="10"/>
  <c r="I3328" i="10"/>
  <c r="I3329" i="10"/>
  <c r="I3331" i="10"/>
  <c r="I3333" i="10"/>
  <c r="I3332" i="10"/>
  <c r="I3339" i="10"/>
  <c r="I3335" i="10"/>
  <c r="I3337" i="10"/>
  <c r="I3336" i="10"/>
  <c r="I3338" i="10"/>
  <c r="I3334" i="10"/>
  <c r="I3343" i="10"/>
  <c r="I3341" i="10"/>
  <c r="I3342" i="10"/>
  <c r="I3345" i="10"/>
  <c r="I3344" i="10"/>
  <c r="I3348" i="10"/>
  <c r="I3347" i="10"/>
  <c r="I3350" i="10"/>
  <c r="I3349" i="10"/>
  <c r="I3352" i="10"/>
  <c r="I3351" i="10"/>
  <c r="I3354" i="10"/>
  <c r="I3357" i="10"/>
  <c r="I3353" i="10"/>
  <c r="I3356" i="10"/>
  <c r="I3355" i="10"/>
  <c r="I3363" i="10"/>
  <c r="I3358" i="10"/>
  <c r="I3361" i="10"/>
  <c r="I3362" i="10"/>
  <c r="I3360" i="10"/>
  <c r="I3364" i="10"/>
  <c r="I3359" i="10"/>
  <c r="I3367" i="10"/>
  <c r="I3366" i="10"/>
  <c r="I3368" i="10"/>
  <c r="I3371" i="10"/>
  <c r="I3373" i="10"/>
  <c r="I3369" i="10"/>
  <c r="I3374" i="10"/>
  <c r="I3370" i="10"/>
  <c r="I3372" i="10"/>
  <c r="I3379" i="10"/>
  <c r="I3375" i="10"/>
  <c r="I3381" i="10"/>
  <c r="I3377" i="10"/>
  <c r="I3382" i="10"/>
  <c r="I3378" i="10"/>
  <c r="I3380" i="10"/>
  <c r="I3376" i="10"/>
  <c r="I3383" i="10"/>
  <c r="I3385" i="10"/>
  <c r="I3384" i="10"/>
  <c r="I3387" i="10"/>
  <c r="I3389" i="10"/>
  <c r="I3386" i="10"/>
  <c r="I3388" i="10"/>
  <c r="I3391" i="10"/>
  <c r="I3390" i="10"/>
  <c r="I3392" i="10"/>
  <c r="I3396" i="10"/>
  <c r="I3395" i="10"/>
  <c r="I3393" i="10"/>
  <c r="I3398" i="10"/>
  <c r="I3394" i="10"/>
  <c r="I3397" i="10"/>
  <c r="I3399" i="10"/>
  <c r="I3400" i="10"/>
  <c r="I1996" i="10"/>
  <c r="I1995" i="10"/>
  <c r="I2000" i="10"/>
  <c r="I1999" i="10"/>
  <c r="I2002" i="10"/>
  <c r="I1998" i="10"/>
  <c r="I2001" i="10"/>
  <c r="I2004" i="10"/>
  <c r="I2003" i="10"/>
  <c r="I2005" i="10"/>
  <c r="I2008" i="10"/>
  <c r="I2007" i="10"/>
  <c r="I2009" i="10"/>
  <c r="I2012" i="10"/>
  <c r="I2015" i="10"/>
  <c r="I2011" i="10"/>
  <c r="I2014" i="10"/>
  <c r="I2010" i="10"/>
  <c r="I2013" i="10"/>
  <c r="I2016" i="10"/>
  <c r="I2019" i="10"/>
  <c r="I2018" i="10"/>
  <c r="I2017" i="10"/>
  <c r="I2024" i="10"/>
  <c r="I2020" i="10"/>
  <c r="I2023" i="10"/>
  <c r="I2022" i="10"/>
  <c r="I2025" i="10"/>
  <c r="I2021" i="10"/>
  <c r="I2027" i="10"/>
  <c r="I2026" i="10"/>
  <c r="I2032" i="10"/>
  <c r="I2028" i="10"/>
  <c r="I2031" i="10"/>
  <c r="I2030" i="10"/>
  <c r="I2029" i="10"/>
  <c r="I2036" i="10"/>
  <c r="I2035" i="10"/>
  <c r="I2034" i="10"/>
  <c r="I2040" i="10"/>
  <c r="I2039" i="10"/>
  <c r="I2042" i="10"/>
  <c r="I2038" i="10"/>
  <c r="I2041" i="10"/>
  <c r="I2037" i="10"/>
  <c r="I2048" i="10"/>
  <c r="I2044" i="10"/>
  <c r="I2047" i="10"/>
  <c r="I2050" i="10"/>
  <c r="I2046" i="10"/>
  <c r="I2049" i="10"/>
  <c r="I2045" i="10"/>
  <c r="I2052" i="10"/>
  <c r="I2051" i="10"/>
  <c r="I2059" i="10"/>
  <c r="I2056" i="10"/>
  <c r="I2055" i="10"/>
  <c r="I2058" i="10"/>
  <c r="I2054" i="10"/>
  <c r="I2057" i="10"/>
  <c r="I2063" i="10"/>
  <c r="I2064" i="10"/>
  <c r="I2060" i="10"/>
  <c r="I2062" i="10"/>
  <c r="I2065" i="10"/>
  <c r="I2061" i="10"/>
  <c r="I2067" i="10"/>
  <c r="I2068" i="10"/>
  <c r="I2070" i="10"/>
  <c r="I2066" i="10"/>
  <c r="I2069" i="10"/>
  <c r="I2071" i="10"/>
  <c r="I2072" i="10"/>
  <c r="I2075" i="10"/>
  <c r="I2076" i="10"/>
  <c r="I2078" i="10"/>
  <c r="I2074" i="10"/>
  <c r="I2077" i="10"/>
  <c r="I2073" i="10"/>
  <c r="I2080" i="10"/>
  <c r="I2081" i="10"/>
  <c r="I2088" i="10"/>
  <c r="I2084" i="10"/>
  <c r="I2087" i="10"/>
  <c r="I2083" i="10"/>
  <c r="I2086" i="10"/>
  <c r="I2089" i="10"/>
  <c r="I2085" i="10"/>
  <c r="I2091" i="10"/>
  <c r="I2092" i="10"/>
  <c r="I2093" i="10"/>
  <c r="I2099" i="10"/>
  <c r="I2095" i="10"/>
  <c r="I2100" i="10"/>
  <c r="I2096" i="10"/>
  <c r="I2098" i="10"/>
  <c r="I2094" i="10"/>
  <c r="I2097" i="10"/>
  <c r="I2103" i="10"/>
  <c r="I2104" i="10"/>
  <c r="I2102" i="10"/>
  <c r="I2101" i="10"/>
  <c r="I2107" i="10"/>
  <c r="I2108" i="10"/>
  <c r="I2106" i="10"/>
  <c r="I2105" i="10"/>
  <c r="I2110" i="10"/>
  <c r="I2109" i="10"/>
  <c r="I2112" i="10"/>
  <c r="I2113" i="10"/>
  <c r="I2115" i="10"/>
  <c r="I2116" i="10"/>
  <c r="I2118" i="10"/>
  <c r="I2114" i="10"/>
  <c r="I2117" i="10"/>
  <c r="I2123" i="10"/>
  <c r="I2119" i="10"/>
  <c r="I2124" i="10"/>
  <c r="I2120" i="10"/>
  <c r="I2122" i="10"/>
  <c r="I2121" i="10"/>
  <c r="I2127" i="10"/>
  <c r="I2128" i="10"/>
  <c r="I2130" i="10"/>
  <c r="I2126" i="10"/>
  <c r="I2129" i="10"/>
  <c r="I2131" i="10"/>
  <c r="I2132" i="10"/>
  <c r="I2134" i="10"/>
  <c r="I2133" i="10"/>
  <c r="I2136" i="10"/>
  <c r="I2135" i="10"/>
  <c r="I2138" i="10"/>
  <c r="I2137" i="10"/>
  <c r="I2140" i="10"/>
  <c r="I2139" i="10"/>
  <c r="I2142" i="10"/>
  <c r="I2141" i="10"/>
  <c r="I2143" i="10"/>
  <c r="I2144" i="10"/>
  <c r="I2145" i="10"/>
  <c r="I2147" i="10"/>
  <c r="I2146" i="10"/>
  <c r="I2151" i="10"/>
  <c r="I2152" i="10"/>
  <c r="I2148" i="10"/>
  <c r="I2150" i="10"/>
  <c r="I2149" i="10"/>
  <c r="I2156" i="10"/>
  <c r="I2157" i="10"/>
  <c r="I2159" i="10"/>
  <c r="I2160" i="10"/>
  <c r="I2158" i="10"/>
  <c r="I2163" i="10"/>
  <c r="I2164" i="10"/>
  <c r="I2162" i="10"/>
  <c r="I2161" i="10"/>
  <c r="I2167" i="10"/>
  <c r="I2166" i="10"/>
  <c r="I2165" i="10"/>
  <c r="I2168" i="10"/>
  <c r="I2169" i="10"/>
  <c r="I2175" i="10"/>
  <c r="I2172" i="10"/>
  <c r="I2176" i="10"/>
  <c r="I2171" i="10"/>
  <c r="I2178" i="10"/>
  <c r="I2174" i="10"/>
  <c r="I2177" i="10"/>
  <c r="I2173" i="10"/>
  <c r="I2179" i="10"/>
  <c r="I2180" i="10"/>
  <c r="I2181" i="10"/>
  <c r="I2183" i="10"/>
  <c r="I2184" i="10"/>
  <c r="I2182" i="10"/>
  <c r="I2185" i="10"/>
  <c r="I2192" i="10"/>
  <c r="I2187" i="10"/>
  <c r="I2191" i="10"/>
  <c r="I2188" i="10"/>
  <c r="I2190" i="10"/>
  <c r="I2189" i="10"/>
  <c r="I2195" i="10"/>
  <c r="I2196" i="10"/>
  <c r="I2194" i="10"/>
  <c r="I2197" i="10"/>
  <c r="I2193" i="10"/>
  <c r="I2199" i="10"/>
  <c r="I2198" i="10"/>
  <c r="I2203" i="10"/>
  <c r="I2200" i="10"/>
  <c r="I2205" i="10"/>
  <c r="I2202" i="10"/>
  <c r="I2204" i="10"/>
  <c r="I2201" i="10"/>
  <c r="I2206" i="10"/>
  <c r="I2207" i="10"/>
  <c r="I2212" i="10"/>
  <c r="I2209" i="10"/>
  <c r="I2211" i="10"/>
  <c r="I2208" i="10"/>
  <c r="I2213" i="10"/>
  <c r="I2210" i="10"/>
  <c r="I2215" i="10"/>
  <c r="I2214" i="10"/>
  <c r="I2221" i="10"/>
  <c r="I2218" i="10"/>
  <c r="I2219" i="10"/>
  <c r="I2217" i="10"/>
  <c r="I2222" i="10"/>
  <c r="I2220" i="10"/>
  <c r="I2216" i="10"/>
  <c r="I2224" i="10"/>
  <c r="I2226" i="10"/>
  <c r="I2223" i="10"/>
  <c r="I2225" i="10"/>
  <c r="I2233" i="10"/>
  <c r="I2230" i="10"/>
  <c r="I2227" i="10"/>
  <c r="I2232" i="10"/>
  <c r="I2229" i="10"/>
  <c r="I2231" i="10"/>
  <c r="I2228" i="10"/>
  <c r="I2235" i="10"/>
  <c r="I2234" i="10"/>
  <c r="I2239" i="10"/>
  <c r="I2238" i="10"/>
  <c r="I2240" i="10"/>
  <c r="I2237" i="10"/>
  <c r="I2242" i="10"/>
  <c r="I2244" i="10"/>
  <c r="I2241" i="10"/>
  <c r="I2243" i="10"/>
  <c r="I2245" i="10"/>
  <c r="I2246" i="10"/>
  <c r="I2248" i="10"/>
  <c r="I2247" i="10"/>
  <c r="I2251" i="10"/>
  <c r="I2250" i="10"/>
  <c r="I2249" i="10"/>
  <c r="I2253" i="10"/>
  <c r="I2252" i="10"/>
  <c r="I2254" i="10"/>
  <c r="I2256" i="10"/>
  <c r="I2255" i="10"/>
  <c r="I2261" i="10"/>
  <c r="I2260" i="10"/>
  <c r="I2257" i="10"/>
  <c r="I2262" i="10"/>
  <c r="I2259" i="10"/>
  <c r="I2258" i="10"/>
  <c r="I2267" i="10"/>
  <c r="I2264" i="10"/>
  <c r="I2269" i="10"/>
  <c r="I2266" i="10"/>
  <c r="I2268" i="10"/>
  <c r="I2265" i="10"/>
  <c r="I2270" i="10"/>
  <c r="I2271" i="10"/>
  <c r="I2276" i="10"/>
  <c r="I2273" i="10"/>
  <c r="I2275" i="10"/>
  <c r="I2272" i="10"/>
  <c r="I2277" i="10"/>
  <c r="I2274" i="10"/>
  <c r="I2283" i="10"/>
  <c r="I2280" i="10"/>
  <c r="I2279" i="10"/>
  <c r="I2282" i="10"/>
  <c r="I2278" i="10"/>
  <c r="I2281" i="10"/>
  <c r="I2292" i="10"/>
  <c r="I2289" i="10"/>
  <c r="I2286" i="10"/>
  <c r="I2291" i="10"/>
  <c r="I2288" i="10"/>
  <c r="I2285" i="10"/>
  <c r="I2290" i="10"/>
  <c r="I2287" i="10"/>
  <c r="I2284" i="10"/>
  <c r="I2294" i="10"/>
  <c r="I2293" i="10"/>
  <c r="I2297" i="10"/>
  <c r="I2296" i="10"/>
  <c r="I2302" i="10"/>
  <c r="I2299" i="10"/>
  <c r="I2298" i="10"/>
  <c r="I2300" i="10"/>
  <c r="I2301" i="10"/>
  <c r="I2305" i="10"/>
  <c r="I2304" i="10"/>
  <c r="I2306" i="10"/>
  <c r="I2311" i="10"/>
  <c r="I2308" i="10"/>
  <c r="I2310" i="10"/>
  <c r="I2307" i="10"/>
  <c r="I2309" i="10"/>
  <c r="I2313" i="10"/>
  <c r="I2312" i="10"/>
  <c r="I2314" i="10"/>
  <c r="I2316" i="10"/>
  <c r="I2315" i="10"/>
  <c r="I2323" i="10"/>
  <c r="I2320" i="10"/>
  <c r="I2322" i="10"/>
  <c r="I2319" i="10"/>
  <c r="I2324" i="10"/>
  <c r="I2321" i="10"/>
  <c r="I2329" i="10"/>
  <c r="I2326" i="10"/>
  <c r="I2331" i="10"/>
  <c r="I2328" i="10"/>
  <c r="I2330" i="10"/>
  <c r="I2327" i="10"/>
  <c r="I2335" i="10"/>
  <c r="I2332" i="10"/>
  <c r="I2337" i="10"/>
  <c r="I2334" i="10"/>
  <c r="I2336" i="10"/>
  <c r="I2333" i="10"/>
  <c r="C4" i="11"/>
  <c r="I12" i="10"/>
  <c r="I13" i="10"/>
  <c r="I14" i="10"/>
  <c r="I15" i="10"/>
  <c r="I59" i="10" l="1"/>
  <c r="I452" i="10"/>
  <c r="I24" i="10"/>
  <c r="I26" i="10"/>
  <c r="I25" i="10"/>
  <c r="I22" i="10"/>
  <c r="I56" i="10"/>
  <c r="I58" i="10"/>
  <c r="I57" i="10"/>
  <c r="I131" i="10"/>
  <c r="I133" i="10"/>
  <c r="I132" i="10"/>
  <c r="I134" i="10"/>
  <c r="I153" i="10"/>
  <c r="I152" i="10"/>
  <c r="I154" i="10"/>
  <c r="I156" i="10"/>
  <c r="I151" i="10"/>
  <c r="I155" i="10"/>
  <c r="I317" i="10"/>
  <c r="I314" i="10"/>
  <c r="I318" i="10"/>
  <c r="I385" i="10"/>
  <c r="I388" i="10"/>
  <c r="I379" i="10"/>
  <c r="I383" i="10"/>
  <c r="I378" i="10"/>
  <c r="I384" i="10"/>
  <c r="I386" i="10"/>
  <c r="I377" i="10"/>
  <c r="I381" i="10"/>
  <c r="I387" i="10"/>
  <c r="I382" i="10"/>
  <c r="I380" i="10"/>
  <c r="I393" i="10"/>
  <c r="I390" i="10"/>
  <c r="I392" i="10"/>
  <c r="I391" i="10"/>
  <c r="I415" i="10"/>
  <c r="I418" i="10"/>
  <c r="I413" i="10"/>
  <c r="I417" i="10"/>
  <c r="I414" i="10"/>
  <c r="I416" i="10"/>
  <c r="I423" i="10"/>
  <c r="I424" i="10"/>
  <c r="I420" i="10"/>
  <c r="I426" i="10"/>
  <c r="I422" i="10"/>
  <c r="I425" i="10"/>
  <c r="I421" i="10"/>
  <c r="I428" i="10"/>
  <c r="I429" i="10"/>
  <c r="I435" i="10"/>
  <c r="I437" i="10"/>
  <c r="I433" i="10"/>
  <c r="I438" i="10"/>
  <c r="I434" i="10"/>
  <c r="I436" i="10"/>
  <c r="I447" i="10"/>
  <c r="I446" i="10"/>
  <c r="I448" i="10"/>
  <c r="I445" i="10"/>
  <c r="I444" i="10"/>
  <c r="I443" i="10"/>
  <c r="I454" i="10"/>
  <c r="I453" i="10"/>
  <c r="I496" i="10"/>
  <c r="I499" i="10"/>
  <c r="I498" i="10"/>
  <c r="I495" i="10"/>
  <c r="I497" i="10"/>
  <c r="I501" i="10"/>
  <c r="I502" i="10"/>
  <c r="I503" i="10"/>
  <c r="I527" i="10"/>
  <c r="I523" i="10"/>
  <c r="I526" i="10"/>
  <c r="I528" i="10"/>
  <c r="I524" i="10"/>
  <c r="I525" i="10"/>
  <c r="I549" i="10"/>
  <c r="I546" i="10"/>
  <c r="I548" i="10"/>
  <c r="I547" i="10"/>
  <c r="I550" i="10"/>
  <c r="I552" i="10"/>
  <c r="I551" i="10"/>
  <c r="I555" i="10"/>
  <c r="I556" i="10"/>
  <c r="I557" i="10"/>
  <c r="I558" i="10"/>
  <c r="B6" i="12"/>
  <c r="C6" i="12" s="1"/>
  <c r="B5" i="12"/>
  <c r="C5" i="12" s="1"/>
  <c r="I23" i="10"/>
  <c r="C5" i="11"/>
  <c r="I315" i="10"/>
  <c r="I1172" i="10"/>
  <c r="I1168" i="10"/>
  <c r="I1171" i="10"/>
  <c r="I1167" i="10"/>
  <c r="I1173" i="10"/>
  <c r="I1170" i="10"/>
  <c r="I1169" i="10"/>
  <c r="C6" i="11" l="1"/>
</calcChain>
</file>

<file path=xl/sharedStrings.xml><?xml version="1.0" encoding="utf-8"?>
<sst xmlns="http://schemas.openxmlformats.org/spreadsheetml/2006/main" count="22374" uniqueCount="5801">
  <si>
    <t>refill_id</t>
  </si>
  <si>
    <t>patient_id</t>
  </si>
  <si>
    <t>rx_id</t>
  </si>
  <si>
    <t>refill_date</t>
  </si>
  <si>
    <t>quantity_days</t>
  </si>
  <si>
    <t>refill_number</t>
  </si>
  <si>
    <t>prev_refill_end</t>
  </si>
  <si>
    <t>gap_days</t>
  </si>
  <si>
    <t>RF2706729</t>
  </si>
  <si>
    <t>P00001</t>
  </si>
  <si>
    <t>RX854540</t>
  </si>
  <si>
    <t>RF6642227</t>
  </si>
  <si>
    <t>P00002</t>
  </si>
  <si>
    <t>RX565776</t>
  </si>
  <si>
    <t>RF7033230</t>
  </si>
  <si>
    <t>RF7096860</t>
  </si>
  <si>
    <t>RF8534471</t>
  </si>
  <si>
    <t>RF2225019</t>
  </si>
  <si>
    <t>RF9105738</t>
  </si>
  <si>
    <t>RF9346970</t>
  </si>
  <si>
    <t>P00003</t>
  </si>
  <si>
    <t>RX398768</t>
  </si>
  <si>
    <t>RF3723403</t>
  </si>
  <si>
    <t>P00004</t>
  </si>
  <si>
    <t>RX345369</t>
  </si>
  <si>
    <t>RF7091271</t>
  </si>
  <si>
    <t>RF3582481</t>
  </si>
  <si>
    <t>RF5286245</t>
  </si>
  <si>
    <t>P00005</t>
  </si>
  <si>
    <t>RX350786</t>
  </si>
  <si>
    <t>RF7420464</t>
  </si>
  <si>
    <t>RF8575004</t>
  </si>
  <si>
    <t>RF4007738</t>
  </si>
  <si>
    <t>P00006</t>
  </si>
  <si>
    <t>RX947903</t>
  </si>
  <si>
    <t>RF5237042</t>
  </si>
  <si>
    <t>RF4022340</t>
  </si>
  <si>
    <t>RF7352622</t>
  </si>
  <si>
    <t>RF2595691</t>
  </si>
  <si>
    <t>P00007</t>
  </si>
  <si>
    <t>RX975679</t>
  </si>
  <si>
    <t>RF5029111</t>
  </si>
  <si>
    <t>RF3107152</t>
  </si>
  <si>
    <t>P00008</t>
  </si>
  <si>
    <t>RX485709</t>
  </si>
  <si>
    <t>RF9221031</t>
  </si>
  <si>
    <t>RF6767920</t>
  </si>
  <si>
    <t>RF5065301</t>
  </si>
  <si>
    <t>RF7728933</t>
  </si>
  <si>
    <t>RF8398208</t>
  </si>
  <si>
    <t>P00009</t>
  </si>
  <si>
    <t>RX698128</t>
  </si>
  <si>
    <t>RF8462307</t>
  </si>
  <si>
    <t>P00010</t>
  </si>
  <si>
    <t>RX584106</t>
  </si>
  <si>
    <t>RF2140000</t>
  </si>
  <si>
    <t>RF2566504</t>
  </si>
  <si>
    <t>RF4199369</t>
  </si>
  <si>
    <t>P00011</t>
  </si>
  <si>
    <t>RX915922</t>
  </si>
  <si>
    <t>RF2334091</t>
  </si>
  <si>
    <t>RF9958104</t>
  </si>
  <si>
    <t>RF5338456</t>
  </si>
  <si>
    <t>RF4403233</t>
  </si>
  <si>
    <t>P00012</t>
  </si>
  <si>
    <t>RX627335</t>
  </si>
  <si>
    <t>RF7977965</t>
  </si>
  <si>
    <t>RF8434985</t>
  </si>
  <si>
    <t>RF5553206</t>
  </si>
  <si>
    <t>P00013</t>
  </si>
  <si>
    <t>RX538997</t>
  </si>
  <si>
    <t>RF5374547</t>
  </si>
  <si>
    <t>RF7373216</t>
  </si>
  <si>
    <t>P00014</t>
  </si>
  <si>
    <t>RX956572</t>
  </si>
  <si>
    <t>RF6510180</t>
  </si>
  <si>
    <t>RF3280776</t>
  </si>
  <si>
    <t>RF2701263</t>
  </si>
  <si>
    <t>RF2662880</t>
  </si>
  <si>
    <t>RF9725277</t>
  </si>
  <si>
    <t>RF8778499</t>
  </si>
  <si>
    <t>RF6499566</t>
  </si>
  <si>
    <t>P00015</t>
  </si>
  <si>
    <t>RX940181</t>
  </si>
  <si>
    <t>RF5277693</t>
  </si>
  <si>
    <t>RF7320845</t>
  </si>
  <si>
    <t>RF9000515</t>
  </si>
  <si>
    <t>RF7713109</t>
  </si>
  <si>
    <t>RF2554613</t>
  </si>
  <si>
    <t>RF7860918</t>
  </si>
  <si>
    <t>RF8123334</t>
  </si>
  <si>
    <t>P00016</t>
  </si>
  <si>
    <t>RX245121</t>
  </si>
  <si>
    <t>RF4001835</t>
  </si>
  <si>
    <t>RF4050844</t>
  </si>
  <si>
    <t>P00017</t>
  </si>
  <si>
    <t>RX154714</t>
  </si>
  <si>
    <t>RF9756339</t>
  </si>
  <si>
    <t>RF2972965</t>
  </si>
  <si>
    <t>RF7136317</t>
  </si>
  <si>
    <t>RF2461613</t>
  </si>
  <si>
    <t>RF7587480</t>
  </si>
  <si>
    <t>P00018</t>
  </si>
  <si>
    <t>RX603935</t>
  </si>
  <si>
    <t>RF8213091</t>
  </si>
  <si>
    <t>RF3001960</t>
  </si>
  <si>
    <t>P00019</t>
  </si>
  <si>
    <t>RX681478</t>
  </si>
  <si>
    <t>RF7938300</t>
  </si>
  <si>
    <t>P00020</t>
  </si>
  <si>
    <t>RX845957</t>
  </si>
  <si>
    <t>RF7884605</t>
  </si>
  <si>
    <t>P00021</t>
  </si>
  <si>
    <t>RX992512</t>
  </si>
  <si>
    <t>RF3374327</t>
  </si>
  <si>
    <t>RF9994479</t>
  </si>
  <si>
    <t>RF6387286</t>
  </si>
  <si>
    <t>RF8568171</t>
  </si>
  <si>
    <t>P00022</t>
  </si>
  <si>
    <t>RX398910</t>
  </si>
  <si>
    <t>RF8046219</t>
  </si>
  <si>
    <t>RF3400586</t>
  </si>
  <si>
    <t>RF3064771</t>
  </si>
  <si>
    <t>RF8552542</t>
  </si>
  <si>
    <t>RF4254559</t>
  </si>
  <si>
    <t>RF9435785</t>
  </si>
  <si>
    <t>P00023</t>
  </si>
  <si>
    <t>RX900185</t>
  </si>
  <si>
    <t>RF8471226</t>
  </si>
  <si>
    <t>RF4810276</t>
  </si>
  <si>
    <t>RF5601435</t>
  </si>
  <si>
    <t>RF6394407</t>
  </si>
  <si>
    <t>RF4205781</t>
  </si>
  <si>
    <t>RF6837304</t>
  </si>
  <si>
    <t>P00024</t>
  </si>
  <si>
    <t>RX386042</t>
  </si>
  <si>
    <t>RF2646510</t>
  </si>
  <si>
    <t>RF5818475</t>
  </si>
  <si>
    <t>RF5020938</t>
  </si>
  <si>
    <t>RF6191032</t>
  </si>
  <si>
    <t>RF6755385</t>
  </si>
  <si>
    <t>P00025</t>
  </si>
  <si>
    <t>RX638289</t>
  </si>
  <si>
    <t>RF5084388</t>
  </si>
  <si>
    <t>RF4140068</t>
  </si>
  <si>
    <t>RF2863228</t>
  </si>
  <si>
    <t>RF7654932</t>
  </si>
  <si>
    <t>P00026</t>
  </si>
  <si>
    <t>RX971415</t>
  </si>
  <si>
    <t>RF2967488</t>
  </si>
  <si>
    <t>RF8214112</t>
  </si>
  <si>
    <t>RF2021546</t>
  </si>
  <si>
    <t>RF9203205</t>
  </si>
  <si>
    <t>RF2103079</t>
  </si>
  <si>
    <t>P00027</t>
  </si>
  <si>
    <t>RX196168</t>
  </si>
  <si>
    <t>RF2385721</t>
  </si>
  <si>
    <t>RF5053256</t>
  </si>
  <si>
    <t>RF9719419</t>
  </si>
  <si>
    <t>P00028</t>
  </si>
  <si>
    <t>RX956375</t>
  </si>
  <si>
    <t>RF3501233</t>
  </si>
  <si>
    <t>RF2296651</t>
  </si>
  <si>
    <t>RF8737020</t>
  </si>
  <si>
    <t>RF8213155</t>
  </si>
  <si>
    <t>RF5517924</t>
  </si>
  <si>
    <t>P00029</t>
  </si>
  <si>
    <t>RX466566</t>
  </si>
  <si>
    <t>RF4699470</t>
  </si>
  <si>
    <t>RF5491813</t>
  </si>
  <si>
    <t>RF4683810</t>
  </si>
  <si>
    <t>P00030</t>
  </si>
  <si>
    <t>RX535050</t>
  </si>
  <si>
    <t>RF2653364</t>
  </si>
  <si>
    <t>RF3001607</t>
  </si>
  <si>
    <t>RF7648265</t>
  </si>
  <si>
    <t>P00031</t>
  </si>
  <si>
    <t>RX515712</t>
  </si>
  <si>
    <t>RF3504449</t>
  </si>
  <si>
    <t>RF8747276</t>
  </si>
  <si>
    <t>RF2385276</t>
  </si>
  <si>
    <t>RF2578196</t>
  </si>
  <si>
    <t>RF9264804</t>
  </si>
  <si>
    <t>RF8488818</t>
  </si>
  <si>
    <t>RF4606321</t>
  </si>
  <si>
    <t>RF2724654</t>
  </si>
  <si>
    <t>RF5831464</t>
  </si>
  <si>
    <t>P00032</t>
  </si>
  <si>
    <t>RX492127</t>
  </si>
  <si>
    <t>RF5094719</t>
  </si>
  <si>
    <t>RF4446076</t>
  </si>
  <si>
    <t>RF8580923</t>
  </si>
  <si>
    <t>P00033</t>
  </si>
  <si>
    <t>RX504924</t>
  </si>
  <si>
    <t>RF8204013</t>
  </si>
  <si>
    <t>RF4034942</t>
  </si>
  <si>
    <t>RF5089303</t>
  </si>
  <si>
    <t>P00034</t>
  </si>
  <si>
    <t>RX493124</t>
  </si>
  <si>
    <t>RF8481149</t>
  </si>
  <si>
    <t>RF8144347</t>
  </si>
  <si>
    <t>P00035</t>
  </si>
  <si>
    <t>RX129556</t>
  </si>
  <si>
    <t>RF8379387</t>
  </si>
  <si>
    <t>RF4056273</t>
  </si>
  <si>
    <t>RF2053501</t>
  </si>
  <si>
    <t>RF2200573</t>
  </si>
  <si>
    <t>RF6542810</t>
  </si>
  <si>
    <t>P00036</t>
  </si>
  <si>
    <t>RX203896</t>
  </si>
  <si>
    <t>RF7334666</t>
  </si>
  <si>
    <t>RF7817170</t>
  </si>
  <si>
    <t>RF9977484</t>
  </si>
  <si>
    <t>RF2012264</t>
  </si>
  <si>
    <t>P00037</t>
  </si>
  <si>
    <t>RX781533</t>
  </si>
  <si>
    <t>RF7513864</t>
  </si>
  <si>
    <t>P00038</t>
  </si>
  <si>
    <t>RX929822</t>
  </si>
  <si>
    <t>RF9121978</t>
  </si>
  <si>
    <t>RF8100321</t>
  </si>
  <si>
    <t>RF2871987</t>
  </si>
  <si>
    <t>RF6444406</t>
  </si>
  <si>
    <t>P00039</t>
  </si>
  <si>
    <t>RX244283</t>
  </si>
  <si>
    <t>RF5521670</t>
  </si>
  <si>
    <t>RF2502436</t>
  </si>
  <si>
    <t>RF7969773</t>
  </si>
  <si>
    <t>RF2780364</t>
  </si>
  <si>
    <t>RF9728209</t>
  </si>
  <si>
    <t>RF9526992</t>
  </si>
  <si>
    <t>P00040</t>
  </si>
  <si>
    <t>RX400814</t>
  </si>
  <si>
    <t>RF7879129</t>
  </si>
  <si>
    <t>RF5845824</t>
  </si>
  <si>
    <t>P00041</t>
  </si>
  <si>
    <t>RX829884</t>
  </si>
  <si>
    <t>RF2712213</t>
  </si>
  <si>
    <t>RF2801758</t>
  </si>
  <si>
    <t>RF3119995</t>
  </si>
  <si>
    <t>P00042</t>
  </si>
  <si>
    <t>RX895702</t>
  </si>
  <si>
    <t>RF8878347</t>
  </si>
  <si>
    <t>RF2627723</t>
  </si>
  <si>
    <t>RF6763225</t>
  </si>
  <si>
    <t>RF5648900</t>
  </si>
  <si>
    <t>RF3096460</t>
  </si>
  <si>
    <t>RF4446755</t>
  </si>
  <si>
    <t>P00043</t>
  </si>
  <si>
    <t>RX591897</t>
  </si>
  <si>
    <t>RF9137981</t>
  </si>
  <si>
    <t>P00044</t>
  </si>
  <si>
    <t>RX745239</t>
  </si>
  <si>
    <t>RF9768202</t>
  </si>
  <si>
    <t>RF5296325</t>
  </si>
  <si>
    <t>RF8978481</t>
  </si>
  <si>
    <t>P00045</t>
  </si>
  <si>
    <t>RX183074</t>
  </si>
  <si>
    <t>RF4736796</t>
  </si>
  <si>
    <t>RF5798008</t>
  </si>
  <si>
    <t>RF3959673</t>
  </si>
  <si>
    <t>RF9915110</t>
  </si>
  <si>
    <t>RF3141788</t>
  </si>
  <si>
    <t>RF8460458</t>
  </si>
  <si>
    <t>RF2914130</t>
  </si>
  <si>
    <t>P00046</t>
  </si>
  <si>
    <t>RX368355</t>
  </si>
  <si>
    <t>RF2886321</t>
  </si>
  <si>
    <t>RF5771239</t>
  </si>
  <si>
    <t>RF4634302</t>
  </si>
  <si>
    <t>RF3012813</t>
  </si>
  <si>
    <t>RF5005532</t>
  </si>
  <si>
    <t>RF3741778</t>
  </si>
  <si>
    <t>P00047</t>
  </si>
  <si>
    <t>RX975522</t>
  </si>
  <si>
    <t>RF4586272</t>
  </si>
  <si>
    <t>RF4223047</t>
  </si>
  <si>
    <t>RF3005907</t>
  </si>
  <si>
    <t>RF3322173</t>
  </si>
  <si>
    <t>RF7755045</t>
  </si>
  <si>
    <t>P00048</t>
  </si>
  <si>
    <t>RX675462</t>
  </si>
  <si>
    <t>RF7911492</t>
  </si>
  <si>
    <t>RF2338310</t>
  </si>
  <si>
    <t>RF9012245</t>
  </si>
  <si>
    <t>P00049</t>
  </si>
  <si>
    <t>RX653408</t>
  </si>
  <si>
    <t>RF4749732</t>
  </si>
  <si>
    <t>P00050</t>
  </si>
  <si>
    <t>RX216587</t>
  </si>
  <si>
    <t>RF2765149</t>
  </si>
  <si>
    <t>RF4082210</t>
  </si>
  <si>
    <t>RF5323939</t>
  </si>
  <si>
    <t>P00051</t>
  </si>
  <si>
    <t>RX349183</t>
  </si>
  <si>
    <t>RF7680625</t>
  </si>
  <si>
    <t>RF4182437</t>
  </si>
  <si>
    <t>P00052</t>
  </si>
  <si>
    <t>RX227767</t>
  </si>
  <si>
    <t>RF2260735</t>
  </si>
  <si>
    <t>P00053</t>
  </si>
  <si>
    <t>RX350021</t>
  </si>
  <si>
    <t>RF9168915</t>
  </si>
  <si>
    <t>RF6663678</t>
  </si>
  <si>
    <t>RF6614748</t>
  </si>
  <si>
    <t>RF2794613</t>
  </si>
  <si>
    <t>RF2854860</t>
  </si>
  <si>
    <t>RF8658958</t>
  </si>
  <si>
    <t>RF3018823</t>
  </si>
  <si>
    <t>P00054</t>
  </si>
  <si>
    <t>RX769989</t>
  </si>
  <si>
    <t>RF2517318</t>
  </si>
  <si>
    <t>RF8551167</t>
  </si>
  <si>
    <t>RF3096518</t>
  </si>
  <si>
    <t>P00055</t>
  </si>
  <si>
    <t>RX579318</t>
  </si>
  <si>
    <t>RF8909473</t>
  </si>
  <si>
    <t>P00056</t>
  </si>
  <si>
    <t>RX216242</t>
  </si>
  <si>
    <t>RF5122573</t>
  </si>
  <si>
    <t>RF7287319</t>
  </si>
  <si>
    <t>RF2704973</t>
  </si>
  <si>
    <t>RF6916720</t>
  </si>
  <si>
    <t>RF9695948</t>
  </si>
  <si>
    <t>RF2629038</t>
  </si>
  <si>
    <t>P00057</t>
  </si>
  <si>
    <t>RX725726</t>
  </si>
  <si>
    <t>RF2540830</t>
  </si>
  <si>
    <t>RF9570685</t>
  </si>
  <si>
    <t>RF5719771</t>
  </si>
  <si>
    <t>P00058</t>
  </si>
  <si>
    <t>RX117233</t>
  </si>
  <si>
    <t>RF3080381</t>
  </si>
  <si>
    <t>RF9592344</t>
  </si>
  <si>
    <t>P00059</t>
  </si>
  <si>
    <t>RX640410</t>
  </si>
  <si>
    <t>RF8957143</t>
  </si>
  <si>
    <t>P00060</t>
  </si>
  <si>
    <t>RX353690</t>
  </si>
  <si>
    <t>RF2358162</t>
  </si>
  <si>
    <t>RF2424779</t>
  </si>
  <si>
    <t>P00061</t>
  </si>
  <si>
    <t>RX250551</t>
  </si>
  <si>
    <t>RF9752178</t>
  </si>
  <si>
    <t>P00062</t>
  </si>
  <si>
    <t>RX550089</t>
  </si>
  <si>
    <t>RF5633579</t>
  </si>
  <si>
    <t>RF8076966</t>
  </si>
  <si>
    <t>RF6161809</t>
  </si>
  <si>
    <t>RF5210567</t>
  </si>
  <si>
    <t>P00063</t>
  </si>
  <si>
    <t>RX744674</t>
  </si>
  <si>
    <t>RF3449611</t>
  </si>
  <si>
    <t>RF3801169</t>
  </si>
  <si>
    <t>P00064</t>
  </si>
  <si>
    <t>RX352249</t>
  </si>
  <si>
    <t>RF4306714</t>
  </si>
  <si>
    <t>RF5741415</t>
  </si>
  <si>
    <t>RF2290660</t>
  </si>
  <si>
    <t>RF7194029</t>
  </si>
  <si>
    <t>P00065</t>
  </si>
  <si>
    <t>RX536802</t>
  </si>
  <si>
    <t>RF7429764</t>
  </si>
  <si>
    <t>RF6185006</t>
  </si>
  <si>
    <t>P00066</t>
  </si>
  <si>
    <t>RX796643</t>
  </si>
  <si>
    <t>RF9405283</t>
  </si>
  <si>
    <t>RF6018402</t>
  </si>
  <si>
    <t>RF2735861</t>
  </si>
  <si>
    <t>RF5212965</t>
  </si>
  <si>
    <t>RF5516796</t>
  </si>
  <si>
    <t>RF7390960</t>
  </si>
  <si>
    <t>P00067</t>
  </si>
  <si>
    <t>RX189772</t>
  </si>
  <si>
    <t>RF7291151</t>
  </si>
  <si>
    <t>P00068</t>
  </si>
  <si>
    <t>RX478120</t>
  </si>
  <si>
    <t>RF6560522</t>
  </si>
  <si>
    <t>RF2163829</t>
  </si>
  <si>
    <t>RF8559184</t>
  </si>
  <si>
    <t>P00069</t>
  </si>
  <si>
    <t>RX651613</t>
  </si>
  <si>
    <t>RF6023884</t>
  </si>
  <si>
    <t>RF6065786</t>
  </si>
  <si>
    <t>RF9656089</t>
  </si>
  <si>
    <t>P00070</t>
  </si>
  <si>
    <t>RX631971</t>
  </si>
  <si>
    <t>RF4697813</t>
  </si>
  <si>
    <t>RF4268578</t>
  </si>
  <si>
    <t>P00071</t>
  </si>
  <si>
    <t>RX681070</t>
  </si>
  <si>
    <t>RF2218632</t>
  </si>
  <si>
    <t>RF7008975</t>
  </si>
  <si>
    <t>RF2245815</t>
  </si>
  <si>
    <t>P00072</t>
  </si>
  <si>
    <t>RX509420</t>
  </si>
  <si>
    <t>RF8530852</t>
  </si>
  <si>
    <t>RF2491498</t>
  </si>
  <si>
    <t>RF5956775</t>
  </si>
  <si>
    <t>RF4998364</t>
  </si>
  <si>
    <t>RF6898854</t>
  </si>
  <si>
    <t>RF3339029</t>
  </si>
  <si>
    <t>RF4079175</t>
  </si>
  <si>
    <t>P00073</t>
  </si>
  <si>
    <t>RX145649</t>
  </si>
  <si>
    <t>RF4022936</t>
  </si>
  <si>
    <t>RF6476912</t>
  </si>
  <si>
    <t>RF8637378</t>
  </si>
  <si>
    <t>P00074</t>
  </si>
  <si>
    <t>RX505674</t>
  </si>
  <si>
    <t>RF2468995</t>
  </si>
  <si>
    <t>P00075</t>
  </si>
  <si>
    <t>RX365971</t>
  </si>
  <si>
    <t>RF6829255</t>
  </si>
  <si>
    <t>P00076</t>
  </si>
  <si>
    <t>RX474440</t>
  </si>
  <si>
    <t>RF9845076</t>
  </si>
  <si>
    <t>RF3477236</t>
  </si>
  <si>
    <t>P00077</t>
  </si>
  <si>
    <t>RX461551</t>
  </si>
  <si>
    <t>RF6970413</t>
  </si>
  <si>
    <t>RF8762981</t>
  </si>
  <si>
    <t>RF7852115</t>
  </si>
  <si>
    <t>RF9667019</t>
  </si>
  <si>
    <t>RF2236613</t>
  </si>
  <si>
    <t>RF7876729</t>
  </si>
  <si>
    <t>P00078</t>
  </si>
  <si>
    <t>RX868544</t>
  </si>
  <si>
    <t>RF9948698</t>
  </si>
  <si>
    <t>RF6727873</t>
  </si>
  <si>
    <t>RF6723699</t>
  </si>
  <si>
    <t>RF9018721</t>
  </si>
  <si>
    <t>RF9395617</t>
  </si>
  <si>
    <t>P00079</t>
  </si>
  <si>
    <t>RX758775</t>
  </si>
  <si>
    <t>RF6547670</t>
  </si>
  <si>
    <t>P00080</t>
  </si>
  <si>
    <t>RX908977</t>
  </si>
  <si>
    <t>RF3472676</t>
  </si>
  <si>
    <t>RF2318462</t>
  </si>
  <si>
    <t>RF2471171</t>
  </si>
  <si>
    <t>RF7047113</t>
  </si>
  <si>
    <t>RF2167168</t>
  </si>
  <si>
    <t>RF6009662</t>
  </si>
  <si>
    <t>P00081</t>
  </si>
  <si>
    <t>RX870899</t>
  </si>
  <si>
    <t>RF4782786</t>
  </si>
  <si>
    <t>P00082</t>
  </si>
  <si>
    <t>RX239890</t>
  </si>
  <si>
    <t>RF3690005</t>
  </si>
  <si>
    <t>RF3094625</t>
  </si>
  <si>
    <t>RF8014108</t>
  </si>
  <si>
    <t>RF9707291</t>
  </si>
  <si>
    <t>P00083</t>
  </si>
  <si>
    <t>RX469412</t>
  </si>
  <si>
    <t>RF2183818</t>
  </si>
  <si>
    <t>RF6920834</t>
  </si>
  <si>
    <t>P00084</t>
  </si>
  <si>
    <t>RX454992</t>
  </si>
  <si>
    <t>RF8495857</t>
  </si>
  <si>
    <t>P00085</t>
  </si>
  <si>
    <t>RX283594</t>
  </si>
  <si>
    <t>RF9100796</t>
  </si>
  <si>
    <t>P00086</t>
  </si>
  <si>
    <t>RX587192</t>
  </si>
  <si>
    <t>RF9219818</t>
  </si>
  <si>
    <t>P00087</t>
  </si>
  <si>
    <t>RX601776</t>
  </si>
  <si>
    <t>RF2608439</t>
  </si>
  <si>
    <t>P00088</t>
  </si>
  <si>
    <t>RX291132</t>
  </si>
  <si>
    <t>RF7910093</t>
  </si>
  <si>
    <t>P00089</t>
  </si>
  <si>
    <t>RX166165</t>
  </si>
  <si>
    <t>RF5318496</t>
  </si>
  <si>
    <t>RF2847519</t>
  </si>
  <si>
    <t>RF4531389</t>
  </si>
  <si>
    <t>P00090</t>
  </si>
  <si>
    <t>RX913894</t>
  </si>
  <si>
    <t>RF3321238</t>
  </si>
  <si>
    <t>P00091</t>
  </si>
  <si>
    <t>RX138780</t>
  </si>
  <si>
    <t>RF9958218</t>
  </si>
  <si>
    <t>RF8642456</t>
  </si>
  <si>
    <t>RF6086929</t>
  </si>
  <si>
    <t>P00092</t>
  </si>
  <si>
    <t>RX311383</t>
  </si>
  <si>
    <t>RF3461317</t>
  </si>
  <si>
    <t>RF7818006</t>
  </si>
  <si>
    <t>RF8601765</t>
  </si>
  <si>
    <t>P00093</t>
  </si>
  <si>
    <t>RX929538</t>
  </si>
  <si>
    <t>RF3872649</t>
  </si>
  <si>
    <t>RF6940471</t>
  </si>
  <si>
    <t>RF3470956</t>
  </si>
  <si>
    <t>RF4573819</t>
  </si>
  <si>
    <t>RF7775543</t>
  </si>
  <si>
    <t>RF3068275</t>
  </si>
  <si>
    <t>P00094</t>
  </si>
  <si>
    <t>RX143941</t>
  </si>
  <si>
    <t>RF8113877</t>
  </si>
  <si>
    <t>P00095</t>
  </si>
  <si>
    <t>RX425138</t>
  </si>
  <si>
    <t>RF9959011</t>
  </si>
  <si>
    <t>RF9958256</t>
  </si>
  <si>
    <t>RF5284990</t>
  </si>
  <si>
    <t>RF8466193</t>
  </si>
  <si>
    <t>P00096</t>
  </si>
  <si>
    <t>RX517568</t>
  </si>
  <si>
    <t>RF2271646</t>
  </si>
  <si>
    <t>RF7053202</t>
  </si>
  <si>
    <t>P00097</t>
  </si>
  <si>
    <t>RX596395</t>
  </si>
  <si>
    <t>RF9726228</t>
  </si>
  <si>
    <t>RF7128636</t>
  </si>
  <si>
    <t>P00098</t>
  </si>
  <si>
    <t>RX138399</t>
  </si>
  <si>
    <t>RF7365746</t>
  </si>
  <si>
    <t>RF2873339</t>
  </si>
  <si>
    <t>RF3179802</t>
  </si>
  <si>
    <t>RF8252393</t>
  </si>
  <si>
    <t>RF3996454</t>
  </si>
  <si>
    <t>P00099</t>
  </si>
  <si>
    <t>RX300386</t>
  </si>
  <si>
    <t>RF4680316</t>
  </si>
  <si>
    <t>P00100</t>
  </si>
  <si>
    <t>RX474314</t>
  </si>
  <si>
    <t>RF7336721</t>
  </si>
  <si>
    <t>P00101</t>
  </si>
  <si>
    <t>RX787584</t>
  </si>
  <si>
    <t>RF8892598</t>
  </si>
  <si>
    <t>RF7620573</t>
  </si>
  <si>
    <t>RF8117693</t>
  </si>
  <si>
    <t>RF5746603</t>
  </si>
  <si>
    <t>RF4224763</t>
  </si>
  <si>
    <t>RF4093300</t>
  </si>
  <si>
    <t>P00102</t>
  </si>
  <si>
    <t>RX386488</t>
  </si>
  <si>
    <t>RF2568703</t>
  </si>
  <si>
    <t>RF4153002</t>
  </si>
  <si>
    <t>RF2906259</t>
  </si>
  <si>
    <t>RF2010747</t>
  </si>
  <si>
    <t>P00103</t>
  </si>
  <si>
    <t>RX938171</t>
  </si>
  <si>
    <t>RF5237475</t>
  </si>
  <si>
    <t>RF8145364</t>
  </si>
  <si>
    <t>RF3395347</t>
  </si>
  <si>
    <t>RF6136271</t>
  </si>
  <si>
    <t>RF4946340</t>
  </si>
  <si>
    <t>RF5148643</t>
  </si>
  <si>
    <t>P00104</t>
  </si>
  <si>
    <t>RX558176</t>
  </si>
  <si>
    <t>RF8952536</t>
  </si>
  <si>
    <t>RF8616346</t>
  </si>
  <si>
    <t>RF6849080</t>
  </si>
  <si>
    <t>RF8360607</t>
  </si>
  <si>
    <t>P00105</t>
  </si>
  <si>
    <t>RX879414</t>
  </si>
  <si>
    <t>RF3892325</t>
  </si>
  <si>
    <t>RF5785673</t>
  </si>
  <si>
    <t>RF8704129</t>
  </si>
  <si>
    <t>RF2280286</t>
  </si>
  <si>
    <t>P00106</t>
  </si>
  <si>
    <t>RX505426</t>
  </si>
  <si>
    <t>RF4673591</t>
  </si>
  <si>
    <t>RF9983120</t>
  </si>
  <si>
    <t>P00107</t>
  </si>
  <si>
    <t>RX295892</t>
  </si>
  <si>
    <t>RF2622438</t>
  </si>
  <si>
    <t>RF3426945</t>
  </si>
  <si>
    <t>RF3349764</t>
  </si>
  <si>
    <t>RF2629165</t>
  </si>
  <si>
    <t>P00108</t>
  </si>
  <si>
    <t>RX825686</t>
  </si>
  <si>
    <t>RF9900677</t>
  </si>
  <si>
    <t>RF4834934</t>
  </si>
  <si>
    <t>RF7147625</t>
  </si>
  <si>
    <t>P00109</t>
  </si>
  <si>
    <t>RX485191</t>
  </si>
  <si>
    <t>RF7909813</t>
  </si>
  <si>
    <t>RF5618202</t>
  </si>
  <si>
    <t>P00110</t>
  </si>
  <si>
    <t>RX379676</t>
  </si>
  <si>
    <t>RF3384096</t>
  </si>
  <si>
    <t>RF9463791</t>
  </si>
  <si>
    <t>P00111</t>
  </si>
  <si>
    <t>RX862400</t>
  </si>
  <si>
    <t>RF3317882</t>
  </si>
  <si>
    <t>RF2849412</t>
  </si>
  <si>
    <t>RF3724282</t>
  </si>
  <si>
    <t>RF5433288</t>
  </si>
  <si>
    <t>RF6648231</t>
  </si>
  <si>
    <t>RF9764274</t>
  </si>
  <si>
    <t>P00112</t>
  </si>
  <si>
    <t>RX182760</t>
  </si>
  <si>
    <t>RF4225202</t>
  </si>
  <si>
    <t>RF4494777</t>
  </si>
  <si>
    <t>RF2804601</t>
  </si>
  <si>
    <t>P00113</t>
  </si>
  <si>
    <t>RX731718</t>
  </si>
  <si>
    <t>RF5295902</t>
  </si>
  <si>
    <t>RF6610904</t>
  </si>
  <si>
    <t>RF6118372</t>
  </si>
  <si>
    <t>P00114</t>
  </si>
  <si>
    <t>RX671971</t>
  </si>
  <si>
    <t>RF2457219</t>
  </si>
  <si>
    <t>RF2032007</t>
  </si>
  <si>
    <t>RF2735079</t>
  </si>
  <si>
    <t>RF8911351</t>
  </si>
  <si>
    <t>RF7243642</t>
  </si>
  <si>
    <t>P00115</t>
  </si>
  <si>
    <t>RX436814</t>
  </si>
  <si>
    <t>RF3674993</t>
  </si>
  <si>
    <t>RF2215886</t>
  </si>
  <si>
    <t>P00116</t>
  </si>
  <si>
    <t>RX183958</t>
  </si>
  <si>
    <t>RF3433044</t>
  </si>
  <si>
    <t>RF4447891</t>
  </si>
  <si>
    <t>RF5972598</t>
  </si>
  <si>
    <t>RF2968959</t>
  </si>
  <si>
    <t>RF8584021</t>
  </si>
  <si>
    <t>RF5950568</t>
  </si>
  <si>
    <t>RF9506776</t>
  </si>
  <si>
    <t>RF4223018</t>
  </si>
  <si>
    <t>RF7384365</t>
  </si>
  <si>
    <t>RF5250813</t>
  </si>
  <si>
    <t>RF5112345</t>
  </si>
  <si>
    <t>RF5098765</t>
  </si>
  <si>
    <t>P00117</t>
  </si>
  <si>
    <t>RX793024</t>
  </si>
  <si>
    <t>RF5739434</t>
  </si>
  <si>
    <t>P00118</t>
  </si>
  <si>
    <t>RX421384</t>
  </si>
  <si>
    <t>RF4208686</t>
  </si>
  <si>
    <t>RF5901188</t>
  </si>
  <si>
    <t>RF3897857</t>
  </si>
  <si>
    <t>RF4252861</t>
  </si>
  <si>
    <t>P00119</t>
  </si>
  <si>
    <t>RX731894</t>
  </si>
  <si>
    <t>RF2517068</t>
  </si>
  <si>
    <t>RF8310205</t>
  </si>
  <si>
    <t>RF7599131</t>
  </si>
  <si>
    <t>P00120</t>
  </si>
  <si>
    <t>RX546815</t>
  </si>
  <si>
    <t>RF2718965</t>
  </si>
  <si>
    <t>P00121</t>
  </si>
  <si>
    <t>RX823270</t>
  </si>
  <si>
    <t>RF4883931</t>
  </si>
  <si>
    <t>RF6542003</t>
  </si>
  <si>
    <t>RF8345620</t>
  </si>
  <si>
    <t>RF3908515</t>
  </si>
  <si>
    <t>RF2511568</t>
  </si>
  <si>
    <t>P00122</t>
  </si>
  <si>
    <t>RX468623</t>
  </si>
  <si>
    <t>RF5247281</t>
  </si>
  <si>
    <t>RF6383737</t>
  </si>
  <si>
    <t>RF6492220</t>
  </si>
  <si>
    <t>P00123</t>
  </si>
  <si>
    <t>RX144412</t>
  </si>
  <si>
    <t>RF9272034</t>
  </si>
  <si>
    <t>RF6804275</t>
  </si>
  <si>
    <t>RF5995177</t>
  </si>
  <si>
    <t>P00124</t>
  </si>
  <si>
    <t>RX744718</t>
  </si>
  <si>
    <t>RF2662322</t>
  </si>
  <si>
    <t>RF9573044</t>
  </si>
  <si>
    <t>RF7992030</t>
  </si>
  <si>
    <t>RF6211932</t>
  </si>
  <si>
    <t>P00125</t>
  </si>
  <si>
    <t>RX387892</t>
  </si>
  <si>
    <t>RF9553564</t>
  </si>
  <si>
    <t>RF8714664</t>
  </si>
  <si>
    <t>RF7683574</t>
  </si>
  <si>
    <t>RF3236880</t>
  </si>
  <si>
    <t>RF9962926</t>
  </si>
  <si>
    <t>RF5766818</t>
  </si>
  <si>
    <t>P00126</t>
  </si>
  <si>
    <t>RX929924</t>
  </si>
  <si>
    <t>RF9961304</t>
  </si>
  <si>
    <t>P00127</t>
  </si>
  <si>
    <t>RX178686</t>
  </si>
  <si>
    <t>RF3777463</t>
  </si>
  <si>
    <t>RF3616703</t>
  </si>
  <si>
    <t>RF2357991</t>
  </si>
  <si>
    <t>RF2657402</t>
  </si>
  <si>
    <t>RF5652343</t>
  </si>
  <si>
    <t>RF8900167</t>
  </si>
  <si>
    <t>RF3240492</t>
  </si>
  <si>
    <t>P00128</t>
  </si>
  <si>
    <t>RX768480</t>
  </si>
  <si>
    <t>RF6991621</t>
  </si>
  <si>
    <t>P00129</t>
  </si>
  <si>
    <t>RX480959</t>
  </si>
  <si>
    <t>RF4682253</t>
  </si>
  <si>
    <t>RF9668646</t>
  </si>
  <si>
    <t>P00130</t>
  </si>
  <si>
    <t>RX940010</t>
  </si>
  <si>
    <t>RF2562137</t>
  </si>
  <si>
    <t>RF5255611</t>
  </si>
  <si>
    <t>P00131</t>
  </si>
  <si>
    <t>RX267758</t>
  </si>
  <si>
    <t>RF5333255</t>
  </si>
  <si>
    <t>P00132</t>
  </si>
  <si>
    <t>RX249715</t>
  </si>
  <si>
    <t>RF4735749</t>
  </si>
  <si>
    <t>RF4316940</t>
  </si>
  <si>
    <t>RF5843300</t>
  </si>
  <si>
    <t>RF2103715</t>
  </si>
  <si>
    <t>RF7875482</t>
  </si>
  <si>
    <t>RF6928945</t>
  </si>
  <si>
    <t>P00133</t>
  </si>
  <si>
    <t>RX811027</t>
  </si>
  <si>
    <t>RF8557254</t>
  </si>
  <si>
    <t>P00134</t>
  </si>
  <si>
    <t>RX136489</t>
  </si>
  <si>
    <t>RF2943876</t>
  </si>
  <si>
    <t>RF3255290</t>
  </si>
  <si>
    <t>RF6752934</t>
  </si>
  <si>
    <t>P00135</t>
  </si>
  <si>
    <t>RX170499</t>
  </si>
  <si>
    <t>RF6887849</t>
  </si>
  <si>
    <t>RF9882355</t>
  </si>
  <si>
    <t>RF9758859</t>
  </si>
  <si>
    <t>RF6720133</t>
  </si>
  <si>
    <t>RF2847169</t>
  </si>
  <si>
    <t>RF4399920</t>
  </si>
  <si>
    <t>P00136</t>
  </si>
  <si>
    <t>RX916332</t>
  </si>
  <si>
    <t>RF9364304</t>
  </si>
  <si>
    <t>RF4215738</t>
  </si>
  <si>
    <t>P00137</t>
  </si>
  <si>
    <t>RX484123</t>
  </si>
  <si>
    <t>RF7492757</t>
  </si>
  <si>
    <t>P00138</t>
  </si>
  <si>
    <t>RX501451</t>
  </si>
  <si>
    <t>RF6798478</t>
  </si>
  <si>
    <t>RF5968202</t>
  </si>
  <si>
    <t>RF3444516</t>
  </si>
  <si>
    <t>RF5380390</t>
  </si>
  <si>
    <t>P00139</t>
  </si>
  <si>
    <t>RX133958</t>
  </si>
  <si>
    <t>RF7186210</t>
  </si>
  <si>
    <t>P00140</t>
  </si>
  <si>
    <t>RX260891</t>
  </si>
  <si>
    <t>RF7711072</t>
  </si>
  <si>
    <t>RF5369870</t>
  </si>
  <si>
    <t>P00141</t>
  </si>
  <si>
    <t>RX571778</t>
  </si>
  <si>
    <t>RF5320150</t>
  </si>
  <si>
    <t>P00142</t>
  </si>
  <si>
    <t>RX490084</t>
  </si>
  <si>
    <t>RF7792449</t>
  </si>
  <si>
    <t>RF2413482</t>
  </si>
  <si>
    <t>RF5986419</t>
  </si>
  <si>
    <t>RF9524844</t>
  </si>
  <si>
    <t>P00143</t>
  </si>
  <si>
    <t>RX900152</t>
  </si>
  <si>
    <t>RF2169725</t>
  </si>
  <si>
    <t>RF8856730</t>
  </si>
  <si>
    <t>RF4542209</t>
  </si>
  <si>
    <t>P00144</t>
  </si>
  <si>
    <t>RX701800</t>
  </si>
  <si>
    <t>RF9070309</t>
  </si>
  <si>
    <t>RF9199395</t>
  </si>
  <si>
    <t>P00145</t>
  </si>
  <si>
    <t>RX655178</t>
  </si>
  <si>
    <t>RF7744955</t>
  </si>
  <si>
    <t>RF9288861</t>
  </si>
  <si>
    <t>RF3127307</t>
  </si>
  <si>
    <t>RF8238806</t>
  </si>
  <si>
    <t>RF8493041</t>
  </si>
  <si>
    <t>RF4691638</t>
  </si>
  <si>
    <t>P00146</t>
  </si>
  <si>
    <t>RX517368</t>
  </si>
  <si>
    <t>RF8113612</t>
  </si>
  <si>
    <t>RF7074932</t>
  </si>
  <si>
    <t>RF2748992</t>
  </si>
  <si>
    <t>RF5705387</t>
  </si>
  <si>
    <t>P00147</t>
  </si>
  <si>
    <t>RX781113</t>
  </si>
  <si>
    <t>RF9662429</t>
  </si>
  <si>
    <t>RF5415592</t>
  </si>
  <si>
    <t>RF6063947</t>
  </si>
  <si>
    <t>RF6332727</t>
  </si>
  <si>
    <t>P00148</t>
  </si>
  <si>
    <t>RX361736</t>
  </si>
  <si>
    <t>RF2471488</t>
  </si>
  <si>
    <t>RF3333557</t>
  </si>
  <si>
    <t>RF4609889</t>
  </si>
  <si>
    <t>P00149</t>
  </si>
  <si>
    <t>RX127172</t>
  </si>
  <si>
    <t>RF5383839</t>
  </si>
  <si>
    <t>RF8547446</t>
  </si>
  <si>
    <t>P00150</t>
  </si>
  <si>
    <t>RX623285</t>
  </si>
  <si>
    <t>RF2242834</t>
  </si>
  <si>
    <t>RF3617016</t>
  </si>
  <si>
    <t>P00151</t>
  </si>
  <si>
    <t>RX505785</t>
  </si>
  <si>
    <t>RF3683818</t>
  </si>
  <si>
    <t>RF2483414</t>
  </si>
  <si>
    <t>P00152</t>
  </si>
  <si>
    <t>RX223481</t>
  </si>
  <si>
    <t>RF2277420</t>
  </si>
  <si>
    <t>RF2424121</t>
  </si>
  <si>
    <t>RF7910897</t>
  </si>
  <si>
    <t>P00153</t>
  </si>
  <si>
    <t>RX912609</t>
  </si>
  <si>
    <t>RF4298289</t>
  </si>
  <si>
    <t>RF8908071</t>
  </si>
  <si>
    <t>RF6237307</t>
  </si>
  <si>
    <t>RF7330203</t>
  </si>
  <si>
    <t>RF7714104</t>
  </si>
  <si>
    <t>P00154</t>
  </si>
  <si>
    <t>RX838237</t>
  </si>
  <si>
    <t>RF4029523</t>
  </si>
  <si>
    <t>P00155</t>
  </si>
  <si>
    <t>RX324993</t>
  </si>
  <si>
    <t>RF6100240</t>
  </si>
  <si>
    <t>RF5742186</t>
  </si>
  <si>
    <t>RF9302121</t>
  </si>
  <si>
    <t>P00156</t>
  </si>
  <si>
    <t>RX399449</t>
  </si>
  <si>
    <t>RF6624922</t>
  </si>
  <si>
    <t>P00157</t>
  </si>
  <si>
    <t>RX615060</t>
  </si>
  <si>
    <t>RF4887769</t>
  </si>
  <si>
    <t>P00158</t>
  </si>
  <si>
    <t>RX228594</t>
  </si>
  <si>
    <t>RF9026749</t>
  </si>
  <si>
    <t>RF8282741</t>
  </si>
  <si>
    <t>RF7778497</t>
  </si>
  <si>
    <t>RF4391335</t>
  </si>
  <si>
    <t>RF5242747</t>
  </si>
  <si>
    <t>P00159</t>
  </si>
  <si>
    <t>RX994253</t>
  </si>
  <si>
    <t>RF3366566</t>
  </si>
  <si>
    <t>RF6800448</t>
  </si>
  <si>
    <t>RF3797834</t>
  </si>
  <si>
    <t>RF3856827</t>
  </si>
  <si>
    <t>RF3888376</t>
  </si>
  <si>
    <t>RF3734185</t>
  </si>
  <si>
    <t>P00160</t>
  </si>
  <si>
    <t>RX574001</t>
  </si>
  <si>
    <t>RF7465910</t>
  </si>
  <si>
    <t>RF6305715</t>
  </si>
  <si>
    <t>RF9253041</t>
  </si>
  <si>
    <t>RF8438866</t>
  </si>
  <si>
    <t>RF2074641</t>
  </si>
  <si>
    <t>RF9646345</t>
  </si>
  <si>
    <t>P00161</t>
  </si>
  <si>
    <t>RX848022</t>
  </si>
  <si>
    <t>RF7430546</t>
  </si>
  <si>
    <t>RF7042744</t>
  </si>
  <si>
    <t>RF2070998</t>
  </si>
  <si>
    <t>RF4117204</t>
  </si>
  <si>
    <t>RF8753547</t>
  </si>
  <si>
    <t>RF7978900</t>
  </si>
  <si>
    <t>P00162</t>
  </si>
  <si>
    <t>RX192055</t>
  </si>
  <si>
    <t>RF4310042</t>
  </si>
  <si>
    <t>RF9511855</t>
  </si>
  <si>
    <t>P00163</t>
  </si>
  <si>
    <t>RX986593</t>
  </si>
  <si>
    <t>RF9143622</t>
  </si>
  <si>
    <t>P00164</t>
  </si>
  <si>
    <t>RX800280</t>
  </si>
  <si>
    <t>RF5850354</t>
  </si>
  <si>
    <t>RF3830470</t>
  </si>
  <si>
    <t>RF4534576</t>
  </si>
  <si>
    <t>RF6367427</t>
  </si>
  <si>
    <t>P00165</t>
  </si>
  <si>
    <t>RX844007</t>
  </si>
  <si>
    <t>RF7231187</t>
  </si>
  <si>
    <t>RF6903033</t>
  </si>
  <si>
    <t>P00166</t>
  </si>
  <si>
    <t>RX676713</t>
  </si>
  <si>
    <t>RF2061635</t>
  </si>
  <si>
    <t>RF7556240</t>
  </si>
  <si>
    <t>RF9041216</t>
  </si>
  <si>
    <t>RF6709843</t>
  </si>
  <si>
    <t>RF6980925</t>
  </si>
  <si>
    <t>RF4371265</t>
  </si>
  <si>
    <t>P00167</t>
  </si>
  <si>
    <t>RX404466</t>
  </si>
  <si>
    <t>RF7741273</t>
  </si>
  <si>
    <t>RF6041114</t>
  </si>
  <si>
    <t>P00168</t>
  </si>
  <si>
    <t>RX992717</t>
  </si>
  <si>
    <t>RF4820951</t>
  </si>
  <si>
    <t>RF7373698</t>
  </si>
  <si>
    <t>RF9226715</t>
  </si>
  <si>
    <t>RF4190659</t>
  </si>
  <si>
    <t>P00169</t>
  </si>
  <si>
    <t>RX846385</t>
  </si>
  <si>
    <t>RF9987530</t>
  </si>
  <si>
    <t>RF3580078</t>
  </si>
  <si>
    <t>RF6339373</t>
  </si>
  <si>
    <t>P00170</t>
  </si>
  <si>
    <t>RX834233</t>
  </si>
  <si>
    <t>RF4015799</t>
  </si>
  <si>
    <t>P00171</t>
  </si>
  <si>
    <t>RX282547</t>
  </si>
  <si>
    <t>RF8756435</t>
  </si>
  <si>
    <t>P00172</t>
  </si>
  <si>
    <t>RX633469</t>
  </si>
  <si>
    <t>RF8730714</t>
  </si>
  <si>
    <t>RF7033444</t>
  </si>
  <si>
    <t>RF7540929</t>
  </si>
  <si>
    <t>RF7710593</t>
  </si>
  <si>
    <t>P00173</t>
  </si>
  <si>
    <t>RX227257</t>
  </si>
  <si>
    <t>RF8050562</t>
  </si>
  <si>
    <t>P00174</t>
  </si>
  <si>
    <t>RX930541</t>
  </si>
  <si>
    <t>RF7497898</t>
  </si>
  <si>
    <t>RF4479711</t>
  </si>
  <si>
    <t>RF9607725</t>
  </si>
  <si>
    <t>RF5394021</t>
  </si>
  <si>
    <t>RF8180156</t>
  </si>
  <si>
    <t>RF6890757</t>
  </si>
  <si>
    <t>RF6798639</t>
  </si>
  <si>
    <t>RF3593123</t>
  </si>
  <si>
    <t>RF8094742</t>
  </si>
  <si>
    <t>RF3865317</t>
  </si>
  <si>
    <t>P00175</t>
  </si>
  <si>
    <t>RX348235</t>
  </si>
  <si>
    <t>RF6484844</t>
  </si>
  <si>
    <t>RF8584193</t>
  </si>
  <si>
    <t>RF9604495</t>
  </si>
  <si>
    <t>RF5007291</t>
  </si>
  <si>
    <t>RF4518216</t>
  </si>
  <si>
    <t>RF3425951</t>
  </si>
  <si>
    <t>P00176</t>
  </si>
  <si>
    <t>RX127560</t>
  </si>
  <si>
    <t>RF7516471</t>
  </si>
  <si>
    <t>RF3519477</t>
  </si>
  <si>
    <t>RF2818753</t>
  </si>
  <si>
    <t>RF3073273</t>
  </si>
  <si>
    <t>P00177</t>
  </si>
  <si>
    <t>RX680933</t>
  </si>
  <si>
    <t>RF4169728</t>
  </si>
  <si>
    <t>RF8780879</t>
  </si>
  <si>
    <t>RF8399821</t>
  </si>
  <si>
    <t>RF9943369</t>
  </si>
  <si>
    <t>RF9546317</t>
  </si>
  <si>
    <t>RF7489795</t>
  </si>
  <si>
    <t>RF3864397</t>
  </si>
  <si>
    <t>P00178</t>
  </si>
  <si>
    <t>RX486831</t>
  </si>
  <si>
    <t>RF3873410</t>
  </si>
  <si>
    <t>RF9310103</t>
  </si>
  <si>
    <t>P00179</t>
  </si>
  <si>
    <t>RX942700</t>
  </si>
  <si>
    <t>RF5527179</t>
  </si>
  <si>
    <t>RF9439382</t>
  </si>
  <si>
    <t>RF5117898</t>
  </si>
  <si>
    <t>P00180</t>
  </si>
  <si>
    <t>RX236074</t>
  </si>
  <si>
    <t>RF6912123</t>
  </si>
  <si>
    <t>RF5890306</t>
  </si>
  <si>
    <t>RF2988022</t>
  </si>
  <si>
    <t>P00181</t>
  </si>
  <si>
    <t>RX190403</t>
  </si>
  <si>
    <t>RF2450274</t>
  </si>
  <si>
    <t>P00182</t>
  </si>
  <si>
    <t>RX424314</t>
  </si>
  <si>
    <t>RF7321705</t>
  </si>
  <si>
    <t>RF6868019</t>
  </si>
  <si>
    <t>RF2597400</t>
  </si>
  <si>
    <t>RF9461046</t>
  </si>
  <si>
    <t>RF6198308</t>
  </si>
  <si>
    <t>RF9277098</t>
  </si>
  <si>
    <t>RF5201673</t>
  </si>
  <si>
    <t>RF4502789</t>
  </si>
  <si>
    <t>P00183</t>
  </si>
  <si>
    <t>RX851759</t>
  </si>
  <si>
    <t>RF2453504</t>
  </si>
  <si>
    <t>RF9165882</t>
  </si>
  <si>
    <t>RF3152303</t>
  </si>
  <si>
    <t>P00184</t>
  </si>
  <si>
    <t>RX651231</t>
  </si>
  <si>
    <t>RF4874523</t>
  </si>
  <si>
    <t>RF6776503</t>
  </si>
  <si>
    <t>RF3201451</t>
  </si>
  <si>
    <t>RF9234284</t>
  </si>
  <si>
    <t>RF3512942</t>
  </si>
  <si>
    <t>P00185</t>
  </si>
  <si>
    <t>RX906527</t>
  </si>
  <si>
    <t>RF2677895</t>
  </si>
  <si>
    <t>RF4790298</t>
  </si>
  <si>
    <t>RF3483309</t>
  </si>
  <si>
    <t>P00186</t>
  </si>
  <si>
    <t>RX963333</t>
  </si>
  <si>
    <t>RF7322563</t>
  </si>
  <si>
    <t>RF2039539</t>
  </si>
  <si>
    <t>RF4294518</t>
  </si>
  <si>
    <t>P00187</t>
  </si>
  <si>
    <t>RX177333</t>
  </si>
  <si>
    <t>RF8385352</t>
  </si>
  <si>
    <t>P00188</t>
  </si>
  <si>
    <t>RX432427</t>
  </si>
  <si>
    <t>RF3414367</t>
  </si>
  <si>
    <t>RF8412954</t>
  </si>
  <si>
    <t>RF6106870</t>
  </si>
  <si>
    <t>RF8405282</t>
  </si>
  <si>
    <t>RF2738544</t>
  </si>
  <si>
    <t>P00189</t>
  </si>
  <si>
    <t>RX177767</t>
  </si>
  <si>
    <t>RF7154629</t>
  </si>
  <si>
    <t>P00190</t>
  </si>
  <si>
    <t>RX588461</t>
  </si>
  <si>
    <t>RF7314078</t>
  </si>
  <si>
    <t>RF5383909</t>
  </si>
  <si>
    <t>RF6004723</t>
  </si>
  <si>
    <t>P00191</t>
  </si>
  <si>
    <t>RX642491</t>
  </si>
  <si>
    <t>RF2039167</t>
  </si>
  <si>
    <t>P00192</t>
  </si>
  <si>
    <t>RX234568</t>
  </si>
  <si>
    <t>RF6477693</t>
  </si>
  <si>
    <t>RF8129212</t>
  </si>
  <si>
    <t>RF9969753</t>
  </si>
  <si>
    <t>RF9482691</t>
  </si>
  <si>
    <t>P00193</t>
  </si>
  <si>
    <t>RX770872</t>
  </si>
  <si>
    <t>RF8989628</t>
  </si>
  <si>
    <t>RF2150291</t>
  </si>
  <si>
    <t>P00194</t>
  </si>
  <si>
    <t>RX290802</t>
  </si>
  <si>
    <t>RF2034593</t>
  </si>
  <si>
    <t>RF8153910</t>
  </si>
  <si>
    <t>P00195</t>
  </si>
  <si>
    <t>RX553633</t>
  </si>
  <si>
    <t>RF3898054</t>
  </si>
  <si>
    <t>P00196</t>
  </si>
  <si>
    <t>RX158104</t>
  </si>
  <si>
    <t>RF9356684</t>
  </si>
  <si>
    <t>RF4618019</t>
  </si>
  <si>
    <t>P00197</t>
  </si>
  <si>
    <t>RX643269</t>
  </si>
  <si>
    <t>RF2861579</t>
  </si>
  <si>
    <t>RF6222292</t>
  </si>
  <si>
    <t>RF4567879</t>
  </si>
  <si>
    <t>P00198</t>
  </si>
  <si>
    <t>RX418897</t>
  </si>
  <si>
    <t>RF2547667</t>
  </si>
  <si>
    <t>P00199</t>
  </si>
  <si>
    <t>RX269834</t>
  </si>
  <si>
    <t>RF2383513</t>
  </si>
  <si>
    <t>RF9956287</t>
  </si>
  <si>
    <t>RF5824587</t>
  </si>
  <si>
    <t>RF6364495</t>
  </si>
  <si>
    <t>RF6396617</t>
  </si>
  <si>
    <t>P00200</t>
  </si>
  <si>
    <t>RX843788</t>
  </si>
  <si>
    <t>RF5637847</t>
  </si>
  <si>
    <t>RF3122307</t>
  </si>
  <si>
    <t>RF9561355</t>
  </si>
  <si>
    <t>RF5013614</t>
  </si>
  <si>
    <t>P00201</t>
  </si>
  <si>
    <t>RX462831</t>
  </si>
  <si>
    <t>RF3580632</t>
  </si>
  <si>
    <t>RF9953107</t>
  </si>
  <si>
    <t>RF5383894</t>
  </si>
  <si>
    <t>RF3916111</t>
  </si>
  <si>
    <t>RF8099934</t>
  </si>
  <si>
    <t>P00202</t>
  </si>
  <si>
    <t>RX397846</t>
  </si>
  <si>
    <t>RF3771592</t>
  </si>
  <si>
    <t>RF2183821</t>
  </si>
  <si>
    <t>P00203</t>
  </si>
  <si>
    <t>RX362778</t>
  </si>
  <si>
    <t>RF6233173</t>
  </si>
  <si>
    <t>RF3033157</t>
  </si>
  <si>
    <t>RF7965223</t>
  </si>
  <si>
    <t>RF8644844</t>
  </si>
  <si>
    <t>RF5147342</t>
  </si>
  <si>
    <t>RF4145715</t>
  </si>
  <si>
    <t>RF6485669</t>
  </si>
  <si>
    <t>RF2407576</t>
  </si>
  <si>
    <t>P00204</t>
  </si>
  <si>
    <t>RX765905</t>
  </si>
  <si>
    <t>RF7553006</t>
  </si>
  <si>
    <t>RF7482522</t>
  </si>
  <si>
    <t>P00205</t>
  </si>
  <si>
    <t>RX387782</t>
  </si>
  <si>
    <t>RF2165605</t>
  </si>
  <si>
    <t>RF7786040</t>
  </si>
  <si>
    <t>P00206</t>
  </si>
  <si>
    <t>RX755383</t>
  </si>
  <si>
    <t>RF5496166</t>
  </si>
  <si>
    <t>RF5189799</t>
  </si>
  <si>
    <t>RF6590937</t>
  </si>
  <si>
    <t>RF5979524</t>
  </si>
  <si>
    <t>RF3284523</t>
  </si>
  <si>
    <t>RF7831693</t>
  </si>
  <si>
    <t>P00207</t>
  </si>
  <si>
    <t>RX744274</t>
  </si>
  <si>
    <t>RF7287434</t>
  </si>
  <si>
    <t>RF4525947</t>
  </si>
  <si>
    <t>RF7550444</t>
  </si>
  <si>
    <t>RF7557309</t>
  </si>
  <si>
    <t>P00208</t>
  </si>
  <si>
    <t>RX197966</t>
  </si>
  <si>
    <t>RF4264732</t>
  </si>
  <si>
    <t>P00209</t>
  </si>
  <si>
    <t>RX772124</t>
  </si>
  <si>
    <t>RF7080429</t>
  </si>
  <si>
    <t>RF3150611</t>
  </si>
  <si>
    <t>P00210</t>
  </si>
  <si>
    <t>RX720556</t>
  </si>
  <si>
    <t>RF8968020</t>
  </si>
  <si>
    <t>RF6291484</t>
  </si>
  <si>
    <t>RF7181626</t>
  </si>
  <si>
    <t>RF4371516</t>
  </si>
  <si>
    <t>RF8583044</t>
  </si>
  <si>
    <t>RF6175337</t>
  </si>
  <si>
    <t>P00211</t>
  </si>
  <si>
    <t>RX261684</t>
  </si>
  <si>
    <t>RF7108677</t>
  </si>
  <si>
    <t>RF8525992</t>
  </si>
  <si>
    <t>P00212</t>
  </si>
  <si>
    <t>RX790731</t>
  </si>
  <si>
    <t>RF8975117</t>
  </si>
  <si>
    <t>RF3691757</t>
  </si>
  <si>
    <t>RF7900855</t>
  </si>
  <si>
    <t>RF4477585</t>
  </si>
  <si>
    <t>RF2330559</t>
  </si>
  <si>
    <t>RF6163725</t>
  </si>
  <si>
    <t>P00213</t>
  </si>
  <si>
    <t>RX855638</t>
  </si>
  <si>
    <t>RF7773072</t>
  </si>
  <si>
    <t>P00214</t>
  </si>
  <si>
    <t>RX454019</t>
  </si>
  <si>
    <t>RF4773304</t>
  </si>
  <si>
    <t>RF2022968</t>
  </si>
  <si>
    <t>P00215</t>
  </si>
  <si>
    <t>RX143195</t>
  </si>
  <si>
    <t>RF7634067</t>
  </si>
  <si>
    <t>P00216</t>
  </si>
  <si>
    <t>RX185168</t>
  </si>
  <si>
    <t>RF9607461</t>
  </si>
  <si>
    <t>RF9006435</t>
  </si>
  <si>
    <t>RF7612162</t>
  </si>
  <si>
    <t>RF3251114</t>
  </si>
  <si>
    <t>RF8539139</t>
  </si>
  <si>
    <t>RF2629550</t>
  </si>
  <si>
    <t>RF8069797</t>
  </si>
  <si>
    <t>P00217</t>
  </si>
  <si>
    <t>RX772612</t>
  </si>
  <si>
    <t>RF9589839</t>
  </si>
  <si>
    <t>P00218</t>
  </si>
  <si>
    <t>RX377511</t>
  </si>
  <si>
    <t>RF7405088</t>
  </si>
  <si>
    <t>RF5831507</t>
  </si>
  <si>
    <t>P00219</t>
  </si>
  <si>
    <t>RX321048</t>
  </si>
  <si>
    <t>RF4215641</t>
  </si>
  <si>
    <t>P00220</t>
  </si>
  <si>
    <t>RX536822</t>
  </si>
  <si>
    <t>RF2420103</t>
  </si>
  <si>
    <t>RF8821434</t>
  </si>
  <si>
    <t>P00221</t>
  </si>
  <si>
    <t>RX770030</t>
  </si>
  <si>
    <t>RF9332821</t>
  </si>
  <si>
    <t>P00222</t>
  </si>
  <si>
    <t>RX622230</t>
  </si>
  <si>
    <t>RF9149180</t>
  </si>
  <si>
    <t>RF5021699</t>
  </si>
  <si>
    <t>RF7677129</t>
  </si>
  <si>
    <t>RF5573506</t>
  </si>
  <si>
    <t>P00223</t>
  </si>
  <si>
    <t>RX672079</t>
  </si>
  <si>
    <t>RF2972248</t>
  </si>
  <si>
    <t>RF9140768</t>
  </si>
  <si>
    <t>P00224</t>
  </si>
  <si>
    <t>RX773088</t>
  </si>
  <si>
    <t>RF9468310</t>
  </si>
  <si>
    <t>RF2081137</t>
  </si>
  <si>
    <t>RF3160936</t>
  </si>
  <si>
    <t>RF7429095</t>
  </si>
  <si>
    <t>P00225</t>
  </si>
  <si>
    <t>RX606404</t>
  </si>
  <si>
    <t>RF4757006</t>
  </si>
  <si>
    <t>RF9503841</t>
  </si>
  <si>
    <t>RF7216095</t>
  </si>
  <si>
    <t>RF9369186</t>
  </si>
  <si>
    <t>P00226</t>
  </si>
  <si>
    <t>RX943776</t>
  </si>
  <si>
    <t>RF2779732</t>
  </si>
  <si>
    <t>RF8836415</t>
  </si>
  <si>
    <t>RF3534019</t>
  </si>
  <si>
    <t>RF5361965</t>
  </si>
  <si>
    <t>RF5829724</t>
  </si>
  <si>
    <t>P00227</t>
  </si>
  <si>
    <t>RX525818</t>
  </si>
  <si>
    <t>RF9010429</t>
  </si>
  <si>
    <t>P00228</t>
  </si>
  <si>
    <t>RX575575</t>
  </si>
  <si>
    <t>RF7787321</t>
  </si>
  <si>
    <t>RF6011809</t>
  </si>
  <si>
    <t>RF5537810</t>
  </si>
  <si>
    <t>RF9433345</t>
  </si>
  <si>
    <t>P00229</t>
  </si>
  <si>
    <t>RX822063</t>
  </si>
  <si>
    <t>RF3399041</t>
  </si>
  <si>
    <t>RF3111587</t>
  </si>
  <si>
    <t>RF8093578</t>
  </si>
  <si>
    <t>RF9905986</t>
  </si>
  <si>
    <t>RF3337105</t>
  </si>
  <si>
    <t>RF5489893</t>
  </si>
  <si>
    <t>P00230</t>
  </si>
  <si>
    <t>RX265759</t>
  </si>
  <si>
    <t>RF6048970</t>
  </si>
  <si>
    <t>RF6772643</t>
  </si>
  <si>
    <t>RF5675576</t>
  </si>
  <si>
    <t>RF7128150</t>
  </si>
  <si>
    <t>RF8536103</t>
  </si>
  <si>
    <t>RF7128446</t>
  </si>
  <si>
    <t>P00231</t>
  </si>
  <si>
    <t>RX535810</t>
  </si>
  <si>
    <t>RF9235810</t>
  </si>
  <si>
    <t>RF9381557</t>
  </si>
  <si>
    <t>RF8100855</t>
  </si>
  <si>
    <t>P00232</t>
  </si>
  <si>
    <t>RX587002</t>
  </si>
  <si>
    <t>RF6052365</t>
  </si>
  <si>
    <t>RF2947388</t>
  </si>
  <si>
    <t>RF5696757</t>
  </si>
  <si>
    <t>P00233</t>
  </si>
  <si>
    <t>RX456717</t>
  </si>
  <si>
    <t>RF2531301</t>
  </si>
  <si>
    <t>RF7494316</t>
  </si>
  <si>
    <t>RF2103684</t>
  </si>
  <si>
    <t>RF9284099</t>
  </si>
  <si>
    <t>RF6402491</t>
  </si>
  <si>
    <t>RF8237968</t>
  </si>
  <si>
    <t>RF8071452</t>
  </si>
  <si>
    <t>P00234</t>
  </si>
  <si>
    <t>RX250647</t>
  </si>
  <si>
    <t>RF3878921</t>
  </si>
  <si>
    <t>P00235</t>
  </si>
  <si>
    <t>RX853258</t>
  </si>
  <si>
    <t>RF9324459</t>
  </si>
  <si>
    <t>RF6354523</t>
  </si>
  <si>
    <t>RF7773389</t>
  </si>
  <si>
    <t>RF7186164</t>
  </si>
  <si>
    <t>P00236</t>
  </si>
  <si>
    <t>RX869864</t>
  </si>
  <si>
    <t>RF5630991</t>
  </si>
  <si>
    <t>RF8095598</t>
  </si>
  <si>
    <t>RF6042719</t>
  </si>
  <si>
    <t>RF7567608</t>
  </si>
  <si>
    <t>P00237</t>
  </si>
  <si>
    <t>RX518084</t>
  </si>
  <si>
    <t>RF7380490</t>
  </si>
  <si>
    <t>RF3247003</t>
  </si>
  <si>
    <t>RF8932662</t>
  </si>
  <si>
    <t>RF9483157</t>
  </si>
  <si>
    <t>P00238</t>
  </si>
  <si>
    <t>RX897615</t>
  </si>
  <si>
    <t>RF2457733</t>
  </si>
  <si>
    <t>RF7397219</t>
  </si>
  <si>
    <t>RF6241008</t>
  </si>
  <si>
    <t>RF5936680</t>
  </si>
  <si>
    <t>RF6159364</t>
  </si>
  <si>
    <t>RF3387508</t>
  </si>
  <si>
    <t>P00239</t>
  </si>
  <si>
    <t>RX639995</t>
  </si>
  <si>
    <t>RF8303451</t>
  </si>
  <si>
    <t>RF4689671</t>
  </si>
  <si>
    <t>RF4775747</t>
  </si>
  <si>
    <t>RF2422372</t>
  </si>
  <si>
    <t>P00240</t>
  </si>
  <si>
    <t>RX211341</t>
  </si>
  <si>
    <t>RF6617891</t>
  </si>
  <si>
    <t>RF5382932</t>
  </si>
  <si>
    <t>P00241</t>
  </si>
  <si>
    <t>RX353480</t>
  </si>
  <si>
    <t>RF3971322</t>
  </si>
  <si>
    <t>RF5851164</t>
  </si>
  <si>
    <t>RF8721466</t>
  </si>
  <si>
    <t>RF5758923</t>
  </si>
  <si>
    <t>RF9185591</t>
  </si>
  <si>
    <t>P00242</t>
  </si>
  <si>
    <t>RX228473</t>
  </si>
  <si>
    <t>RF5750279</t>
  </si>
  <si>
    <t>RF2995785</t>
  </si>
  <si>
    <t>RF8251517</t>
  </si>
  <si>
    <t>P00243</t>
  </si>
  <si>
    <t>RX571435</t>
  </si>
  <si>
    <t>RF2861034</t>
  </si>
  <si>
    <t>RF5458946</t>
  </si>
  <si>
    <t>P00244</t>
  </si>
  <si>
    <t>RX247720</t>
  </si>
  <si>
    <t>RF6673553</t>
  </si>
  <si>
    <t>RF2001423</t>
  </si>
  <si>
    <t>RF2762487</t>
  </si>
  <si>
    <t>RF7068424</t>
  </si>
  <si>
    <t>RF7348057</t>
  </si>
  <si>
    <t>P00245</t>
  </si>
  <si>
    <t>RX153063</t>
  </si>
  <si>
    <t>RF6717187</t>
  </si>
  <si>
    <t>RF7491149</t>
  </si>
  <si>
    <t>P00246</t>
  </si>
  <si>
    <t>RX502810</t>
  </si>
  <si>
    <t>RF5826949</t>
  </si>
  <si>
    <t>RF5047937</t>
  </si>
  <si>
    <t>P00247</t>
  </si>
  <si>
    <t>RX538446</t>
  </si>
  <si>
    <t>RF8850042</t>
  </si>
  <si>
    <t>P00248</t>
  </si>
  <si>
    <t>RX267457</t>
  </si>
  <si>
    <t>RF9082648</t>
  </si>
  <si>
    <t>RF4784788</t>
  </si>
  <si>
    <t>RF8437555</t>
  </si>
  <si>
    <t>RF7032755</t>
  </si>
  <si>
    <t>RF8011763</t>
  </si>
  <si>
    <t>RF5047535</t>
  </si>
  <si>
    <t>RF5796117</t>
  </si>
  <si>
    <t>RF2817360</t>
  </si>
  <si>
    <t>RF7527339</t>
  </si>
  <si>
    <t>P00249</t>
  </si>
  <si>
    <t>RX705748</t>
  </si>
  <si>
    <t>RF2018429</t>
  </si>
  <si>
    <t>P00250</t>
  </si>
  <si>
    <t>RX299055</t>
  </si>
  <si>
    <t>RF4979121</t>
  </si>
  <si>
    <t>RF7315535</t>
  </si>
  <si>
    <t>RF4449335</t>
  </si>
  <si>
    <t>RF6378728</t>
  </si>
  <si>
    <t>RF7889608</t>
  </si>
  <si>
    <t>RF2384014</t>
  </si>
  <si>
    <t>RF6130736</t>
  </si>
  <si>
    <t>RF8894082</t>
  </si>
  <si>
    <t>P00251</t>
  </si>
  <si>
    <t>RX622469</t>
  </si>
  <si>
    <t>RF8228632</t>
  </si>
  <si>
    <t>RF5432708</t>
  </si>
  <si>
    <t>RF4133133</t>
  </si>
  <si>
    <t>RF3643508</t>
  </si>
  <si>
    <t>RF3012889</t>
  </si>
  <si>
    <t>RF5295854</t>
  </si>
  <si>
    <t>P00252</t>
  </si>
  <si>
    <t>RX589491</t>
  </si>
  <si>
    <t>RF5833979</t>
  </si>
  <si>
    <t>RF8555029</t>
  </si>
  <si>
    <t>P00253</t>
  </si>
  <si>
    <t>RX423528</t>
  </si>
  <si>
    <t>RF8012852</t>
  </si>
  <si>
    <t>RF2904004</t>
  </si>
  <si>
    <t>P00254</t>
  </si>
  <si>
    <t>RX124302</t>
  </si>
  <si>
    <t>RF5476829</t>
  </si>
  <si>
    <t>RF9773106</t>
  </si>
  <si>
    <t>RF9025175</t>
  </si>
  <si>
    <t>P00255</t>
  </si>
  <si>
    <t>RX512344</t>
  </si>
  <si>
    <t>RF6939305</t>
  </si>
  <si>
    <t>RF8477223</t>
  </si>
  <si>
    <t>RF5836847</t>
  </si>
  <si>
    <t>RF6943542</t>
  </si>
  <si>
    <t>RF3129408</t>
  </si>
  <si>
    <t>RF2036386</t>
  </si>
  <si>
    <t>P00256</t>
  </si>
  <si>
    <t>RX579441</t>
  </si>
  <si>
    <t>RF2407448</t>
  </si>
  <si>
    <t>RF9036499</t>
  </si>
  <si>
    <t>P00257</t>
  </si>
  <si>
    <t>RX325595</t>
  </si>
  <si>
    <t>RF6051126</t>
  </si>
  <si>
    <t>RF8552186</t>
  </si>
  <si>
    <t>RF7803387</t>
  </si>
  <si>
    <t>RF3456684</t>
  </si>
  <si>
    <t>RF8838763</t>
  </si>
  <si>
    <t>RF2868673</t>
  </si>
  <si>
    <t>P00258</t>
  </si>
  <si>
    <t>RX470037</t>
  </si>
  <si>
    <t>RF7037745</t>
  </si>
  <si>
    <t>RF6228782</t>
  </si>
  <si>
    <t>RF5512014</t>
  </si>
  <si>
    <t>P00259</t>
  </si>
  <si>
    <t>RX152995</t>
  </si>
  <si>
    <t>RF9683211</t>
  </si>
  <si>
    <t>RF8395262</t>
  </si>
  <si>
    <t>RF4295088</t>
  </si>
  <si>
    <t>RF4876108</t>
  </si>
  <si>
    <t>RF5798745</t>
  </si>
  <si>
    <t>RF3118804</t>
  </si>
  <si>
    <t>RF5462359</t>
  </si>
  <si>
    <t>P00260</t>
  </si>
  <si>
    <t>RX618934</t>
  </si>
  <si>
    <t>RF9435971</t>
  </si>
  <si>
    <t>RF4507465</t>
  </si>
  <si>
    <t>RF6595329</t>
  </si>
  <si>
    <t>P00261</t>
  </si>
  <si>
    <t>RX983791</t>
  </si>
  <si>
    <t>RF4633274</t>
  </si>
  <si>
    <t>RF8180882</t>
  </si>
  <si>
    <t>P00262</t>
  </si>
  <si>
    <t>RX805188</t>
  </si>
  <si>
    <t>RF7306493</t>
  </si>
  <si>
    <t>P00263</t>
  </si>
  <si>
    <t>RX399628</t>
  </si>
  <si>
    <t>RF3685179</t>
  </si>
  <si>
    <t>P00264</t>
  </si>
  <si>
    <t>RX108574</t>
  </si>
  <si>
    <t>RF7235897</t>
  </si>
  <si>
    <t>P00265</t>
  </si>
  <si>
    <t>RX551860</t>
  </si>
  <si>
    <t>RF4437557</t>
  </si>
  <si>
    <t>RF4896532</t>
  </si>
  <si>
    <t>RF3112931</t>
  </si>
  <si>
    <t>RF7453319</t>
  </si>
  <si>
    <t>RF6226964</t>
  </si>
  <si>
    <t>RF7824310</t>
  </si>
  <si>
    <t>P00266</t>
  </si>
  <si>
    <t>RX377319</t>
  </si>
  <si>
    <t>RF4704331</t>
  </si>
  <si>
    <t>RF2968089</t>
  </si>
  <si>
    <t>RF4954784</t>
  </si>
  <si>
    <t>RF6029634</t>
  </si>
  <si>
    <t>RF6786860</t>
  </si>
  <si>
    <t>RF7956948</t>
  </si>
  <si>
    <t>P00267</t>
  </si>
  <si>
    <t>RX900961</t>
  </si>
  <si>
    <t>RF8273577</t>
  </si>
  <si>
    <t>RF9360812</t>
  </si>
  <si>
    <t>RF8780551</t>
  </si>
  <si>
    <t>P00268</t>
  </si>
  <si>
    <t>RX483713</t>
  </si>
  <si>
    <t>RF6384976</t>
  </si>
  <si>
    <t>RF2211998</t>
  </si>
  <si>
    <t>RF3219088</t>
  </si>
  <si>
    <t>RF7622499</t>
  </si>
  <si>
    <t>RF3676903</t>
  </si>
  <si>
    <t>RF8293008</t>
  </si>
  <si>
    <t>RF3350023</t>
  </si>
  <si>
    <t>P00269</t>
  </si>
  <si>
    <t>RX520040</t>
  </si>
  <si>
    <t>RF7732693</t>
  </si>
  <si>
    <t>RF3228330</t>
  </si>
  <si>
    <t>RF2520369</t>
  </si>
  <si>
    <t>RF8579666</t>
  </si>
  <si>
    <t>RF3711283</t>
  </si>
  <si>
    <t>RF6539680</t>
  </si>
  <si>
    <t>P00270</t>
  </si>
  <si>
    <t>RX697983</t>
  </si>
  <si>
    <t>RF5008846</t>
  </si>
  <si>
    <t>RF5796637</t>
  </si>
  <si>
    <t>RF7168295</t>
  </si>
  <si>
    <t>RF7666722</t>
  </si>
  <si>
    <t>RF6713432</t>
  </si>
  <si>
    <t>RF3881626</t>
  </si>
  <si>
    <t>P00271</t>
  </si>
  <si>
    <t>RX304110</t>
  </si>
  <si>
    <t>RF7428431</t>
  </si>
  <si>
    <t>RF5262217</t>
  </si>
  <si>
    <t>P00272</t>
  </si>
  <si>
    <t>RX680096</t>
  </si>
  <si>
    <t>RF6285926</t>
  </si>
  <si>
    <t>RF8684325</t>
  </si>
  <si>
    <t>RF7839549</t>
  </si>
  <si>
    <t>RF7812769</t>
  </si>
  <si>
    <t>RF2394095</t>
  </si>
  <si>
    <t>RF5251044</t>
  </si>
  <si>
    <t>RF8611158</t>
  </si>
  <si>
    <t>P00273</t>
  </si>
  <si>
    <t>RX177103</t>
  </si>
  <si>
    <t>RF4622731</t>
  </si>
  <si>
    <t>RF2451325</t>
  </si>
  <si>
    <t>RF8238355</t>
  </si>
  <si>
    <t>RF3703619</t>
  </si>
  <si>
    <t>P00274</t>
  </si>
  <si>
    <t>RX628750</t>
  </si>
  <si>
    <t>RF9288441</t>
  </si>
  <si>
    <t>RF9217933</t>
  </si>
  <si>
    <t>RF5716688</t>
  </si>
  <si>
    <t>P00275</t>
  </si>
  <si>
    <t>RX901535</t>
  </si>
  <si>
    <t>RF3892037</t>
  </si>
  <si>
    <t>RF7910857</t>
  </si>
  <si>
    <t>RF7432734</t>
  </si>
  <si>
    <t>P00276</t>
  </si>
  <si>
    <t>RX393308</t>
  </si>
  <si>
    <t>RF8334302</t>
  </si>
  <si>
    <t>RF6585340</t>
  </si>
  <si>
    <t>P00277</t>
  </si>
  <si>
    <t>RX813449</t>
  </si>
  <si>
    <t>RF3648102</t>
  </si>
  <si>
    <t>P00278</t>
  </si>
  <si>
    <t>RX224582</t>
  </si>
  <si>
    <t>RF8081023</t>
  </si>
  <si>
    <t>RF4467741</t>
  </si>
  <si>
    <t>P00279</t>
  </si>
  <si>
    <t>RX201377</t>
  </si>
  <si>
    <t>RF3488356</t>
  </si>
  <si>
    <t>RF2624691</t>
  </si>
  <si>
    <t>RF3457899</t>
  </si>
  <si>
    <t>RF6310459</t>
  </si>
  <si>
    <t>RF5164168</t>
  </si>
  <si>
    <t>RF5594584</t>
  </si>
  <si>
    <t>P00280</t>
  </si>
  <si>
    <t>RX491326</t>
  </si>
  <si>
    <t>RF6669087</t>
  </si>
  <si>
    <t>RF3091077</t>
  </si>
  <si>
    <t>RF6898830</t>
  </si>
  <si>
    <t>RF4139230</t>
  </si>
  <si>
    <t>RF4772961</t>
  </si>
  <si>
    <t>P00281</t>
  </si>
  <si>
    <t>RX684929</t>
  </si>
  <si>
    <t>RF7953305</t>
  </si>
  <si>
    <t>RF2335045</t>
  </si>
  <si>
    <t>RF9789898</t>
  </si>
  <si>
    <t>RF7006995</t>
  </si>
  <si>
    <t>P00282</t>
  </si>
  <si>
    <t>RX891638</t>
  </si>
  <si>
    <t>RF8489938</t>
  </si>
  <si>
    <t>RF7164099</t>
  </si>
  <si>
    <t>RF7552337</t>
  </si>
  <si>
    <t>RF6115039</t>
  </si>
  <si>
    <t>P00283</t>
  </si>
  <si>
    <t>RX308727</t>
  </si>
  <si>
    <t>RF6803962</t>
  </si>
  <si>
    <t>RF5003839</t>
  </si>
  <si>
    <t>RF8576932</t>
  </si>
  <si>
    <t>RF4666394</t>
  </si>
  <si>
    <t>RF3845175</t>
  </si>
  <si>
    <t>RF6367162</t>
  </si>
  <si>
    <t>P00284</t>
  </si>
  <si>
    <t>RX633853</t>
  </si>
  <si>
    <t>RF8595612</t>
  </si>
  <si>
    <t>P00285</t>
  </si>
  <si>
    <t>RX624369</t>
  </si>
  <si>
    <t>RF3336896</t>
  </si>
  <si>
    <t>RF6555686</t>
  </si>
  <si>
    <t>RF5384107</t>
  </si>
  <si>
    <t>P00286</t>
  </si>
  <si>
    <t>RX147504</t>
  </si>
  <si>
    <t>RF4931004</t>
  </si>
  <si>
    <t>RF9410468</t>
  </si>
  <si>
    <t>RF7564452</t>
  </si>
  <si>
    <t>RF4777187</t>
  </si>
  <si>
    <t>RF4462680</t>
  </si>
  <si>
    <t>RF9971763</t>
  </si>
  <si>
    <t>RF7186513</t>
  </si>
  <si>
    <t>P00287</t>
  </si>
  <si>
    <t>RX243693</t>
  </si>
  <si>
    <t>RF5983390</t>
  </si>
  <si>
    <t>RF8909599</t>
  </si>
  <si>
    <t>RF7446724</t>
  </si>
  <si>
    <t>RF2962357</t>
  </si>
  <si>
    <t>RF4902519</t>
  </si>
  <si>
    <t>RF4016184</t>
  </si>
  <si>
    <t>RF7148097</t>
  </si>
  <si>
    <t>P00288</t>
  </si>
  <si>
    <t>RX449218</t>
  </si>
  <si>
    <t>RF4045370</t>
  </si>
  <si>
    <t>P00289</t>
  </si>
  <si>
    <t>RX644559</t>
  </si>
  <si>
    <t>RF7725655</t>
  </si>
  <si>
    <t>P00290</t>
  </si>
  <si>
    <t>RX256175</t>
  </si>
  <si>
    <t>RF5199185</t>
  </si>
  <si>
    <t>RF9927131</t>
  </si>
  <si>
    <t>RF5236961</t>
  </si>
  <si>
    <t>P00291</t>
  </si>
  <si>
    <t>RX640546</t>
  </si>
  <si>
    <t>RF6531839</t>
  </si>
  <si>
    <t>P00292</t>
  </si>
  <si>
    <t>RX443897</t>
  </si>
  <si>
    <t>RF2207246</t>
  </si>
  <si>
    <t>RF8463374</t>
  </si>
  <si>
    <t>RF6314337</t>
  </si>
  <si>
    <t>P00293</t>
  </si>
  <si>
    <t>RX434002</t>
  </si>
  <si>
    <t>RF6267583</t>
  </si>
  <si>
    <t>P00294</t>
  </si>
  <si>
    <t>RX512042</t>
  </si>
  <si>
    <t>RF2367854</t>
  </si>
  <si>
    <t>RF9535332</t>
  </si>
  <si>
    <t>P00295</t>
  </si>
  <si>
    <t>RX875232</t>
  </si>
  <si>
    <t>RF3614910</t>
  </si>
  <si>
    <t>P00296</t>
  </si>
  <si>
    <t>RX722565</t>
  </si>
  <si>
    <t>RF2690763</t>
  </si>
  <si>
    <t>RF3404209</t>
  </si>
  <si>
    <t>P00297</t>
  </si>
  <si>
    <t>RX631958</t>
  </si>
  <si>
    <t>RF6512859</t>
  </si>
  <si>
    <t>RF2061493</t>
  </si>
  <si>
    <t>RF2549217</t>
  </si>
  <si>
    <t>RF7623178</t>
  </si>
  <si>
    <t>P00298</t>
  </si>
  <si>
    <t>RX658198</t>
  </si>
  <si>
    <t>RF8489278</t>
  </si>
  <si>
    <t>RF9255733</t>
  </si>
  <si>
    <t>RF5558526</t>
  </si>
  <si>
    <t>P00299</t>
  </si>
  <si>
    <t>RX843167</t>
  </si>
  <si>
    <t>RF2871801</t>
  </si>
  <si>
    <t>RF6511009</t>
  </si>
  <si>
    <t>RF7895034</t>
  </si>
  <si>
    <t>RF8502905</t>
  </si>
  <si>
    <t>P00300</t>
  </si>
  <si>
    <t>RX414353</t>
  </si>
  <si>
    <t>RF7423748</t>
  </si>
  <si>
    <t>RF9883203</t>
  </si>
  <si>
    <t>P00301</t>
  </si>
  <si>
    <t>RX955374</t>
  </si>
  <si>
    <t>RF8265374</t>
  </si>
  <si>
    <t>RF3289786</t>
  </si>
  <si>
    <t>RF5852260</t>
  </si>
  <si>
    <t>P00302</t>
  </si>
  <si>
    <t>RX486251</t>
  </si>
  <si>
    <t>RF4782630</t>
  </si>
  <si>
    <t>RF2734178</t>
  </si>
  <si>
    <t>RF2455233</t>
  </si>
  <si>
    <t>RF8662356</t>
  </si>
  <si>
    <t>RF6681549</t>
  </si>
  <si>
    <t>RF6823133</t>
  </si>
  <si>
    <t>RF3909629</t>
  </si>
  <si>
    <t>RF5419471</t>
  </si>
  <si>
    <t>RF5784316</t>
  </si>
  <si>
    <t>P00303</t>
  </si>
  <si>
    <t>RX806537</t>
  </si>
  <si>
    <t>RF5632477</t>
  </si>
  <si>
    <t>RF2141691</t>
  </si>
  <si>
    <t>P00304</t>
  </si>
  <si>
    <t>RX536774</t>
  </si>
  <si>
    <t>RF7648039</t>
  </si>
  <si>
    <t>RF6486515</t>
  </si>
  <si>
    <t>RF7380643</t>
  </si>
  <si>
    <t>RF7187090</t>
  </si>
  <si>
    <t>RF8341457</t>
  </si>
  <si>
    <t>RF6912436</t>
  </si>
  <si>
    <t>P00305</t>
  </si>
  <si>
    <t>RX422623</t>
  </si>
  <si>
    <t>RF7879424</t>
  </si>
  <si>
    <t>RF2608924</t>
  </si>
  <si>
    <t>P00306</t>
  </si>
  <si>
    <t>RX759827</t>
  </si>
  <si>
    <t>RF9785028</t>
  </si>
  <si>
    <t>P00307</t>
  </si>
  <si>
    <t>RX725905</t>
  </si>
  <si>
    <t>RF2890329</t>
  </si>
  <si>
    <t>RF8600927</t>
  </si>
  <si>
    <t>RF4527912</t>
  </si>
  <si>
    <t>RF2725658</t>
  </si>
  <si>
    <t>RF8419585</t>
  </si>
  <si>
    <t>RF5199528</t>
  </si>
  <si>
    <t>RF8896462</t>
  </si>
  <si>
    <t>P00308</t>
  </si>
  <si>
    <t>RX378428</t>
  </si>
  <si>
    <t>RF2258529</t>
  </si>
  <si>
    <t>RF3311336</t>
  </si>
  <si>
    <t>RF3844367</t>
  </si>
  <si>
    <t>P00309</t>
  </si>
  <si>
    <t>RX920934</t>
  </si>
  <si>
    <t>RF8264225</t>
  </si>
  <si>
    <t>P00310</t>
  </si>
  <si>
    <t>RX705693</t>
  </si>
  <si>
    <t>RF8683794</t>
  </si>
  <si>
    <t>RF9125849</t>
  </si>
  <si>
    <t>P00311</t>
  </si>
  <si>
    <t>RX856442</t>
  </si>
  <si>
    <t>RF7318760</t>
  </si>
  <si>
    <t>RF4500279</t>
  </si>
  <si>
    <t>P00312</t>
  </si>
  <si>
    <t>RX711868</t>
  </si>
  <si>
    <t>RF9274088</t>
  </si>
  <si>
    <t>RF5130045</t>
  </si>
  <si>
    <t>RF6643297</t>
  </si>
  <si>
    <t>P00313</t>
  </si>
  <si>
    <t>RX278794</t>
  </si>
  <si>
    <t>RF3033771</t>
  </si>
  <si>
    <t>RF2042193</t>
  </si>
  <si>
    <t>P00314</t>
  </si>
  <si>
    <t>RX759580</t>
  </si>
  <si>
    <t>RF7005103</t>
  </si>
  <si>
    <t>RF6505957</t>
  </si>
  <si>
    <t>RF9943838</t>
  </si>
  <si>
    <t>P00315</t>
  </si>
  <si>
    <t>RX912233</t>
  </si>
  <si>
    <t>RF4555934</t>
  </si>
  <si>
    <t>RF8277166</t>
  </si>
  <si>
    <t>P00316</t>
  </si>
  <si>
    <t>RX254954</t>
  </si>
  <si>
    <t>RF9579496</t>
  </si>
  <si>
    <t>RF4884436</t>
  </si>
  <si>
    <t>P00317</t>
  </si>
  <si>
    <t>RX353961</t>
  </si>
  <si>
    <t>RF5461596</t>
  </si>
  <si>
    <t>P00318</t>
  </si>
  <si>
    <t>RX700383</t>
  </si>
  <si>
    <t>RF9142554</t>
  </si>
  <si>
    <t>RF3195000</t>
  </si>
  <si>
    <t>RF3543442</t>
  </si>
  <si>
    <t>RF7174805</t>
  </si>
  <si>
    <t>RF4120151</t>
  </si>
  <si>
    <t>RF2961523</t>
  </si>
  <si>
    <t>RF7628570</t>
  </si>
  <si>
    <t>P00319</t>
  </si>
  <si>
    <t>RX215233</t>
  </si>
  <si>
    <t>RF6758795</t>
  </si>
  <si>
    <t>P00320</t>
  </si>
  <si>
    <t>RX119857</t>
  </si>
  <si>
    <t>RF2456242</t>
  </si>
  <si>
    <t>RF8300195</t>
  </si>
  <si>
    <t>RF5869372</t>
  </si>
  <si>
    <t>RF6610920</t>
  </si>
  <si>
    <t>RF4438171</t>
  </si>
  <si>
    <t>P00321</t>
  </si>
  <si>
    <t>RX428930</t>
  </si>
  <si>
    <t>RF2565079</t>
  </si>
  <si>
    <t>RF2823781</t>
  </si>
  <si>
    <t>RF8086683</t>
  </si>
  <si>
    <t>P00322</t>
  </si>
  <si>
    <t>RX258787</t>
  </si>
  <si>
    <t>RF6086849</t>
  </si>
  <si>
    <t>RF4995893</t>
  </si>
  <si>
    <t>RF7631235</t>
  </si>
  <si>
    <t>P00323</t>
  </si>
  <si>
    <t>RX824042</t>
  </si>
  <si>
    <t>RF3967404</t>
  </si>
  <si>
    <t>RF4391903</t>
  </si>
  <si>
    <t>RF2585599</t>
  </si>
  <si>
    <t>P00324</t>
  </si>
  <si>
    <t>RX530311</t>
  </si>
  <si>
    <t>RF4665781</t>
  </si>
  <si>
    <t>RF5780292</t>
  </si>
  <si>
    <t>RF7170255</t>
  </si>
  <si>
    <t>RF4564191</t>
  </si>
  <si>
    <t>RF6900372</t>
  </si>
  <si>
    <t>P00325</t>
  </si>
  <si>
    <t>RX912617</t>
  </si>
  <si>
    <t>RF6744194</t>
  </si>
  <si>
    <t>RF5057592</t>
  </si>
  <si>
    <t>RF4653594</t>
  </si>
  <si>
    <t>P00326</t>
  </si>
  <si>
    <t>RX594514</t>
  </si>
  <si>
    <t>RF2040532</t>
  </si>
  <si>
    <t>RF4065066</t>
  </si>
  <si>
    <t>P00327</t>
  </si>
  <si>
    <t>RX840058</t>
  </si>
  <si>
    <t>RF3858292</t>
  </si>
  <si>
    <t>RF8206028</t>
  </si>
  <si>
    <t>RF5658473</t>
  </si>
  <si>
    <t>RF9047353</t>
  </si>
  <si>
    <t>RF3126638</t>
  </si>
  <si>
    <t>RF8148621</t>
  </si>
  <si>
    <t>P00328</t>
  </si>
  <si>
    <t>RX643878</t>
  </si>
  <si>
    <t>RF5882653</t>
  </si>
  <si>
    <t>RF5009342</t>
  </si>
  <si>
    <t>P00329</t>
  </si>
  <si>
    <t>RX688132</t>
  </si>
  <si>
    <t>RF4562483</t>
  </si>
  <si>
    <t>RF6627758</t>
  </si>
  <si>
    <t>RF3474466</t>
  </si>
  <si>
    <t>RF7088761</t>
  </si>
  <si>
    <t>RF9061471</t>
  </si>
  <si>
    <t>P00330</t>
  </si>
  <si>
    <t>RX794395</t>
  </si>
  <si>
    <t>RF9203412</t>
  </si>
  <si>
    <t>RF3174419</t>
  </si>
  <si>
    <t>RF3647790</t>
  </si>
  <si>
    <t>RF8153418</t>
  </si>
  <si>
    <t>P00331</t>
  </si>
  <si>
    <t>RX651002</t>
  </si>
  <si>
    <t>RF2641412</t>
  </si>
  <si>
    <t>RF2632500</t>
  </si>
  <si>
    <t>RF9126854</t>
  </si>
  <si>
    <t>P00332</t>
  </si>
  <si>
    <t>RX428993</t>
  </si>
  <si>
    <t>RF7298467</t>
  </si>
  <si>
    <t>RF8816938</t>
  </si>
  <si>
    <t>RF6856171</t>
  </si>
  <si>
    <t>RF8452519</t>
  </si>
  <si>
    <t>RF3784765</t>
  </si>
  <si>
    <t>RF6627105</t>
  </si>
  <si>
    <t>RF6558951</t>
  </si>
  <si>
    <t>P00333</t>
  </si>
  <si>
    <t>RX581992</t>
  </si>
  <si>
    <t>RF5960294</t>
  </si>
  <si>
    <t>RF8502825</t>
  </si>
  <si>
    <t>RF5068709</t>
  </si>
  <si>
    <t>RF3873231</t>
  </si>
  <si>
    <t>RF6945929</t>
  </si>
  <si>
    <t>P00334</t>
  </si>
  <si>
    <t>RX458955</t>
  </si>
  <si>
    <t>RF9190414</t>
  </si>
  <si>
    <t>RF3123077</t>
  </si>
  <si>
    <t>P00335</t>
  </si>
  <si>
    <t>RX471496</t>
  </si>
  <si>
    <t>RF6281646</t>
  </si>
  <si>
    <t>RF5328475</t>
  </si>
  <si>
    <t>P00336</t>
  </si>
  <si>
    <t>RX909489</t>
  </si>
  <si>
    <t>RF6212484</t>
  </si>
  <si>
    <t>P00337</t>
  </si>
  <si>
    <t>RX774558</t>
  </si>
  <si>
    <t>RF7558950</t>
  </si>
  <si>
    <t>P00338</t>
  </si>
  <si>
    <t>RX377203</t>
  </si>
  <si>
    <t>RF9113387</t>
  </si>
  <si>
    <t>P00339</t>
  </si>
  <si>
    <t>RX607699</t>
  </si>
  <si>
    <t>RF7150907</t>
  </si>
  <si>
    <t>P00340</t>
  </si>
  <si>
    <t>RX358494</t>
  </si>
  <si>
    <t>RF3391196</t>
  </si>
  <si>
    <t>RF6312891</t>
  </si>
  <si>
    <t>RF5743168</t>
  </si>
  <si>
    <t>RF3502778</t>
  </si>
  <si>
    <t>RF9958371</t>
  </si>
  <si>
    <t>P00341</t>
  </si>
  <si>
    <t>RX685196</t>
  </si>
  <si>
    <t>RF7531559</t>
  </si>
  <si>
    <t>RF3226406</t>
  </si>
  <si>
    <t>RF8140498</t>
  </si>
  <si>
    <t>RF9878373</t>
  </si>
  <si>
    <t>P00342</t>
  </si>
  <si>
    <t>RX335790</t>
  </si>
  <si>
    <t>RF3835587</t>
  </si>
  <si>
    <t>RF3944059</t>
  </si>
  <si>
    <t>P00343</t>
  </si>
  <si>
    <t>RX908634</t>
  </si>
  <si>
    <t>RF4217588</t>
  </si>
  <si>
    <t>P00344</t>
  </si>
  <si>
    <t>RX839142</t>
  </si>
  <si>
    <t>RF3963090</t>
  </si>
  <si>
    <t>RF7608502</t>
  </si>
  <si>
    <t>RF6344336</t>
  </si>
  <si>
    <t>RF5030396</t>
  </si>
  <si>
    <t>RF5939912</t>
  </si>
  <si>
    <t>P00345</t>
  </si>
  <si>
    <t>RX823769</t>
  </si>
  <si>
    <t>RF2334744</t>
  </si>
  <si>
    <t>RF2865914</t>
  </si>
  <si>
    <t>RF6373592</t>
  </si>
  <si>
    <t>P00346</t>
  </si>
  <si>
    <t>RX612756</t>
  </si>
  <si>
    <t>RF4294244</t>
  </si>
  <si>
    <t>P00347</t>
  </si>
  <si>
    <t>RX603110</t>
  </si>
  <si>
    <t>RF8223589</t>
  </si>
  <si>
    <t>RF6853912</t>
  </si>
  <si>
    <t>RF6782850</t>
  </si>
  <si>
    <t>RF5159649</t>
  </si>
  <si>
    <t>P00348</t>
  </si>
  <si>
    <t>RX687713</t>
  </si>
  <si>
    <t>RF5064331</t>
  </si>
  <si>
    <t>RF9534870</t>
  </si>
  <si>
    <t>RF6334082</t>
  </si>
  <si>
    <t>P00349</t>
  </si>
  <si>
    <t>RX401769</t>
  </si>
  <si>
    <t>RF5156874</t>
  </si>
  <si>
    <t>RF6331640</t>
  </si>
  <si>
    <t>RF4960323</t>
  </si>
  <si>
    <t>RF9278958</t>
  </si>
  <si>
    <t>RF6084090</t>
  </si>
  <si>
    <t>P00350</t>
  </si>
  <si>
    <t>RX701334</t>
  </si>
  <si>
    <t>RF6044232</t>
  </si>
  <si>
    <t>RF2055345</t>
  </si>
  <si>
    <t>RF9399039</t>
  </si>
  <si>
    <t>RF5690137</t>
  </si>
  <si>
    <t>RF3929302</t>
  </si>
  <si>
    <t>RF6316285</t>
  </si>
  <si>
    <t>P00351</t>
  </si>
  <si>
    <t>RX669576</t>
  </si>
  <si>
    <t>RF3774334</t>
  </si>
  <si>
    <t>P00352</t>
  </si>
  <si>
    <t>RX513697</t>
  </si>
  <si>
    <t>RF3567878</t>
  </si>
  <si>
    <t>P00353</t>
  </si>
  <si>
    <t>RX910616</t>
  </si>
  <si>
    <t>RF5038546</t>
  </si>
  <si>
    <t>RF8017171</t>
  </si>
  <si>
    <t>RF2992625</t>
  </si>
  <si>
    <t>RF3932285</t>
  </si>
  <si>
    <t>P00354</t>
  </si>
  <si>
    <t>RX404561</t>
  </si>
  <si>
    <t>RF8804609</t>
  </si>
  <si>
    <t>RF8041942</t>
  </si>
  <si>
    <t>RF6039254</t>
  </si>
  <si>
    <t>RF6016588</t>
  </si>
  <si>
    <t>RF3767512</t>
  </si>
  <si>
    <t>RF3352631</t>
  </si>
  <si>
    <t>RF8990772</t>
  </si>
  <si>
    <t>P00355</t>
  </si>
  <si>
    <t>RX401602</t>
  </si>
  <si>
    <t>RF2188291</t>
  </si>
  <si>
    <t>RF2361920</t>
  </si>
  <si>
    <t>RF6810753</t>
  </si>
  <si>
    <t>RF3351649</t>
  </si>
  <si>
    <t>RF7280967</t>
  </si>
  <si>
    <t>RF2328756</t>
  </si>
  <si>
    <t>RF3231993</t>
  </si>
  <si>
    <t>P00356</t>
  </si>
  <si>
    <t>RX182868</t>
  </si>
  <si>
    <t>RF3395372</t>
  </si>
  <si>
    <t>P00357</t>
  </si>
  <si>
    <t>RX563864</t>
  </si>
  <si>
    <t>RF9738045</t>
  </si>
  <si>
    <t>RF6333896</t>
  </si>
  <si>
    <t>RF7027775</t>
  </si>
  <si>
    <t>RF7348766</t>
  </si>
  <si>
    <t>RF9369467</t>
  </si>
  <si>
    <t>RF8106691</t>
  </si>
  <si>
    <t>RF8889591</t>
  </si>
  <si>
    <t>P00358</t>
  </si>
  <si>
    <t>RX368900</t>
  </si>
  <si>
    <t>RF9946141</t>
  </si>
  <si>
    <t>P00359</t>
  </si>
  <si>
    <t>RX324381</t>
  </si>
  <si>
    <t>RF3816917</t>
  </si>
  <si>
    <t>RF7087907</t>
  </si>
  <si>
    <t>RF9275459</t>
  </si>
  <si>
    <t>P00360</t>
  </si>
  <si>
    <t>RX968170</t>
  </si>
  <si>
    <t>RF3840157</t>
  </si>
  <si>
    <t>RF7040200</t>
  </si>
  <si>
    <t>P00361</t>
  </si>
  <si>
    <t>RX384303</t>
  </si>
  <si>
    <t>RF8665722</t>
  </si>
  <si>
    <t>RF8882460</t>
  </si>
  <si>
    <t>P00362</t>
  </si>
  <si>
    <t>RX829988</t>
  </si>
  <si>
    <t>RF3525754</t>
  </si>
  <si>
    <t>RF7533534</t>
  </si>
  <si>
    <t>P00363</t>
  </si>
  <si>
    <t>RX243941</t>
  </si>
  <si>
    <t>RF4218960</t>
  </si>
  <si>
    <t>RF8074919</t>
  </si>
  <si>
    <t>RF4874534</t>
  </si>
  <si>
    <t>RF7004084</t>
  </si>
  <si>
    <t>RF2577496</t>
  </si>
  <si>
    <t>RF5172666</t>
  </si>
  <si>
    <t>P00364</t>
  </si>
  <si>
    <t>RX745584</t>
  </si>
  <si>
    <t>RF2910752</t>
  </si>
  <si>
    <t>RF3697422</t>
  </si>
  <si>
    <t>P00365</t>
  </si>
  <si>
    <t>RX350905</t>
  </si>
  <si>
    <t>RF9628090</t>
  </si>
  <si>
    <t>RF5521495</t>
  </si>
  <si>
    <t>P00366</t>
  </si>
  <si>
    <t>RX153231</t>
  </si>
  <si>
    <t>RF3254610</t>
  </si>
  <si>
    <t>RF2807811</t>
  </si>
  <si>
    <t>RF5991880</t>
  </si>
  <si>
    <t>RF7031602</t>
  </si>
  <si>
    <t>P00367</t>
  </si>
  <si>
    <t>RX656837</t>
  </si>
  <si>
    <t>RF9363122</t>
  </si>
  <si>
    <t>P00368</t>
  </si>
  <si>
    <t>RX768933</t>
  </si>
  <si>
    <t>RF6457957</t>
  </si>
  <si>
    <t>RF8311447</t>
  </si>
  <si>
    <t>RF2781734</t>
  </si>
  <si>
    <t>RF7531386</t>
  </si>
  <si>
    <t>RF9566396</t>
  </si>
  <si>
    <t>RF6523858</t>
  </si>
  <si>
    <t>RF2010068</t>
  </si>
  <si>
    <t>RF7692168</t>
  </si>
  <si>
    <t>RF5619657</t>
  </si>
  <si>
    <t>P00369</t>
  </si>
  <si>
    <t>RX155040</t>
  </si>
  <si>
    <t>RF5106951</t>
  </si>
  <si>
    <t>RF7852252</t>
  </si>
  <si>
    <t>P00370</t>
  </si>
  <si>
    <t>RX533377</t>
  </si>
  <si>
    <t>RF5598345</t>
  </si>
  <si>
    <t>RF9872051</t>
  </si>
  <si>
    <t>RF6044344</t>
  </si>
  <si>
    <t>P00371</t>
  </si>
  <si>
    <t>RX852204</t>
  </si>
  <si>
    <t>RF8448085</t>
  </si>
  <si>
    <t>RF4940356</t>
  </si>
  <si>
    <t>RF8749650</t>
  </si>
  <si>
    <t>RF9615672</t>
  </si>
  <si>
    <t>P00372</t>
  </si>
  <si>
    <t>RX205428</t>
  </si>
  <si>
    <t>RF9022863</t>
  </si>
  <si>
    <t>RF6832851</t>
  </si>
  <si>
    <t>RF5569263</t>
  </si>
  <si>
    <t>P00373</t>
  </si>
  <si>
    <t>RX908206</t>
  </si>
  <si>
    <t>RF4135051</t>
  </si>
  <si>
    <t>P00374</t>
  </si>
  <si>
    <t>RX105433</t>
  </si>
  <si>
    <t>RF8424490</t>
  </si>
  <si>
    <t>RF9634349</t>
  </si>
  <si>
    <t>RF2703112</t>
  </si>
  <si>
    <t>RF7018839</t>
  </si>
  <si>
    <t>RF5427977</t>
  </si>
  <si>
    <t>RF3585623</t>
  </si>
  <si>
    <t>RF7948771</t>
  </si>
  <si>
    <t>RF8622155</t>
  </si>
  <si>
    <t>RF6848507</t>
  </si>
  <si>
    <t>RF2988417</t>
  </si>
  <si>
    <t>RF2060348</t>
  </si>
  <si>
    <t>P00375</t>
  </si>
  <si>
    <t>RX265613</t>
  </si>
  <si>
    <t>RF7490730</t>
  </si>
  <si>
    <t>RF7769405</t>
  </si>
  <si>
    <t>P00376</t>
  </si>
  <si>
    <t>RX784607</t>
  </si>
  <si>
    <t>RF4649975</t>
  </si>
  <si>
    <t>RF5038939</t>
  </si>
  <si>
    <t>RF3298376</t>
  </si>
  <si>
    <t>P00377</t>
  </si>
  <si>
    <t>RX600641</t>
  </si>
  <si>
    <t>RF7465815</t>
  </si>
  <si>
    <t>RF4127625</t>
  </si>
  <si>
    <t>RF9172066</t>
  </si>
  <si>
    <t>P00378</t>
  </si>
  <si>
    <t>RX309144</t>
  </si>
  <si>
    <t>RF5553091</t>
  </si>
  <si>
    <t>RF5067244</t>
  </si>
  <si>
    <t>P00379</t>
  </si>
  <si>
    <t>RX436768</t>
  </si>
  <si>
    <t>RF4311569</t>
  </si>
  <si>
    <t>RF5334087</t>
  </si>
  <si>
    <t>RF3708706</t>
  </si>
  <si>
    <t>RF6631391</t>
  </si>
  <si>
    <t>P00380</t>
  </si>
  <si>
    <t>RX777273</t>
  </si>
  <si>
    <t>RF6677174</t>
  </si>
  <si>
    <t>RF3499208</t>
  </si>
  <si>
    <t>RF6690018</t>
  </si>
  <si>
    <t>RF6058074</t>
  </si>
  <si>
    <t>P00381</t>
  </si>
  <si>
    <t>RX906066</t>
  </si>
  <si>
    <t>RF4572392</t>
  </si>
  <si>
    <t>RF4888670</t>
  </si>
  <si>
    <t>RF7918117</t>
  </si>
  <si>
    <t>RF8172190</t>
  </si>
  <si>
    <t>RF9172250</t>
  </si>
  <si>
    <t>RF7530465</t>
  </si>
  <si>
    <t>P00382</t>
  </si>
  <si>
    <t>RX783984</t>
  </si>
  <si>
    <t>RF8273120</t>
  </si>
  <si>
    <t>RF5746309</t>
  </si>
  <si>
    <t>RF7866249</t>
  </si>
  <si>
    <t>RF2841198</t>
  </si>
  <si>
    <t>RF6264294</t>
  </si>
  <si>
    <t>RF8594126</t>
  </si>
  <si>
    <t>P00383</t>
  </si>
  <si>
    <t>RX343500</t>
  </si>
  <si>
    <t>RF6618568</t>
  </si>
  <si>
    <t>RF7742542</t>
  </si>
  <si>
    <t>P00384</t>
  </si>
  <si>
    <t>RX874568</t>
  </si>
  <si>
    <t>RF2436650</t>
  </si>
  <si>
    <t>RF5264038</t>
  </si>
  <si>
    <t>P00385</t>
  </si>
  <si>
    <t>RX283568</t>
  </si>
  <si>
    <t>RF2044381</t>
  </si>
  <si>
    <t>RF2764106</t>
  </si>
  <si>
    <t>RF3219103</t>
  </si>
  <si>
    <t>RF9766691</t>
  </si>
  <si>
    <t>RF5652210</t>
  </si>
  <si>
    <t>RF2537545</t>
  </si>
  <si>
    <t>RF3860343</t>
  </si>
  <si>
    <t>P00386</t>
  </si>
  <si>
    <t>RX978292</t>
  </si>
  <si>
    <t>RF2671421</t>
  </si>
  <si>
    <t>RF2316714</t>
  </si>
  <si>
    <t>RF5223960</t>
  </si>
  <si>
    <t>P00387</t>
  </si>
  <si>
    <t>RX138105</t>
  </si>
  <si>
    <t>RF7150316</t>
  </si>
  <si>
    <t>RF6370511</t>
  </si>
  <si>
    <t>RF7969382</t>
  </si>
  <si>
    <t>RF2482034</t>
  </si>
  <si>
    <t>RF8880577</t>
  </si>
  <si>
    <t>P00388</t>
  </si>
  <si>
    <t>RX926236</t>
  </si>
  <si>
    <t>RF7371152</t>
  </si>
  <si>
    <t>P00389</t>
  </si>
  <si>
    <t>RX295361</t>
  </si>
  <si>
    <t>RF5682364</t>
  </si>
  <si>
    <t>RF3692042</t>
  </si>
  <si>
    <t>RF7510344</t>
  </si>
  <si>
    <t>P00390</t>
  </si>
  <si>
    <t>RX139286</t>
  </si>
  <si>
    <t>RF6346584</t>
  </si>
  <si>
    <t>RF3633652</t>
  </si>
  <si>
    <t>RF8576328</t>
  </si>
  <si>
    <t>RF6282785</t>
  </si>
  <si>
    <t>P00391</t>
  </si>
  <si>
    <t>RX412886</t>
  </si>
  <si>
    <t>RF7859021</t>
  </si>
  <si>
    <t>RF7160587</t>
  </si>
  <si>
    <t>RF7654126</t>
  </si>
  <si>
    <t>RF5017717</t>
  </si>
  <si>
    <t>RF7494698</t>
  </si>
  <si>
    <t>RF3320742</t>
  </si>
  <si>
    <t>RF4314726</t>
  </si>
  <si>
    <t>RF5350692</t>
  </si>
  <si>
    <t>RF7617532</t>
  </si>
  <si>
    <t>RF5401169</t>
  </si>
  <si>
    <t>P00392</t>
  </si>
  <si>
    <t>RX732063</t>
  </si>
  <si>
    <t>RF6343140</t>
  </si>
  <si>
    <t>RF8181779</t>
  </si>
  <si>
    <t>P00393</t>
  </si>
  <si>
    <t>RX451317</t>
  </si>
  <si>
    <t>RF9710619</t>
  </si>
  <si>
    <t>RF6610317</t>
  </si>
  <si>
    <t>P00394</t>
  </si>
  <si>
    <t>RX576419</t>
  </si>
  <si>
    <t>RF8091292</t>
  </si>
  <si>
    <t>RF6690187</t>
  </si>
  <si>
    <t>RF4920034</t>
  </si>
  <si>
    <t>RF8841034</t>
  </si>
  <si>
    <t>P00395</t>
  </si>
  <si>
    <t>RX669691</t>
  </si>
  <si>
    <t>RF3898304</t>
  </si>
  <si>
    <t>P00396</t>
  </si>
  <si>
    <t>RX617904</t>
  </si>
  <si>
    <t>RF3631795</t>
  </si>
  <si>
    <t>RF9799004</t>
  </si>
  <si>
    <t>P00397</t>
  </si>
  <si>
    <t>RX992400</t>
  </si>
  <si>
    <t>RF2039019</t>
  </si>
  <si>
    <t>RF3468298</t>
  </si>
  <si>
    <t>P00398</t>
  </si>
  <si>
    <t>RX590755</t>
  </si>
  <si>
    <t>RF6246632</t>
  </si>
  <si>
    <t>RF6686134</t>
  </si>
  <si>
    <t>RF6220888</t>
  </si>
  <si>
    <t>P00399</t>
  </si>
  <si>
    <t>RX302177</t>
  </si>
  <si>
    <t>RF4851840</t>
  </si>
  <si>
    <t>RF8735567</t>
  </si>
  <si>
    <t>RF4161688</t>
  </si>
  <si>
    <t>RF8821174</t>
  </si>
  <si>
    <t>RF6822559</t>
  </si>
  <si>
    <t>P00400</t>
  </si>
  <si>
    <t>RX446747</t>
  </si>
  <si>
    <t>RF7823303</t>
  </si>
  <si>
    <t>RF5163178</t>
  </si>
  <si>
    <t>RF6056981</t>
  </si>
  <si>
    <t>RF4040723</t>
  </si>
  <si>
    <t>RF4849280</t>
  </si>
  <si>
    <t>RF5849099</t>
  </si>
  <si>
    <t>P00401</t>
  </si>
  <si>
    <t>RX866634</t>
  </si>
  <si>
    <t>RF5864803</t>
  </si>
  <si>
    <t>RF9231175</t>
  </si>
  <si>
    <t>RF6043058</t>
  </si>
  <si>
    <t>RF4162748</t>
  </si>
  <si>
    <t>RF5210095</t>
  </si>
  <si>
    <t>RF8615726</t>
  </si>
  <si>
    <t>RF7678357</t>
  </si>
  <si>
    <t>RF3928793</t>
  </si>
  <si>
    <t>P00402</t>
  </si>
  <si>
    <t>RX779776</t>
  </si>
  <si>
    <t>RF4648541</t>
  </si>
  <si>
    <t>RF4961986</t>
  </si>
  <si>
    <t>RF6493373</t>
  </si>
  <si>
    <t>P00403</t>
  </si>
  <si>
    <t>RX853504</t>
  </si>
  <si>
    <t>RF7878892</t>
  </si>
  <si>
    <t>RF4209137</t>
  </si>
  <si>
    <t>RF4409959</t>
  </si>
  <si>
    <t>RF5346472</t>
  </si>
  <si>
    <t>RF8281290</t>
  </si>
  <si>
    <t>P00404</t>
  </si>
  <si>
    <t>RX114768</t>
  </si>
  <si>
    <t>RF6651915</t>
  </si>
  <si>
    <t>RF5997636</t>
  </si>
  <si>
    <t>P00405</t>
  </si>
  <si>
    <t>RX929179</t>
  </si>
  <si>
    <t>RF4965691</t>
  </si>
  <si>
    <t>RF9502068</t>
  </si>
  <si>
    <t>RF4257171</t>
  </si>
  <si>
    <t>RF9945002</t>
  </si>
  <si>
    <t>P00406</t>
  </si>
  <si>
    <t>RX695361</t>
  </si>
  <si>
    <t>RF9803546</t>
  </si>
  <si>
    <t>RF6185909</t>
  </si>
  <si>
    <t>P00407</t>
  </si>
  <si>
    <t>RX894068</t>
  </si>
  <si>
    <t>RF3674924</t>
  </si>
  <si>
    <t>P00408</t>
  </si>
  <si>
    <t>RX284019</t>
  </si>
  <si>
    <t>RF8169226</t>
  </si>
  <si>
    <t>P00409</t>
  </si>
  <si>
    <t>RX997734</t>
  </si>
  <si>
    <t>RF9321094</t>
  </si>
  <si>
    <t>P00410</t>
  </si>
  <si>
    <t>RX525187</t>
  </si>
  <si>
    <t>RF3734584</t>
  </si>
  <si>
    <t>RF3700929</t>
  </si>
  <si>
    <t>P00411</t>
  </si>
  <si>
    <t>RX640310</t>
  </si>
  <si>
    <t>RF4094597</t>
  </si>
  <si>
    <t>RF7189166</t>
  </si>
  <si>
    <t>RF3308585</t>
  </si>
  <si>
    <t>P00412</t>
  </si>
  <si>
    <t>RX190951</t>
  </si>
  <si>
    <t>RF2894974</t>
  </si>
  <si>
    <t>RF9719097</t>
  </si>
  <si>
    <t>RF7669122</t>
  </si>
  <si>
    <t>RF6132772</t>
  </si>
  <si>
    <t>P00413</t>
  </si>
  <si>
    <t>RX801765</t>
  </si>
  <si>
    <t>RF2055563</t>
  </si>
  <si>
    <t>RF9189786</t>
  </si>
  <si>
    <t>RF2354528</t>
  </si>
  <si>
    <t>P00414</t>
  </si>
  <si>
    <t>RX293757</t>
  </si>
  <si>
    <t>RF6045759</t>
  </si>
  <si>
    <t>RF7206536</t>
  </si>
  <si>
    <t>RF6130050</t>
  </si>
  <si>
    <t>RF9287761</t>
  </si>
  <si>
    <t>RF6117173</t>
  </si>
  <si>
    <t>RF8411097</t>
  </si>
  <si>
    <t>P00415</t>
  </si>
  <si>
    <t>RX600646</t>
  </si>
  <si>
    <t>RF5337655</t>
  </si>
  <si>
    <t>RF8292876</t>
  </si>
  <si>
    <t>P00416</t>
  </si>
  <si>
    <t>RX360096</t>
  </si>
  <si>
    <t>RF3075805</t>
  </si>
  <si>
    <t>RF6410188</t>
  </si>
  <si>
    <t>RF5549856</t>
  </si>
  <si>
    <t>RF9882392</t>
  </si>
  <si>
    <t>P00417</t>
  </si>
  <si>
    <t>RX373453</t>
  </si>
  <si>
    <t>RF2273155</t>
  </si>
  <si>
    <t>RF4913270</t>
  </si>
  <si>
    <t>RF9217559</t>
  </si>
  <si>
    <t>RF8508754</t>
  </si>
  <si>
    <t>RF5835238</t>
  </si>
  <si>
    <t>RF7857299</t>
  </si>
  <si>
    <t>RF5859351</t>
  </si>
  <si>
    <t>P00418</t>
  </si>
  <si>
    <t>RX346961</t>
  </si>
  <si>
    <t>RF7781517</t>
  </si>
  <si>
    <t>RF2099153</t>
  </si>
  <si>
    <t>RF3767919</t>
  </si>
  <si>
    <t>RF6873850</t>
  </si>
  <si>
    <t>P00419</t>
  </si>
  <si>
    <t>RX890371</t>
  </si>
  <si>
    <t>RF4729956</t>
  </si>
  <si>
    <t>P00420</t>
  </si>
  <si>
    <t>RX445637</t>
  </si>
  <si>
    <t>RF9229654</t>
  </si>
  <si>
    <t>RF3569948</t>
  </si>
  <si>
    <t>P00421</t>
  </si>
  <si>
    <t>RX710754</t>
  </si>
  <si>
    <t>RF4204937</t>
  </si>
  <si>
    <t>RF4259960</t>
  </si>
  <si>
    <t>RF7142921</t>
  </si>
  <si>
    <t>RF5069594</t>
  </si>
  <si>
    <t>P00422</t>
  </si>
  <si>
    <t>RX111991</t>
  </si>
  <si>
    <t>RF6183986</t>
  </si>
  <si>
    <t>RF3766074</t>
  </si>
  <si>
    <t>P00423</t>
  </si>
  <si>
    <t>RX785436</t>
  </si>
  <si>
    <t>RF7878003</t>
  </si>
  <si>
    <t>RF5123159</t>
  </si>
  <si>
    <t>RF9166606</t>
  </si>
  <si>
    <t>RF4345702</t>
  </si>
  <si>
    <t>P00424</t>
  </si>
  <si>
    <t>RX826420</t>
  </si>
  <si>
    <t>RF3509020</t>
  </si>
  <si>
    <t>RF3100075</t>
  </si>
  <si>
    <t>RF7754685</t>
  </si>
  <si>
    <t>RF8829926</t>
  </si>
  <si>
    <t>RF8046638</t>
  </si>
  <si>
    <t>RF8745175</t>
  </si>
  <si>
    <t>RF6658529</t>
  </si>
  <si>
    <t>P00425</t>
  </si>
  <si>
    <t>RX165142</t>
  </si>
  <si>
    <t>RF9183238</t>
  </si>
  <si>
    <t>RF3644697</t>
  </si>
  <si>
    <t>RF8711200</t>
  </si>
  <si>
    <t>RF3254500</t>
  </si>
  <si>
    <t>RF8758436</t>
  </si>
  <si>
    <t>P00426</t>
  </si>
  <si>
    <t>RX223967</t>
  </si>
  <si>
    <t>RF3481489</t>
  </si>
  <si>
    <t>P00427</t>
  </si>
  <si>
    <t>RX421709</t>
  </si>
  <si>
    <t>RF6190930</t>
  </si>
  <si>
    <t>RF9493295</t>
  </si>
  <si>
    <t>RF7290292</t>
  </si>
  <si>
    <t>P00428</t>
  </si>
  <si>
    <t>RX525110</t>
  </si>
  <si>
    <t>RF6479370</t>
  </si>
  <si>
    <t>RF4648512</t>
  </si>
  <si>
    <t>RF6082066</t>
  </si>
  <si>
    <t>RF4105322</t>
  </si>
  <si>
    <t>RF9201636</t>
  </si>
  <si>
    <t>RF2400214</t>
  </si>
  <si>
    <t>RF2830260</t>
  </si>
  <si>
    <t>P00429</t>
  </si>
  <si>
    <t>RX626930</t>
  </si>
  <si>
    <t>RF3370211</t>
  </si>
  <si>
    <t>P00430</t>
  </si>
  <si>
    <t>RX907236</t>
  </si>
  <si>
    <t>RF3807470</t>
  </si>
  <si>
    <t>P00431</t>
  </si>
  <si>
    <t>RX823821</t>
  </si>
  <si>
    <t>RF4133136</t>
  </si>
  <si>
    <t>RF9037804</t>
  </si>
  <si>
    <t>RF2807838</t>
  </si>
  <si>
    <t>RF8246100</t>
  </si>
  <si>
    <t>RF4179101</t>
  </si>
  <si>
    <t>RF5022470</t>
  </si>
  <si>
    <t>RF6676577</t>
  </si>
  <si>
    <t>RF4161868</t>
  </si>
  <si>
    <t>P00432</t>
  </si>
  <si>
    <t>RX769737</t>
  </si>
  <si>
    <t>RF2166390</t>
  </si>
  <si>
    <t>RF3017013</t>
  </si>
  <si>
    <t>RF9276015</t>
  </si>
  <si>
    <t>RF7079939</t>
  </si>
  <si>
    <t>RF6839000</t>
  </si>
  <si>
    <t>RF7451466</t>
  </si>
  <si>
    <t>P00433</t>
  </si>
  <si>
    <t>RX485397</t>
  </si>
  <si>
    <t>RF6516747</t>
  </si>
  <si>
    <t>RF8545707</t>
  </si>
  <si>
    <t>RF4978870</t>
  </si>
  <si>
    <t>RF7647150</t>
  </si>
  <si>
    <t>RF6089393</t>
  </si>
  <si>
    <t>RF8178429</t>
  </si>
  <si>
    <t>RF9462777</t>
  </si>
  <si>
    <t>RF5196655</t>
  </si>
  <si>
    <t>P00434</t>
  </si>
  <si>
    <t>RX331577</t>
  </si>
  <si>
    <t>RF4403533</t>
  </si>
  <si>
    <t>P00435</t>
  </si>
  <si>
    <t>RX240057</t>
  </si>
  <si>
    <t>RF7299185</t>
  </si>
  <si>
    <t>RF9283473</t>
  </si>
  <si>
    <t>RF7373579</t>
  </si>
  <si>
    <t>P00436</t>
  </si>
  <si>
    <t>RX260626</t>
  </si>
  <si>
    <t>RF9789381</t>
  </si>
  <si>
    <t>RF5538453</t>
  </si>
  <si>
    <t>RF7136429</t>
  </si>
  <si>
    <t>P00437</t>
  </si>
  <si>
    <t>RX884056</t>
  </si>
  <si>
    <t>RF5395479</t>
  </si>
  <si>
    <t>RF9609080</t>
  </si>
  <si>
    <t>RF2663638</t>
  </si>
  <si>
    <t>P00438</t>
  </si>
  <si>
    <t>RX491774</t>
  </si>
  <si>
    <t>RF4882539</t>
  </si>
  <si>
    <t>P00439</t>
  </si>
  <si>
    <t>RX836038</t>
  </si>
  <si>
    <t>RF4629678</t>
  </si>
  <si>
    <t>RF7477870</t>
  </si>
  <si>
    <t>RF7959548</t>
  </si>
  <si>
    <t>P00440</t>
  </si>
  <si>
    <t>RX593699</t>
  </si>
  <si>
    <t>RF7078337</t>
  </si>
  <si>
    <t>P00441</t>
  </si>
  <si>
    <t>RX940952</t>
  </si>
  <si>
    <t>RF5317319</t>
  </si>
  <si>
    <t>RF9446498</t>
  </si>
  <si>
    <t>P00442</t>
  </si>
  <si>
    <t>RX965708</t>
  </si>
  <si>
    <t>RF8551285</t>
  </si>
  <si>
    <t>P00443</t>
  </si>
  <si>
    <t>RX898867</t>
  </si>
  <si>
    <t>RF9874972</t>
  </si>
  <si>
    <t>RF8273802</t>
  </si>
  <si>
    <t>RF6369925</t>
  </si>
  <si>
    <t>RF5472791</t>
  </si>
  <si>
    <t>RF3542549</t>
  </si>
  <si>
    <t>RF2193786</t>
  </si>
  <si>
    <t>P00444</t>
  </si>
  <si>
    <t>RX813390</t>
  </si>
  <si>
    <t>RF8104997</t>
  </si>
  <si>
    <t>RF7553447</t>
  </si>
  <si>
    <t>RF9888960</t>
  </si>
  <si>
    <t>RF7877871</t>
  </si>
  <si>
    <t>RF2671631</t>
  </si>
  <si>
    <t>RF3400146</t>
  </si>
  <si>
    <t>P00445</t>
  </si>
  <si>
    <t>RX925618</t>
  </si>
  <si>
    <t>RF2864104</t>
  </si>
  <si>
    <t>RF2535129</t>
  </si>
  <si>
    <t>P00446</t>
  </si>
  <si>
    <t>RX651033</t>
  </si>
  <si>
    <t>RF6600595</t>
  </si>
  <si>
    <t>RF2221164</t>
  </si>
  <si>
    <t>RF5330382</t>
  </si>
  <si>
    <t>RF8417254</t>
  </si>
  <si>
    <t>RF2871814</t>
  </si>
  <si>
    <t>RF7185016</t>
  </si>
  <si>
    <t>P00447</t>
  </si>
  <si>
    <t>RX653829</t>
  </si>
  <si>
    <t>RF2707254</t>
  </si>
  <si>
    <t>RF9814739</t>
  </si>
  <si>
    <t>RF4595189</t>
  </si>
  <si>
    <t>RF4075312</t>
  </si>
  <si>
    <t>RF4383835</t>
  </si>
  <si>
    <t>P00448</t>
  </si>
  <si>
    <t>RX479358</t>
  </si>
  <si>
    <t>RF7255300</t>
  </si>
  <si>
    <t>P00449</t>
  </si>
  <si>
    <t>RX691573</t>
  </si>
  <si>
    <t>RF3101232</t>
  </si>
  <si>
    <t>RF9033996</t>
  </si>
  <si>
    <t>RF2239673</t>
  </si>
  <si>
    <t>P00450</t>
  </si>
  <si>
    <t>RX164758</t>
  </si>
  <si>
    <t>RF7566253</t>
  </si>
  <si>
    <t>RF9217296</t>
  </si>
  <si>
    <t>RF9249780</t>
  </si>
  <si>
    <t>RF5919102</t>
  </si>
  <si>
    <t>RF6534748</t>
  </si>
  <si>
    <t>RF6601531</t>
  </si>
  <si>
    <t>P00451</t>
  </si>
  <si>
    <t>RX630041</t>
  </si>
  <si>
    <t>RF3133425</t>
  </si>
  <si>
    <t>RF6523872</t>
  </si>
  <si>
    <t>P00452</t>
  </si>
  <si>
    <t>RX700521</t>
  </si>
  <si>
    <t>RF6956249</t>
  </si>
  <si>
    <t>RF5829763</t>
  </si>
  <si>
    <t>RF8282325</t>
  </si>
  <si>
    <t>RF9359273</t>
  </si>
  <si>
    <t>RF5648854</t>
  </si>
  <si>
    <t>P00453</t>
  </si>
  <si>
    <t>RX257131</t>
  </si>
  <si>
    <t>RF7366918</t>
  </si>
  <si>
    <t>RF6477705</t>
  </si>
  <si>
    <t>P00454</t>
  </si>
  <si>
    <t>RX444056</t>
  </si>
  <si>
    <t>RF9624600</t>
  </si>
  <si>
    <t>RF6040387</t>
  </si>
  <si>
    <t>RF3905291</t>
  </si>
  <si>
    <t>RF2751233</t>
  </si>
  <si>
    <t>RF4582585</t>
  </si>
  <si>
    <t>P00455</t>
  </si>
  <si>
    <t>RX563303</t>
  </si>
  <si>
    <t>RF4179419</t>
  </si>
  <si>
    <t>RF4546554</t>
  </si>
  <si>
    <t>P00456</t>
  </si>
  <si>
    <t>RX813341</t>
  </si>
  <si>
    <t>RF2000774</t>
  </si>
  <si>
    <t>RF8839901</t>
  </si>
  <si>
    <t>RF9113090</t>
  </si>
  <si>
    <t>RF4884715</t>
  </si>
  <si>
    <t>RF5935917</t>
  </si>
  <si>
    <t>RF2069768</t>
  </si>
  <si>
    <t>P00457</t>
  </si>
  <si>
    <t>RX851742</t>
  </si>
  <si>
    <t>RF9735038</t>
  </si>
  <si>
    <t>RF9943655</t>
  </si>
  <si>
    <t>RF6001928</t>
  </si>
  <si>
    <t>RF2076609</t>
  </si>
  <si>
    <t>RF5610753</t>
  </si>
  <si>
    <t>P00458</t>
  </si>
  <si>
    <t>RX612573</t>
  </si>
  <si>
    <t>RF4457212</t>
  </si>
  <si>
    <t>RF3939575</t>
  </si>
  <si>
    <t>P00459</t>
  </si>
  <si>
    <t>RX635167</t>
  </si>
  <si>
    <t>RF6598737</t>
  </si>
  <si>
    <t>P00460</t>
  </si>
  <si>
    <t>RX947975</t>
  </si>
  <si>
    <t>RF5453890</t>
  </si>
  <si>
    <t>RF5311420</t>
  </si>
  <si>
    <t>RF3369603</t>
  </si>
  <si>
    <t>P00461</t>
  </si>
  <si>
    <t>RX575458</t>
  </si>
  <si>
    <t>RF8183392</t>
  </si>
  <si>
    <t>RF5269235</t>
  </si>
  <si>
    <t>RF5173897</t>
  </si>
  <si>
    <t>RF4206038</t>
  </si>
  <si>
    <t>RF5542000</t>
  </si>
  <si>
    <t>RF4009590</t>
  </si>
  <si>
    <t>P00462</t>
  </si>
  <si>
    <t>RX638179</t>
  </si>
  <si>
    <t>RF8413412</t>
  </si>
  <si>
    <t>RF9633250</t>
  </si>
  <si>
    <t>RF8774429</t>
  </si>
  <si>
    <t>RF7743179</t>
  </si>
  <si>
    <t>RF4388042</t>
  </si>
  <si>
    <t>RF8232122</t>
  </si>
  <si>
    <t>P00463</t>
  </si>
  <si>
    <t>RX578987</t>
  </si>
  <si>
    <t>RF8784778</t>
  </si>
  <si>
    <t>RF5463688</t>
  </si>
  <si>
    <t>RF9159526</t>
  </si>
  <si>
    <t>RF3530142</t>
  </si>
  <si>
    <t>P00464</t>
  </si>
  <si>
    <t>RX160541</t>
  </si>
  <si>
    <t>RF4429301</t>
  </si>
  <si>
    <t>P00465</t>
  </si>
  <si>
    <t>RX584838</t>
  </si>
  <si>
    <t>RF7342643</t>
  </si>
  <si>
    <t>RF7181889</t>
  </si>
  <si>
    <t>P00466</t>
  </si>
  <si>
    <t>RX946112</t>
  </si>
  <si>
    <t>RF4282826</t>
  </si>
  <si>
    <t>P00467</t>
  </si>
  <si>
    <t>RX858414</t>
  </si>
  <si>
    <t>RF7224037</t>
  </si>
  <si>
    <t>RF3575292</t>
  </si>
  <si>
    <t>RF2162700</t>
  </si>
  <si>
    <t>RF2416343</t>
  </si>
  <si>
    <t>P00468</t>
  </si>
  <si>
    <t>RX515182</t>
  </si>
  <si>
    <t>RF2185647</t>
  </si>
  <si>
    <t>RF2857932</t>
  </si>
  <si>
    <t>RF4258172</t>
  </si>
  <si>
    <t>RF7999498</t>
  </si>
  <si>
    <t>RF8099416</t>
  </si>
  <si>
    <t>RF3952956</t>
  </si>
  <si>
    <t>RF3264026</t>
  </si>
  <si>
    <t>P00469</t>
  </si>
  <si>
    <t>RX956113</t>
  </si>
  <si>
    <t>RF6140445</t>
  </si>
  <si>
    <t>RF4868172</t>
  </si>
  <si>
    <t>RF4613694</t>
  </si>
  <si>
    <t>RF8706376</t>
  </si>
  <si>
    <t>RF5115504</t>
  </si>
  <si>
    <t>P00470</t>
  </si>
  <si>
    <t>RX882032</t>
  </si>
  <si>
    <t>RF8638951</t>
  </si>
  <si>
    <t>RF4770326</t>
  </si>
  <si>
    <t>P00471</t>
  </si>
  <si>
    <t>RX706403</t>
  </si>
  <si>
    <t>RF9076179</t>
  </si>
  <si>
    <t>RF9982968</t>
  </si>
  <si>
    <t>RF2470083</t>
  </si>
  <si>
    <t>RF8506648</t>
  </si>
  <si>
    <t>RF2598818</t>
  </si>
  <si>
    <t>P00472</t>
  </si>
  <si>
    <t>RX147489</t>
  </si>
  <si>
    <t>RF5943877</t>
  </si>
  <si>
    <t>RF3612225</t>
  </si>
  <si>
    <t>RF4097818</t>
  </si>
  <si>
    <t>RF5200903</t>
  </si>
  <si>
    <t>RF2105826</t>
  </si>
  <si>
    <t>RF8443672</t>
  </si>
  <si>
    <t>RF4088447</t>
  </si>
  <si>
    <t>RF8469506</t>
  </si>
  <si>
    <t>RF4073346</t>
  </si>
  <si>
    <t>RF2281104</t>
  </si>
  <si>
    <t>RF5865761</t>
  </si>
  <si>
    <t>RF8467582</t>
  </si>
  <si>
    <t>P00473</t>
  </si>
  <si>
    <t>RX461264</t>
  </si>
  <si>
    <t>RF6371631</t>
  </si>
  <si>
    <t>RF3748581</t>
  </si>
  <si>
    <t>RF5264199</t>
  </si>
  <si>
    <t>P00474</t>
  </si>
  <si>
    <t>RX166857</t>
  </si>
  <si>
    <t>RF4618163</t>
  </si>
  <si>
    <t>P00475</t>
  </si>
  <si>
    <t>RX163182</t>
  </si>
  <si>
    <t>RF3330529</t>
  </si>
  <si>
    <t>RF8108895</t>
  </si>
  <si>
    <t>P00476</t>
  </si>
  <si>
    <t>RX595002</t>
  </si>
  <si>
    <t>RF8247202</t>
  </si>
  <si>
    <t>RF6369846</t>
  </si>
  <si>
    <t>RF4124941</t>
  </si>
  <si>
    <t>RF7356294</t>
  </si>
  <si>
    <t>RF3667014</t>
  </si>
  <si>
    <t>RF9445053</t>
  </si>
  <si>
    <t>RF9244885</t>
  </si>
  <si>
    <t>P00477</t>
  </si>
  <si>
    <t>RX401036</t>
  </si>
  <si>
    <t>RF2947312</t>
  </si>
  <si>
    <t>RF7309225</t>
  </si>
  <si>
    <t>P00478</t>
  </si>
  <si>
    <t>RX288724</t>
  </si>
  <si>
    <t>RF4722216</t>
  </si>
  <si>
    <t>RF3403920</t>
  </si>
  <si>
    <t>RF4316095</t>
  </si>
  <si>
    <t>P00479</t>
  </si>
  <si>
    <t>RX903028</t>
  </si>
  <si>
    <t>RF5320280</t>
  </si>
  <si>
    <t>RF2074909</t>
  </si>
  <si>
    <t>P00480</t>
  </si>
  <si>
    <t>RX864715</t>
  </si>
  <si>
    <t>RF6874427</t>
  </si>
  <si>
    <t>P00481</t>
  </si>
  <si>
    <t>RX540781</t>
  </si>
  <si>
    <t>RF7794442</t>
  </si>
  <si>
    <t>P00482</t>
  </si>
  <si>
    <t>RX501058</t>
  </si>
  <si>
    <t>RF7001391</t>
  </si>
  <si>
    <t>RF5115517</t>
  </si>
  <si>
    <t>P00483</t>
  </si>
  <si>
    <t>RX495833</t>
  </si>
  <si>
    <t>RF4086433</t>
  </si>
  <si>
    <t>P00484</t>
  </si>
  <si>
    <t>RX184148</t>
  </si>
  <si>
    <t>RF6193626</t>
  </si>
  <si>
    <t>RF7754120</t>
  </si>
  <si>
    <t>RF4838890</t>
  </si>
  <si>
    <t>RF7243990</t>
  </si>
  <si>
    <t>P00485</t>
  </si>
  <si>
    <t>RX793939</t>
  </si>
  <si>
    <t>RF2501430</t>
  </si>
  <si>
    <t>P00486</t>
  </si>
  <si>
    <t>RX239449</t>
  </si>
  <si>
    <t>RF3291161</t>
  </si>
  <si>
    <t>RF8639300</t>
  </si>
  <si>
    <t>RF3055517</t>
  </si>
  <si>
    <t>P00487</t>
  </si>
  <si>
    <t>RX464663</t>
  </si>
  <si>
    <t>RF3951816</t>
  </si>
  <si>
    <t>P00488</t>
  </si>
  <si>
    <t>RX287143</t>
  </si>
  <si>
    <t>RF6683782</t>
  </si>
  <si>
    <t>RF7407682</t>
  </si>
  <si>
    <t>RF4913512</t>
  </si>
  <si>
    <t>RF9480926</t>
  </si>
  <si>
    <t>RF8150433</t>
  </si>
  <si>
    <t>RF2179120</t>
  </si>
  <si>
    <t>P00489</t>
  </si>
  <si>
    <t>RX512151</t>
  </si>
  <si>
    <t>RF5168955</t>
  </si>
  <si>
    <t>RF8076700</t>
  </si>
  <si>
    <t>P00490</t>
  </si>
  <si>
    <t>RX233533</t>
  </si>
  <si>
    <t>RF4102992</t>
  </si>
  <si>
    <t>RF6071009</t>
  </si>
  <si>
    <t>RF5670016</t>
  </si>
  <si>
    <t>RF4472245</t>
  </si>
  <si>
    <t>P00491</t>
  </si>
  <si>
    <t>RX975373</t>
  </si>
  <si>
    <t>RF7847176</t>
  </si>
  <si>
    <t>RF3591955</t>
  </si>
  <si>
    <t>RF3565538</t>
  </si>
  <si>
    <t>RF4916422</t>
  </si>
  <si>
    <t>RF8143836</t>
  </si>
  <si>
    <t>P00492</t>
  </si>
  <si>
    <t>RX892911</t>
  </si>
  <si>
    <t>RF9278475</t>
  </si>
  <si>
    <t>RF6651653</t>
  </si>
  <si>
    <t>RF2577778</t>
  </si>
  <si>
    <t>P00493</t>
  </si>
  <si>
    <t>RX412856</t>
  </si>
  <si>
    <t>RF3300447</t>
  </si>
  <si>
    <t>RF4480282</t>
  </si>
  <si>
    <t>RF4209133</t>
  </si>
  <si>
    <t>RF5079564</t>
  </si>
  <si>
    <t>RF2006038</t>
  </si>
  <si>
    <t>RF7352150</t>
  </si>
  <si>
    <t>RF5179647</t>
  </si>
  <si>
    <t>P00494</t>
  </si>
  <si>
    <t>RX806215</t>
  </si>
  <si>
    <t>RF3556374</t>
  </si>
  <si>
    <t>RF7198710</t>
  </si>
  <si>
    <t>RF5054084</t>
  </si>
  <si>
    <t>P00495</t>
  </si>
  <si>
    <t>RX544730</t>
  </si>
  <si>
    <t>RF7202592</t>
  </si>
  <si>
    <t>P00496</t>
  </si>
  <si>
    <t>RX497700</t>
  </si>
  <si>
    <t>RF4690177</t>
  </si>
  <si>
    <t>RF2531349</t>
  </si>
  <si>
    <t>P00497</t>
  </si>
  <si>
    <t>RX359535</t>
  </si>
  <si>
    <t>RF6521094</t>
  </si>
  <si>
    <t>RF5250508</t>
  </si>
  <si>
    <t>RF6396215</t>
  </si>
  <si>
    <t>RF6173744</t>
  </si>
  <si>
    <t>RF6626047</t>
  </si>
  <si>
    <t>P00498</t>
  </si>
  <si>
    <t>RX462974</t>
  </si>
  <si>
    <t>RF7142545</t>
  </si>
  <si>
    <t>RF4706165</t>
  </si>
  <si>
    <t>RF7376291</t>
  </si>
  <si>
    <t>P00499</t>
  </si>
  <si>
    <t>RX389039</t>
  </si>
  <si>
    <t>RF2807456</t>
  </si>
  <si>
    <t>RF2559351</t>
  </si>
  <si>
    <t>RF9006109</t>
  </si>
  <si>
    <t>P00500</t>
  </si>
  <si>
    <t>RX860242</t>
  </si>
  <si>
    <t>RF3498530</t>
  </si>
  <si>
    <t>RF2262343</t>
  </si>
  <si>
    <t>RF2898043</t>
  </si>
  <si>
    <t>RF3607396</t>
  </si>
  <si>
    <t>RF2266901</t>
  </si>
  <si>
    <t>P00501</t>
  </si>
  <si>
    <t>RX133782</t>
  </si>
  <si>
    <t>RF7383403</t>
  </si>
  <si>
    <t>RF5259803</t>
  </si>
  <si>
    <t>RF6109659</t>
  </si>
  <si>
    <t>RF7234243</t>
  </si>
  <si>
    <t>RF6951802</t>
  </si>
  <si>
    <t>RF2411760</t>
  </si>
  <si>
    <t>RF3851556</t>
  </si>
  <si>
    <t>RF8021721</t>
  </si>
  <si>
    <t>P00502</t>
  </si>
  <si>
    <t>RX539605</t>
  </si>
  <si>
    <t>RF2109774</t>
  </si>
  <si>
    <t>P00503</t>
  </si>
  <si>
    <t>RX903265</t>
  </si>
  <si>
    <t>RF7500824</t>
  </si>
  <si>
    <t>RF9788014</t>
  </si>
  <si>
    <t>P00504</t>
  </si>
  <si>
    <t>RX352356</t>
  </si>
  <si>
    <t>RF2670726</t>
  </si>
  <si>
    <t>RF8719442</t>
  </si>
  <si>
    <t>RF2509190</t>
  </si>
  <si>
    <t>RF6681010</t>
  </si>
  <si>
    <t>RF9870559</t>
  </si>
  <si>
    <t>RF8895658</t>
  </si>
  <si>
    <t>RF8662648</t>
  </si>
  <si>
    <t>P00505</t>
  </si>
  <si>
    <t>RX170559</t>
  </si>
  <si>
    <t>RF2489056</t>
  </si>
  <si>
    <t>RF7175211</t>
  </si>
  <si>
    <t>RF6437748</t>
  </si>
  <si>
    <t>RF8159757</t>
  </si>
  <si>
    <t>RF8999928</t>
  </si>
  <si>
    <t>P00506</t>
  </si>
  <si>
    <t>RX722795</t>
  </si>
  <si>
    <t>RF2653769</t>
  </si>
  <si>
    <t>RF6357758</t>
  </si>
  <si>
    <t>RF2849137</t>
  </si>
  <si>
    <t>RF3937919</t>
  </si>
  <si>
    <t>RF5232391</t>
  </si>
  <si>
    <t>RF3620003</t>
  </si>
  <si>
    <t>P00507</t>
  </si>
  <si>
    <t>RX568127</t>
  </si>
  <si>
    <t>RF7510279</t>
  </si>
  <si>
    <t>RF6781738</t>
  </si>
  <si>
    <t>RF9948234</t>
  </si>
  <si>
    <t>RF6684395</t>
  </si>
  <si>
    <t>RF6682031</t>
  </si>
  <si>
    <t>RF8258810</t>
  </si>
  <si>
    <t>P00508</t>
  </si>
  <si>
    <t>RX804667</t>
  </si>
  <si>
    <t>RF8428051</t>
  </si>
  <si>
    <t>RF6836566</t>
  </si>
  <si>
    <t>P00509</t>
  </si>
  <si>
    <t>RX151040</t>
  </si>
  <si>
    <t>RF7658053</t>
  </si>
  <si>
    <t>P00510</t>
  </si>
  <si>
    <t>RX876513</t>
  </si>
  <si>
    <t>RF7580457</t>
  </si>
  <si>
    <t>RF9405664</t>
  </si>
  <si>
    <t>P00511</t>
  </si>
  <si>
    <t>RX521805</t>
  </si>
  <si>
    <t>RF3399297</t>
  </si>
  <si>
    <t>P00512</t>
  </si>
  <si>
    <t>RX345722</t>
  </si>
  <si>
    <t>RF3513275</t>
  </si>
  <si>
    <t>RF5368505</t>
  </si>
  <si>
    <t>RF4831263</t>
  </si>
  <si>
    <t>P00513</t>
  </si>
  <si>
    <t>RX327823</t>
  </si>
  <si>
    <t>RF3326880</t>
  </si>
  <si>
    <t>RF7032457</t>
  </si>
  <si>
    <t>RF9830933</t>
  </si>
  <si>
    <t>RF9570592</t>
  </si>
  <si>
    <t>P00514</t>
  </si>
  <si>
    <t>RX246942</t>
  </si>
  <si>
    <t>RF6614416</t>
  </si>
  <si>
    <t>RF9087149</t>
  </si>
  <si>
    <t>RF5458986</t>
  </si>
  <si>
    <t>RF7312009</t>
  </si>
  <si>
    <t>RF8930290</t>
  </si>
  <si>
    <t>RF4713302</t>
  </si>
  <si>
    <t>RF4019327</t>
  </si>
  <si>
    <t>RF6577044</t>
  </si>
  <si>
    <t>P00515</t>
  </si>
  <si>
    <t>RX403314</t>
  </si>
  <si>
    <t>RF5146257</t>
  </si>
  <si>
    <t>P00516</t>
  </si>
  <si>
    <t>RX955413</t>
  </si>
  <si>
    <t>RF6615736</t>
  </si>
  <si>
    <t>RF4131454</t>
  </si>
  <si>
    <t>RF5795035</t>
  </si>
  <si>
    <t>RF5331037</t>
  </si>
  <si>
    <t>RF8092757</t>
  </si>
  <si>
    <t>P00517</t>
  </si>
  <si>
    <t>RX434394</t>
  </si>
  <si>
    <t>RF4386409</t>
  </si>
  <si>
    <t>RF2136754</t>
  </si>
  <si>
    <t>P00518</t>
  </si>
  <si>
    <t>RX726962</t>
  </si>
  <si>
    <t>RF3133181</t>
  </si>
  <si>
    <t>RF2055103</t>
  </si>
  <si>
    <t>RF3861320</t>
  </si>
  <si>
    <t>P00519</t>
  </si>
  <si>
    <t>RX958136</t>
  </si>
  <si>
    <t>RF9178303</t>
  </si>
  <si>
    <t>P00520</t>
  </si>
  <si>
    <t>RX348411</t>
  </si>
  <si>
    <t>RF2182044</t>
  </si>
  <si>
    <t>RF8894931</t>
  </si>
  <si>
    <t>RF8898266</t>
  </si>
  <si>
    <t>RF9710070</t>
  </si>
  <si>
    <t>P00521</t>
  </si>
  <si>
    <t>RX250219</t>
  </si>
  <si>
    <t>RF6288856</t>
  </si>
  <si>
    <t>RF6787111</t>
  </si>
  <si>
    <t>RF3297841</t>
  </si>
  <si>
    <t>RF2316555</t>
  </si>
  <si>
    <t>P00522</t>
  </si>
  <si>
    <t>RX646571</t>
  </si>
  <si>
    <t>RF4983456</t>
  </si>
  <si>
    <t>P00523</t>
  </si>
  <si>
    <t>RX533649</t>
  </si>
  <si>
    <t>RF3161052</t>
  </si>
  <si>
    <t>RF5079314</t>
  </si>
  <si>
    <t>RF4095951</t>
  </si>
  <si>
    <t>RF4149529</t>
  </si>
  <si>
    <t>RF4519119</t>
  </si>
  <si>
    <t>P00524</t>
  </si>
  <si>
    <t>RX388519</t>
  </si>
  <si>
    <t>RF6785593</t>
  </si>
  <si>
    <t>RF6773662</t>
  </si>
  <si>
    <t>RF8159469</t>
  </si>
  <si>
    <t>RF8069833</t>
  </si>
  <si>
    <t>RF8651362</t>
  </si>
  <si>
    <t>P00525</t>
  </si>
  <si>
    <t>RX683761</t>
  </si>
  <si>
    <t>RF3450411</t>
  </si>
  <si>
    <t>RF8926517</t>
  </si>
  <si>
    <t>RF7895915</t>
  </si>
  <si>
    <t>RF8874592</t>
  </si>
  <si>
    <t>RF6993161</t>
  </si>
  <si>
    <t>RF4519881</t>
  </si>
  <si>
    <t>P00526</t>
  </si>
  <si>
    <t>RX870925</t>
  </si>
  <si>
    <t>RF8130305</t>
  </si>
  <si>
    <t>RF6834218</t>
  </si>
  <si>
    <t>P00527</t>
  </si>
  <si>
    <t>RX756401</t>
  </si>
  <si>
    <t>RF2658316</t>
  </si>
  <si>
    <t>RF2469113</t>
  </si>
  <si>
    <t>RF4805063</t>
  </si>
  <si>
    <t>RF9380234</t>
  </si>
  <si>
    <t>RF5643209</t>
  </si>
  <si>
    <t>P00528</t>
  </si>
  <si>
    <t>RX547952</t>
  </si>
  <si>
    <t>RF9803469</t>
  </si>
  <si>
    <t>P00529</t>
  </si>
  <si>
    <t>RX619696</t>
  </si>
  <si>
    <t>RF3011167</t>
  </si>
  <si>
    <t>RF8462500</t>
  </si>
  <si>
    <t>P00530</t>
  </si>
  <si>
    <t>RX461145</t>
  </si>
  <si>
    <t>RF8271983</t>
  </si>
  <si>
    <t>RF9125939</t>
  </si>
  <si>
    <t>RF9790107</t>
  </si>
  <si>
    <t>RF7317430</t>
  </si>
  <si>
    <t>RF7303224</t>
  </si>
  <si>
    <t>RF2454058</t>
  </si>
  <si>
    <t>RF6398846</t>
  </si>
  <si>
    <t>P00531</t>
  </si>
  <si>
    <t>RX803953</t>
  </si>
  <si>
    <t>RF4678621</t>
  </si>
  <si>
    <t>P00532</t>
  </si>
  <si>
    <t>RX923975</t>
  </si>
  <si>
    <t>RF3254768</t>
  </si>
  <si>
    <t>RF6214450</t>
  </si>
  <si>
    <t>P00533</t>
  </si>
  <si>
    <t>RX434217</t>
  </si>
  <si>
    <t>RF3285113</t>
  </si>
  <si>
    <t>RF7650861</t>
  </si>
  <si>
    <t>P00534</t>
  </si>
  <si>
    <t>RX536548</t>
  </si>
  <si>
    <t>RF5295738</t>
  </si>
  <si>
    <t>P00535</t>
  </si>
  <si>
    <t>RX256466</t>
  </si>
  <si>
    <t>RF8315281</t>
  </si>
  <si>
    <t>RF6825587</t>
  </si>
  <si>
    <t>RF2755670</t>
  </si>
  <si>
    <t>RF5623339</t>
  </si>
  <si>
    <t>RF8596535</t>
  </si>
  <si>
    <t>RF3241618</t>
  </si>
  <si>
    <t>P00536</t>
  </si>
  <si>
    <t>RX494747</t>
  </si>
  <si>
    <t>RF4819983</t>
  </si>
  <si>
    <t>RF5991758</t>
  </si>
  <si>
    <t>RF8252155</t>
  </si>
  <si>
    <t>RF6598235</t>
  </si>
  <si>
    <t>RF4202495</t>
  </si>
  <si>
    <t>RF5343087</t>
  </si>
  <si>
    <t>P00537</t>
  </si>
  <si>
    <t>RX891062</t>
  </si>
  <si>
    <t>RF5644775</t>
  </si>
  <si>
    <t>RF7854162</t>
  </si>
  <si>
    <t>RF8392395</t>
  </si>
  <si>
    <t>RF6034270</t>
  </si>
  <si>
    <t>RF3661854</t>
  </si>
  <si>
    <t>P00538</t>
  </si>
  <si>
    <t>RX596520</t>
  </si>
  <si>
    <t>RF7471456</t>
  </si>
  <si>
    <t>RF6707415</t>
  </si>
  <si>
    <t>P00539</t>
  </si>
  <si>
    <t>RX990598</t>
  </si>
  <si>
    <t>RF8171228</t>
  </si>
  <si>
    <t>RF4065659</t>
  </si>
  <si>
    <t>RF2600993</t>
  </si>
  <si>
    <t>RF8516034</t>
  </si>
  <si>
    <t>RF4712973</t>
  </si>
  <si>
    <t>P00540</t>
  </si>
  <si>
    <t>RX415344</t>
  </si>
  <si>
    <t>RF9752232</t>
  </si>
  <si>
    <t>RF2751574</t>
  </si>
  <si>
    <t>RF7635026</t>
  </si>
  <si>
    <t>RF5552916</t>
  </si>
  <si>
    <t>RF4921818</t>
  </si>
  <si>
    <t>P00541</t>
  </si>
  <si>
    <t>RX251363</t>
  </si>
  <si>
    <t>RF4690548</t>
  </si>
  <si>
    <t>P00542</t>
  </si>
  <si>
    <t>RX160423</t>
  </si>
  <si>
    <t>RF6981802</t>
  </si>
  <si>
    <t>RF2203061</t>
  </si>
  <si>
    <t>RF4557005</t>
  </si>
  <si>
    <t>P00543</t>
  </si>
  <si>
    <t>RX532723</t>
  </si>
  <si>
    <t>RF4933633</t>
  </si>
  <si>
    <t>RF8891946</t>
  </si>
  <si>
    <t>P00544</t>
  </si>
  <si>
    <t>RX684357</t>
  </si>
  <si>
    <t>RF5709527</t>
  </si>
  <si>
    <t>RF3223214</t>
  </si>
  <si>
    <t>RF2376460</t>
  </si>
  <si>
    <t>P00545</t>
  </si>
  <si>
    <t>RX240606</t>
  </si>
  <si>
    <t>RF3958652</t>
  </si>
  <si>
    <t>RF7749209</t>
  </si>
  <si>
    <t>P00546</t>
  </si>
  <si>
    <t>RX354655</t>
  </si>
  <si>
    <t>RF3308549</t>
  </si>
  <si>
    <t>RF8110989</t>
  </si>
  <si>
    <t>RF2719863</t>
  </si>
  <si>
    <t>P00547</t>
  </si>
  <si>
    <t>RX313214</t>
  </si>
  <si>
    <t>RF8204060</t>
  </si>
  <si>
    <t>RF4038836</t>
  </si>
  <si>
    <t>RF9773972</t>
  </si>
  <si>
    <t>RF9287622</t>
  </si>
  <si>
    <t>RF8879782</t>
  </si>
  <si>
    <t>P00548</t>
  </si>
  <si>
    <t>RX778120</t>
  </si>
  <si>
    <t>RF4879568</t>
  </si>
  <si>
    <t>RF2933467</t>
  </si>
  <si>
    <t>RF5775390</t>
  </si>
  <si>
    <t>P00549</t>
  </si>
  <si>
    <t>RX571635</t>
  </si>
  <si>
    <t>RF2190825</t>
  </si>
  <si>
    <t>RF3753299</t>
  </si>
  <si>
    <t>RF6513116</t>
  </si>
  <si>
    <t>RF3709609</t>
  </si>
  <si>
    <t>RF6389472</t>
  </si>
  <si>
    <t>RF4169780</t>
  </si>
  <si>
    <t>P00550</t>
  </si>
  <si>
    <t>RX196955</t>
  </si>
  <si>
    <t>RF6051918</t>
  </si>
  <si>
    <t>RF8123042</t>
  </si>
  <si>
    <t>RF7830679</t>
  </si>
  <si>
    <t>RF7605776</t>
  </si>
  <si>
    <t>P00551</t>
  </si>
  <si>
    <t>RX859782</t>
  </si>
  <si>
    <t>RF5159205</t>
  </si>
  <si>
    <t>RF9600416</t>
  </si>
  <si>
    <t>P00552</t>
  </si>
  <si>
    <t>RX154040</t>
  </si>
  <si>
    <t>RF6419111</t>
  </si>
  <si>
    <t>RF4142923</t>
  </si>
  <si>
    <t>RF2504239</t>
  </si>
  <si>
    <t>RF3683560</t>
  </si>
  <si>
    <t>RF7842889</t>
  </si>
  <si>
    <t>P00553</t>
  </si>
  <si>
    <t>RX495489</t>
  </si>
  <si>
    <t>RF4275673</t>
  </si>
  <si>
    <t>RF5900374</t>
  </si>
  <si>
    <t>RF9928715</t>
  </si>
  <si>
    <t>RF2558662</t>
  </si>
  <si>
    <t>RF7539608</t>
  </si>
  <si>
    <t>RF7561493</t>
  </si>
  <si>
    <t>RF9657698</t>
  </si>
  <si>
    <t>RF5021737</t>
  </si>
  <si>
    <t>RF2905058</t>
  </si>
  <si>
    <t>P00554</t>
  </si>
  <si>
    <t>RX734356</t>
  </si>
  <si>
    <t>RF4453630</t>
  </si>
  <si>
    <t>P00555</t>
  </si>
  <si>
    <t>RX141468</t>
  </si>
  <si>
    <t>RF9410515</t>
  </si>
  <si>
    <t>P00556</t>
  </si>
  <si>
    <t>RX297303</t>
  </si>
  <si>
    <t>RF5242391</t>
  </si>
  <si>
    <t>RF5193553</t>
  </si>
  <si>
    <t>RF7953301</t>
  </si>
  <si>
    <t>RF9582228</t>
  </si>
  <si>
    <t>RF6065640</t>
  </si>
  <si>
    <t>RF7008891</t>
  </si>
  <si>
    <t>P00557</t>
  </si>
  <si>
    <t>RX859489</t>
  </si>
  <si>
    <t>RF2738370</t>
  </si>
  <si>
    <t>RF3668286</t>
  </si>
  <si>
    <t>P00558</t>
  </si>
  <si>
    <t>RX685997</t>
  </si>
  <si>
    <t>RF5841867</t>
  </si>
  <si>
    <t>P00559</t>
  </si>
  <si>
    <t>RX602681</t>
  </si>
  <si>
    <t>RF9770786</t>
  </si>
  <si>
    <t>RF2180258</t>
  </si>
  <si>
    <t>RF4075275</t>
  </si>
  <si>
    <t>RF4557917</t>
  </si>
  <si>
    <t>RF6109854</t>
  </si>
  <si>
    <t>P00560</t>
  </si>
  <si>
    <t>RX449138</t>
  </si>
  <si>
    <t>RF8244401</t>
  </si>
  <si>
    <t>RF2154117</t>
  </si>
  <si>
    <t>RF7740419</t>
  </si>
  <si>
    <t>RF4981127</t>
  </si>
  <si>
    <t>RF4536096</t>
  </si>
  <si>
    <t>P00561</t>
  </si>
  <si>
    <t>RX116078</t>
  </si>
  <si>
    <t>RF6204802</t>
  </si>
  <si>
    <t>RF8810650</t>
  </si>
  <si>
    <t>RF7249526</t>
  </si>
  <si>
    <t>RF9370879</t>
  </si>
  <si>
    <t>P00562</t>
  </si>
  <si>
    <t>RX299254</t>
  </si>
  <si>
    <t>RF9469234</t>
  </si>
  <si>
    <t>RF2247177</t>
  </si>
  <si>
    <t>RF9961765</t>
  </si>
  <si>
    <t>RF3892324</t>
  </si>
  <si>
    <t>RF4867110</t>
  </si>
  <si>
    <t>P00563</t>
  </si>
  <si>
    <t>RX883159</t>
  </si>
  <si>
    <t>RF7510743</t>
  </si>
  <si>
    <t>RF2736477</t>
  </si>
  <si>
    <t>RF5206185</t>
  </si>
  <si>
    <t>RF7687433</t>
  </si>
  <si>
    <t>RF9320750</t>
  </si>
  <si>
    <t>RF7758974</t>
  </si>
  <si>
    <t>P00564</t>
  </si>
  <si>
    <t>RX354377</t>
  </si>
  <si>
    <t>RF5500845</t>
  </si>
  <si>
    <t>RF6805821</t>
  </si>
  <si>
    <t>RF5577447</t>
  </si>
  <si>
    <t>RF9631413</t>
  </si>
  <si>
    <t>RF4762240</t>
  </si>
  <si>
    <t>P00565</t>
  </si>
  <si>
    <t>RX733760</t>
  </si>
  <si>
    <t>RF6548586</t>
  </si>
  <si>
    <t>P00566</t>
  </si>
  <si>
    <t>RX314447</t>
  </si>
  <si>
    <t>RF3734405</t>
  </si>
  <si>
    <t>P00567</t>
  </si>
  <si>
    <t>RX350956</t>
  </si>
  <si>
    <t>RF3162464</t>
  </si>
  <si>
    <t>RF6541205</t>
  </si>
  <si>
    <t>RF8711767</t>
  </si>
  <si>
    <t>P00568</t>
  </si>
  <si>
    <t>RX437237</t>
  </si>
  <si>
    <t>RF9235909</t>
  </si>
  <si>
    <t>RF4592066</t>
  </si>
  <si>
    <t>RF7915112</t>
  </si>
  <si>
    <t>P00569</t>
  </si>
  <si>
    <t>RX499152</t>
  </si>
  <si>
    <t>RF9629965</t>
  </si>
  <si>
    <t>RF5607640</t>
  </si>
  <si>
    <t>RF3217626</t>
  </si>
  <si>
    <t>RF9826822</t>
  </si>
  <si>
    <t>P00570</t>
  </si>
  <si>
    <t>RX659572</t>
  </si>
  <si>
    <t>RF9693294</t>
  </si>
  <si>
    <t>RF4663351</t>
  </si>
  <si>
    <t>RF6675309</t>
  </si>
  <si>
    <t>P00571</t>
  </si>
  <si>
    <t>RX476710</t>
  </si>
  <si>
    <t>RF9957446</t>
  </si>
  <si>
    <t>P00572</t>
  </si>
  <si>
    <t>RX374267</t>
  </si>
  <si>
    <t>RF2993104</t>
  </si>
  <si>
    <t>RF4664201</t>
  </si>
  <si>
    <t>RF9378939</t>
  </si>
  <si>
    <t>RF8099185</t>
  </si>
  <si>
    <t>P00573</t>
  </si>
  <si>
    <t>RX637727</t>
  </si>
  <si>
    <t>RF8420934</t>
  </si>
  <si>
    <t>RF9383081</t>
  </si>
  <si>
    <t>RF5449829</t>
  </si>
  <si>
    <t>RF5716190</t>
  </si>
  <si>
    <t>P00574</t>
  </si>
  <si>
    <t>RX588640</t>
  </si>
  <si>
    <t>RF9833018</t>
  </si>
  <si>
    <t>RF9500506</t>
  </si>
  <si>
    <t>P00575</t>
  </si>
  <si>
    <t>RX941814</t>
  </si>
  <si>
    <t>RF9828668</t>
  </si>
  <si>
    <t>RF4296768</t>
  </si>
  <si>
    <t>RF8535630</t>
  </si>
  <si>
    <t>RF2895663</t>
  </si>
  <si>
    <t>RF3549765</t>
  </si>
  <si>
    <t>RF8395873</t>
  </si>
  <si>
    <t>P00576</t>
  </si>
  <si>
    <t>RX898625</t>
  </si>
  <si>
    <t>RF7175322</t>
  </si>
  <si>
    <t>RF7080178</t>
  </si>
  <si>
    <t>RF7136864</t>
  </si>
  <si>
    <t>P00577</t>
  </si>
  <si>
    <t>RX312994</t>
  </si>
  <si>
    <t>RF7002636</t>
  </si>
  <si>
    <t>RF3937033</t>
  </si>
  <si>
    <t>RF2218812</t>
  </si>
  <si>
    <t>RF2666688</t>
  </si>
  <si>
    <t>RF8541656</t>
  </si>
  <si>
    <t>RF3124800</t>
  </si>
  <si>
    <t>RF9097921</t>
  </si>
  <si>
    <t>RF5932273</t>
  </si>
  <si>
    <t>P00578</t>
  </si>
  <si>
    <t>RX428122</t>
  </si>
  <si>
    <t>RF7448975</t>
  </si>
  <si>
    <t>RF3543306</t>
  </si>
  <si>
    <t>RF5250252</t>
  </si>
  <si>
    <t>P00579</t>
  </si>
  <si>
    <t>RX147936</t>
  </si>
  <si>
    <t>RF3153540</t>
  </si>
  <si>
    <t>RF3621180</t>
  </si>
  <si>
    <t>P00580</t>
  </si>
  <si>
    <t>RX332022</t>
  </si>
  <si>
    <t>RF2270361</t>
  </si>
  <si>
    <t>RF8413416</t>
  </si>
  <si>
    <t>P00581</t>
  </si>
  <si>
    <t>RX117007</t>
  </si>
  <si>
    <t>RF9763112</t>
  </si>
  <si>
    <t>P00582</t>
  </si>
  <si>
    <t>RX680189</t>
  </si>
  <si>
    <t>RF9970838</t>
  </si>
  <si>
    <t>RF3866920</t>
  </si>
  <si>
    <t>RF7631600</t>
  </si>
  <si>
    <t>RF8356690</t>
  </si>
  <si>
    <t>RF2554791</t>
  </si>
  <si>
    <t>P00583</t>
  </si>
  <si>
    <t>RX707275</t>
  </si>
  <si>
    <t>RF9777105</t>
  </si>
  <si>
    <t>P00584</t>
  </si>
  <si>
    <t>RX409531</t>
  </si>
  <si>
    <t>RF9274005</t>
  </si>
  <si>
    <t>RF6109938</t>
  </si>
  <si>
    <t>RF4725422</t>
  </si>
  <si>
    <t>P00585</t>
  </si>
  <si>
    <t>RX305721</t>
  </si>
  <si>
    <t>RF5838165</t>
  </si>
  <si>
    <t>RF5586597</t>
  </si>
  <si>
    <t>RF8511361</t>
  </si>
  <si>
    <t>RF7099686</t>
  </si>
  <si>
    <t>RF8914968</t>
  </si>
  <si>
    <t>RF8041483</t>
  </si>
  <si>
    <t>P00586</t>
  </si>
  <si>
    <t>RX341192</t>
  </si>
  <si>
    <t>RF5306375</t>
  </si>
  <si>
    <t>RF9878070</t>
  </si>
  <si>
    <t>RF6797733</t>
  </si>
  <si>
    <t>RF6497630</t>
  </si>
  <si>
    <t>P00587</t>
  </si>
  <si>
    <t>RX697467</t>
  </si>
  <si>
    <t>RF7380401</t>
  </si>
  <si>
    <t>RF8601162</t>
  </si>
  <si>
    <t>RF6367521</t>
  </si>
  <si>
    <t>P00588</t>
  </si>
  <si>
    <t>RX623555</t>
  </si>
  <si>
    <t>RF5788375</t>
  </si>
  <si>
    <t>P00589</t>
  </si>
  <si>
    <t>RX786406</t>
  </si>
  <si>
    <t>RF9363243</t>
  </si>
  <si>
    <t>RF9363351</t>
  </si>
  <si>
    <t>P00590</t>
  </si>
  <si>
    <t>RX453961</t>
  </si>
  <si>
    <t>RF6351193</t>
  </si>
  <si>
    <t>P00591</t>
  </si>
  <si>
    <t>RX900441</t>
  </si>
  <si>
    <t>RF5318627</t>
  </si>
  <si>
    <t>RF2329266</t>
  </si>
  <si>
    <t>RF5249728</t>
  </si>
  <si>
    <t>RF8418626</t>
  </si>
  <si>
    <t>RF2413520</t>
  </si>
  <si>
    <t>P00592</t>
  </si>
  <si>
    <t>RX858705</t>
  </si>
  <si>
    <t>RF4442589</t>
  </si>
  <si>
    <t>RF5339000</t>
  </si>
  <si>
    <t>RF8490073</t>
  </si>
  <si>
    <t>P00593</t>
  </si>
  <si>
    <t>RX875520</t>
  </si>
  <si>
    <t>RF4398425</t>
  </si>
  <si>
    <t>P00594</t>
  </si>
  <si>
    <t>RX583214</t>
  </si>
  <si>
    <t>RF3396590</t>
  </si>
  <si>
    <t>RF4469771</t>
  </si>
  <si>
    <t>RF9709406</t>
  </si>
  <si>
    <t>P00595</t>
  </si>
  <si>
    <t>RX868367</t>
  </si>
  <si>
    <t>RF7787744</t>
  </si>
  <si>
    <t>RF9580580</t>
  </si>
  <si>
    <t>RF5888782</t>
  </si>
  <si>
    <t>RF7419892</t>
  </si>
  <si>
    <t>RF2758672</t>
  </si>
  <si>
    <t>RF6199821</t>
  </si>
  <si>
    <t>P00596</t>
  </si>
  <si>
    <t>RX277487</t>
  </si>
  <si>
    <t>RF3508031</t>
  </si>
  <si>
    <t>RF6911091</t>
  </si>
  <si>
    <t>RF6583595</t>
  </si>
  <si>
    <t>RF5297282</t>
  </si>
  <si>
    <t>P00597</t>
  </si>
  <si>
    <t>RX855303</t>
  </si>
  <si>
    <t>RF4713386</t>
  </si>
  <si>
    <t>RF2208977</t>
  </si>
  <si>
    <t>RF5805749</t>
  </si>
  <si>
    <t>RF9521372</t>
  </si>
  <si>
    <t>RF9514472</t>
  </si>
  <si>
    <t>RF9403352</t>
  </si>
  <si>
    <t>P00598</t>
  </si>
  <si>
    <t>RX612036</t>
  </si>
  <si>
    <t>RF2756481</t>
  </si>
  <si>
    <t>RF4718536</t>
  </si>
  <si>
    <t>P00599</t>
  </si>
  <si>
    <t>RX668471</t>
  </si>
  <si>
    <t>RF7440653</t>
  </si>
  <si>
    <t>RF8681410</t>
  </si>
  <si>
    <t>RF8026163</t>
  </si>
  <si>
    <t>RF3036364</t>
  </si>
  <si>
    <t>RF2957684</t>
  </si>
  <si>
    <t>P00600</t>
  </si>
  <si>
    <t>RX161585</t>
  </si>
  <si>
    <t>RF5769827</t>
  </si>
  <si>
    <t>P00601</t>
  </si>
  <si>
    <t>RX135466</t>
  </si>
  <si>
    <t>RF5044589</t>
  </si>
  <si>
    <t>RF6394098</t>
  </si>
  <si>
    <t>RF5221958</t>
  </si>
  <si>
    <t>P00602</t>
  </si>
  <si>
    <t>RX957730</t>
  </si>
  <si>
    <t>RF8635947</t>
  </si>
  <si>
    <t>RF7134436</t>
  </si>
  <si>
    <t>RF5176586</t>
  </si>
  <si>
    <t>RF5192763</t>
  </si>
  <si>
    <t>RF8444634</t>
  </si>
  <si>
    <t>RF9652530</t>
  </si>
  <si>
    <t>P00603</t>
  </si>
  <si>
    <t>RX150871</t>
  </si>
  <si>
    <t>RF6743687</t>
  </si>
  <si>
    <t>P00604</t>
  </si>
  <si>
    <t>RX532424</t>
  </si>
  <si>
    <t>RF7532541</t>
  </si>
  <si>
    <t>RF3259043</t>
  </si>
  <si>
    <t>RF9288178</t>
  </si>
  <si>
    <t>RF3500443</t>
  </si>
  <si>
    <t>RF7973087</t>
  </si>
  <si>
    <t>RF5519706</t>
  </si>
  <si>
    <t>RF4596427</t>
  </si>
  <si>
    <t>P00605</t>
  </si>
  <si>
    <t>RX983472</t>
  </si>
  <si>
    <t>RF5743485</t>
  </si>
  <si>
    <t>RF7255067</t>
  </si>
  <si>
    <t>P00606</t>
  </si>
  <si>
    <t>RX342675</t>
  </si>
  <si>
    <t>RF2986114</t>
  </si>
  <si>
    <t>P00607</t>
  </si>
  <si>
    <t>RX841521</t>
  </si>
  <si>
    <t>RF3701643</t>
  </si>
  <si>
    <t>RF7222414</t>
  </si>
  <si>
    <t>RF4123248</t>
  </si>
  <si>
    <t>RF5847373</t>
  </si>
  <si>
    <t>RF9175708</t>
  </si>
  <si>
    <t>RF6559218</t>
  </si>
  <si>
    <t>P00608</t>
  </si>
  <si>
    <t>RX109585</t>
  </si>
  <si>
    <t>RF2048239</t>
  </si>
  <si>
    <t>RF9404648</t>
  </si>
  <si>
    <t>RF3995468</t>
  </si>
  <si>
    <t>RF6939735</t>
  </si>
  <si>
    <t>RF5990561</t>
  </si>
  <si>
    <t>RF5440599</t>
  </si>
  <si>
    <t>P00609</t>
  </si>
  <si>
    <t>RX630299</t>
  </si>
  <si>
    <t>RF2666096</t>
  </si>
  <si>
    <t>RF7034021</t>
  </si>
  <si>
    <t>RF4052802</t>
  </si>
  <si>
    <t>RF4332980</t>
  </si>
  <si>
    <t>RF7273376</t>
  </si>
  <si>
    <t>P00610</t>
  </si>
  <si>
    <t>RX491329</t>
  </si>
  <si>
    <t>RF8922719</t>
  </si>
  <si>
    <t>RF2410360</t>
  </si>
  <si>
    <t>P00611</t>
  </si>
  <si>
    <t>RX747847</t>
  </si>
  <si>
    <t>RF3243662</t>
  </si>
  <si>
    <t>RF7480083</t>
  </si>
  <si>
    <t>RF2308038</t>
  </si>
  <si>
    <t>RF9162439</t>
  </si>
  <si>
    <t>RF7595172</t>
  </si>
  <si>
    <t>RF9029774</t>
  </si>
  <si>
    <t>P00612</t>
  </si>
  <si>
    <t>RX799143</t>
  </si>
  <si>
    <t>RF4503509</t>
  </si>
  <si>
    <t>P00613</t>
  </si>
  <si>
    <t>RX606676</t>
  </si>
  <si>
    <t>RF2411304</t>
  </si>
  <si>
    <t>RF5497688</t>
  </si>
  <si>
    <t>P00614</t>
  </si>
  <si>
    <t>RX611552</t>
  </si>
  <si>
    <t>RF3353377</t>
  </si>
  <si>
    <t>P00615</t>
  </si>
  <si>
    <t>RX106933</t>
  </si>
  <si>
    <t>RF4385556</t>
  </si>
  <si>
    <t>RF7544237</t>
  </si>
  <si>
    <t>RF7870740</t>
  </si>
  <si>
    <t>RF6800654</t>
  </si>
  <si>
    <t>RF6715884</t>
  </si>
  <si>
    <t>RF5819650</t>
  </si>
  <si>
    <t>RF6856721</t>
  </si>
  <si>
    <t>P00616</t>
  </si>
  <si>
    <t>RX678440</t>
  </si>
  <si>
    <t>RF9813819</t>
  </si>
  <si>
    <t>P00617</t>
  </si>
  <si>
    <t>RX112426</t>
  </si>
  <si>
    <t>RF2781199</t>
  </si>
  <si>
    <t>RF4510664</t>
  </si>
  <si>
    <t>RF5091784</t>
  </si>
  <si>
    <t>P00618</t>
  </si>
  <si>
    <t>RX655134</t>
  </si>
  <si>
    <t>RF8880879</t>
  </si>
  <si>
    <t>RF8362272</t>
  </si>
  <si>
    <t>RF9074193</t>
  </si>
  <si>
    <t>RF2544637</t>
  </si>
  <si>
    <t>RF5949497</t>
  </si>
  <si>
    <t>RF3023605</t>
  </si>
  <si>
    <t>RF9209236</t>
  </si>
  <si>
    <t>P00619</t>
  </si>
  <si>
    <t>RX661762</t>
  </si>
  <si>
    <t>RF4761601</t>
  </si>
  <si>
    <t>RF5470852</t>
  </si>
  <si>
    <t>RF3760310</t>
  </si>
  <si>
    <t>RF3753646</t>
  </si>
  <si>
    <t>P00620</t>
  </si>
  <si>
    <t>RX117975</t>
  </si>
  <si>
    <t>RF2488087</t>
  </si>
  <si>
    <t>RF6792974</t>
  </si>
  <si>
    <t>RF7276254</t>
  </si>
  <si>
    <t>RF2735427</t>
  </si>
  <si>
    <t>P00621</t>
  </si>
  <si>
    <t>RX952657</t>
  </si>
  <si>
    <t>RF8073974</t>
  </si>
  <si>
    <t>RF7073245</t>
  </si>
  <si>
    <t>P00622</t>
  </si>
  <si>
    <t>RX806774</t>
  </si>
  <si>
    <t>RF7929115</t>
  </si>
  <si>
    <t>P00623</t>
  </si>
  <si>
    <t>RX945328</t>
  </si>
  <si>
    <t>RF7107358</t>
  </si>
  <si>
    <t>RF4178186</t>
  </si>
  <si>
    <t>P00624</t>
  </si>
  <si>
    <t>RX212214</t>
  </si>
  <si>
    <t>RF6824646</t>
  </si>
  <si>
    <t>RF4968336</t>
  </si>
  <si>
    <t>RF7153037</t>
  </si>
  <si>
    <t>RF6164079</t>
  </si>
  <si>
    <t>RF8116844</t>
  </si>
  <si>
    <t>P00625</t>
  </si>
  <si>
    <t>RX649857</t>
  </si>
  <si>
    <t>RF6175355</t>
  </si>
  <si>
    <t>RF8777830</t>
  </si>
  <si>
    <t>RF9412708</t>
  </si>
  <si>
    <t>RF3952210</t>
  </si>
  <si>
    <t>RF4436790</t>
  </si>
  <si>
    <t>RF2013261</t>
  </si>
  <si>
    <t>P00626</t>
  </si>
  <si>
    <t>RX352674</t>
  </si>
  <si>
    <t>RF2201215</t>
  </si>
  <si>
    <t>P00627</t>
  </si>
  <si>
    <t>RX749887</t>
  </si>
  <si>
    <t>RF7246744</t>
  </si>
  <si>
    <t>RF2989232</t>
  </si>
  <si>
    <t>RF9114125</t>
  </si>
  <si>
    <t>RF8707231</t>
  </si>
  <si>
    <t>RF5478186</t>
  </si>
  <si>
    <t>P00628</t>
  </si>
  <si>
    <t>RX364679</t>
  </si>
  <si>
    <t>RF2381616</t>
  </si>
  <si>
    <t>RF4933077</t>
  </si>
  <si>
    <t>P00629</t>
  </si>
  <si>
    <t>RX380310</t>
  </si>
  <si>
    <t>RF8761583</t>
  </si>
  <si>
    <t>RF3781219</t>
  </si>
  <si>
    <t>P00630</t>
  </si>
  <si>
    <t>RX182857</t>
  </si>
  <si>
    <t>RF7373895</t>
  </si>
  <si>
    <t>RF7788282</t>
  </si>
  <si>
    <t>RF4134208</t>
  </si>
  <si>
    <t>RF2569050</t>
  </si>
  <si>
    <t>P00631</t>
  </si>
  <si>
    <t>RX525750</t>
  </si>
  <si>
    <t>RF4518964</t>
  </si>
  <si>
    <t>RF6613680</t>
  </si>
  <si>
    <t>RF8434335</t>
  </si>
  <si>
    <t>RF2954931</t>
  </si>
  <si>
    <t>P00632</t>
  </si>
  <si>
    <t>RX692447</t>
  </si>
  <si>
    <t>RF4795779</t>
  </si>
  <si>
    <t>RF5322302</t>
  </si>
  <si>
    <t>RF6772459</t>
  </si>
  <si>
    <t>P00633</t>
  </si>
  <si>
    <t>RX831105</t>
  </si>
  <si>
    <t>RF8979680</t>
  </si>
  <si>
    <t>RF3627520</t>
  </si>
  <si>
    <t>P00634</t>
  </si>
  <si>
    <t>RX414546</t>
  </si>
  <si>
    <t>RF8994633</t>
  </si>
  <si>
    <t>RF9736643</t>
  </si>
  <si>
    <t>RF6019051</t>
  </si>
  <si>
    <t>RF8687854</t>
  </si>
  <si>
    <t>RF7416123</t>
  </si>
  <si>
    <t>P00635</t>
  </si>
  <si>
    <t>RX968286</t>
  </si>
  <si>
    <t>RF6039077</t>
  </si>
  <si>
    <t>P00636</t>
  </si>
  <si>
    <t>RX785491</t>
  </si>
  <si>
    <t>RF7261339</t>
  </si>
  <si>
    <t>P00637</t>
  </si>
  <si>
    <t>RX896483</t>
  </si>
  <si>
    <t>RF9483127</t>
  </si>
  <si>
    <t>P00638</t>
  </si>
  <si>
    <t>RX198042</t>
  </si>
  <si>
    <t>RF5879480</t>
  </si>
  <si>
    <t>RF9782866</t>
  </si>
  <si>
    <t>P00639</t>
  </si>
  <si>
    <t>RX497687</t>
  </si>
  <si>
    <t>RF9005374</t>
  </si>
  <si>
    <t>RF6739082</t>
  </si>
  <si>
    <t>RF7689134</t>
  </si>
  <si>
    <t>P00640</t>
  </si>
  <si>
    <t>RX679549</t>
  </si>
  <si>
    <t>RF6657163</t>
  </si>
  <si>
    <t>RF2157021</t>
  </si>
  <si>
    <t>RF6843562</t>
  </si>
  <si>
    <t>RF4782663</t>
  </si>
  <si>
    <t>P00641</t>
  </si>
  <si>
    <t>RX158840</t>
  </si>
  <si>
    <t>RF9685528</t>
  </si>
  <si>
    <t>RF4966174</t>
  </si>
  <si>
    <t>RF3252460</t>
  </si>
  <si>
    <t>P00642</t>
  </si>
  <si>
    <t>RX109909</t>
  </si>
  <si>
    <t>RF9052631</t>
  </si>
  <si>
    <t>RF4845016</t>
  </si>
  <si>
    <t>P00643</t>
  </si>
  <si>
    <t>RX279708</t>
  </si>
  <si>
    <t>RF7255553</t>
  </si>
  <si>
    <t>P00644</t>
  </si>
  <si>
    <t>RX624139</t>
  </si>
  <si>
    <t>RF9066611</t>
  </si>
  <si>
    <t>RF6789741</t>
  </si>
  <si>
    <t>RF5267918</t>
  </si>
  <si>
    <t>RF6992831</t>
  </si>
  <si>
    <t>RF9252737</t>
  </si>
  <si>
    <t>RF8304376</t>
  </si>
  <si>
    <t>RF7916201</t>
  </si>
  <si>
    <t>RF4638212</t>
  </si>
  <si>
    <t>P00645</t>
  </si>
  <si>
    <t>RX776234</t>
  </si>
  <si>
    <t>RF2265316</t>
  </si>
  <si>
    <t>RF5471789</t>
  </si>
  <si>
    <t>RF6169594</t>
  </si>
  <si>
    <t>P00646</t>
  </si>
  <si>
    <t>RX693343</t>
  </si>
  <si>
    <t>RF5117068</t>
  </si>
  <si>
    <t>RF8957993</t>
  </si>
  <si>
    <t>RF3813112</t>
  </si>
  <si>
    <t>RF4536029</t>
  </si>
  <si>
    <t>P00647</t>
  </si>
  <si>
    <t>RX653815</t>
  </si>
  <si>
    <t>RF2941464</t>
  </si>
  <si>
    <t>P00648</t>
  </si>
  <si>
    <t>RX340927</t>
  </si>
  <si>
    <t>RF8584587</t>
  </si>
  <si>
    <t>RF8524578</t>
  </si>
  <si>
    <t>RF9661767</t>
  </si>
  <si>
    <t>RF5722646</t>
  </si>
  <si>
    <t>RF2209168</t>
  </si>
  <si>
    <t>RF6048872</t>
  </si>
  <si>
    <t>P00649</t>
  </si>
  <si>
    <t>RX825916</t>
  </si>
  <si>
    <t>RF3292498</t>
  </si>
  <si>
    <t>RF4853098</t>
  </si>
  <si>
    <t>RF8144160</t>
  </si>
  <si>
    <t>RF6392509</t>
  </si>
  <si>
    <t>RF8505644</t>
  </si>
  <si>
    <t>P00650</t>
  </si>
  <si>
    <t>RX598598</t>
  </si>
  <si>
    <t>RF3202045</t>
  </si>
  <si>
    <t>RF9313179</t>
  </si>
  <si>
    <t>P00651</t>
  </si>
  <si>
    <t>RX148823</t>
  </si>
  <si>
    <t>RF8896597</t>
  </si>
  <si>
    <t>RF7676716</t>
  </si>
  <si>
    <t>RF3721234</t>
  </si>
  <si>
    <t>RF2306624</t>
  </si>
  <si>
    <t>RF5251325</t>
  </si>
  <si>
    <t>RF9254553</t>
  </si>
  <si>
    <t>P00652</t>
  </si>
  <si>
    <t>RX817675</t>
  </si>
  <si>
    <t>RF2034476</t>
  </si>
  <si>
    <t>RF9821012</t>
  </si>
  <si>
    <t>P00653</t>
  </si>
  <si>
    <t>RX669408</t>
  </si>
  <si>
    <t>RF7763412</t>
  </si>
  <si>
    <t>RF6985245</t>
  </si>
  <si>
    <t>RF2730445</t>
  </si>
  <si>
    <t>RF5916438</t>
  </si>
  <si>
    <t>RF2864889</t>
  </si>
  <si>
    <t>RF8427185</t>
  </si>
  <si>
    <t>P00654</t>
  </si>
  <si>
    <t>RX790077</t>
  </si>
  <si>
    <t>RF4621278</t>
  </si>
  <si>
    <t>RF6844923</t>
  </si>
  <si>
    <t>P00655</t>
  </si>
  <si>
    <t>RX288066</t>
  </si>
  <si>
    <t>RF4618444</t>
  </si>
  <si>
    <t>RF9483775</t>
  </si>
  <si>
    <t>RF4691739</t>
  </si>
  <si>
    <t>RF3615189</t>
  </si>
  <si>
    <t>RF4320704</t>
  </si>
  <si>
    <t>RF4677222</t>
  </si>
  <si>
    <t>RF5700346</t>
  </si>
  <si>
    <t>P00656</t>
  </si>
  <si>
    <t>RX116418</t>
  </si>
  <si>
    <t>RF2986926</t>
  </si>
  <si>
    <t>RF3252593</t>
  </si>
  <si>
    <t>RF4295432</t>
  </si>
  <si>
    <t>RF2127982</t>
  </si>
  <si>
    <t>P00657</t>
  </si>
  <si>
    <t>RX715551</t>
  </si>
  <si>
    <t>RF6694481</t>
  </si>
  <si>
    <t>RF2858786</t>
  </si>
  <si>
    <t>RF6551060</t>
  </si>
  <si>
    <t>RF6608413</t>
  </si>
  <si>
    <t>RF4273749</t>
  </si>
  <si>
    <t>RF9912787</t>
  </si>
  <si>
    <t>RF8744464</t>
  </si>
  <si>
    <t>P00658</t>
  </si>
  <si>
    <t>RX888795</t>
  </si>
  <si>
    <t>RF4053741</t>
  </si>
  <si>
    <t>RF2597628</t>
  </si>
  <si>
    <t>P00659</t>
  </si>
  <si>
    <t>RX960778</t>
  </si>
  <si>
    <t>RF7144421</t>
  </si>
  <si>
    <t>P00660</t>
  </si>
  <si>
    <t>RX180674</t>
  </si>
  <si>
    <t>RF6534689</t>
  </si>
  <si>
    <t>RF2425522</t>
  </si>
  <si>
    <t>RF2243208</t>
  </si>
  <si>
    <t>RF9577365</t>
  </si>
  <si>
    <t>P00661</t>
  </si>
  <si>
    <t>RX270341</t>
  </si>
  <si>
    <t>RF2423255</t>
  </si>
  <si>
    <t>RF5217867</t>
  </si>
  <si>
    <t>RF2722423</t>
  </si>
  <si>
    <t>RF5287636</t>
  </si>
  <si>
    <t>P00662</t>
  </si>
  <si>
    <t>RX352153</t>
  </si>
  <si>
    <t>RF7911264</t>
  </si>
  <si>
    <t>RF9476564</t>
  </si>
  <si>
    <t>P00663</t>
  </si>
  <si>
    <t>RX975194</t>
  </si>
  <si>
    <t>RF7280382</t>
  </si>
  <si>
    <t>RF7789187</t>
  </si>
  <si>
    <t>P00664</t>
  </si>
  <si>
    <t>RX809922</t>
  </si>
  <si>
    <t>RF5739945</t>
  </si>
  <si>
    <t>RF4983192</t>
  </si>
  <si>
    <t>RF4787803</t>
  </si>
  <si>
    <t>P00665</t>
  </si>
  <si>
    <t>RX447843</t>
  </si>
  <si>
    <t>RF3662178</t>
  </si>
  <si>
    <t>RF8361941</t>
  </si>
  <si>
    <t>P00666</t>
  </si>
  <si>
    <t>RX892313</t>
  </si>
  <si>
    <t>RF8788898</t>
  </si>
  <si>
    <t>RF2658888</t>
  </si>
  <si>
    <t>RF8412489</t>
  </si>
  <si>
    <t>P00667</t>
  </si>
  <si>
    <t>RX928897</t>
  </si>
  <si>
    <t>RF6762961</t>
  </si>
  <si>
    <t>RF2779437</t>
  </si>
  <si>
    <t>RF8730603</t>
  </si>
  <si>
    <t>RF5928183</t>
  </si>
  <si>
    <t>RF5821717</t>
  </si>
  <si>
    <t>RF7741817</t>
  </si>
  <si>
    <t>P00668</t>
  </si>
  <si>
    <t>RX859340</t>
  </si>
  <si>
    <t>RF8429813</t>
  </si>
  <si>
    <t>P00669</t>
  </si>
  <si>
    <t>RX625119</t>
  </si>
  <si>
    <t>RF5947224</t>
  </si>
  <si>
    <t>RF9947772</t>
  </si>
  <si>
    <t>RF3205624</t>
  </si>
  <si>
    <t>RF9513683</t>
  </si>
  <si>
    <t>RF4164703</t>
  </si>
  <si>
    <t>RF5288979</t>
  </si>
  <si>
    <t>P00670</t>
  </si>
  <si>
    <t>RX156304</t>
  </si>
  <si>
    <t>RF7868792</t>
  </si>
  <si>
    <t>RF4770991</t>
  </si>
  <si>
    <t>P00671</t>
  </si>
  <si>
    <t>RX558320</t>
  </si>
  <si>
    <t>RF9220843</t>
  </si>
  <si>
    <t>RF5802413</t>
  </si>
  <si>
    <t>RF2253873</t>
  </si>
  <si>
    <t>RF5987393</t>
  </si>
  <si>
    <t>RF4948099</t>
  </si>
  <si>
    <t>RF5869175</t>
  </si>
  <si>
    <t>P00672</t>
  </si>
  <si>
    <t>RX979414</t>
  </si>
  <si>
    <t>RF3432787</t>
  </si>
  <si>
    <t>RF8441960</t>
  </si>
  <si>
    <t>RF7070412</t>
  </si>
  <si>
    <t>RF3068658</t>
  </si>
  <si>
    <t>RF2863457</t>
  </si>
  <si>
    <t>RF8858130</t>
  </si>
  <si>
    <t>P00673</t>
  </si>
  <si>
    <t>RX457137</t>
  </si>
  <si>
    <t>RF8683688</t>
  </si>
  <si>
    <t>RF4733593</t>
  </si>
  <si>
    <t>RF7447993</t>
  </si>
  <si>
    <t>RF8647392</t>
  </si>
  <si>
    <t>RF6468993</t>
  </si>
  <si>
    <t>RF5362292</t>
  </si>
  <si>
    <t>RF5468202</t>
  </si>
  <si>
    <t>RF7208275</t>
  </si>
  <si>
    <t>RF6596529</t>
  </si>
  <si>
    <t>P00674</t>
  </si>
  <si>
    <t>RX906360</t>
  </si>
  <si>
    <t>RF6046451</t>
  </si>
  <si>
    <t>RF2554150</t>
  </si>
  <si>
    <t>P00675</t>
  </si>
  <si>
    <t>RX724540</t>
  </si>
  <si>
    <t>RF3746828</t>
  </si>
  <si>
    <t>P00676</t>
  </si>
  <si>
    <t>RX911131</t>
  </si>
  <si>
    <t>RF5616735</t>
  </si>
  <si>
    <t>RF6758112</t>
  </si>
  <si>
    <t>P00677</t>
  </si>
  <si>
    <t>RX131064</t>
  </si>
  <si>
    <t>RF4870588</t>
  </si>
  <si>
    <t>RF7822810</t>
  </si>
  <si>
    <t>RF3451946</t>
  </si>
  <si>
    <t>RF7617055</t>
  </si>
  <si>
    <t>RF8202260</t>
  </si>
  <si>
    <t>P00678</t>
  </si>
  <si>
    <t>RX386604</t>
  </si>
  <si>
    <t>RF9019152</t>
  </si>
  <si>
    <t>P00679</t>
  </si>
  <si>
    <t>RX614435</t>
  </si>
  <si>
    <t>RF2959009</t>
  </si>
  <si>
    <t>RF7000243</t>
  </si>
  <si>
    <t>RF4729469</t>
  </si>
  <si>
    <t>P00680</t>
  </si>
  <si>
    <t>RX473095</t>
  </si>
  <si>
    <t>RF2819180</t>
  </si>
  <si>
    <t>RF5734744</t>
  </si>
  <si>
    <t>RF4583990</t>
  </si>
  <si>
    <t>RF2583911</t>
  </si>
  <si>
    <t>RF2912216</t>
  </si>
  <si>
    <t>P00681</t>
  </si>
  <si>
    <t>RX493663</t>
  </si>
  <si>
    <t>RF8828886</t>
  </si>
  <si>
    <t>RF8470497</t>
  </si>
  <si>
    <t>P00682</t>
  </si>
  <si>
    <t>RX294760</t>
  </si>
  <si>
    <t>RF6146448</t>
  </si>
  <si>
    <t>RF2515750</t>
  </si>
  <si>
    <t>RF3825459</t>
  </si>
  <si>
    <t>P00683</t>
  </si>
  <si>
    <t>RX714334</t>
  </si>
  <si>
    <t>RF3165318</t>
  </si>
  <si>
    <t>P00684</t>
  </si>
  <si>
    <t>RX498535</t>
  </si>
  <si>
    <t>RF9577060</t>
  </si>
  <si>
    <t>P00685</t>
  </si>
  <si>
    <t>RX909676</t>
  </si>
  <si>
    <t>RF7336268</t>
  </si>
  <si>
    <t>RF2001546</t>
  </si>
  <si>
    <t>RF3230821</t>
  </si>
  <si>
    <t>RF3251718</t>
  </si>
  <si>
    <t>RF6456496</t>
  </si>
  <si>
    <t>RF5271411</t>
  </si>
  <si>
    <t>P00686</t>
  </si>
  <si>
    <t>RX409727</t>
  </si>
  <si>
    <t>RF6848040</t>
  </si>
  <si>
    <t>P00687</t>
  </si>
  <si>
    <t>RX847748</t>
  </si>
  <si>
    <t>RF3641370</t>
  </si>
  <si>
    <t>RF7716977</t>
  </si>
  <si>
    <t>RF4514362</t>
  </si>
  <si>
    <t>RF8663462</t>
  </si>
  <si>
    <t>RF4554751</t>
  </si>
  <si>
    <t>RF8021269</t>
  </si>
  <si>
    <t>P00688</t>
  </si>
  <si>
    <t>RX186023</t>
  </si>
  <si>
    <t>RF2748997</t>
  </si>
  <si>
    <t>RF2068109</t>
  </si>
  <si>
    <t>RF6281745</t>
  </si>
  <si>
    <t>RF9110492</t>
  </si>
  <si>
    <t>RF9151331</t>
  </si>
  <si>
    <t>RF2523537</t>
  </si>
  <si>
    <t>P00689</t>
  </si>
  <si>
    <t>RX261712</t>
  </si>
  <si>
    <t>RF9558770</t>
  </si>
  <si>
    <t>RF2445664</t>
  </si>
  <si>
    <t>RF7900162</t>
  </si>
  <si>
    <t>RF8884977</t>
  </si>
  <si>
    <t>RF2920216</t>
  </si>
  <si>
    <t>P00690</t>
  </si>
  <si>
    <t>RX846247</t>
  </si>
  <si>
    <t>RF4367342</t>
  </si>
  <si>
    <t>RF2261596</t>
  </si>
  <si>
    <t>RF5621492</t>
  </si>
  <si>
    <t>P00691</t>
  </si>
  <si>
    <t>RX261771</t>
  </si>
  <si>
    <t>RF6950653</t>
  </si>
  <si>
    <t>P00692</t>
  </si>
  <si>
    <t>RX432061</t>
  </si>
  <si>
    <t>RF7244677</t>
  </si>
  <si>
    <t>RF7970790</t>
  </si>
  <si>
    <t>RF5406048</t>
  </si>
  <si>
    <t>RF5650638</t>
  </si>
  <si>
    <t>RF3771808</t>
  </si>
  <si>
    <t>P00693</t>
  </si>
  <si>
    <t>RX211726</t>
  </si>
  <si>
    <t>RF3454669</t>
  </si>
  <si>
    <t>RF3166594</t>
  </si>
  <si>
    <t>RF6659213</t>
  </si>
  <si>
    <t>RF9074345</t>
  </si>
  <si>
    <t>P00694</t>
  </si>
  <si>
    <t>RX105447</t>
  </si>
  <si>
    <t>RF9046117</t>
  </si>
  <si>
    <t>RF3294087</t>
  </si>
  <si>
    <t>RF9321037</t>
  </si>
  <si>
    <t>RF3053182</t>
  </si>
  <si>
    <t>RF2097330</t>
  </si>
  <si>
    <t>RF7439083</t>
  </si>
  <si>
    <t>P00695</t>
  </si>
  <si>
    <t>RX566339</t>
  </si>
  <si>
    <t>RF3207925</t>
  </si>
  <si>
    <t>RF9422984</t>
  </si>
  <si>
    <t>P00696</t>
  </si>
  <si>
    <t>RX898329</t>
  </si>
  <si>
    <t>RF7519089</t>
  </si>
  <si>
    <t>RF3138969</t>
  </si>
  <si>
    <t>RF3151087</t>
  </si>
  <si>
    <t>RF8760728</t>
  </si>
  <si>
    <t>P00697</t>
  </si>
  <si>
    <t>RX207197</t>
  </si>
  <si>
    <t>RF9215484</t>
  </si>
  <si>
    <t>RF9495913</t>
  </si>
  <si>
    <t>RF7833358</t>
  </si>
  <si>
    <t>RF9804014</t>
  </si>
  <si>
    <t>P00698</t>
  </si>
  <si>
    <t>RX191537</t>
  </si>
  <si>
    <t>RF3508249</t>
  </si>
  <si>
    <t>RF6273282</t>
  </si>
  <si>
    <t>P00699</t>
  </si>
  <si>
    <t>RX551914</t>
  </si>
  <si>
    <t>RF6630931</t>
  </si>
  <si>
    <t>RF5775257</t>
  </si>
  <si>
    <t>RF4980533</t>
  </si>
  <si>
    <t>RF3558528</t>
  </si>
  <si>
    <t>RF7071528</t>
  </si>
  <si>
    <t>P00700</t>
  </si>
  <si>
    <t>RX684041</t>
  </si>
  <si>
    <t>RF6848099</t>
  </si>
  <si>
    <t>P00701</t>
  </si>
  <si>
    <t>RX637333</t>
  </si>
  <si>
    <t>RF8131345</t>
  </si>
  <si>
    <t>RF7973779</t>
  </si>
  <si>
    <t>P00702</t>
  </si>
  <si>
    <t>RX208310</t>
  </si>
  <si>
    <t>RF4258636</t>
  </si>
  <si>
    <t>RF9772585</t>
  </si>
  <si>
    <t>RF6834793</t>
  </si>
  <si>
    <t>P00703</t>
  </si>
  <si>
    <t>RX193972</t>
  </si>
  <si>
    <t>RF2280698</t>
  </si>
  <si>
    <t>RF6765984</t>
  </si>
  <si>
    <t>RF7912983</t>
  </si>
  <si>
    <t>RF2949291</t>
  </si>
  <si>
    <t>RF6039390</t>
  </si>
  <si>
    <t>RF2671618</t>
  </si>
  <si>
    <t>RF8125239</t>
  </si>
  <si>
    <t>P00704</t>
  </si>
  <si>
    <t>RX681141</t>
  </si>
  <si>
    <t>RF6415830</t>
  </si>
  <si>
    <t>RF8296339</t>
  </si>
  <si>
    <t>RF4343947</t>
  </si>
  <si>
    <t>RF6336487</t>
  </si>
  <si>
    <t>P00705</t>
  </si>
  <si>
    <t>RX725920</t>
  </si>
  <si>
    <t>RF6390234</t>
  </si>
  <si>
    <t>RF2741941</t>
  </si>
  <si>
    <t>RF5963211</t>
  </si>
  <si>
    <t>RF8221714</t>
  </si>
  <si>
    <t>RF7609605</t>
  </si>
  <si>
    <t>RF7738428</t>
  </si>
  <si>
    <t>RF6523114</t>
  </si>
  <si>
    <t>RF6862275</t>
  </si>
  <si>
    <t>RF7142544</t>
  </si>
  <si>
    <t>RF9579822</t>
  </si>
  <si>
    <t>RF6488184</t>
  </si>
  <si>
    <t>RF2090457</t>
  </si>
  <si>
    <t>P00706</t>
  </si>
  <si>
    <t>RX922543</t>
  </si>
  <si>
    <t>RF5808719</t>
  </si>
  <si>
    <t>RF9600540</t>
  </si>
  <si>
    <t>P00707</t>
  </si>
  <si>
    <t>RX503951</t>
  </si>
  <si>
    <t>RF6814769</t>
  </si>
  <si>
    <t>RF4780940</t>
  </si>
  <si>
    <t>RF4960461</t>
  </si>
  <si>
    <t>RF4471434</t>
  </si>
  <si>
    <t>P00708</t>
  </si>
  <si>
    <t>RX406024</t>
  </si>
  <si>
    <t>RF3405160</t>
  </si>
  <si>
    <t>RF7830511</t>
  </si>
  <si>
    <t>RF8286634</t>
  </si>
  <si>
    <t>RF8098280</t>
  </si>
  <si>
    <t>RF6728710</t>
  </si>
  <si>
    <t>RF2515209</t>
  </si>
  <si>
    <t>RF5969158</t>
  </si>
  <si>
    <t>P00709</t>
  </si>
  <si>
    <t>RX506637</t>
  </si>
  <si>
    <t>RF6805497</t>
  </si>
  <si>
    <t>RF7505610</t>
  </si>
  <si>
    <t>P00710</t>
  </si>
  <si>
    <t>RX860053</t>
  </si>
  <si>
    <t>RF8785509</t>
  </si>
  <si>
    <t>RF7237150</t>
  </si>
  <si>
    <t>RF4405984</t>
  </si>
  <si>
    <t>RF2692145</t>
  </si>
  <si>
    <t>RF6241247</t>
  </si>
  <si>
    <t>RF9142440</t>
  </si>
  <si>
    <t>RF4330764</t>
  </si>
  <si>
    <t>P00711</t>
  </si>
  <si>
    <t>RX354533</t>
  </si>
  <si>
    <t>RF3111815</t>
  </si>
  <si>
    <t>RF4356963</t>
  </si>
  <si>
    <t>P00712</t>
  </si>
  <si>
    <t>RX646417</t>
  </si>
  <si>
    <t>RF9196237</t>
  </si>
  <si>
    <t>RF2119143</t>
  </si>
  <si>
    <t>P00713</t>
  </si>
  <si>
    <t>RX818605</t>
  </si>
  <si>
    <t>RF2935744</t>
  </si>
  <si>
    <t>RF3464767</t>
  </si>
  <si>
    <t>RF8198906</t>
  </si>
  <si>
    <t>RF7529398</t>
  </si>
  <si>
    <t>RF5101828</t>
  </si>
  <si>
    <t>P00714</t>
  </si>
  <si>
    <t>RX277735</t>
  </si>
  <si>
    <t>RF3471356</t>
  </si>
  <si>
    <t>RF8564318</t>
  </si>
  <si>
    <t>RF3981354</t>
  </si>
  <si>
    <t>P00715</t>
  </si>
  <si>
    <t>RX381981</t>
  </si>
  <si>
    <t>RF8705618</t>
  </si>
  <si>
    <t>RF2277583</t>
  </si>
  <si>
    <t>RF2708010</t>
  </si>
  <si>
    <t>P00716</t>
  </si>
  <si>
    <t>RX381444</t>
  </si>
  <si>
    <t>RF6995785</t>
  </si>
  <si>
    <t>RF3293106</t>
  </si>
  <si>
    <t>RF6160315</t>
  </si>
  <si>
    <t>RF5464057</t>
  </si>
  <si>
    <t>RF5214237</t>
  </si>
  <si>
    <t>P00717</t>
  </si>
  <si>
    <t>RX253023</t>
  </si>
  <si>
    <t>RF7542078</t>
  </si>
  <si>
    <t>RF8090121</t>
  </si>
  <si>
    <t>RF3403273</t>
  </si>
  <si>
    <t>P00718</t>
  </si>
  <si>
    <t>RX275329</t>
  </si>
  <si>
    <t>RF6846580</t>
  </si>
  <si>
    <t>P00719</t>
  </si>
  <si>
    <t>RX389366</t>
  </si>
  <si>
    <t>RF9061807</t>
  </si>
  <si>
    <t>RF2455717</t>
  </si>
  <si>
    <t>RF4217910</t>
  </si>
  <si>
    <t>P00720</t>
  </si>
  <si>
    <t>RX414313</t>
  </si>
  <si>
    <t>RF8874724</t>
  </si>
  <si>
    <t>RF2440596</t>
  </si>
  <si>
    <t>RF5892439</t>
  </si>
  <si>
    <t>P00721</t>
  </si>
  <si>
    <t>RX920685</t>
  </si>
  <si>
    <t>RF5994923</t>
  </si>
  <si>
    <t>RF5995210</t>
  </si>
  <si>
    <t>RF9954512</t>
  </si>
  <si>
    <t>P00722</t>
  </si>
  <si>
    <t>RX478666</t>
  </si>
  <si>
    <t>RF9738149</t>
  </si>
  <si>
    <t>RF3960093</t>
  </si>
  <si>
    <t>RF7733697</t>
  </si>
  <si>
    <t>RF5272148</t>
  </si>
  <si>
    <t>RF4203059</t>
  </si>
  <si>
    <t>RF6449671</t>
  </si>
  <si>
    <t>P00723</t>
  </si>
  <si>
    <t>RX358568</t>
  </si>
  <si>
    <t>RF5646815</t>
  </si>
  <si>
    <t>RF4422564</t>
  </si>
  <si>
    <t>RF5764980</t>
  </si>
  <si>
    <t>RF7691615</t>
  </si>
  <si>
    <t>P00724</t>
  </si>
  <si>
    <t>RX619886</t>
  </si>
  <si>
    <t>RF6448088</t>
  </si>
  <si>
    <t>P00725</t>
  </si>
  <si>
    <t>RX746624</t>
  </si>
  <si>
    <t>RF2344080</t>
  </si>
  <si>
    <t>RF9698327</t>
  </si>
  <si>
    <t>P00726</t>
  </si>
  <si>
    <t>RX580102</t>
  </si>
  <si>
    <t>RF7347101</t>
  </si>
  <si>
    <t>RF9081992</t>
  </si>
  <si>
    <t>RF7121124</t>
  </si>
  <si>
    <t>RF9200409</t>
  </si>
  <si>
    <t>RF4809910</t>
  </si>
  <si>
    <t>RF4240494</t>
  </si>
  <si>
    <t>RF2824405</t>
  </si>
  <si>
    <t>RF7489029</t>
  </si>
  <si>
    <t>RF5281235</t>
  </si>
  <si>
    <t>RF8485660</t>
  </si>
  <si>
    <t>P00727</t>
  </si>
  <si>
    <t>RX242071</t>
  </si>
  <si>
    <t>RF4028339</t>
  </si>
  <si>
    <t>RF6938577</t>
  </si>
  <si>
    <t>RF6361676</t>
  </si>
  <si>
    <t>P00728</t>
  </si>
  <si>
    <t>RX107096</t>
  </si>
  <si>
    <t>RF7685111</t>
  </si>
  <si>
    <t>RF3509250</t>
  </si>
  <si>
    <t>RF6593707</t>
  </si>
  <si>
    <t>RF7643871</t>
  </si>
  <si>
    <t>P00729</t>
  </si>
  <si>
    <t>RX448354</t>
  </si>
  <si>
    <t>RF8976717</t>
  </si>
  <si>
    <t>RF2100339</t>
  </si>
  <si>
    <t>RF2819556</t>
  </si>
  <si>
    <t>RF2871637</t>
  </si>
  <si>
    <t>RF5740834</t>
  </si>
  <si>
    <t>P00730</t>
  </si>
  <si>
    <t>RX498343</t>
  </si>
  <si>
    <t>RF3840597</t>
  </si>
  <si>
    <t>P00731</t>
  </si>
  <si>
    <t>RX561607</t>
  </si>
  <si>
    <t>RF4376467</t>
  </si>
  <si>
    <t>RF3619668</t>
  </si>
  <si>
    <t>RF2198813</t>
  </si>
  <si>
    <t>RF2771259</t>
  </si>
  <si>
    <t>P00732</t>
  </si>
  <si>
    <t>RX551533</t>
  </si>
  <si>
    <t>RF9872754</t>
  </si>
  <si>
    <t>RF7508006</t>
  </si>
  <si>
    <t>RF3818857</t>
  </si>
  <si>
    <t>RF7352627</t>
  </si>
  <si>
    <t>P00733</t>
  </si>
  <si>
    <t>RX723266</t>
  </si>
  <si>
    <t>RF7939764</t>
  </si>
  <si>
    <t>P00734</t>
  </si>
  <si>
    <t>RX415029</t>
  </si>
  <si>
    <t>RF2724661</t>
  </si>
  <si>
    <t>RF7072472</t>
  </si>
  <si>
    <t>RF5153767</t>
  </si>
  <si>
    <t>RF8407703</t>
  </si>
  <si>
    <t>RF6748529</t>
  </si>
  <si>
    <t>RF3549951</t>
  </si>
  <si>
    <t>P00735</t>
  </si>
  <si>
    <t>RX732512</t>
  </si>
  <si>
    <t>RF7835565</t>
  </si>
  <si>
    <t>RF4125134</t>
  </si>
  <si>
    <t>RF5917107</t>
  </si>
  <si>
    <t>RF9853264</t>
  </si>
  <si>
    <t>P00736</t>
  </si>
  <si>
    <t>RX310608</t>
  </si>
  <si>
    <t>RF7358479</t>
  </si>
  <si>
    <t>P00737</t>
  </si>
  <si>
    <t>RX429445</t>
  </si>
  <si>
    <t>RF9740129</t>
  </si>
  <si>
    <t>RF8453852</t>
  </si>
  <si>
    <t>RF7806774</t>
  </si>
  <si>
    <t>P00738</t>
  </si>
  <si>
    <t>RX517584</t>
  </si>
  <si>
    <t>RF8458225</t>
  </si>
  <si>
    <t>RF4712910</t>
  </si>
  <si>
    <t>RF3358669</t>
  </si>
  <si>
    <t>RF2620732</t>
  </si>
  <si>
    <t>RF8518837</t>
  </si>
  <si>
    <t>P00739</t>
  </si>
  <si>
    <t>RX405605</t>
  </si>
  <si>
    <t>RF5211150</t>
  </si>
  <si>
    <t>RF4790510</t>
  </si>
  <si>
    <t>RF4166262</t>
  </si>
  <si>
    <t>RF4220169</t>
  </si>
  <si>
    <t>P00740</t>
  </si>
  <si>
    <t>RX763646</t>
  </si>
  <si>
    <t>RF5695809</t>
  </si>
  <si>
    <t>P00741</t>
  </si>
  <si>
    <t>RX703853</t>
  </si>
  <si>
    <t>RF6124861</t>
  </si>
  <si>
    <t>RF7119583</t>
  </si>
  <si>
    <t>RF3496881</t>
  </si>
  <si>
    <t>P00742</t>
  </si>
  <si>
    <t>RX441716</t>
  </si>
  <si>
    <t>RF2909580</t>
  </si>
  <si>
    <t>RF6535151</t>
  </si>
  <si>
    <t>P00743</t>
  </si>
  <si>
    <t>RX393916</t>
  </si>
  <si>
    <t>RF5617617</t>
  </si>
  <si>
    <t>RF7150322</t>
  </si>
  <si>
    <t>RF2891287</t>
  </si>
  <si>
    <t>P00744</t>
  </si>
  <si>
    <t>RX482746</t>
  </si>
  <si>
    <t>RF8001212</t>
  </si>
  <si>
    <t>RF2866435</t>
  </si>
  <si>
    <t>RF2611693</t>
  </si>
  <si>
    <t>RF6792785</t>
  </si>
  <si>
    <t>P00745</t>
  </si>
  <si>
    <t>RX691240</t>
  </si>
  <si>
    <t>RF4102154</t>
  </si>
  <si>
    <t>RF5740329</t>
  </si>
  <si>
    <t>RF9520491</t>
  </si>
  <si>
    <t>RF3248680</t>
  </si>
  <si>
    <t>RF7371521</t>
  </si>
  <si>
    <t>RF9825679</t>
  </si>
  <si>
    <t>P00746</t>
  </si>
  <si>
    <t>RX720995</t>
  </si>
  <si>
    <t>RF7575117</t>
  </si>
  <si>
    <t>RF4235031</t>
  </si>
  <si>
    <t>RF7872488</t>
  </si>
  <si>
    <t>RF9588481</t>
  </si>
  <si>
    <t>RF6820431</t>
  </si>
  <si>
    <t>P00747</t>
  </si>
  <si>
    <t>RX288667</t>
  </si>
  <si>
    <t>RF6323345</t>
  </si>
  <si>
    <t>P00748</t>
  </si>
  <si>
    <t>RX904905</t>
  </si>
  <si>
    <t>RF9884545</t>
  </si>
  <si>
    <t>P00749</t>
  </si>
  <si>
    <t>RX128223</t>
  </si>
  <si>
    <t>RF6116117</t>
  </si>
  <si>
    <t>RF5657916</t>
  </si>
  <si>
    <t>RF9080397</t>
  </si>
  <si>
    <t>P00750</t>
  </si>
  <si>
    <t>RX842776</t>
  </si>
  <si>
    <t>RF8813862</t>
  </si>
  <si>
    <t>RF6530928</t>
  </si>
  <si>
    <t>P00751</t>
  </si>
  <si>
    <t>RX559753</t>
  </si>
  <si>
    <t>RF2027744</t>
  </si>
  <si>
    <t>P00752</t>
  </si>
  <si>
    <t>RX971662</t>
  </si>
  <si>
    <t>RF7781942</t>
  </si>
  <si>
    <t>RF8541687</t>
  </si>
  <si>
    <t>RF3016729</t>
  </si>
  <si>
    <t>RF6490456</t>
  </si>
  <si>
    <t>P00753</t>
  </si>
  <si>
    <t>RX172518</t>
  </si>
  <si>
    <t>RF4797095</t>
  </si>
  <si>
    <t>P00754</t>
  </si>
  <si>
    <t>RX805668</t>
  </si>
  <si>
    <t>RF4540306</t>
  </si>
  <si>
    <t>RF2463006</t>
  </si>
  <si>
    <t>RF7428053</t>
  </si>
  <si>
    <t>P00755</t>
  </si>
  <si>
    <t>RX245939</t>
  </si>
  <si>
    <t>RF5064822</t>
  </si>
  <si>
    <t>RF9158352</t>
  </si>
  <si>
    <t>RF2674920</t>
  </si>
  <si>
    <t>P00756</t>
  </si>
  <si>
    <t>RX417543</t>
  </si>
  <si>
    <t>RF5855734</t>
  </si>
  <si>
    <t>P00757</t>
  </si>
  <si>
    <t>RX364955</t>
  </si>
  <si>
    <t>RF8429935</t>
  </si>
  <si>
    <t>RF7434077</t>
  </si>
  <si>
    <t>RF3481581</t>
  </si>
  <si>
    <t>RF2329933</t>
  </si>
  <si>
    <t>RF7542639</t>
  </si>
  <si>
    <t>P00758</t>
  </si>
  <si>
    <t>RX261630</t>
  </si>
  <si>
    <t>RF4507106</t>
  </si>
  <si>
    <t>P00759</t>
  </si>
  <si>
    <t>RX543681</t>
  </si>
  <si>
    <t>RF5272435</t>
  </si>
  <si>
    <t>P00760</t>
  </si>
  <si>
    <t>RX177558</t>
  </si>
  <si>
    <t>RF7289999</t>
  </si>
  <si>
    <t>P00761</t>
  </si>
  <si>
    <t>RX726979</t>
  </si>
  <si>
    <t>RF5013700</t>
  </si>
  <si>
    <t>RF2711878</t>
  </si>
  <si>
    <t>P00762</t>
  </si>
  <si>
    <t>RX710527</t>
  </si>
  <si>
    <t>RF5674073</t>
  </si>
  <si>
    <t>RF3589343</t>
  </si>
  <si>
    <t>RF2299458</t>
  </si>
  <si>
    <t>P00763</t>
  </si>
  <si>
    <t>RX660324</t>
  </si>
  <si>
    <t>RF2212773</t>
  </si>
  <si>
    <t>RF6973986</t>
  </si>
  <si>
    <t>RF6103980</t>
  </si>
  <si>
    <t>P00764</t>
  </si>
  <si>
    <t>RX825309</t>
  </si>
  <si>
    <t>RF2528420</t>
  </si>
  <si>
    <t>RF6534479</t>
  </si>
  <si>
    <t>P00765</t>
  </si>
  <si>
    <t>RX670053</t>
  </si>
  <si>
    <t>RF4581433</t>
  </si>
  <si>
    <t>RF6479013</t>
  </si>
  <si>
    <t>RF8809688</t>
  </si>
  <si>
    <t>P00766</t>
  </si>
  <si>
    <t>RX929130</t>
  </si>
  <si>
    <t>RF2137726</t>
  </si>
  <si>
    <t>RF4846129</t>
  </si>
  <si>
    <t>RF4832988</t>
  </si>
  <si>
    <t>RF8048286</t>
  </si>
  <si>
    <t>RF5401646</t>
  </si>
  <si>
    <t>RF3775685</t>
  </si>
  <si>
    <t>RF7484890</t>
  </si>
  <si>
    <t>P00767</t>
  </si>
  <si>
    <t>RX835716</t>
  </si>
  <si>
    <t>RF5845089</t>
  </si>
  <si>
    <t>RF9333785</t>
  </si>
  <si>
    <t>RF3249513</t>
  </si>
  <si>
    <t>P00768</t>
  </si>
  <si>
    <t>RX722665</t>
  </si>
  <si>
    <t>RF6859904</t>
  </si>
  <si>
    <t>RF9757917</t>
  </si>
  <si>
    <t>P00769</t>
  </si>
  <si>
    <t>RX189110</t>
  </si>
  <si>
    <t>RF2309352</t>
  </si>
  <si>
    <t>P00770</t>
  </si>
  <si>
    <t>RX906306</t>
  </si>
  <si>
    <t>RF3187746</t>
  </si>
  <si>
    <t>RF7484736</t>
  </si>
  <si>
    <t>RF5952876</t>
  </si>
  <si>
    <t>RF2384212</t>
  </si>
  <si>
    <t>RF7882904</t>
  </si>
  <si>
    <t>RF3095029</t>
  </si>
  <si>
    <t>P00771</t>
  </si>
  <si>
    <t>RX789545</t>
  </si>
  <si>
    <t>RF3444929</t>
  </si>
  <si>
    <t>RF2419078</t>
  </si>
  <si>
    <t>RF8884859</t>
  </si>
  <si>
    <t>RF2816146</t>
  </si>
  <si>
    <t>P00772</t>
  </si>
  <si>
    <t>RX472253</t>
  </si>
  <si>
    <t>RF7127334</t>
  </si>
  <si>
    <t>P00773</t>
  </si>
  <si>
    <t>RX778428</t>
  </si>
  <si>
    <t>RF9007441</t>
  </si>
  <si>
    <t>RF2536515</t>
  </si>
  <si>
    <t>RF8857438</t>
  </si>
  <si>
    <t>RF2957808</t>
  </si>
  <si>
    <t>RF6991032</t>
  </si>
  <si>
    <t>RF7164266</t>
  </si>
  <si>
    <t>P00774</t>
  </si>
  <si>
    <t>RX146448</t>
  </si>
  <si>
    <t>RF2529405</t>
  </si>
  <si>
    <t>RF3699877</t>
  </si>
  <si>
    <t>P00775</t>
  </si>
  <si>
    <t>RX776364</t>
  </si>
  <si>
    <t>RF4829839</t>
  </si>
  <si>
    <t>RF9012003</t>
  </si>
  <si>
    <t>P00776</t>
  </si>
  <si>
    <t>RX778159</t>
  </si>
  <si>
    <t>RF7690813</t>
  </si>
  <si>
    <t>P00777</t>
  </si>
  <si>
    <t>RX889245</t>
  </si>
  <si>
    <t>RF4719879</t>
  </si>
  <si>
    <t>RF7738549</t>
  </si>
  <si>
    <t>RF6579213</t>
  </si>
  <si>
    <t>P00778</t>
  </si>
  <si>
    <t>RX934908</t>
  </si>
  <si>
    <t>RF4697691</t>
  </si>
  <si>
    <t>RF8653019</t>
  </si>
  <si>
    <t>RF8410808</t>
  </si>
  <si>
    <t>RF6975159</t>
  </si>
  <si>
    <t>P00779</t>
  </si>
  <si>
    <t>RX211090</t>
  </si>
  <si>
    <t>RF4814409</t>
  </si>
  <si>
    <t>RF3012886</t>
  </si>
  <si>
    <t>RF3184780</t>
  </si>
  <si>
    <t>P00780</t>
  </si>
  <si>
    <t>RX203396</t>
  </si>
  <si>
    <t>RF5482566</t>
  </si>
  <si>
    <t>RF7840952</t>
  </si>
  <si>
    <t>RF6642320</t>
  </si>
  <si>
    <t>RF5679756</t>
  </si>
  <si>
    <t>RF9765129</t>
  </si>
  <si>
    <t>RF2341407</t>
  </si>
  <si>
    <t>RF2838591</t>
  </si>
  <si>
    <t>P00781</t>
  </si>
  <si>
    <t>RX332785</t>
  </si>
  <si>
    <t>RF5155215</t>
  </si>
  <si>
    <t>RF2131116</t>
  </si>
  <si>
    <t>P00782</t>
  </si>
  <si>
    <t>RX883132</t>
  </si>
  <si>
    <t>RF2677150</t>
  </si>
  <si>
    <t>RF2060599</t>
  </si>
  <si>
    <t>RF9768999</t>
  </si>
  <si>
    <t>P00783</t>
  </si>
  <si>
    <t>RX685098</t>
  </si>
  <si>
    <t>RF7928575</t>
  </si>
  <si>
    <t>P00784</t>
  </si>
  <si>
    <t>RX821068</t>
  </si>
  <si>
    <t>RF9439983</t>
  </si>
  <si>
    <t>RF5491525</t>
  </si>
  <si>
    <t>P00785</t>
  </si>
  <si>
    <t>RX331768</t>
  </si>
  <si>
    <t>RF8645796</t>
  </si>
  <si>
    <t>RF7807922</t>
  </si>
  <si>
    <t>P00786</t>
  </si>
  <si>
    <t>RX492292</t>
  </si>
  <si>
    <t>RF3729397</t>
  </si>
  <si>
    <t>RF7367247</t>
  </si>
  <si>
    <t>RF6387970</t>
  </si>
  <si>
    <t>RF5456369</t>
  </si>
  <si>
    <t>RF9869266</t>
  </si>
  <si>
    <t>RF7121563</t>
  </si>
  <si>
    <t>P00787</t>
  </si>
  <si>
    <t>RX585556</t>
  </si>
  <si>
    <t>RF2315589</t>
  </si>
  <si>
    <t>RF3509953</t>
  </si>
  <si>
    <t>RF6193361</t>
  </si>
  <si>
    <t>P00788</t>
  </si>
  <si>
    <t>RX717181</t>
  </si>
  <si>
    <t>RF9971677</t>
  </si>
  <si>
    <t>P00789</t>
  </si>
  <si>
    <t>RX624776</t>
  </si>
  <si>
    <t>RF7261264</t>
  </si>
  <si>
    <t>P00790</t>
  </si>
  <si>
    <t>RX461724</t>
  </si>
  <si>
    <t>RF5513030</t>
  </si>
  <si>
    <t>RF6678413</t>
  </si>
  <si>
    <t>P00791</t>
  </si>
  <si>
    <t>RX606222</t>
  </si>
  <si>
    <t>RF3609797</t>
  </si>
  <si>
    <t>RF6447631</t>
  </si>
  <si>
    <t>RF7191885</t>
  </si>
  <si>
    <t>RF9237112</t>
  </si>
  <si>
    <t>RF6527523</t>
  </si>
  <si>
    <t>RF3839421</t>
  </si>
  <si>
    <t>RF8462007</t>
  </si>
  <si>
    <t>P00792</t>
  </si>
  <si>
    <t>RX409783</t>
  </si>
  <si>
    <t>RF7530837</t>
  </si>
  <si>
    <t>RF4318834</t>
  </si>
  <si>
    <t>RF3625032</t>
  </si>
  <si>
    <t>RF8682473</t>
  </si>
  <si>
    <t>RF7748241</t>
  </si>
  <si>
    <t>RF9646085</t>
  </si>
  <si>
    <t>P00793</t>
  </si>
  <si>
    <t>RX190025</t>
  </si>
  <si>
    <t>RF6173456</t>
  </si>
  <si>
    <t>RF3340160</t>
  </si>
  <si>
    <t>RF9739942</t>
  </si>
  <si>
    <t>P00794</t>
  </si>
  <si>
    <t>RX971699</t>
  </si>
  <si>
    <t>RF2453216</t>
  </si>
  <si>
    <t>RF5055072</t>
  </si>
  <si>
    <t>RF3758166</t>
  </si>
  <si>
    <t>RF4108743</t>
  </si>
  <si>
    <t>RF7174255</t>
  </si>
  <si>
    <t>RF9466528</t>
  </si>
  <si>
    <t>RF5801277</t>
  </si>
  <si>
    <t>RF2875947</t>
  </si>
  <si>
    <t>RF2440037</t>
  </si>
  <si>
    <t>RF3475452</t>
  </si>
  <si>
    <t>RF8589184</t>
  </si>
  <si>
    <t>P00795</t>
  </si>
  <si>
    <t>RX465249</t>
  </si>
  <si>
    <t>RF6068989</t>
  </si>
  <si>
    <t>P00796</t>
  </si>
  <si>
    <t>RX459731</t>
  </si>
  <si>
    <t>RF2594412</t>
  </si>
  <si>
    <t>RF8051567</t>
  </si>
  <si>
    <t>P00797</t>
  </si>
  <si>
    <t>RX922366</t>
  </si>
  <si>
    <t>RF6971983</t>
  </si>
  <si>
    <t>RF4734453</t>
  </si>
  <si>
    <t>RF3667247</t>
  </si>
  <si>
    <t>P00798</t>
  </si>
  <si>
    <t>RX646428</t>
  </si>
  <si>
    <t>RF9536096</t>
  </si>
  <si>
    <t>RF3929910</t>
  </si>
  <si>
    <t>P00799</t>
  </si>
  <si>
    <t>RX465219</t>
  </si>
  <si>
    <t>RF4735795</t>
  </si>
  <si>
    <t>P00800</t>
  </si>
  <si>
    <t>RX202365</t>
  </si>
  <si>
    <t>RF2822621</t>
  </si>
  <si>
    <t>P00801</t>
  </si>
  <si>
    <t>RX857065</t>
  </si>
  <si>
    <t>RF8188677</t>
  </si>
  <si>
    <t>RF9297135</t>
  </si>
  <si>
    <t>RF5150193</t>
  </si>
  <si>
    <t>P00802</t>
  </si>
  <si>
    <t>RX574425</t>
  </si>
  <si>
    <t>RF2616811</t>
  </si>
  <si>
    <t>P00803</t>
  </si>
  <si>
    <t>RX170437</t>
  </si>
  <si>
    <t>RF6908109</t>
  </si>
  <si>
    <t>RF2455831</t>
  </si>
  <si>
    <t>RF3215855</t>
  </si>
  <si>
    <t>RF9783681</t>
  </si>
  <si>
    <t>P00804</t>
  </si>
  <si>
    <t>RX146853</t>
  </si>
  <si>
    <t>RF5816740</t>
  </si>
  <si>
    <t>RF5249162</t>
  </si>
  <si>
    <t>RF3144244</t>
  </si>
  <si>
    <t>RF8038298</t>
  </si>
  <si>
    <t>P00805</t>
  </si>
  <si>
    <t>RX220675</t>
  </si>
  <si>
    <t>RF7301777</t>
  </si>
  <si>
    <t>P00806</t>
  </si>
  <si>
    <t>RX990429</t>
  </si>
  <si>
    <t>RF4262361</t>
  </si>
  <si>
    <t>RF4817660</t>
  </si>
  <si>
    <t>RF2269228</t>
  </si>
  <si>
    <t>RF6770314</t>
  </si>
  <si>
    <t>RF4353878</t>
  </si>
  <si>
    <t>RF2932052</t>
  </si>
  <si>
    <t>RF5905184</t>
  </si>
  <si>
    <t>RF5508315</t>
  </si>
  <si>
    <t>RF8378190</t>
  </si>
  <si>
    <t>RF3844265</t>
  </si>
  <si>
    <t>RF7063665</t>
  </si>
  <si>
    <t>RF8623199</t>
  </si>
  <si>
    <t>RF7351925</t>
  </si>
  <si>
    <t>RF9596539</t>
  </si>
  <si>
    <t>P00807</t>
  </si>
  <si>
    <t>RX779445</t>
  </si>
  <si>
    <t>RF6849634</t>
  </si>
  <si>
    <t>RF9172293</t>
  </si>
  <si>
    <t>RF2725399</t>
  </si>
  <si>
    <t>RF9188816</t>
  </si>
  <si>
    <t>P00808</t>
  </si>
  <si>
    <t>RX810032</t>
  </si>
  <si>
    <t>RF6103819</t>
  </si>
  <si>
    <t>RF3815652</t>
  </si>
  <si>
    <t>RF5971913</t>
  </si>
  <si>
    <t>RF5881936</t>
  </si>
  <si>
    <t>RF2121667</t>
  </si>
  <si>
    <t>RF5591250</t>
  </si>
  <si>
    <t>P00809</t>
  </si>
  <si>
    <t>RX876459</t>
  </si>
  <si>
    <t>RF9319886</t>
  </si>
  <si>
    <t>RF4078960</t>
  </si>
  <si>
    <t>RF5642742</t>
  </si>
  <si>
    <t>P00810</t>
  </si>
  <si>
    <t>RX641058</t>
  </si>
  <si>
    <t>RF3865681</t>
  </si>
  <si>
    <t>RF9937740</t>
  </si>
  <si>
    <t>RF9665130</t>
  </si>
  <si>
    <t>P00811</t>
  </si>
  <si>
    <t>RX678719</t>
  </si>
  <si>
    <t>RF9535082</t>
  </si>
  <si>
    <t>RF5504524</t>
  </si>
  <si>
    <t>RF2336036</t>
  </si>
  <si>
    <t>RF8152845</t>
  </si>
  <si>
    <t>RF6229673</t>
  </si>
  <si>
    <t>RF5571010</t>
  </si>
  <si>
    <t>P00812</t>
  </si>
  <si>
    <t>RX447067</t>
  </si>
  <si>
    <t>RF5307797</t>
  </si>
  <si>
    <t>RF8792394</t>
  </si>
  <si>
    <t>RF7843953</t>
  </si>
  <si>
    <t>RF2822076</t>
  </si>
  <si>
    <t>RF6154752</t>
  </si>
  <si>
    <t>P00813</t>
  </si>
  <si>
    <t>RX547080</t>
  </si>
  <si>
    <t>RF2697022</t>
  </si>
  <si>
    <t>RF8317281</t>
  </si>
  <si>
    <t>P00814</t>
  </si>
  <si>
    <t>RX343118</t>
  </si>
  <si>
    <t>RF7814646</t>
  </si>
  <si>
    <t>RF5410959</t>
  </si>
  <si>
    <t>RF3113268</t>
  </si>
  <si>
    <t>RF4481269</t>
  </si>
  <si>
    <t>P00815</t>
  </si>
  <si>
    <t>RX760351</t>
  </si>
  <si>
    <t>RF7432799</t>
  </si>
  <si>
    <t>P00816</t>
  </si>
  <si>
    <t>RX295440</t>
  </si>
  <si>
    <t>RF2133631</t>
  </si>
  <si>
    <t>P00817</t>
  </si>
  <si>
    <t>RX789237</t>
  </si>
  <si>
    <t>RF4557154</t>
  </si>
  <si>
    <t>P00818</t>
  </si>
  <si>
    <t>RX514798</t>
  </si>
  <si>
    <t>RF7899745</t>
  </si>
  <si>
    <t>P00819</t>
  </si>
  <si>
    <t>RX873207</t>
  </si>
  <si>
    <t>RF9196772</t>
  </si>
  <si>
    <t>RF8268695</t>
  </si>
  <si>
    <t>RF2204795</t>
  </si>
  <si>
    <t>RF3162861</t>
  </si>
  <si>
    <t>RF7898322</t>
  </si>
  <si>
    <t>RF3551437</t>
  </si>
  <si>
    <t>RF9311106</t>
  </si>
  <si>
    <t>RF7258071</t>
  </si>
  <si>
    <t>RF7904758</t>
  </si>
  <si>
    <t>RF2011439</t>
  </si>
  <si>
    <t>RF7262215</t>
  </si>
  <si>
    <t>P00820</t>
  </si>
  <si>
    <t>RX306909</t>
  </si>
  <si>
    <t>RF5228601</t>
  </si>
  <si>
    <t>RF4792619</t>
  </si>
  <si>
    <t>P00821</t>
  </si>
  <si>
    <t>RX720970</t>
  </si>
  <si>
    <t>RF2274426</t>
  </si>
  <si>
    <t>RF5572727</t>
  </si>
  <si>
    <t>RF4263157</t>
  </si>
  <si>
    <t>P00822</t>
  </si>
  <si>
    <t>RX507723</t>
  </si>
  <si>
    <t>RF9936424</t>
  </si>
  <si>
    <t>RF6550275</t>
  </si>
  <si>
    <t>RF8664570</t>
  </si>
  <si>
    <t>P00823</t>
  </si>
  <si>
    <t>RX838968</t>
  </si>
  <si>
    <t>RF8607638</t>
  </si>
  <si>
    <t>P00824</t>
  </si>
  <si>
    <t>RX315780</t>
  </si>
  <si>
    <t>RF2679133</t>
  </si>
  <si>
    <t>RF9389082</t>
  </si>
  <si>
    <t>RF8172008</t>
  </si>
  <si>
    <t>RF6317922</t>
  </si>
  <si>
    <t>RF5053373</t>
  </si>
  <si>
    <t>P00825</t>
  </si>
  <si>
    <t>RX888870</t>
  </si>
  <si>
    <t>RF2930854</t>
  </si>
  <si>
    <t>RF5066798</t>
  </si>
  <si>
    <t>RF7193667</t>
  </si>
  <si>
    <t>RF5066633</t>
  </si>
  <si>
    <t>RF3470249</t>
  </si>
  <si>
    <t>P00826</t>
  </si>
  <si>
    <t>RX948014</t>
  </si>
  <si>
    <t>RF6687474</t>
  </si>
  <si>
    <t>P00827</t>
  </si>
  <si>
    <t>RX705393</t>
  </si>
  <si>
    <t>RF2562086</t>
  </si>
  <si>
    <t>RF7950351</t>
  </si>
  <si>
    <t>RF3717253</t>
  </si>
  <si>
    <t>RF4809593</t>
  </si>
  <si>
    <t>RF6526776</t>
  </si>
  <si>
    <t>RF7444528</t>
  </si>
  <si>
    <t>RF8185592</t>
  </si>
  <si>
    <t>P00828</t>
  </si>
  <si>
    <t>RX938338</t>
  </si>
  <si>
    <t>RF6866394</t>
  </si>
  <si>
    <t>RF7895879</t>
  </si>
  <si>
    <t>RF8318077</t>
  </si>
  <si>
    <t>RF8382773</t>
  </si>
  <si>
    <t>RF4688245</t>
  </si>
  <si>
    <t>RF9532408</t>
  </si>
  <si>
    <t>P00829</t>
  </si>
  <si>
    <t>RX296041</t>
  </si>
  <si>
    <t>RF7706155</t>
  </si>
  <si>
    <t>P00830</t>
  </si>
  <si>
    <t>RX441819</t>
  </si>
  <si>
    <t>RF4324863</t>
  </si>
  <si>
    <t>RF2531579</t>
  </si>
  <si>
    <t>RF4895970</t>
  </si>
  <si>
    <t>RF6078766</t>
  </si>
  <si>
    <t>P00831</t>
  </si>
  <si>
    <t>RX579776</t>
  </si>
  <si>
    <t>RF8958852</t>
  </si>
  <si>
    <t>RF5944020</t>
  </si>
  <si>
    <t>P00832</t>
  </si>
  <si>
    <t>RX375097</t>
  </si>
  <si>
    <t>RF7690062</t>
  </si>
  <si>
    <t>RF5791469</t>
  </si>
  <si>
    <t>RF5088231</t>
  </si>
  <si>
    <t>P00833</t>
  </si>
  <si>
    <t>RX613261</t>
  </si>
  <si>
    <t>RF7648104</t>
  </si>
  <si>
    <t>P00834</t>
  </si>
  <si>
    <t>RX770153</t>
  </si>
  <si>
    <t>RF8784671</t>
  </si>
  <si>
    <t>RF3580024</t>
  </si>
  <si>
    <t>P00835</t>
  </si>
  <si>
    <t>RX725969</t>
  </si>
  <si>
    <t>RF2732398</t>
  </si>
  <si>
    <t>RF5277282</t>
  </si>
  <si>
    <t>RF4419045</t>
  </si>
  <si>
    <t>RF2917419</t>
  </si>
  <si>
    <t>P00836</t>
  </si>
  <si>
    <t>RX741003</t>
  </si>
  <si>
    <t>RF4314775</t>
  </si>
  <si>
    <t>P00837</t>
  </si>
  <si>
    <t>RX715519</t>
  </si>
  <si>
    <t>RF7847548</t>
  </si>
  <si>
    <t>RF6163507</t>
  </si>
  <si>
    <t>RF9339974</t>
  </si>
  <si>
    <t>RF6367844</t>
  </si>
  <si>
    <t>P00838</t>
  </si>
  <si>
    <t>RX464825</t>
  </si>
  <si>
    <t>RF2190339</t>
  </si>
  <si>
    <t>RF5494162</t>
  </si>
  <si>
    <t>RF6541885</t>
  </si>
  <si>
    <t>RF5975402</t>
  </si>
  <si>
    <t>RF5524305</t>
  </si>
  <si>
    <t>RF8188353</t>
  </si>
  <si>
    <t>RF2180206</t>
  </si>
  <si>
    <t>RF3585955</t>
  </si>
  <si>
    <t>P00839</t>
  </si>
  <si>
    <t>RX986589</t>
  </si>
  <si>
    <t>RF2184856</t>
  </si>
  <si>
    <t>RF8727572</t>
  </si>
  <si>
    <t>RF9004047</t>
  </si>
  <si>
    <t>RF7407900</t>
  </si>
  <si>
    <t>P00840</t>
  </si>
  <si>
    <t>RX747351</t>
  </si>
  <si>
    <t>RF6854526</t>
  </si>
  <si>
    <t>RF7500917</t>
  </si>
  <si>
    <t>P00841</t>
  </si>
  <si>
    <t>RX953266</t>
  </si>
  <si>
    <t>RF4737256</t>
  </si>
  <si>
    <t>RF6977441</t>
  </si>
  <si>
    <t>P00842</t>
  </si>
  <si>
    <t>RX840282</t>
  </si>
  <si>
    <t>RF7845715</t>
  </si>
  <si>
    <t>P00843</t>
  </si>
  <si>
    <t>RX744333</t>
  </si>
  <si>
    <t>RF9062435</t>
  </si>
  <si>
    <t>RF5735080</t>
  </si>
  <si>
    <t>RF4550827</t>
  </si>
  <si>
    <t>RF3106912</t>
  </si>
  <si>
    <t>P00844</t>
  </si>
  <si>
    <t>RX188868</t>
  </si>
  <si>
    <t>RF4571066</t>
  </si>
  <si>
    <t>RF8620857</t>
  </si>
  <si>
    <t>P00845</t>
  </si>
  <si>
    <t>RX240454</t>
  </si>
  <si>
    <t>RF3902384</t>
  </si>
  <si>
    <t>P00846</t>
  </si>
  <si>
    <t>RX223586</t>
  </si>
  <si>
    <t>RF5119742</t>
  </si>
  <si>
    <t>RF8457128</t>
  </si>
  <si>
    <t>RF2396940</t>
  </si>
  <si>
    <t>RF4962192</t>
  </si>
  <si>
    <t>P00847</t>
  </si>
  <si>
    <t>RX420214</t>
  </si>
  <si>
    <t>RF5824588</t>
  </si>
  <si>
    <t>RF7189446</t>
  </si>
  <si>
    <t>RF7971113</t>
  </si>
  <si>
    <t>RF4392821</t>
  </si>
  <si>
    <t>RF3471020</t>
  </si>
  <si>
    <t>P00848</t>
  </si>
  <si>
    <t>RX291936</t>
  </si>
  <si>
    <t>RF7940066</t>
  </si>
  <si>
    <t>RF9589267</t>
  </si>
  <si>
    <t>RF8664390</t>
  </si>
  <si>
    <t>RF3352702</t>
  </si>
  <si>
    <t>RF2980773</t>
  </si>
  <si>
    <t>RF4656050</t>
  </si>
  <si>
    <t>P00849</t>
  </si>
  <si>
    <t>RX827120</t>
  </si>
  <si>
    <t>RF3060936</t>
  </si>
  <si>
    <t>RF4184453</t>
  </si>
  <si>
    <t>P00850</t>
  </si>
  <si>
    <t>RX635638</t>
  </si>
  <si>
    <t>RF3720967</t>
  </si>
  <si>
    <t>RF2290993</t>
  </si>
  <si>
    <t>RF4658716</t>
  </si>
  <si>
    <t>P00851</t>
  </si>
  <si>
    <t>RX538555</t>
  </si>
  <si>
    <t>RF3241046</t>
  </si>
  <si>
    <t>RF5761695</t>
  </si>
  <si>
    <t>RF3363967</t>
  </si>
  <si>
    <t>RF4529666</t>
  </si>
  <si>
    <t>P00852</t>
  </si>
  <si>
    <t>RX244564</t>
  </si>
  <si>
    <t>RF9721159</t>
  </si>
  <si>
    <t>P00853</t>
  </si>
  <si>
    <t>RX502349</t>
  </si>
  <si>
    <t>RF5393714</t>
  </si>
  <si>
    <t>P00854</t>
  </si>
  <si>
    <t>RX294776</t>
  </si>
  <si>
    <t>RF8446797</t>
  </si>
  <si>
    <t>RF9950630</t>
  </si>
  <si>
    <t>RF9783045</t>
  </si>
  <si>
    <t>P00855</t>
  </si>
  <si>
    <t>RX766371</t>
  </si>
  <si>
    <t>RF2036023</t>
  </si>
  <si>
    <t>RF6256455</t>
  </si>
  <si>
    <t>RF7429475</t>
  </si>
  <si>
    <t>P00856</t>
  </si>
  <si>
    <t>RX827117</t>
  </si>
  <si>
    <t>RF4479310</t>
  </si>
  <si>
    <t>RF9516003</t>
  </si>
  <si>
    <t>RF9918925</t>
  </si>
  <si>
    <t>P00857</t>
  </si>
  <si>
    <t>RX281649</t>
  </si>
  <si>
    <t>RF3233825</t>
  </si>
  <si>
    <t>P00858</t>
  </si>
  <si>
    <t>RX274971</t>
  </si>
  <si>
    <t>RF6741505</t>
  </si>
  <si>
    <t>RF9607467</t>
  </si>
  <si>
    <t>P00859</t>
  </si>
  <si>
    <t>RX402865</t>
  </si>
  <si>
    <t>RF4841090</t>
  </si>
  <si>
    <t>RF2942171</t>
  </si>
  <si>
    <t>RF6017985</t>
  </si>
  <si>
    <t>P00860</t>
  </si>
  <si>
    <t>RX296187</t>
  </si>
  <si>
    <t>RF3169567</t>
  </si>
  <si>
    <t>RF6621787</t>
  </si>
  <si>
    <t>RF4584380</t>
  </si>
  <si>
    <t>RF5369115</t>
  </si>
  <si>
    <t>RF9053786</t>
  </si>
  <si>
    <t>RF5741090</t>
  </si>
  <si>
    <t>RF2775787</t>
  </si>
  <si>
    <t>RF2461655</t>
  </si>
  <si>
    <t>RF7379720</t>
  </si>
  <si>
    <t>RF6894177</t>
  </si>
  <si>
    <t>RF3863477</t>
  </si>
  <si>
    <t>RF9848927</t>
  </si>
  <si>
    <t>P00861</t>
  </si>
  <si>
    <t>RX982885</t>
  </si>
  <si>
    <t>RF4331422</t>
  </si>
  <si>
    <t>RF2189151</t>
  </si>
  <si>
    <t>RF6516529</t>
  </si>
  <si>
    <t>RF5736773</t>
  </si>
  <si>
    <t>P00862</t>
  </si>
  <si>
    <t>RX749498</t>
  </si>
  <si>
    <t>RF7633434</t>
  </si>
  <si>
    <t>RF6293184</t>
  </si>
  <si>
    <t>RF3631165</t>
  </si>
  <si>
    <t>P00863</t>
  </si>
  <si>
    <t>RX476479</t>
  </si>
  <si>
    <t>RF4665545</t>
  </si>
  <si>
    <t>RF7075760</t>
  </si>
  <si>
    <t>RF9913830</t>
  </si>
  <si>
    <t>RF9620605</t>
  </si>
  <si>
    <t>RF5028831</t>
  </si>
  <si>
    <t>RF3241060</t>
  </si>
  <si>
    <t>RF9162227</t>
  </si>
  <si>
    <t>P00864</t>
  </si>
  <si>
    <t>RX608149</t>
  </si>
  <si>
    <t>RF5100680</t>
  </si>
  <si>
    <t>RF5127534</t>
  </si>
  <si>
    <t>RF4387820</t>
  </si>
  <si>
    <t>RF4947379</t>
  </si>
  <si>
    <t>RF5737762</t>
  </si>
  <si>
    <t>RF6706286</t>
  </si>
  <si>
    <t>RF3809382</t>
  </si>
  <si>
    <t>P00865</t>
  </si>
  <si>
    <t>RX304607</t>
  </si>
  <si>
    <t>RF9447447</t>
  </si>
  <si>
    <t>RF8220384</t>
  </si>
  <si>
    <t>RF8741802</t>
  </si>
  <si>
    <t>RF4421237</t>
  </si>
  <si>
    <t>RF8758473</t>
  </si>
  <si>
    <t>RF9530651</t>
  </si>
  <si>
    <t>RF8111986</t>
  </si>
  <si>
    <t>RF3170778</t>
  </si>
  <si>
    <t>P00866</t>
  </si>
  <si>
    <t>RX688861</t>
  </si>
  <si>
    <t>RF2722074</t>
  </si>
  <si>
    <t>RF3743016</t>
  </si>
  <si>
    <t>P00867</t>
  </si>
  <si>
    <t>RX784793</t>
  </si>
  <si>
    <t>RF5981343</t>
  </si>
  <si>
    <t>RF6406544</t>
  </si>
  <si>
    <t>P00868</t>
  </si>
  <si>
    <t>RX529008</t>
  </si>
  <si>
    <t>RF2554619</t>
  </si>
  <si>
    <t>RF8342744</t>
  </si>
  <si>
    <t>P00869</t>
  </si>
  <si>
    <t>RX615611</t>
  </si>
  <si>
    <t>RF2055523</t>
  </si>
  <si>
    <t>P00870</t>
  </si>
  <si>
    <t>RX844638</t>
  </si>
  <si>
    <t>RF9670631</t>
  </si>
  <si>
    <t>RF5477195</t>
  </si>
  <si>
    <t>P00871</t>
  </si>
  <si>
    <t>RX612438</t>
  </si>
  <si>
    <t>RF6662504</t>
  </si>
  <si>
    <t>P00872</t>
  </si>
  <si>
    <t>RX186686</t>
  </si>
  <si>
    <t>RF6764027</t>
  </si>
  <si>
    <t>RF3671493</t>
  </si>
  <si>
    <t>P00873</t>
  </si>
  <si>
    <t>RX132359</t>
  </si>
  <si>
    <t>RF8981701</t>
  </si>
  <si>
    <t>RF4428193</t>
  </si>
  <si>
    <t>P00874</t>
  </si>
  <si>
    <t>RX406278</t>
  </si>
  <si>
    <t>RF2354275</t>
  </si>
  <si>
    <t>RF9001008</t>
  </si>
  <si>
    <t>P00875</t>
  </si>
  <si>
    <t>RX388204</t>
  </si>
  <si>
    <t>RF4549418</t>
  </si>
  <si>
    <t>RF6691589</t>
  </si>
  <si>
    <t>RF5887715</t>
  </si>
  <si>
    <t>RF2225150</t>
  </si>
  <si>
    <t>RF2020524</t>
  </si>
  <si>
    <t>RF4203494</t>
  </si>
  <si>
    <t>RF7373366</t>
  </si>
  <si>
    <t>P00876</t>
  </si>
  <si>
    <t>RX663723</t>
  </si>
  <si>
    <t>RF3041671</t>
  </si>
  <si>
    <t>RF9488397</t>
  </si>
  <si>
    <t>RF5499364</t>
  </si>
  <si>
    <t>P00877</t>
  </si>
  <si>
    <t>RX276379</t>
  </si>
  <si>
    <t>RF6126243</t>
  </si>
  <si>
    <t>P00878</t>
  </si>
  <si>
    <t>RX693127</t>
  </si>
  <si>
    <t>RF7408855</t>
  </si>
  <si>
    <t>RF2238593</t>
  </si>
  <si>
    <t>RF8414922</t>
  </si>
  <si>
    <t>P00879</t>
  </si>
  <si>
    <t>RX676429</t>
  </si>
  <si>
    <t>RF6136005</t>
  </si>
  <si>
    <t>RF7023864</t>
  </si>
  <si>
    <t>RF5034658</t>
  </si>
  <si>
    <t>P00880</t>
  </si>
  <si>
    <t>RX218710</t>
  </si>
  <si>
    <t>RF6030607</t>
  </si>
  <si>
    <t>RF5658007</t>
  </si>
  <si>
    <t>P00881</t>
  </si>
  <si>
    <t>RX219754</t>
  </si>
  <si>
    <t>RF4163518</t>
  </si>
  <si>
    <t>RF7753853</t>
  </si>
  <si>
    <t>P00882</t>
  </si>
  <si>
    <t>RX912764</t>
  </si>
  <si>
    <t>RF7823749</t>
  </si>
  <si>
    <t>RF3003140</t>
  </si>
  <si>
    <t>RF6299378</t>
  </si>
  <si>
    <t>RF6825661</t>
  </si>
  <si>
    <t>P00883</t>
  </si>
  <si>
    <t>RX963274</t>
  </si>
  <si>
    <t>RF9090723</t>
  </si>
  <si>
    <t>RF3366061</t>
  </si>
  <si>
    <t>P00884</t>
  </si>
  <si>
    <t>RX668373</t>
  </si>
  <si>
    <t>RF2490820</t>
  </si>
  <si>
    <t>RF4681679</t>
  </si>
  <si>
    <t>RF9367859</t>
  </si>
  <si>
    <t>RF3136634</t>
  </si>
  <si>
    <t>P00885</t>
  </si>
  <si>
    <t>RX896922</t>
  </si>
  <si>
    <t>RF2443659</t>
  </si>
  <si>
    <t>RF5029658</t>
  </si>
  <si>
    <t>P00886</t>
  </si>
  <si>
    <t>RX672892</t>
  </si>
  <si>
    <t>RF7337227</t>
  </si>
  <si>
    <t>RF2408650</t>
  </si>
  <si>
    <t>RF4446655</t>
  </si>
  <si>
    <t>P00887</t>
  </si>
  <si>
    <t>RX545807</t>
  </si>
  <si>
    <t>RF9854396</t>
  </si>
  <si>
    <t>RF6310624</t>
  </si>
  <si>
    <t>P00888</t>
  </si>
  <si>
    <t>RX871740</t>
  </si>
  <si>
    <t>RF8429385</t>
  </si>
  <si>
    <t>RF3537191</t>
  </si>
  <si>
    <t>RF2792796</t>
  </si>
  <si>
    <t>RF8313505</t>
  </si>
  <si>
    <t>RF6560989</t>
  </si>
  <si>
    <t>RF9318583</t>
  </si>
  <si>
    <t>RF8935885</t>
  </si>
  <si>
    <t>RF7745920</t>
  </si>
  <si>
    <t>RF4525577</t>
  </si>
  <si>
    <t>RF7749918</t>
  </si>
  <si>
    <t>RF7774270</t>
  </si>
  <si>
    <t>P00889</t>
  </si>
  <si>
    <t>RX887842</t>
  </si>
  <si>
    <t>RF2803908</t>
  </si>
  <si>
    <t>P00890</t>
  </si>
  <si>
    <t>RX412170</t>
  </si>
  <si>
    <t>RF6865783</t>
  </si>
  <si>
    <t>RF8906465</t>
  </si>
  <si>
    <t>RF2108193</t>
  </si>
  <si>
    <t>RF6346731</t>
  </si>
  <si>
    <t>RF5129069</t>
  </si>
  <si>
    <t>P00891</t>
  </si>
  <si>
    <t>RX571578</t>
  </si>
  <si>
    <t>RF6067627</t>
  </si>
  <si>
    <t>RF4854753</t>
  </si>
  <si>
    <t>RF2859143</t>
  </si>
  <si>
    <t>RF3296500</t>
  </si>
  <si>
    <t>RF3854834</t>
  </si>
  <si>
    <t>RF3580554</t>
  </si>
  <si>
    <t>P00892</t>
  </si>
  <si>
    <t>RX465509</t>
  </si>
  <si>
    <t>RF7785227</t>
  </si>
  <si>
    <t>RF6463541</t>
  </si>
  <si>
    <t>RF6623069</t>
  </si>
  <si>
    <t>P00893</t>
  </si>
  <si>
    <t>RX560398</t>
  </si>
  <si>
    <t>RF8344360</t>
  </si>
  <si>
    <t>RF2956022</t>
  </si>
  <si>
    <t>RF5862881</t>
  </si>
  <si>
    <t>RF2977823</t>
  </si>
  <si>
    <t>RF3100855</t>
  </si>
  <si>
    <t>RF6022490</t>
  </si>
  <si>
    <t>RF4613667</t>
  </si>
  <si>
    <t>RF5041445</t>
  </si>
  <si>
    <t>RF8853817</t>
  </si>
  <si>
    <t>RF9463565</t>
  </si>
  <si>
    <t>RF6388257</t>
  </si>
  <si>
    <t>RF4869282</t>
  </si>
  <si>
    <t>P00894</t>
  </si>
  <si>
    <t>RX913308</t>
  </si>
  <si>
    <t>RF7955029</t>
  </si>
  <si>
    <t>RF2241252</t>
  </si>
  <si>
    <t>RF8833142</t>
  </si>
  <si>
    <t>RF3865272</t>
  </si>
  <si>
    <t>RF9187486</t>
  </si>
  <si>
    <t>RF3194196</t>
  </si>
  <si>
    <t>P00895</t>
  </si>
  <si>
    <t>RX320073</t>
  </si>
  <si>
    <t>RF3900644</t>
  </si>
  <si>
    <t>RF3051463</t>
  </si>
  <si>
    <t>RF3092349</t>
  </si>
  <si>
    <t>RF5563523</t>
  </si>
  <si>
    <t>RF8400706</t>
  </si>
  <si>
    <t>P00896</t>
  </si>
  <si>
    <t>RX822608</t>
  </si>
  <si>
    <t>RF2652090</t>
  </si>
  <si>
    <t>P00897</t>
  </si>
  <si>
    <t>RX845279</t>
  </si>
  <si>
    <t>RF8498590</t>
  </si>
  <si>
    <t>RF8352978</t>
  </si>
  <si>
    <t>RF2356657</t>
  </si>
  <si>
    <t>RF2904437</t>
  </si>
  <si>
    <t>P00898</t>
  </si>
  <si>
    <t>RX763508</t>
  </si>
  <si>
    <t>RF8652629</t>
  </si>
  <si>
    <t>RF6307375</t>
  </si>
  <si>
    <t>P00899</t>
  </si>
  <si>
    <t>RX274044</t>
  </si>
  <si>
    <t>RF2497152</t>
  </si>
  <si>
    <t>RF2997591</t>
  </si>
  <si>
    <t>RF2363071</t>
  </si>
  <si>
    <t>P00900</t>
  </si>
  <si>
    <t>RX245998</t>
  </si>
  <si>
    <t>RF4530388</t>
  </si>
  <si>
    <t>RF2086171</t>
  </si>
  <si>
    <t>P00901</t>
  </si>
  <si>
    <t>RX953047</t>
  </si>
  <si>
    <t>RF2809530</t>
  </si>
  <si>
    <t>RF3038455</t>
  </si>
  <si>
    <t>RF3723030</t>
  </si>
  <si>
    <t>RF9559602</t>
  </si>
  <si>
    <t>RF3550062</t>
  </si>
  <si>
    <t>P00902</t>
  </si>
  <si>
    <t>RX944565</t>
  </si>
  <si>
    <t>RF2245443</t>
  </si>
  <si>
    <t>RF3221020</t>
  </si>
  <si>
    <t>P00903</t>
  </si>
  <si>
    <t>RX697766</t>
  </si>
  <si>
    <t>RF8259562</t>
  </si>
  <si>
    <t>RF9959040</t>
  </si>
  <si>
    <t>RF4917864</t>
  </si>
  <si>
    <t>RF3346852</t>
  </si>
  <si>
    <t>RF6199625</t>
  </si>
  <si>
    <t>RF8111554</t>
  </si>
  <si>
    <t>P00904</t>
  </si>
  <si>
    <t>RX658136</t>
  </si>
  <si>
    <t>RF4028554</t>
  </si>
  <si>
    <t>RF6783480</t>
  </si>
  <si>
    <t>RF2831358</t>
  </si>
  <si>
    <t>RF6849736</t>
  </si>
  <si>
    <t>P00905</t>
  </si>
  <si>
    <t>RX725850</t>
  </si>
  <si>
    <t>RF6436220</t>
  </si>
  <si>
    <t>P00906</t>
  </si>
  <si>
    <t>RX276556</t>
  </si>
  <si>
    <t>RF8004663</t>
  </si>
  <si>
    <t>RF4364386</t>
  </si>
  <si>
    <t>P00907</t>
  </si>
  <si>
    <t>RX838253</t>
  </si>
  <si>
    <t>RF9563674</t>
  </si>
  <si>
    <t>RF6505743</t>
  </si>
  <si>
    <t>RF8084671</t>
  </si>
  <si>
    <t>RF9753020</t>
  </si>
  <si>
    <t>P00908</t>
  </si>
  <si>
    <t>RX403387</t>
  </si>
  <si>
    <t>RF9721522</t>
  </si>
  <si>
    <t>RF9141195</t>
  </si>
  <si>
    <t>RF5982202</t>
  </si>
  <si>
    <t>RF7856363</t>
  </si>
  <si>
    <t>P00909</t>
  </si>
  <si>
    <t>RX380329</t>
  </si>
  <si>
    <t>RF5688184</t>
  </si>
  <si>
    <t>RF3517067</t>
  </si>
  <si>
    <t>RF5184441</t>
  </si>
  <si>
    <t>P00910</t>
  </si>
  <si>
    <t>RX812296</t>
  </si>
  <si>
    <t>RF3797460</t>
  </si>
  <si>
    <t>RF3908863</t>
  </si>
  <si>
    <t>P00911</t>
  </si>
  <si>
    <t>RX242175</t>
  </si>
  <si>
    <t>RF2946616</t>
  </si>
  <si>
    <t>RF4636374</t>
  </si>
  <si>
    <t>RF5908266</t>
  </si>
  <si>
    <t>RF6359790</t>
  </si>
  <si>
    <t>RF6159206</t>
  </si>
  <si>
    <t>RF5030388</t>
  </si>
  <si>
    <t>P00912</t>
  </si>
  <si>
    <t>RX162165</t>
  </si>
  <si>
    <t>RF4418194</t>
  </si>
  <si>
    <t>RF8057720</t>
  </si>
  <si>
    <t>RF2689945</t>
  </si>
  <si>
    <t>P00913</t>
  </si>
  <si>
    <t>RX787757</t>
  </si>
  <si>
    <t>RF6141563</t>
  </si>
  <si>
    <t>RF5227777</t>
  </si>
  <si>
    <t>RF5833138</t>
  </si>
  <si>
    <t>RF8175478</t>
  </si>
  <si>
    <t>P00914</t>
  </si>
  <si>
    <t>RX835499</t>
  </si>
  <si>
    <t>RF9055575</t>
  </si>
  <si>
    <t>RF3894763</t>
  </si>
  <si>
    <t>P00915</t>
  </si>
  <si>
    <t>RX361805</t>
  </si>
  <si>
    <t>RF5416530</t>
  </si>
  <si>
    <t>RF9175327</t>
  </si>
  <si>
    <t>RF3583643</t>
  </si>
  <si>
    <t>RF2583923</t>
  </si>
  <si>
    <t>RF8731324</t>
  </si>
  <si>
    <t>RF9877590</t>
  </si>
  <si>
    <t>P00916</t>
  </si>
  <si>
    <t>RX845951</t>
  </si>
  <si>
    <t>RF5082321</t>
  </si>
  <si>
    <t>RF2107255</t>
  </si>
  <si>
    <t>RF6124245</t>
  </si>
  <si>
    <t>RF2882245</t>
  </si>
  <si>
    <t>RF5674699</t>
  </si>
  <si>
    <t>RF7524303</t>
  </si>
  <si>
    <t>P00917</t>
  </si>
  <si>
    <t>RX968726</t>
  </si>
  <si>
    <t>RF2713081</t>
  </si>
  <si>
    <t>RF3202654</t>
  </si>
  <si>
    <t>RF5360680</t>
  </si>
  <si>
    <t>RF6953953</t>
  </si>
  <si>
    <t>RF8219583</t>
  </si>
  <si>
    <t>P00918</t>
  </si>
  <si>
    <t>RX898462</t>
  </si>
  <si>
    <t>RF2542830</t>
  </si>
  <si>
    <t>RF3670057</t>
  </si>
  <si>
    <t>RF3679931</t>
  </si>
  <si>
    <t>RF9080232</t>
  </si>
  <si>
    <t>RF3029803</t>
  </si>
  <si>
    <t>P00919</t>
  </si>
  <si>
    <t>RX511776</t>
  </si>
  <si>
    <t>RF9030568</t>
  </si>
  <si>
    <t>P00920</t>
  </si>
  <si>
    <t>RX249077</t>
  </si>
  <si>
    <t>RF8083422</t>
  </si>
  <si>
    <t>RF4336381</t>
  </si>
  <si>
    <t>RF7985219</t>
  </si>
  <si>
    <t>P00921</t>
  </si>
  <si>
    <t>RX763121</t>
  </si>
  <si>
    <t>RF6881487</t>
  </si>
  <si>
    <t>RF4289861</t>
  </si>
  <si>
    <t>P00922</t>
  </si>
  <si>
    <t>RX758309</t>
  </si>
  <si>
    <t>RF8622745</t>
  </si>
  <si>
    <t>RF7400847</t>
  </si>
  <si>
    <t>RF4987160</t>
  </si>
  <si>
    <t>RF7592492</t>
  </si>
  <si>
    <t>P00923</t>
  </si>
  <si>
    <t>RX493396</t>
  </si>
  <si>
    <t>RF6064556</t>
  </si>
  <si>
    <t>RF3236263</t>
  </si>
  <si>
    <t>RF2906277</t>
  </si>
  <si>
    <t>P00924</t>
  </si>
  <si>
    <t>RX179184</t>
  </si>
  <si>
    <t>RF4102938</t>
  </si>
  <si>
    <t>P00925</t>
  </si>
  <si>
    <t>RX933197</t>
  </si>
  <si>
    <t>RF6171434</t>
  </si>
  <si>
    <t>RF7271158</t>
  </si>
  <si>
    <t>P00926</t>
  </si>
  <si>
    <t>RX522419</t>
  </si>
  <si>
    <t>RF2249338</t>
  </si>
  <si>
    <t>RF8189101</t>
  </si>
  <si>
    <t>RF8965165</t>
  </si>
  <si>
    <t>RF6178658</t>
  </si>
  <si>
    <t>RF2224385</t>
  </si>
  <si>
    <t>RF5209758</t>
  </si>
  <si>
    <t>RF7697579</t>
  </si>
  <si>
    <t>RF3281247</t>
  </si>
  <si>
    <t>RF7217435</t>
  </si>
  <si>
    <t>RF2808105</t>
  </si>
  <si>
    <t>RF2641873</t>
  </si>
  <si>
    <t>RF8304959</t>
  </si>
  <si>
    <t>P00927</t>
  </si>
  <si>
    <t>RX886224</t>
  </si>
  <si>
    <t>RF8438861</t>
  </si>
  <si>
    <t>RF8649913</t>
  </si>
  <si>
    <t>P00928</t>
  </si>
  <si>
    <t>RX828449</t>
  </si>
  <si>
    <t>RF3693926</t>
  </si>
  <si>
    <t>RF7554040</t>
  </si>
  <si>
    <t>RF6112518</t>
  </si>
  <si>
    <t>RF4195007</t>
  </si>
  <si>
    <t>RF4882456</t>
  </si>
  <si>
    <t>P00929</t>
  </si>
  <si>
    <t>RX576782</t>
  </si>
  <si>
    <t>RF9211454</t>
  </si>
  <si>
    <t>RF6585381</t>
  </si>
  <si>
    <t>RF9990824</t>
  </si>
  <si>
    <t>RF2265067</t>
  </si>
  <si>
    <t>P00930</t>
  </si>
  <si>
    <t>RX443187</t>
  </si>
  <si>
    <t>RF9383029</t>
  </si>
  <si>
    <t>RF5218120</t>
  </si>
  <si>
    <t>RF4638713</t>
  </si>
  <si>
    <t>P00931</t>
  </si>
  <si>
    <t>RX102593</t>
  </si>
  <si>
    <t>RF5855876</t>
  </si>
  <si>
    <t>RF2275647</t>
  </si>
  <si>
    <t>P00932</t>
  </si>
  <si>
    <t>RX866437</t>
  </si>
  <si>
    <t>RF6669657</t>
  </si>
  <si>
    <t>RF9217228</t>
  </si>
  <si>
    <t>RF4542122</t>
  </si>
  <si>
    <t>RF3376941</t>
  </si>
  <si>
    <t>RF5612815</t>
  </si>
  <si>
    <t>RF4621101</t>
  </si>
  <si>
    <t>P00933</t>
  </si>
  <si>
    <t>RX765678</t>
  </si>
  <si>
    <t>RF5263843</t>
  </si>
  <si>
    <t>RF8408989</t>
  </si>
  <si>
    <t>RF6771903</t>
  </si>
  <si>
    <t>P00934</t>
  </si>
  <si>
    <t>RX831160</t>
  </si>
  <si>
    <t>RF6115062</t>
  </si>
  <si>
    <t>P00935</t>
  </si>
  <si>
    <t>RX991401</t>
  </si>
  <si>
    <t>RF7749335</t>
  </si>
  <si>
    <t>RF5941122</t>
  </si>
  <si>
    <t>RF6716540</t>
  </si>
  <si>
    <t>P00936</t>
  </si>
  <si>
    <t>RX934328</t>
  </si>
  <si>
    <t>RF3311231</t>
  </si>
  <si>
    <t>RF2467556</t>
  </si>
  <si>
    <t>RF4209483</t>
  </si>
  <si>
    <t>RF6958045</t>
  </si>
  <si>
    <t>RF7175265</t>
  </si>
  <si>
    <t>RF4959196</t>
  </si>
  <si>
    <t>P00937</t>
  </si>
  <si>
    <t>RX517035</t>
  </si>
  <si>
    <t>RF4386035</t>
  </si>
  <si>
    <t>RF2515261</t>
  </si>
  <si>
    <t>P00938</t>
  </si>
  <si>
    <t>RX550513</t>
  </si>
  <si>
    <t>RF6953166</t>
  </si>
  <si>
    <t>RF3075403</t>
  </si>
  <si>
    <t>RF5073670</t>
  </si>
  <si>
    <t>RF8791026</t>
  </si>
  <si>
    <t>RF6898670</t>
  </si>
  <si>
    <t>P00939</t>
  </si>
  <si>
    <t>RX618746</t>
  </si>
  <si>
    <t>RF8418912</t>
  </si>
  <si>
    <t>RF4862667</t>
  </si>
  <si>
    <t>RF2816631</t>
  </si>
  <si>
    <t>RF4895269</t>
  </si>
  <si>
    <t>RF5455515</t>
  </si>
  <si>
    <t>RF2473530</t>
  </si>
  <si>
    <t>RF4048740</t>
  </si>
  <si>
    <t>P00940</t>
  </si>
  <si>
    <t>RX438548</t>
  </si>
  <si>
    <t>RF3968152</t>
  </si>
  <si>
    <t>P00941</t>
  </si>
  <si>
    <t>RX454161</t>
  </si>
  <si>
    <t>RF6970515</t>
  </si>
  <si>
    <t>RF9636896</t>
  </si>
  <si>
    <t>P00942</t>
  </si>
  <si>
    <t>RX706007</t>
  </si>
  <si>
    <t>RF9289196</t>
  </si>
  <si>
    <t>RF2960254</t>
  </si>
  <si>
    <t>P00943</t>
  </si>
  <si>
    <t>RX693643</t>
  </si>
  <si>
    <t>RF2165356</t>
  </si>
  <si>
    <t>RF2313546</t>
  </si>
  <si>
    <t>RF7517756</t>
  </si>
  <si>
    <t>P00944</t>
  </si>
  <si>
    <t>RX926596</t>
  </si>
  <si>
    <t>RF5543960</t>
  </si>
  <si>
    <t>RF6318118</t>
  </si>
  <si>
    <t>RF4236561</t>
  </si>
  <si>
    <t>RF7838122</t>
  </si>
  <si>
    <t>RF6932411</t>
  </si>
  <si>
    <t>P00945</t>
  </si>
  <si>
    <t>RX815707</t>
  </si>
  <si>
    <t>RF4655114</t>
  </si>
  <si>
    <t>P00946</t>
  </si>
  <si>
    <t>RX148174</t>
  </si>
  <si>
    <t>RF5274080</t>
  </si>
  <si>
    <t>RF6802802</t>
  </si>
  <si>
    <t>P00947</t>
  </si>
  <si>
    <t>RX756596</t>
  </si>
  <si>
    <t>RF8780734</t>
  </si>
  <si>
    <t>RF2839336</t>
  </si>
  <si>
    <t>RF7663244</t>
  </si>
  <si>
    <t>RF4818299</t>
  </si>
  <si>
    <t>RF6217528</t>
  </si>
  <si>
    <t>RF8416478</t>
  </si>
  <si>
    <t>RF4848263</t>
  </si>
  <si>
    <t>RF7157550</t>
  </si>
  <si>
    <t>P00948</t>
  </si>
  <si>
    <t>RX117072</t>
  </si>
  <si>
    <t>RF5657358</t>
  </si>
  <si>
    <t>RF6168733</t>
  </si>
  <si>
    <t>P00949</t>
  </si>
  <si>
    <t>RX999312</t>
  </si>
  <si>
    <t>RF9107953</t>
  </si>
  <si>
    <t>RF2631839</t>
  </si>
  <si>
    <t>RF9133121</t>
  </si>
  <si>
    <t>RF3795834</t>
  </si>
  <si>
    <t>RF4224282</t>
  </si>
  <si>
    <t>RF4494103</t>
  </si>
  <si>
    <t>RF5372449</t>
  </si>
  <si>
    <t>P00950</t>
  </si>
  <si>
    <t>RX562721</t>
  </si>
  <si>
    <t>RF7239292</t>
  </si>
  <si>
    <t>P00951</t>
  </si>
  <si>
    <t>RX100708</t>
  </si>
  <si>
    <t>RF2771398</t>
  </si>
  <si>
    <t>RF9081552</t>
  </si>
  <si>
    <t>RF2794683</t>
  </si>
  <si>
    <t>P00952</t>
  </si>
  <si>
    <t>RX312146</t>
  </si>
  <si>
    <t>RF4825602</t>
  </si>
  <si>
    <t>RF2564299</t>
  </si>
  <si>
    <t>RF8720832</t>
  </si>
  <si>
    <t>RF5986840</t>
  </si>
  <si>
    <t>P00953</t>
  </si>
  <si>
    <t>RX238320</t>
  </si>
  <si>
    <t>RF3759419</t>
  </si>
  <si>
    <t>P00954</t>
  </si>
  <si>
    <t>RX416528</t>
  </si>
  <si>
    <t>RF8674410</t>
  </si>
  <si>
    <t>P00955</t>
  </si>
  <si>
    <t>RX387330</t>
  </si>
  <si>
    <t>RF7465486</t>
  </si>
  <si>
    <t>RF4532076</t>
  </si>
  <si>
    <t>RF8745503</t>
  </si>
  <si>
    <t>RF5631516</t>
  </si>
  <si>
    <t>RF6529408</t>
  </si>
  <si>
    <t>RF3678367</t>
  </si>
  <si>
    <t>P00956</t>
  </si>
  <si>
    <t>RX786385</t>
  </si>
  <si>
    <t>RF4107761</t>
  </si>
  <si>
    <t>RF5801957</t>
  </si>
  <si>
    <t>RF8404217</t>
  </si>
  <si>
    <t>P00957</t>
  </si>
  <si>
    <t>RX362552</t>
  </si>
  <si>
    <t>RF9389496</t>
  </si>
  <si>
    <t>RF7266736</t>
  </si>
  <si>
    <t>P00958</t>
  </si>
  <si>
    <t>RX489906</t>
  </si>
  <si>
    <t>RF9236934</t>
  </si>
  <si>
    <t>RF6838912</t>
  </si>
  <si>
    <t>P00959</t>
  </si>
  <si>
    <t>RX780432</t>
  </si>
  <si>
    <t>RF7543244</t>
  </si>
  <si>
    <t>P00960</t>
  </si>
  <si>
    <t>RX154302</t>
  </si>
  <si>
    <t>RF8226092</t>
  </si>
  <si>
    <t>RF4247609</t>
  </si>
  <si>
    <t>RF6468773</t>
  </si>
  <si>
    <t>RF7154147</t>
  </si>
  <si>
    <t>RF8451839</t>
  </si>
  <si>
    <t>P00961</t>
  </si>
  <si>
    <t>RX755993</t>
  </si>
  <si>
    <t>RF8095288</t>
  </si>
  <si>
    <t>RF6381114</t>
  </si>
  <si>
    <t>RF5055757</t>
  </si>
  <si>
    <t>P00962</t>
  </si>
  <si>
    <t>RX861253</t>
  </si>
  <si>
    <t>RF3239363</t>
  </si>
  <si>
    <t>RF3262256</t>
  </si>
  <si>
    <t>RF7748768</t>
  </si>
  <si>
    <t>RF4518894</t>
  </si>
  <si>
    <t>P00963</t>
  </si>
  <si>
    <t>RX891918</t>
  </si>
  <si>
    <t>RF5652305</t>
  </si>
  <si>
    <t>P00964</t>
  </si>
  <si>
    <t>RX550081</t>
  </si>
  <si>
    <t>RF9215762</t>
  </si>
  <si>
    <t>RF7317769</t>
  </si>
  <si>
    <t>P00965</t>
  </si>
  <si>
    <t>RX195629</t>
  </si>
  <si>
    <t>RF9096485</t>
  </si>
  <si>
    <t>P00966</t>
  </si>
  <si>
    <t>RX199807</t>
  </si>
  <si>
    <t>RF4239211</t>
  </si>
  <si>
    <t>P00967</t>
  </si>
  <si>
    <t>RX323788</t>
  </si>
  <si>
    <t>RF4407904</t>
  </si>
  <si>
    <t>RF3347078</t>
  </si>
  <si>
    <t>RF7761756</t>
  </si>
  <si>
    <t>RF3980800</t>
  </si>
  <si>
    <t>RF4000543</t>
  </si>
  <si>
    <t>RF3257974</t>
  </si>
  <si>
    <t>RF2232399</t>
  </si>
  <si>
    <t>RF8686096</t>
  </si>
  <si>
    <t>RF4605003</t>
  </si>
  <si>
    <t>P00968</t>
  </si>
  <si>
    <t>RX181724</t>
  </si>
  <si>
    <t>RF6071682</t>
  </si>
  <si>
    <t>RF5658548</t>
  </si>
  <si>
    <t>RF7426775</t>
  </si>
  <si>
    <t>P00969</t>
  </si>
  <si>
    <t>RX722518</t>
  </si>
  <si>
    <t>RF3694419</t>
  </si>
  <si>
    <t>P00970</t>
  </si>
  <si>
    <t>RX644676</t>
  </si>
  <si>
    <t>RF4287673</t>
  </si>
  <si>
    <t>RF2244459</t>
  </si>
  <si>
    <t>RF8624230</t>
  </si>
  <si>
    <t>RF4330120</t>
  </si>
  <si>
    <t>RF6619657</t>
  </si>
  <si>
    <t>P00971</t>
  </si>
  <si>
    <t>RX566686</t>
  </si>
  <si>
    <t>RF7404728</t>
  </si>
  <si>
    <t>P00972</t>
  </si>
  <si>
    <t>RX108454</t>
  </si>
  <si>
    <t>RF8060551</t>
  </si>
  <si>
    <t>P00973</t>
  </si>
  <si>
    <t>RX460263</t>
  </si>
  <si>
    <t>RF2167006</t>
  </si>
  <si>
    <t>P00974</t>
  </si>
  <si>
    <t>RX542828</t>
  </si>
  <si>
    <t>RF9210713</t>
  </si>
  <si>
    <t>RF4633224</t>
  </si>
  <si>
    <t>RF4499630</t>
  </si>
  <si>
    <t>RF2533361</t>
  </si>
  <si>
    <t>RF9522679</t>
  </si>
  <si>
    <t>RF7634393</t>
  </si>
  <si>
    <t>P00975</t>
  </si>
  <si>
    <t>RX238595</t>
  </si>
  <si>
    <t>RF5329396</t>
  </si>
  <si>
    <t>P00976</t>
  </si>
  <si>
    <t>RX174268</t>
  </si>
  <si>
    <t>RF3179104</t>
  </si>
  <si>
    <t>RF2938956</t>
  </si>
  <si>
    <t>P00977</t>
  </si>
  <si>
    <t>RX501677</t>
  </si>
  <si>
    <t>RF8161268</t>
  </si>
  <si>
    <t>RF9826029</t>
  </si>
  <si>
    <t>RF6378497</t>
  </si>
  <si>
    <t>RF8954001</t>
  </si>
  <si>
    <t>RF9966447</t>
  </si>
  <si>
    <t>P00978</t>
  </si>
  <si>
    <t>RX866260</t>
  </si>
  <si>
    <t>RF6164533</t>
  </si>
  <si>
    <t>RF3997133</t>
  </si>
  <si>
    <t>P00979</t>
  </si>
  <si>
    <t>RX208214</t>
  </si>
  <si>
    <t>RF3025732</t>
  </si>
  <si>
    <t>RF8766983</t>
  </si>
  <si>
    <t>RF4762250</t>
  </si>
  <si>
    <t>RF6901683</t>
  </si>
  <si>
    <t>RF5271143</t>
  </si>
  <si>
    <t>RF8277818</t>
  </si>
  <si>
    <t>RF3979192</t>
  </si>
  <si>
    <t>P00980</t>
  </si>
  <si>
    <t>RX485416</t>
  </si>
  <si>
    <t>RF3210290</t>
  </si>
  <si>
    <t>RF3469300</t>
  </si>
  <si>
    <t>P00981</t>
  </si>
  <si>
    <t>RX243790</t>
  </si>
  <si>
    <t>RF4303069</t>
  </si>
  <si>
    <t>RF5425702</t>
  </si>
  <si>
    <t>RF9238529</t>
  </si>
  <si>
    <t>RF2469136</t>
  </si>
  <si>
    <t>P00982</t>
  </si>
  <si>
    <t>RX911032</t>
  </si>
  <si>
    <t>RF5143253</t>
  </si>
  <si>
    <t>RF4654910</t>
  </si>
  <si>
    <t>RF5554935</t>
  </si>
  <si>
    <t>P00983</t>
  </si>
  <si>
    <t>RX772741</t>
  </si>
  <si>
    <t>RF7727225</t>
  </si>
  <si>
    <t>RF4329799</t>
  </si>
  <si>
    <t>RF9859893</t>
  </si>
  <si>
    <t>RF5045048</t>
  </si>
  <si>
    <t>RF8003485</t>
  </si>
  <si>
    <t>RF8890112</t>
  </si>
  <si>
    <t>P00984</t>
  </si>
  <si>
    <t>RX249792</t>
  </si>
  <si>
    <t>RF2176783</t>
  </si>
  <si>
    <t>P00985</t>
  </si>
  <si>
    <t>RX656278</t>
  </si>
  <si>
    <t>RF2292002</t>
  </si>
  <si>
    <t>RF8702005</t>
  </si>
  <si>
    <t>RF7793864</t>
  </si>
  <si>
    <t>P00986</t>
  </si>
  <si>
    <t>RX108886</t>
  </si>
  <si>
    <t>RF4122174</t>
  </si>
  <si>
    <t>RF4594332</t>
  </si>
  <si>
    <t>P00987</t>
  </si>
  <si>
    <t>RX781595</t>
  </si>
  <si>
    <t>RF7877199</t>
  </si>
  <si>
    <t>P00988</t>
  </si>
  <si>
    <t>RX561477</t>
  </si>
  <si>
    <t>RF7748279</t>
  </si>
  <si>
    <t>RF6487156</t>
  </si>
  <si>
    <t>P00989</t>
  </si>
  <si>
    <t>RX857524</t>
  </si>
  <si>
    <t>RF3982915</t>
  </si>
  <si>
    <t>RF5711143</t>
  </si>
  <si>
    <t>RF2065985</t>
  </si>
  <si>
    <t>RF9780495</t>
  </si>
  <si>
    <t>P00990</t>
  </si>
  <si>
    <t>RX758589</t>
  </si>
  <si>
    <t>RF4524032</t>
  </si>
  <si>
    <t>RF9854441</t>
  </si>
  <si>
    <t>RF8347390</t>
  </si>
  <si>
    <t>RF4494964</t>
  </si>
  <si>
    <t>RF9209310</t>
  </si>
  <si>
    <t>P00991</t>
  </si>
  <si>
    <t>RX531709</t>
  </si>
  <si>
    <t>RF9683048</t>
  </si>
  <si>
    <t>RF7296170</t>
  </si>
  <si>
    <t>RF9377505</t>
  </si>
  <si>
    <t>RF8431888</t>
  </si>
  <si>
    <t>RF5408197</t>
  </si>
  <si>
    <t>RF2284220</t>
  </si>
  <si>
    <t>RF9268264</t>
  </si>
  <si>
    <t>P00992</t>
  </si>
  <si>
    <t>RX819916</t>
  </si>
  <si>
    <t>RF8905483</t>
  </si>
  <si>
    <t>P00993</t>
  </si>
  <si>
    <t>RX327797</t>
  </si>
  <si>
    <t>RF9889447</t>
  </si>
  <si>
    <t>RF5951800</t>
  </si>
  <si>
    <t>RF5464170</t>
  </si>
  <si>
    <t>P00994</t>
  </si>
  <si>
    <t>RX205345</t>
  </si>
  <si>
    <t>RF4791076</t>
  </si>
  <si>
    <t>RF5543062</t>
  </si>
  <si>
    <t>RF2842179</t>
  </si>
  <si>
    <t>RF3345057</t>
  </si>
  <si>
    <t>RF4189175</t>
  </si>
  <si>
    <t>RF2556728</t>
  </si>
  <si>
    <t>P00995</t>
  </si>
  <si>
    <t>RX888996</t>
  </si>
  <si>
    <t>RF5530517</t>
  </si>
  <si>
    <t>RF8117237</t>
  </si>
  <si>
    <t>RF6594673</t>
  </si>
  <si>
    <t>RF4741131</t>
  </si>
  <si>
    <t>RF7831845</t>
  </si>
  <si>
    <t>RF8391913</t>
  </si>
  <si>
    <t>RF7380224</t>
  </si>
  <si>
    <t>RF3541319</t>
  </si>
  <si>
    <t>P00996</t>
  </si>
  <si>
    <t>RX718213</t>
  </si>
  <si>
    <t>RF8635550</t>
  </si>
  <si>
    <t>RF2025801</t>
  </si>
  <si>
    <t>RF3678353</t>
  </si>
  <si>
    <t>P00997</t>
  </si>
  <si>
    <t>RX468611</t>
  </si>
  <si>
    <t>RF4563118</t>
  </si>
  <si>
    <t>RF6830238</t>
  </si>
  <si>
    <t>RF2929694</t>
  </si>
  <si>
    <t>RF4093826</t>
  </si>
  <si>
    <t>P00998</t>
  </si>
  <si>
    <t>RX429780</t>
  </si>
  <si>
    <t>RF8439157</t>
  </si>
  <si>
    <t>RF3091298</t>
  </si>
  <si>
    <t>RF7752516</t>
  </si>
  <si>
    <t>P00999</t>
  </si>
  <si>
    <t>RX359822</t>
  </si>
  <si>
    <t>RF8649165</t>
  </si>
  <si>
    <t>RF5787371</t>
  </si>
  <si>
    <t>RF9327498</t>
  </si>
  <si>
    <t>RF3119961</t>
  </si>
  <si>
    <t>RF3455247</t>
  </si>
  <si>
    <t>RF6974615</t>
  </si>
  <si>
    <t>P01000</t>
  </si>
  <si>
    <t>RX775933</t>
  </si>
  <si>
    <t>RF4363887</t>
  </si>
  <si>
    <t>age</t>
  </si>
  <si>
    <t>gender</t>
  </si>
  <si>
    <t>primary_region</t>
  </si>
  <si>
    <t>comorbidities</t>
  </si>
  <si>
    <t>total_quantity_days</t>
  </si>
  <si>
    <t>MPR</t>
  </si>
  <si>
    <t>PDC_approx</t>
  </si>
  <si>
    <t>PDC_flag_over1</t>
  </si>
  <si>
    <t>ever_discontinued</t>
  </si>
  <si>
    <t>anomaly_flags</t>
  </si>
  <si>
    <t>Male</t>
  </si>
  <si>
    <t>Central</t>
  </si>
  <si>
    <t>Cardiovascular Disease</t>
  </si>
  <si>
    <t>Female</t>
  </si>
  <si>
    <t>West</t>
  </si>
  <si>
    <t>COPD</t>
  </si>
  <si>
    <t>East</t>
  </si>
  <si>
    <t>Diabetes</t>
  </si>
  <si>
    <t>None</t>
  </si>
  <si>
    <t>North</t>
  </si>
  <si>
    <t>CKD</t>
  </si>
  <si>
    <t>Hypertension</t>
  </si>
  <si>
    <t>South</t>
  </si>
  <si>
    <t>COPD|Cardiovascular Disease</t>
  </si>
  <si>
    <t>Other</t>
  </si>
  <si>
    <t xml:space="preserve">PDC&gt;1; </t>
  </si>
  <si>
    <t>Cardiovascular Disease|Cardiovascular Disease</t>
  </si>
  <si>
    <t>Cardiovascular Disease|CKD</t>
  </si>
  <si>
    <t>Diabetes|Hypertension</t>
  </si>
  <si>
    <t>Cardiovascular Disease|Diabetes</t>
  </si>
  <si>
    <t>Hypertension|Cardiovascular Disease</t>
  </si>
  <si>
    <t>CKD|Diabetes</t>
  </si>
  <si>
    <t>CKD|Hypertension</t>
  </si>
  <si>
    <t>Cardiovascular Disease|COPD</t>
  </si>
  <si>
    <t>CKD|CKD</t>
  </si>
  <si>
    <t>Diabetes|COPD</t>
  </si>
  <si>
    <t>Hypertension|COPD</t>
  </si>
  <si>
    <t>Diabetes|CKD</t>
  </si>
  <si>
    <t>COPD|Diabetes</t>
  </si>
  <si>
    <t>Hypertension|Diabetes</t>
  </si>
  <si>
    <t>Diabetes|Diabetes</t>
  </si>
  <si>
    <t>COPD|COPD</t>
  </si>
  <si>
    <t>CKD|Cardiovascular Disease</t>
  </si>
  <si>
    <t>COPD|CKD</t>
  </si>
  <si>
    <t>Hypertension|CKD</t>
  </si>
  <si>
    <t>Diabetes|Cardiovascular Disease</t>
  </si>
  <si>
    <t>COPD|Hypertension</t>
  </si>
  <si>
    <t>Cardiovascular Disease|Hypertension</t>
  </si>
  <si>
    <t>CKD|COPD</t>
  </si>
  <si>
    <t>Hypertension|Hypertension</t>
  </si>
  <si>
    <t>unique_patients</t>
  </si>
  <si>
    <t>refill_rows</t>
  </si>
  <si>
    <t>hcp_id</t>
  </si>
  <si>
    <t>new_patients</t>
  </si>
  <si>
    <t>rx_count</t>
  </si>
  <si>
    <t>name</t>
  </si>
  <si>
    <t>specialty</t>
  </si>
  <si>
    <t>region</t>
  </si>
  <si>
    <t>tier</t>
  </si>
  <si>
    <t>HCP0001</t>
  </si>
  <si>
    <t>Dr. B_1</t>
  </si>
  <si>
    <t>Medical Oncology</t>
  </si>
  <si>
    <t>Tier 2</t>
  </si>
  <si>
    <t>HCP0002</t>
  </si>
  <si>
    <t>Dr. C_2</t>
  </si>
  <si>
    <t>Surgical Oncology</t>
  </si>
  <si>
    <t>Tier 3</t>
  </si>
  <si>
    <t>HCP0003</t>
  </si>
  <si>
    <t>Dr. D_3</t>
  </si>
  <si>
    <t>Radiation Oncology</t>
  </si>
  <si>
    <t>HCP0004</t>
  </si>
  <si>
    <t>Dr. E_4</t>
  </si>
  <si>
    <t>HCP0005</t>
  </si>
  <si>
    <t>Dr. F_5</t>
  </si>
  <si>
    <t>Tier 1</t>
  </si>
  <si>
    <t>HCP0006</t>
  </si>
  <si>
    <t>Dr. G_6</t>
  </si>
  <si>
    <t>Hematology-Oncology</t>
  </si>
  <si>
    <t>HCP0007</t>
  </si>
  <si>
    <t>Dr. H_7</t>
  </si>
  <si>
    <t>HCP0008</t>
  </si>
  <si>
    <t>Dr. I_8</t>
  </si>
  <si>
    <t>HCP0009</t>
  </si>
  <si>
    <t>Dr. J_9</t>
  </si>
  <si>
    <t>HCP0010</t>
  </si>
  <si>
    <t>Dr. A_10</t>
  </si>
  <si>
    <t>HCP0011</t>
  </si>
  <si>
    <t>Dr. B_11</t>
  </si>
  <si>
    <t>HCP0012</t>
  </si>
  <si>
    <t>Dr. C_12</t>
  </si>
  <si>
    <t>HCP0013</t>
  </si>
  <si>
    <t>Dr. D_13</t>
  </si>
  <si>
    <t>HCP0014</t>
  </si>
  <si>
    <t>Dr. E_14</t>
  </si>
  <si>
    <t>HCP0015</t>
  </si>
  <si>
    <t>Dr. F_15</t>
  </si>
  <si>
    <t>HCP0016</t>
  </si>
  <si>
    <t>Dr. G_16</t>
  </si>
  <si>
    <t>HCP0017</t>
  </si>
  <si>
    <t>Dr. H_17</t>
  </si>
  <si>
    <t>HCP0018</t>
  </si>
  <si>
    <t>Dr. I_18</t>
  </si>
  <si>
    <t>HCP0019</t>
  </si>
  <si>
    <t>Dr. J_19</t>
  </si>
  <si>
    <t>HCP0020</t>
  </si>
  <si>
    <t>Dr. A_20</t>
  </si>
  <si>
    <t>HCP0021</t>
  </si>
  <si>
    <t>Dr. B_21</t>
  </si>
  <si>
    <t>HCP0022</t>
  </si>
  <si>
    <t>Dr. C_22</t>
  </si>
  <si>
    <t>HCP0023</t>
  </si>
  <si>
    <t>Dr. D_23</t>
  </si>
  <si>
    <t>HCP0024</t>
  </si>
  <si>
    <t>Dr. E_24</t>
  </si>
  <si>
    <t>HCP0025</t>
  </si>
  <si>
    <t>Dr. F_25</t>
  </si>
  <si>
    <t>HCP0026</t>
  </si>
  <si>
    <t>Dr. G_26</t>
  </si>
  <si>
    <t>HCP0027</t>
  </si>
  <si>
    <t>Dr. H_27</t>
  </si>
  <si>
    <t>HCP0028</t>
  </si>
  <si>
    <t>Dr. I_28</t>
  </si>
  <si>
    <t>HCP0029</t>
  </si>
  <si>
    <t>Dr. J_29</t>
  </si>
  <si>
    <t>HCP0030</t>
  </si>
  <si>
    <t>Dr. A_30</t>
  </si>
  <si>
    <t>HCP0031</t>
  </si>
  <si>
    <t>Dr. B_31</t>
  </si>
  <si>
    <t>HCP0032</t>
  </si>
  <si>
    <t>Dr. C_32</t>
  </si>
  <si>
    <t>HCP0033</t>
  </si>
  <si>
    <t>Dr. D_33</t>
  </si>
  <si>
    <t>HCP0034</t>
  </si>
  <si>
    <t>Dr. E_34</t>
  </si>
  <si>
    <t>HCP0035</t>
  </si>
  <si>
    <t>Dr. F_35</t>
  </si>
  <si>
    <t>HCP0036</t>
  </si>
  <si>
    <t>Dr. G_36</t>
  </si>
  <si>
    <t>HCP0037</t>
  </si>
  <si>
    <t>Dr. H_37</t>
  </si>
  <si>
    <t>HCP0038</t>
  </si>
  <si>
    <t>Dr. I_38</t>
  </si>
  <si>
    <t>HCP0039</t>
  </si>
  <si>
    <t>Dr. J_39</t>
  </si>
  <si>
    <t>HCP0040</t>
  </si>
  <si>
    <t>Dr. A_40</t>
  </si>
  <si>
    <t>HCP0041</t>
  </si>
  <si>
    <t>Dr. B_41</t>
  </si>
  <si>
    <t>HCP0042</t>
  </si>
  <si>
    <t>Dr. C_42</t>
  </si>
  <si>
    <t>HCP0043</t>
  </si>
  <si>
    <t>Dr. D_43</t>
  </si>
  <si>
    <t>HCP0044</t>
  </si>
  <si>
    <t>Dr. E_44</t>
  </si>
  <si>
    <t>HCP0045</t>
  </si>
  <si>
    <t>Dr. F_45</t>
  </si>
  <si>
    <t>HCP0046</t>
  </si>
  <si>
    <t>Dr. G_46</t>
  </si>
  <si>
    <t>HCP0047</t>
  </si>
  <si>
    <t>Dr. H_47</t>
  </si>
  <si>
    <t>HCP0048</t>
  </si>
  <si>
    <t>Dr. I_48</t>
  </si>
  <si>
    <t>HCP0049</t>
  </si>
  <si>
    <t>Dr. J_49</t>
  </si>
  <si>
    <t>HCP0050</t>
  </si>
  <si>
    <t>Dr. A_50</t>
  </si>
  <si>
    <t>HCP0051</t>
  </si>
  <si>
    <t>Dr. B_51</t>
  </si>
  <si>
    <t>HCP0052</t>
  </si>
  <si>
    <t>Dr. C_52</t>
  </si>
  <si>
    <t>HCP0053</t>
  </si>
  <si>
    <t>Dr. D_53</t>
  </si>
  <si>
    <t>HCP0054</t>
  </si>
  <si>
    <t>Dr. E_54</t>
  </si>
  <si>
    <t>HCP0055</t>
  </si>
  <si>
    <t>Dr. F_55</t>
  </si>
  <si>
    <t>HCP0056</t>
  </si>
  <si>
    <t>Dr. G_56</t>
  </si>
  <si>
    <t>HCP0057</t>
  </si>
  <si>
    <t>Dr. H_57</t>
  </si>
  <si>
    <t>HCP0058</t>
  </si>
  <si>
    <t>Dr. I_58</t>
  </si>
  <si>
    <t>HCP0059</t>
  </si>
  <si>
    <t>Dr. J_59</t>
  </si>
  <si>
    <t>HCP0060</t>
  </si>
  <si>
    <t>Dr. A_60</t>
  </si>
  <si>
    <t>HCP0061</t>
  </si>
  <si>
    <t>Dr. B_61</t>
  </si>
  <si>
    <t>HCP0062</t>
  </si>
  <si>
    <t>Dr. C_62</t>
  </si>
  <si>
    <t>HCP0063</t>
  </si>
  <si>
    <t>Dr. D_63</t>
  </si>
  <si>
    <t>HCP0064</t>
  </si>
  <si>
    <t>Dr. E_64</t>
  </si>
  <si>
    <t>HCP0065</t>
  </si>
  <si>
    <t>Dr. F_65</t>
  </si>
  <si>
    <t>HCP0066</t>
  </si>
  <si>
    <t>Dr. G_66</t>
  </si>
  <si>
    <t>HCP0067</t>
  </si>
  <si>
    <t>Dr. H_67</t>
  </si>
  <si>
    <t>HCP0068</t>
  </si>
  <si>
    <t>Dr. I_68</t>
  </si>
  <si>
    <t>HCP0069</t>
  </si>
  <si>
    <t>Dr. J_69</t>
  </si>
  <si>
    <t>HCP0070</t>
  </si>
  <si>
    <t>Dr. A_70</t>
  </si>
  <si>
    <t>HCP0071</t>
  </si>
  <si>
    <t>Dr. B_71</t>
  </si>
  <si>
    <t>HCP0072</t>
  </si>
  <si>
    <t>Dr. C_72</t>
  </si>
  <si>
    <t>HCP0073</t>
  </si>
  <si>
    <t>Dr. D_73</t>
  </si>
  <si>
    <t>HCP0074</t>
  </si>
  <si>
    <t>Dr. E_74</t>
  </si>
  <si>
    <t>HCP0075</t>
  </si>
  <si>
    <t>Dr. F_75</t>
  </si>
  <si>
    <t>HCP0076</t>
  </si>
  <si>
    <t>Dr. G_76</t>
  </si>
  <si>
    <t>HCP0077</t>
  </si>
  <si>
    <t>Dr. H_77</t>
  </si>
  <si>
    <t>HCP0078</t>
  </si>
  <si>
    <t>Dr. I_78</t>
  </si>
  <si>
    <t>HCP0079</t>
  </si>
  <si>
    <t>Dr. J_79</t>
  </si>
  <si>
    <t>HCP0080</t>
  </si>
  <si>
    <t>Dr. A_80</t>
  </si>
  <si>
    <t>HCP0081</t>
  </si>
  <si>
    <t>Dr. B_81</t>
  </si>
  <si>
    <t>HCP0082</t>
  </si>
  <si>
    <t>Dr. C_82</t>
  </si>
  <si>
    <t>HCP0083</t>
  </si>
  <si>
    <t>Dr. D_83</t>
  </si>
  <si>
    <t>HCP0084</t>
  </si>
  <si>
    <t>Dr. E_84</t>
  </si>
  <si>
    <t>HCP0085</t>
  </si>
  <si>
    <t>Dr. F_85</t>
  </si>
  <si>
    <t>HCP0086</t>
  </si>
  <si>
    <t>Dr. G_86</t>
  </si>
  <si>
    <t>HCP0087</t>
  </si>
  <si>
    <t>Dr. H_87</t>
  </si>
  <si>
    <t>HCP0088</t>
  </si>
  <si>
    <t>Dr. I_88</t>
  </si>
  <si>
    <t>HCP0089</t>
  </si>
  <si>
    <t>Dr. J_89</t>
  </si>
  <si>
    <t>HCP0090</t>
  </si>
  <si>
    <t>Dr. A_90</t>
  </si>
  <si>
    <t>HCP0091</t>
  </si>
  <si>
    <t>Dr. B_91</t>
  </si>
  <si>
    <t>HCP0092</t>
  </si>
  <si>
    <t>Dr. C_92</t>
  </si>
  <si>
    <t>HCP0093</t>
  </si>
  <si>
    <t>Dr. D_93</t>
  </si>
  <si>
    <t>HCP0094</t>
  </si>
  <si>
    <t>Dr. E_94</t>
  </si>
  <si>
    <t>HCP0095</t>
  </si>
  <si>
    <t>Dr. F_95</t>
  </si>
  <si>
    <t>HCP0096</t>
  </si>
  <si>
    <t>Dr. G_96</t>
  </si>
  <si>
    <t>HCP0097</t>
  </si>
  <si>
    <t>Dr. H_97</t>
  </si>
  <si>
    <t>HCP0098</t>
  </si>
  <si>
    <t>Dr. I_98</t>
  </si>
  <si>
    <t>HCP0099</t>
  </si>
  <si>
    <t>Dr. J_99</t>
  </si>
  <si>
    <t>HCP0100</t>
  </si>
  <si>
    <t>Dr. A_100</t>
  </si>
  <si>
    <t>HCP0101</t>
  </si>
  <si>
    <t>Dr. B_101</t>
  </si>
  <si>
    <t>HCP0102</t>
  </si>
  <si>
    <t>Dr. C_102</t>
  </si>
  <si>
    <t>HCP0103</t>
  </si>
  <si>
    <t>Dr. D_103</t>
  </si>
  <si>
    <t>HCP0104</t>
  </si>
  <si>
    <t>Dr. E_104</t>
  </si>
  <si>
    <t>HCP0105</t>
  </si>
  <si>
    <t>Dr. F_105</t>
  </si>
  <si>
    <t>HCP0106</t>
  </si>
  <si>
    <t>Dr. G_106</t>
  </si>
  <si>
    <t>HCP0107</t>
  </si>
  <si>
    <t>Dr. H_107</t>
  </si>
  <si>
    <t>HCP0108</t>
  </si>
  <si>
    <t>Dr. I_108</t>
  </si>
  <si>
    <t>HCP0109</t>
  </si>
  <si>
    <t>Dr. J_109</t>
  </si>
  <si>
    <t>HCP0110</t>
  </si>
  <si>
    <t>Dr. A_110</t>
  </si>
  <si>
    <t>HCP0111</t>
  </si>
  <si>
    <t>Dr. B_111</t>
  </si>
  <si>
    <t>HCP0112</t>
  </si>
  <si>
    <t>Dr. C_112</t>
  </si>
  <si>
    <t>HCP0113</t>
  </si>
  <si>
    <t>Dr. D_113</t>
  </si>
  <si>
    <t>HCP0114</t>
  </si>
  <si>
    <t>Dr. E_114</t>
  </si>
  <si>
    <t>HCP0115</t>
  </si>
  <si>
    <t>Dr. F_115</t>
  </si>
  <si>
    <t>HCP0116</t>
  </si>
  <si>
    <t>Dr. G_116</t>
  </si>
  <si>
    <t>HCP0117</t>
  </si>
  <si>
    <t>Dr. H_117</t>
  </si>
  <si>
    <t>HCP0118</t>
  </si>
  <si>
    <t>Dr. I_118</t>
  </si>
  <si>
    <t>HCP0119</t>
  </si>
  <si>
    <t>Dr. J_119</t>
  </si>
  <si>
    <t>HCP0120</t>
  </si>
  <si>
    <t>Dr. A_120</t>
  </si>
  <si>
    <t>HCP0121</t>
  </si>
  <si>
    <t>Dr. B_121</t>
  </si>
  <si>
    <t>HCP0122</t>
  </si>
  <si>
    <t>Dr. C_122</t>
  </si>
  <si>
    <t>HCP0123</t>
  </si>
  <si>
    <t>Dr. D_123</t>
  </si>
  <si>
    <t>HCP0124</t>
  </si>
  <si>
    <t>Dr. E_124</t>
  </si>
  <si>
    <t>HCP0125</t>
  </si>
  <si>
    <t>Dr. F_125</t>
  </si>
  <si>
    <t>HCP0126</t>
  </si>
  <si>
    <t>Dr. G_126</t>
  </si>
  <si>
    <t>HCP0127</t>
  </si>
  <si>
    <t>Dr. H_127</t>
  </si>
  <si>
    <t>HCP0128</t>
  </si>
  <si>
    <t>Dr. I_128</t>
  </si>
  <si>
    <t>HCP0129</t>
  </si>
  <si>
    <t>Dr. J_129</t>
  </si>
  <si>
    <t>HCP0130</t>
  </si>
  <si>
    <t>Dr. A_130</t>
  </si>
  <si>
    <t>HCP0131</t>
  </si>
  <si>
    <t>Dr. B_131</t>
  </si>
  <si>
    <t>HCP0132</t>
  </si>
  <si>
    <t>Dr. C_132</t>
  </si>
  <si>
    <t>HCP0133</t>
  </si>
  <si>
    <t>Dr. D_133</t>
  </si>
  <si>
    <t>HCP0134</t>
  </si>
  <si>
    <t>Dr. E_134</t>
  </si>
  <si>
    <t>HCP0135</t>
  </si>
  <si>
    <t>Dr. F_135</t>
  </si>
  <si>
    <t>HCP0136</t>
  </si>
  <si>
    <t>Dr. G_136</t>
  </si>
  <si>
    <t>HCP0137</t>
  </si>
  <si>
    <t>Dr. H_137</t>
  </si>
  <si>
    <t>HCP0138</t>
  </si>
  <si>
    <t>Dr. I_138</t>
  </si>
  <si>
    <t>HCP0139</t>
  </si>
  <si>
    <t>Dr. J_139</t>
  </si>
  <si>
    <t>HCP0140</t>
  </si>
  <si>
    <t>Dr. A_140</t>
  </si>
  <si>
    <t>HCP0141</t>
  </si>
  <si>
    <t>Dr. B_141</t>
  </si>
  <si>
    <t>HCP0142</t>
  </si>
  <si>
    <t>Dr. C_142</t>
  </si>
  <si>
    <t>HCP0143</t>
  </si>
  <si>
    <t>Dr. D_143</t>
  </si>
  <si>
    <t>HCP0144</t>
  </si>
  <si>
    <t>Dr. E_144</t>
  </si>
  <si>
    <t>HCP0145</t>
  </si>
  <si>
    <t>Dr. F_145</t>
  </si>
  <si>
    <t>HCP0146</t>
  </si>
  <si>
    <t>Dr. G_146</t>
  </si>
  <si>
    <t>HCP0147</t>
  </si>
  <si>
    <t>Dr. H_147</t>
  </si>
  <si>
    <t>HCP0148</t>
  </si>
  <si>
    <t>Dr. I_148</t>
  </si>
  <si>
    <t>HCP0149</t>
  </si>
  <si>
    <t>Dr. J_149</t>
  </si>
  <si>
    <t>HCP0150</t>
  </si>
  <si>
    <t>Dr. A_150</t>
  </si>
  <si>
    <t>avg_quantity_days</t>
  </si>
  <si>
    <t>progression_flag</t>
  </si>
  <si>
    <t>count</t>
  </si>
  <si>
    <t>avg_outcome_score</t>
  </si>
  <si>
    <t>prev_refill_days</t>
  </si>
  <si>
    <t>discountinuation_flag</t>
  </si>
  <si>
    <t>Check_Name</t>
  </si>
  <si>
    <t>Rule</t>
  </si>
  <si>
    <t>Excel Logic</t>
  </si>
  <si>
    <t>Status</t>
  </si>
  <si>
    <t>Missing Quantity_Days</t>
  </si>
  <si>
    <t>Negative or Zero quantity_days</t>
  </si>
  <si>
    <t>Gap Days sanity</t>
  </si>
  <si>
    <t>Discontinuation count</t>
  </si>
  <si>
    <t>Duplicate refills (same patient + same date)</t>
  </si>
  <si>
    <t>Helper_column</t>
  </si>
  <si>
    <t>Should be 0</t>
  </si>
  <si>
    <t>Large negative gaps usually mean bad data</t>
  </si>
  <si>
    <t>Should be non-zero but reasonable %</t>
  </si>
  <si>
    <t>Okay</t>
  </si>
  <si>
    <t>Check</t>
  </si>
  <si>
    <t>Result</t>
  </si>
  <si>
    <t>Pass/Fail</t>
  </si>
  <si>
    <t>If a patient has 5 refills and only ONE gap &gt; 2 then it's considered discountinuation</t>
  </si>
  <si>
    <t>Justification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</si>
</sst>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0" fontId="0" fillId="2" borderId="2" xfId="0" applyFont="1" applyFill="1" applyBorder="1"/>
    <xf numFmtId="0" fontId="0" fillId="2" borderId="3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2" borderId="4" xfId="0" applyFont="1" applyFill="1" applyBorder="1"/>
    <xf numFmtId="0" fontId="0" fillId="2" borderId="5" xfId="0" applyFont="1" applyFill="1" applyBorder="1"/>
    <xf numFmtId="0" fontId="0" fillId="0" borderId="0" xfId="0" applyNumberFormat="1"/>
    <xf numFmtId="0" fontId="1" fillId="0" borderId="6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19" formatCode="dd/mm/yyyy"/>
    </dxf>
    <dxf>
      <numFmt numFmtId="19" formatCode="dd/mm/yyyy"/>
    </dxf>
    <dxf>
      <numFmt numFmtId="0" formatCode="General"/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9BBC1-6139-4905-8B5E-6323F19F8390}" name="TableRefills" displayName="TableRefills" ref="A1:F3404" totalsRowShown="0" headerRowDxfId="5" headerRowBorderDxfId="7" tableBorderDxfId="8">
  <autoFilter ref="A1:F3404" xr:uid="{DC49BBC1-6139-4905-8B5E-6323F19F8390}"/>
  <tableColumns count="6">
    <tableColumn id="1" xr3:uid="{2D60C744-581E-4B6F-8A40-F95221C2EB00}" name="refill_id"/>
    <tableColumn id="2" xr3:uid="{37D2C544-6442-4E78-9756-F31F1ADE46A1}" name="patient_id"/>
    <tableColumn id="3" xr3:uid="{06768964-BED1-430F-B769-8A025445AD6C}" name="rx_id"/>
    <tableColumn id="4" xr3:uid="{0AEBE5B0-64CA-4301-A27C-B18AA4DE90C7}" name="refill_date" dataDxfId="6"/>
    <tableColumn id="5" xr3:uid="{36DC73B8-1FFC-4F5D-BF3B-332DFF8B219C}" name="quantity_days"/>
    <tableColumn id="6" xr3:uid="{2AD8F691-6F5D-459F-B577-9E846A054BE2}" name="refill_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902B8-D566-426C-BFDC-B6B3C6005729}" name="TableRefills3" displayName="TableRefills3" ref="A1:I3404" totalsRowShown="0">
  <autoFilter ref="A1:I3404" xr:uid="{7AE902B8-D566-426C-BFDC-B6B3C6005729}"/>
  <sortState xmlns:xlrd2="http://schemas.microsoft.com/office/spreadsheetml/2017/richdata2" ref="A2:I3400">
    <sortCondition ref="A1:A3400"/>
  </sortState>
  <tableColumns count="9">
    <tableColumn id="2" xr3:uid="{90DAA986-DF7E-41B1-841A-C5D2AF8D3B1D}" name="patient_id"/>
    <tableColumn id="3" xr3:uid="{189FB0E6-55BF-4446-AC05-DF6DED5F3CC6}" name="rx_id"/>
    <tableColumn id="4" xr3:uid="{A899FBED-CD27-432F-A54A-1167B793A5A6}" name="refill_date" dataDxfId="9"/>
    <tableColumn id="5" xr3:uid="{C77F7B7B-1856-48A8-9EB3-E639B9D873A0}" name="quantity_days"/>
    <tableColumn id="7" xr3:uid="{DD5284FE-0372-4152-B7F5-F9912254574E}" name="prev_refill_days" dataDxfId="4">
      <calculatedColumnFormula>IF(A1=A2,C1,"")</calculatedColumnFormula>
    </tableColumn>
    <tableColumn id="8" xr3:uid="{278C31B0-521A-49CD-AB14-B86C4162C7B3}" name="prev_refill_end" dataDxfId="10">
      <calculatedColumnFormula>IF(TableRefills3[[#This Row],[prev_refill_days]]="","",TableRefills3[[#This Row],[prev_refill_days]]+TableRefills3[[#This Row],[quantity_days]])</calculatedColumnFormula>
    </tableColumn>
    <tableColumn id="9" xr3:uid="{2980FDD2-56D6-4265-95FF-D9749FC75A81}" name="gap_days" dataDxfId="3">
      <calculatedColumnFormula>IF(TableRefills3[[#This Row],[prev_refill_end]]="","",TableRefills3[[#This Row],[refill_date]]-TableRefills3[[#This Row],[prev_refill_end]])</calculatedColumnFormula>
    </tableColumn>
    <tableColumn id="10" xr3:uid="{18189D69-C0AD-401C-8220-7E2CDE87681D}" name="discountinuation_flag" dataDxfId="2">
      <calculatedColumnFormula>IF(TableRefills3[[#This Row],[gap_days]]="",0,IF(TableRefills3[[#This Row],[gap_days]]&gt;2,1,0))</calculatedColumnFormula>
    </tableColumn>
    <tableColumn id="11" xr3:uid="{F33F76FD-48C2-4E86-90A3-F29848F8B442}" name="Helper_column" dataDxfId="11">
      <calculatedColumnFormula>_xlfn.MAXIFS(TableRefills3[discountinuation_flag], TableRefills3[patient_id], A2)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38F531-ECC1-46E5-AF81-D5C48B862AE3}" name="QC_Checks" displayName="QC_Checks" ref="A1:D6" totalsRowShown="0">
  <autoFilter ref="A1:D6" xr:uid="{D438F531-ECC1-46E5-AF81-D5C48B862AE3}"/>
  <tableColumns count="4">
    <tableColumn id="1" xr3:uid="{7C7D8C93-A6BA-49FA-BCA1-66DB83D4FAEE}" name="Check_Name"/>
    <tableColumn id="2" xr3:uid="{C68B28E4-6743-4FB4-ADA8-6470E0FD3665}" name="Rule"/>
    <tableColumn id="3" xr3:uid="{0CCF13B1-1247-426A-897A-87ECD17041FD}" name="Excel Logic"/>
    <tableColumn id="4" xr3:uid="{2F0C7A52-02CA-442E-927E-2001E1ECAB44}" name="Statu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AF8E19-FEA9-495F-89B8-26D078A738C8}" name="QC_Summary" displayName="QC_Summary" ref="A1:D6" totalsRowShown="0">
  <autoFilter ref="A1:D6" xr:uid="{11AF8E19-FEA9-495F-89B8-26D078A738C8}"/>
  <tableColumns count="4">
    <tableColumn id="1" xr3:uid="{07E64F21-1CF2-45B2-8B6B-61C81E85D4B8}" name="Check" dataDxfId="1"/>
    <tableColumn id="2" xr3:uid="{3DFAF8C8-B538-42B0-B4EC-8943A973A67C}" name="Result" dataDxfId="0"/>
    <tableColumn id="3" xr3:uid="{E1E99FB8-157D-4A50-B88F-AC46F76C6DA4}" name="Pass/Fail">
      <calculatedColumnFormula>IF(B2=0,"Pass","Fail")</calculatedColumnFormula>
    </tableColumn>
    <tableColumn id="4" xr3:uid="{2407657D-2EEC-425F-A489-48D18A645285}" name="Justifica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77992-B895-4286-BDEF-E2FA36953A21}">
  <dimension ref="A1:F3404"/>
  <sheetViews>
    <sheetView workbookViewId="0">
      <selection activeCell="D10" sqref="D10"/>
    </sheetView>
  </sheetViews>
  <sheetFormatPr defaultRowHeight="15" x14ac:dyDescent="0.25"/>
  <cols>
    <col min="1" max="2" width="10.140625" bestFit="1" customWidth="1"/>
    <col min="3" max="3" width="9.28515625" bestFit="1" customWidth="1"/>
    <col min="4" max="4" width="18.28515625" bestFit="1" customWidth="1"/>
    <col min="5" max="5" width="13.5703125" bestFit="1" customWidth="1"/>
    <col min="6" max="6" width="13.42578125" bestFit="1" customWidth="1"/>
  </cols>
  <sheetData>
    <row r="1" spans="1:6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</row>
    <row r="2" spans="1:6" x14ac:dyDescent="0.25">
      <c r="A2" t="s">
        <v>8</v>
      </c>
      <c r="B2" t="s">
        <v>9</v>
      </c>
      <c r="C2" t="s">
        <v>10</v>
      </c>
      <c r="D2" s="2">
        <v>45951</v>
      </c>
      <c r="E2">
        <v>28</v>
      </c>
      <c r="F2">
        <v>1</v>
      </c>
    </row>
    <row r="3" spans="1:6" x14ac:dyDescent="0.25">
      <c r="A3" t="s">
        <v>11</v>
      </c>
      <c r="B3" t="s">
        <v>12</v>
      </c>
      <c r="C3" t="s">
        <v>13</v>
      </c>
      <c r="D3" s="2">
        <v>45838</v>
      </c>
      <c r="E3">
        <v>21</v>
      </c>
      <c r="F3">
        <v>1</v>
      </c>
    </row>
    <row r="4" spans="1:6" x14ac:dyDescent="0.25">
      <c r="A4" t="s">
        <v>14</v>
      </c>
      <c r="B4" t="s">
        <v>12</v>
      </c>
      <c r="C4" t="s">
        <v>13</v>
      </c>
      <c r="D4" s="2">
        <v>45860</v>
      </c>
      <c r="E4">
        <v>21</v>
      </c>
      <c r="F4">
        <v>2</v>
      </c>
    </row>
    <row r="5" spans="1:6" x14ac:dyDescent="0.25">
      <c r="A5" t="s">
        <v>15</v>
      </c>
      <c r="B5" t="s">
        <v>12</v>
      </c>
      <c r="C5" t="s">
        <v>13</v>
      </c>
      <c r="D5" s="2">
        <v>45883</v>
      </c>
      <c r="E5">
        <v>21</v>
      </c>
      <c r="F5">
        <v>3</v>
      </c>
    </row>
    <row r="6" spans="1:6" x14ac:dyDescent="0.25">
      <c r="A6" t="s">
        <v>16</v>
      </c>
      <c r="B6" t="s">
        <v>12</v>
      </c>
      <c r="C6" t="s">
        <v>13</v>
      </c>
      <c r="D6" s="2">
        <v>45903</v>
      </c>
      <c r="E6">
        <v>21</v>
      </c>
      <c r="F6">
        <v>4</v>
      </c>
    </row>
    <row r="7" spans="1:6" x14ac:dyDescent="0.25">
      <c r="A7" t="s">
        <v>17</v>
      </c>
      <c r="B7" t="s">
        <v>12</v>
      </c>
      <c r="C7" t="s">
        <v>13</v>
      </c>
      <c r="D7" s="2">
        <v>45926</v>
      </c>
      <c r="E7">
        <v>21</v>
      </c>
      <c r="F7">
        <v>5</v>
      </c>
    </row>
    <row r="8" spans="1:6" x14ac:dyDescent="0.25">
      <c r="A8" t="s">
        <v>18</v>
      </c>
      <c r="B8" t="s">
        <v>12</v>
      </c>
      <c r="C8" t="s">
        <v>13</v>
      </c>
      <c r="D8" s="2">
        <v>45950</v>
      </c>
      <c r="E8">
        <v>21</v>
      </c>
      <c r="F8">
        <v>6</v>
      </c>
    </row>
    <row r="9" spans="1:6" x14ac:dyDescent="0.25">
      <c r="A9" t="s">
        <v>19</v>
      </c>
      <c r="B9" t="s">
        <v>20</v>
      </c>
      <c r="C9" t="s">
        <v>21</v>
      </c>
      <c r="D9" s="2">
        <v>45934</v>
      </c>
      <c r="E9">
        <v>30</v>
      </c>
      <c r="F9">
        <v>1</v>
      </c>
    </row>
    <row r="10" spans="1:6" x14ac:dyDescent="0.25">
      <c r="A10" t="s">
        <v>22</v>
      </c>
      <c r="B10" t="s">
        <v>23</v>
      </c>
      <c r="C10" t="s">
        <v>24</v>
      </c>
      <c r="D10" s="2">
        <v>45892</v>
      </c>
      <c r="E10">
        <v>28</v>
      </c>
      <c r="F10">
        <v>1</v>
      </c>
    </row>
    <row r="11" spans="1:6" x14ac:dyDescent="0.25">
      <c r="A11" t="s">
        <v>25</v>
      </c>
      <c r="B11" t="s">
        <v>23</v>
      </c>
      <c r="C11" t="s">
        <v>24</v>
      </c>
      <c r="D11" s="2">
        <v>45921</v>
      </c>
      <c r="E11">
        <v>28</v>
      </c>
      <c r="F11">
        <v>2</v>
      </c>
    </row>
    <row r="12" spans="1:6" x14ac:dyDescent="0.25">
      <c r="A12" t="s">
        <v>26</v>
      </c>
      <c r="B12" t="s">
        <v>23</v>
      </c>
      <c r="C12" t="s">
        <v>24</v>
      </c>
      <c r="D12" s="2">
        <v>45950</v>
      </c>
      <c r="E12">
        <v>28</v>
      </c>
      <c r="F12">
        <v>3</v>
      </c>
    </row>
    <row r="13" spans="1:6" x14ac:dyDescent="0.25">
      <c r="A13" t="s">
        <v>27</v>
      </c>
      <c r="B13" t="s">
        <v>28</v>
      </c>
      <c r="C13" t="s">
        <v>29</v>
      </c>
      <c r="D13" s="2">
        <v>45914</v>
      </c>
      <c r="E13">
        <v>21</v>
      </c>
      <c r="F13">
        <v>1</v>
      </c>
    </row>
    <row r="14" spans="1:6" x14ac:dyDescent="0.25">
      <c r="A14" t="s">
        <v>30</v>
      </c>
      <c r="B14" t="s">
        <v>28</v>
      </c>
      <c r="C14" t="s">
        <v>29</v>
      </c>
      <c r="D14" s="2">
        <v>45934</v>
      </c>
      <c r="E14">
        <v>21</v>
      </c>
      <c r="F14">
        <v>2</v>
      </c>
    </row>
    <row r="15" spans="1:6" x14ac:dyDescent="0.25">
      <c r="A15" t="s">
        <v>31</v>
      </c>
      <c r="B15" t="s">
        <v>28</v>
      </c>
      <c r="C15" t="s">
        <v>29</v>
      </c>
      <c r="D15" s="2">
        <v>45952</v>
      </c>
      <c r="E15">
        <v>21</v>
      </c>
      <c r="F15">
        <v>3</v>
      </c>
    </row>
    <row r="16" spans="1:6" x14ac:dyDescent="0.25">
      <c r="A16" t="s">
        <v>32</v>
      </c>
      <c r="B16" t="s">
        <v>33</v>
      </c>
      <c r="C16" t="s">
        <v>34</v>
      </c>
      <c r="D16" s="2">
        <v>45857</v>
      </c>
      <c r="E16">
        <v>30</v>
      </c>
      <c r="F16">
        <v>1</v>
      </c>
    </row>
    <row r="17" spans="1:6" x14ac:dyDescent="0.25">
      <c r="A17" t="s">
        <v>35</v>
      </c>
      <c r="B17" t="s">
        <v>33</v>
      </c>
      <c r="C17" t="s">
        <v>34</v>
      </c>
      <c r="D17" s="2">
        <v>45887</v>
      </c>
      <c r="E17">
        <v>30</v>
      </c>
      <c r="F17">
        <v>2</v>
      </c>
    </row>
    <row r="18" spans="1:6" x14ac:dyDescent="0.25">
      <c r="A18" t="s">
        <v>36</v>
      </c>
      <c r="B18" t="s">
        <v>33</v>
      </c>
      <c r="C18" t="s">
        <v>34</v>
      </c>
      <c r="D18" s="2">
        <v>45914</v>
      </c>
      <c r="E18">
        <v>30</v>
      </c>
      <c r="F18">
        <v>3</v>
      </c>
    </row>
    <row r="19" spans="1:6" x14ac:dyDescent="0.25">
      <c r="A19" t="s">
        <v>37</v>
      </c>
      <c r="B19" t="s">
        <v>33</v>
      </c>
      <c r="C19" t="s">
        <v>34</v>
      </c>
      <c r="D19" s="2">
        <v>45944</v>
      </c>
      <c r="E19">
        <v>30</v>
      </c>
      <c r="F19">
        <v>4</v>
      </c>
    </row>
    <row r="20" spans="1:6" x14ac:dyDescent="0.25">
      <c r="A20" t="s">
        <v>38</v>
      </c>
      <c r="B20" t="s">
        <v>39</v>
      </c>
      <c r="C20" t="s">
        <v>40</v>
      </c>
      <c r="D20" s="2">
        <v>45898</v>
      </c>
      <c r="E20">
        <v>21</v>
      </c>
      <c r="F20">
        <v>1</v>
      </c>
    </row>
    <row r="21" spans="1:6" x14ac:dyDescent="0.25">
      <c r="A21" t="s">
        <v>41</v>
      </c>
      <c r="B21" t="s">
        <v>39</v>
      </c>
      <c r="C21" t="s">
        <v>40</v>
      </c>
      <c r="D21" s="2">
        <v>45916</v>
      </c>
      <c r="E21">
        <v>21</v>
      </c>
      <c r="F21">
        <v>2</v>
      </c>
    </row>
    <row r="22" spans="1:6" x14ac:dyDescent="0.25">
      <c r="A22" t="s">
        <v>42</v>
      </c>
      <c r="B22" t="s">
        <v>43</v>
      </c>
      <c r="C22" t="s">
        <v>44</v>
      </c>
      <c r="D22" s="2">
        <v>45827</v>
      </c>
      <c r="E22">
        <v>28</v>
      </c>
      <c r="F22">
        <v>1</v>
      </c>
    </row>
    <row r="23" spans="1:6" x14ac:dyDescent="0.25">
      <c r="A23" t="s">
        <v>45</v>
      </c>
      <c r="B23" t="s">
        <v>43</v>
      </c>
      <c r="C23" t="s">
        <v>44</v>
      </c>
      <c r="D23" s="2">
        <v>45855</v>
      </c>
      <c r="E23">
        <v>28</v>
      </c>
      <c r="F23">
        <v>2</v>
      </c>
    </row>
    <row r="24" spans="1:6" x14ac:dyDescent="0.25">
      <c r="A24" t="s">
        <v>46</v>
      </c>
      <c r="B24" t="s">
        <v>43</v>
      </c>
      <c r="C24" t="s">
        <v>44</v>
      </c>
      <c r="D24" s="2">
        <v>45886</v>
      </c>
      <c r="E24">
        <v>28</v>
      </c>
      <c r="F24">
        <v>3</v>
      </c>
    </row>
    <row r="25" spans="1:6" x14ac:dyDescent="0.25">
      <c r="A25" t="s">
        <v>47</v>
      </c>
      <c r="B25" t="s">
        <v>43</v>
      </c>
      <c r="C25" t="s">
        <v>44</v>
      </c>
      <c r="D25" s="2">
        <v>45914</v>
      </c>
      <c r="E25">
        <v>28</v>
      </c>
      <c r="F25">
        <v>4</v>
      </c>
    </row>
    <row r="26" spans="1:6" x14ac:dyDescent="0.25">
      <c r="A26" t="s">
        <v>48</v>
      </c>
      <c r="B26" t="s">
        <v>43</v>
      </c>
      <c r="C26" t="s">
        <v>44</v>
      </c>
      <c r="D26" s="2">
        <v>45943</v>
      </c>
      <c r="E26">
        <v>28</v>
      </c>
      <c r="F26">
        <v>5</v>
      </c>
    </row>
    <row r="27" spans="1:6" x14ac:dyDescent="0.25">
      <c r="A27" t="s">
        <v>49</v>
      </c>
      <c r="B27" t="s">
        <v>50</v>
      </c>
      <c r="C27" t="s">
        <v>51</v>
      </c>
      <c r="D27" s="2">
        <v>45951</v>
      </c>
      <c r="E27">
        <v>28</v>
      </c>
      <c r="F27">
        <v>1</v>
      </c>
    </row>
    <row r="28" spans="1:6" x14ac:dyDescent="0.25">
      <c r="A28" t="s">
        <v>52</v>
      </c>
      <c r="B28" t="s">
        <v>53</v>
      </c>
      <c r="C28" t="s">
        <v>54</v>
      </c>
      <c r="D28" s="2">
        <v>45890</v>
      </c>
      <c r="E28">
        <v>28</v>
      </c>
      <c r="F28">
        <v>1</v>
      </c>
    </row>
    <row r="29" spans="1:6" x14ac:dyDescent="0.25">
      <c r="A29" t="s">
        <v>55</v>
      </c>
      <c r="B29" t="s">
        <v>53</v>
      </c>
      <c r="C29" t="s">
        <v>54</v>
      </c>
      <c r="D29" s="2">
        <v>45915</v>
      </c>
      <c r="E29">
        <v>28</v>
      </c>
      <c r="F29">
        <v>2</v>
      </c>
    </row>
    <row r="30" spans="1:6" x14ac:dyDescent="0.25">
      <c r="A30" t="s">
        <v>56</v>
      </c>
      <c r="B30" t="s">
        <v>53</v>
      </c>
      <c r="C30" t="s">
        <v>54</v>
      </c>
      <c r="D30" s="2">
        <v>45944</v>
      </c>
      <c r="E30">
        <v>28</v>
      </c>
      <c r="F30">
        <v>3</v>
      </c>
    </row>
    <row r="31" spans="1:6" x14ac:dyDescent="0.25">
      <c r="A31" t="s">
        <v>57</v>
      </c>
      <c r="B31" t="s">
        <v>58</v>
      </c>
      <c r="C31" t="s">
        <v>59</v>
      </c>
      <c r="D31" s="2">
        <v>45850</v>
      </c>
      <c r="E31">
        <v>30</v>
      </c>
      <c r="F31">
        <v>1</v>
      </c>
    </row>
    <row r="32" spans="1:6" x14ac:dyDescent="0.25">
      <c r="A32" t="s">
        <v>60</v>
      </c>
      <c r="B32" t="s">
        <v>58</v>
      </c>
      <c r="C32" t="s">
        <v>59</v>
      </c>
      <c r="D32" s="2">
        <v>45878</v>
      </c>
      <c r="E32">
        <v>30</v>
      </c>
      <c r="F32">
        <v>2</v>
      </c>
    </row>
    <row r="33" spans="1:6" x14ac:dyDescent="0.25">
      <c r="A33" t="s">
        <v>61</v>
      </c>
      <c r="B33" t="s">
        <v>58</v>
      </c>
      <c r="C33" t="s">
        <v>59</v>
      </c>
      <c r="D33" s="2">
        <v>45905</v>
      </c>
      <c r="E33">
        <v>30</v>
      </c>
      <c r="F33">
        <v>3</v>
      </c>
    </row>
    <row r="34" spans="1:6" x14ac:dyDescent="0.25">
      <c r="A34" t="s">
        <v>62</v>
      </c>
      <c r="B34" t="s">
        <v>58</v>
      </c>
      <c r="C34" t="s">
        <v>59</v>
      </c>
      <c r="D34" s="2">
        <v>45938</v>
      </c>
      <c r="E34">
        <v>30</v>
      </c>
      <c r="F34">
        <v>4</v>
      </c>
    </row>
    <row r="35" spans="1:6" x14ac:dyDescent="0.25">
      <c r="A35" t="s">
        <v>63</v>
      </c>
      <c r="B35" t="s">
        <v>64</v>
      </c>
      <c r="C35" t="s">
        <v>65</v>
      </c>
      <c r="D35" s="2">
        <v>45875</v>
      </c>
      <c r="E35">
        <v>28</v>
      </c>
      <c r="F35">
        <v>1</v>
      </c>
    </row>
    <row r="36" spans="1:6" x14ac:dyDescent="0.25">
      <c r="A36" t="s">
        <v>66</v>
      </c>
      <c r="B36" t="s">
        <v>64</v>
      </c>
      <c r="C36" t="s">
        <v>65</v>
      </c>
      <c r="D36" s="2">
        <v>45905</v>
      </c>
      <c r="E36">
        <v>28</v>
      </c>
      <c r="F36">
        <v>2</v>
      </c>
    </row>
    <row r="37" spans="1:6" x14ac:dyDescent="0.25">
      <c r="A37" t="s">
        <v>67</v>
      </c>
      <c r="B37" t="s">
        <v>64</v>
      </c>
      <c r="C37" t="s">
        <v>65</v>
      </c>
      <c r="D37" s="2">
        <v>45934</v>
      </c>
      <c r="E37">
        <v>28</v>
      </c>
      <c r="F37">
        <v>3</v>
      </c>
    </row>
    <row r="38" spans="1:6" x14ac:dyDescent="0.25">
      <c r="A38" t="s">
        <v>68</v>
      </c>
      <c r="B38" t="s">
        <v>69</v>
      </c>
      <c r="C38" t="s">
        <v>70</v>
      </c>
      <c r="D38" s="2">
        <v>45913</v>
      </c>
      <c r="E38">
        <v>28</v>
      </c>
      <c r="F38">
        <v>1</v>
      </c>
    </row>
    <row r="39" spans="1:6" x14ac:dyDescent="0.25">
      <c r="A39" t="s">
        <v>71</v>
      </c>
      <c r="B39" t="s">
        <v>69</v>
      </c>
      <c r="C39" t="s">
        <v>70</v>
      </c>
      <c r="D39" s="2">
        <v>45943</v>
      </c>
      <c r="E39">
        <v>28</v>
      </c>
      <c r="F39">
        <v>2</v>
      </c>
    </row>
    <row r="40" spans="1:6" x14ac:dyDescent="0.25">
      <c r="A40" t="s">
        <v>72</v>
      </c>
      <c r="B40" t="s">
        <v>73</v>
      </c>
      <c r="C40" t="s">
        <v>74</v>
      </c>
      <c r="D40" s="2">
        <v>45819</v>
      </c>
      <c r="E40">
        <v>21</v>
      </c>
      <c r="F40">
        <v>1</v>
      </c>
    </row>
    <row r="41" spans="1:6" x14ac:dyDescent="0.25">
      <c r="A41" t="s">
        <v>75</v>
      </c>
      <c r="B41" t="s">
        <v>73</v>
      </c>
      <c r="C41" t="s">
        <v>74</v>
      </c>
      <c r="D41" s="2">
        <v>45841</v>
      </c>
      <c r="E41">
        <v>21</v>
      </c>
      <c r="F41">
        <v>2</v>
      </c>
    </row>
    <row r="42" spans="1:6" x14ac:dyDescent="0.25">
      <c r="A42" t="s">
        <v>76</v>
      </c>
      <c r="B42" t="s">
        <v>73</v>
      </c>
      <c r="C42" t="s">
        <v>74</v>
      </c>
      <c r="D42" s="2">
        <v>45863</v>
      </c>
      <c r="E42">
        <v>21</v>
      </c>
      <c r="F42">
        <v>3</v>
      </c>
    </row>
    <row r="43" spans="1:6" x14ac:dyDescent="0.25">
      <c r="A43" t="s">
        <v>77</v>
      </c>
      <c r="B43" t="s">
        <v>73</v>
      </c>
      <c r="C43" t="s">
        <v>74</v>
      </c>
      <c r="D43" s="2">
        <v>45883</v>
      </c>
      <c r="E43">
        <v>21</v>
      </c>
      <c r="F43">
        <v>4</v>
      </c>
    </row>
    <row r="44" spans="1:6" x14ac:dyDescent="0.25">
      <c r="A44" t="s">
        <v>78</v>
      </c>
      <c r="B44" t="s">
        <v>73</v>
      </c>
      <c r="C44" t="s">
        <v>74</v>
      </c>
      <c r="D44" s="2">
        <v>45903</v>
      </c>
      <c r="E44">
        <v>21</v>
      </c>
      <c r="F44">
        <v>5</v>
      </c>
    </row>
    <row r="45" spans="1:6" x14ac:dyDescent="0.25">
      <c r="A45" t="s">
        <v>79</v>
      </c>
      <c r="B45" t="s">
        <v>73</v>
      </c>
      <c r="C45" t="s">
        <v>74</v>
      </c>
      <c r="D45" s="2">
        <v>45925</v>
      </c>
      <c r="E45">
        <v>21</v>
      </c>
      <c r="F45">
        <v>6</v>
      </c>
    </row>
    <row r="46" spans="1:6" x14ac:dyDescent="0.25">
      <c r="A46" t="s">
        <v>80</v>
      </c>
      <c r="B46" t="s">
        <v>73</v>
      </c>
      <c r="C46" t="s">
        <v>74</v>
      </c>
      <c r="D46" s="2">
        <v>45944</v>
      </c>
      <c r="E46">
        <v>21</v>
      </c>
      <c r="F46">
        <v>7</v>
      </c>
    </row>
    <row r="47" spans="1:6" x14ac:dyDescent="0.25">
      <c r="A47" t="s">
        <v>81</v>
      </c>
      <c r="B47" t="s">
        <v>82</v>
      </c>
      <c r="C47" t="s">
        <v>83</v>
      </c>
      <c r="D47" s="2">
        <v>45829</v>
      </c>
      <c r="E47">
        <v>21</v>
      </c>
      <c r="F47">
        <v>1</v>
      </c>
    </row>
    <row r="48" spans="1:6" x14ac:dyDescent="0.25">
      <c r="A48" t="s">
        <v>84</v>
      </c>
      <c r="B48" t="s">
        <v>82</v>
      </c>
      <c r="C48" t="s">
        <v>83</v>
      </c>
      <c r="D48" s="2">
        <v>45849</v>
      </c>
      <c r="E48">
        <v>21</v>
      </c>
      <c r="F48">
        <v>2</v>
      </c>
    </row>
    <row r="49" spans="1:6" x14ac:dyDescent="0.25">
      <c r="A49" t="s">
        <v>85</v>
      </c>
      <c r="B49" t="s">
        <v>82</v>
      </c>
      <c r="C49" t="s">
        <v>83</v>
      </c>
      <c r="D49" s="2">
        <v>45871</v>
      </c>
      <c r="E49">
        <v>21</v>
      </c>
      <c r="F49">
        <v>3</v>
      </c>
    </row>
    <row r="50" spans="1:6" x14ac:dyDescent="0.25">
      <c r="A50" t="s">
        <v>86</v>
      </c>
      <c r="B50" t="s">
        <v>82</v>
      </c>
      <c r="C50" t="s">
        <v>83</v>
      </c>
      <c r="D50" s="2">
        <v>45895</v>
      </c>
      <c r="E50">
        <v>21</v>
      </c>
      <c r="F50">
        <v>4</v>
      </c>
    </row>
    <row r="51" spans="1:6" x14ac:dyDescent="0.25">
      <c r="A51" t="s">
        <v>87</v>
      </c>
      <c r="B51" t="s">
        <v>82</v>
      </c>
      <c r="C51" t="s">
        <v>83</v>
      </c>
      <c r="D51" s="2">
        <v>45918</v>
      </c>
      <c r="E51">
        <v>21</v>
      </c>
      <c r="F51">
        <v>5</v>
      </c>
    </row>
    <row r="52" spans="1:6" x14ac:dyDescent="0.25">
      <c r="A52" t="s">
        <v>88</v>
      </c>
      <c r="B52" t="s">
        <v>82</v>
      </c>
      <c r="C52" t="s">
        <v>83</v>
      </c>
      <c r="D52" s="2">
        <v>45941</v>
      </c>
      <c r="E52">
        <v>21</v>
      </c>
      <c r="F52">
        <v>6</v>
      </c>
    </row>
    <row r="53" spans="1:6" x14ac:dyDescent="0.25">
      <c r="A53" t="s">
        <v>89</v>
      </c>
      <c r="B53" t="s">
        <v>82</v>
      </c>
      <c r="C53" t="s">
        <v>83</v>
      </c>
      <c r="D53" s="2">
        <v>45961</v>
      </c>
      <c r="E53">
        <v>21</v>
      </c>
      <c r="F53">
        <v>7</v>
      </c>
    </row>
    <row r="54" spans="1:6" x14ac:dyDescent="0.25">
      <c r="A54" t="s">
        <v>90</v>
      </c>
      <c r="B54" t="s">
        <v>91</v>
      </c>
      <c r="C54" t="s">
        <v>92</v>
      </c>
      <c r="D54" s="2">
        <v>45932</v>
      </c>
      <c r="E54">
        <v>21</v>
      </c>
      <c r="F54">
        <v>1</v>
      </c>
    </row>
    <row r="55" spans="1:6" x14ac:dyDescent="0.25">
      <c r="A55" t="s">
        <v>93</v>
      </c>
      <c r="B55" t="s">
        <v>91</v>
      </c>
      <c r="C55" t="s">
        <v>92</v>
      </c>
      <c r="D55" s="2">
        <v>45956</v>
      </c>
      <c r="E55">
        <v>21</v>
      </c>
      <c r="F55">
        <v>2</v>
      </c>
    </row>
    <row r="56" spans="1:6" x14ac:dyDescent="0.25">
      <c r="A56" t="s">
        <v>94</v>
      </c>
      <c r="B56" t="s">
        <v>95</v>
      </c>
      <c r="C56" t="s">
        <v>96</v>
      </c>
      <c r="D56" s="2">
        <v>45842</v>
      </c>
      <c r="E56">
        <v>28</v>
      </c>
      <c r="F56">
        <v>1</v>
      </c>
    </row>
    <row r="57" spans="1:6" x14ac:dyDescent="0.25">
      <c r="A57" t="s">
        <v>97</v>
      </c>
      <c r="B57" t="s">
        <v>95</v>
      </c>
      <c r="C57" t="s">
        <v>96</v>
      </c>
      <c r="D57" s="2">
        <v>45867</v>
      </c>
      <c r="E57">
        <v>28</v>
      </c>
      <c r="F57">
        <v>2</v>
      </c>
    </row>
    <row r="58" spans="1:6" x14ac:dyDescent="0.25">
      <c r="A58" t="s">
        <v>98</v>
      </c>
      <c r="B58" t="s">
        <v>95</v>
      </c>
      <c r="C58" t="s">
        <v>96</v>
      </c>
      <c r="D58" s="2">
        <v>45895</v>
      </c>
      <c r="E58">
        <v>28</v>
      </c>
      <c r="F58">
        <v>3</v>
      </c>
    </row>
    <row r="59" spans="1:6" x14ac:dyDescent="0.25">
      <c r="A59" t="s">
        <v>99</v>
      </c>
      <c r="B59" t="s">
        <v>95</v>
      </c>
      <c r="C59" t="s">
        <v>96</v>
      </c>
      <c r="D59" s="2">
        <v>45923</v>
      </c>
      <c r="E59">
        <v>28</v>
      </c>
      <c r="F59">
        <v>4</v>
      </c>
    </row>
    <row r="60" spans="1:6" x14ac:dyDescent="0.25">
      <c r="A60" t="s">
        <v>100</v>
      </c>
      <c r="B60" t="s">
        <v>95</v>
      </c>
      <c r="C60" t="s">
        <v>96</v>
      </c>
      <c r="D60" s="2">
        <v>45952</v>
      </c>
      <c r="E60">
        <v>28</v>
      </c>
      <c r="F60">
        <v>5</v>
      </c>
    </row>
    <row r="61" spans="1:6" x14ac:dyDescent="0.25">
      <c r="A61" t="s">
        <v>101</v>
      </c>
      <c r="B61" t="s">
        <v>102</v>
      </c>
      <c r="C61" t="s">
        <v>103</v>
      </c>
      <c r="D61" s="2">
        <v>45942</v>
      </c>
      <c r="E61">
        <v>14</v>
      </c>
      <c r="F61">
        <v>1</v>
      </c>
    </row>
    <row r="62" spans="1:6" x14ac:dyDescent="0.25">
      <c r="A62" t="s">
        <v>104</v>
      </c>
      <c r="B62" t="s">
        <v>102</v>
      </c>
      <c r="C62" t="s">
        <v>103</v>
      </c>
      <c r="D62" s="2">
        <v>45958</v>
      </c>
      <c r="E62">
        <v>14</v>
      </c>
      <c r="F62">
        <v>2</v>
      </c>
    </row>
    <row r="63" spans="1:6" x14ac:dyDescent="0.25">
      <c r="A63" t="s">
        <v>105</v>
      </c>
      <c r="B63" t="s">
        <v>106</v>
      </c>
      <c r="C63" t="s">
        <v>107</v>
      </c>
      <c r="D63" s="2">
        <v>45873</v>
      </c>
      <c r="E63">
        <v>14</v>
      </c>
      <c r="F63">
        <v>1</v>
      </c>
    </row>
    <row r="64" spans="1:6" x14ac:dyDescent="0.25">
      <c r="A64" t="s">
        <v>108</v>
      </c>
      <c r="B64" t="s">
        <v>109</v>
      </c>
      <c r="C64" t="s">
        <v>110</v>
      </c>
      <c r="D64" s="2">
        <v>45804</v>
      </c>
      <c r="E64">
        <v>14</v>
      </c>
      <c r="F64">
        <v>1</v>
      </c>
    </row>
    <row r="65" spans="1:6" x14ac:dyDescent="0.25">
      <c r="A65" t="s">
        <v>111</v>
      </c>
      <c r="B65" t="s">
        <v>112</v>
      </c>
      <c r="C65" t="s">
        <v>113</v>
      </c>
      <c r="D65" s="2">
        <v>45910</v>
      </c>
      <c r="E65">
        <v>14</v>
      </c>
      <c r="F65">
        <v>1</v>
      </c>
    </row>
    <row r="66" spans="1:6" x14ac:dyDescent="0.25">
      <c r="A66" t="s">
        <v>114</v>
      </c>
      <c r="B66" t="s">
        <v>112</v>
      </c>
      <c r="C66" t="s">
        <v>113</v>
      </c>
      <c r="D66" s="2">
        <v>45921</v>
      </c>
      <c r="E66">
        <v>14</v>
      </c>
      <c r="F66">
        <v>2</v>
      </c>
    </row>
    <row r="67" spans="1:6" x14ac:dyDescent="0.25">
      <c r="A67" t="s">
        <v>115</v>
      </c>
      <c r="B67" t="s">
        <v>112</v>
      </c>
      <c r="C67" t="s">
        <v>113</v>
      </c>
      <c r="D67" s="2">
        <v>45935</v>
      </c>
      <c r="E67">
        <v>14</v>
      </c>
      <c r="F67">
        <v>3</v>
      </c>
    </row>
    <row r="68" spans="1:6" x14ac:dyDescent="0.25">
      <c r="A68" t="s">
        <v>116</v>
      </c>
      <c r="B68" t="s">
        <v>112</v>
      </c>
      <c r="C68" t="s">
        <v>113</v>
      </c>
      <c r="D68" s="2">
        <v>45948</v>
      </c>
      <c r="E68">
        <v>14</v>
      </c>
      <c r="F68">
        <v>4</v>
      </c>
    </row>
    <row r="69" spans="1:6" x14ac:dyDescent="0.25">
      <c r="A69" t="s">
        <v>117</v>
      </c>
      <c r="B69" t="s">
        <v>118</v>
      </c>
      <c r="C69" t="s">
        <v>119</v>
      </c>
      <c r="D69" s="2">
        <v>45809</v>
      </c>
      <c r="E69">
        <v>28</v>
      </c>
      <c r="F69">
        <v>1</v>
      </c>
    </row>
    <row r="70" spans="1:6" x14ac:dyDescent="0.25">
      <c r="A70" t="s">
        <v>120</v>
      </c>
      <c r="B70" t="s">
        <v>118</v>
      </c>
      <c r="C70" t="s">
        <v>119</v>
      </c>
      <c r="D70" s="2">
        <v>45840</v>
      </c>
      <c r="E70">
        <v>28</v>
      </c>
      <c r="F70">
        <v>2</v>
      </c>
    </row>
    <row r="71" spans="1:6" x14ac:dyDescent="0.25">
      <c r="A71" t="s">
        <v>121</v>
      </c>
      <c r="B71" t="s">
        <v>118</v>
      </c>
      <c r="C71" t="s">
        <v>119</v>
      </c>
      <c r="D71" s="2">
        <v>45867</v>
      </c>
      <c r="E71">
        <v>28</v>
      </c>
      <c r="F71">
        <v>3</v>
      </c>
    </row>
    <row r="72" spans="1:6" x14ac:dyDescent="0.25">
      <c r="A72" t="s">
        <v>122</v>
      </c>
      <c r="B72" t="s">
        <v>118</v>
      </c>
      <c r="C72" t="s">
        <v>119</v>
      </c>
      <c r="D72" s="2">
        <v>45894</v>
      </c>
      <c r="E72">
        <v>28</v>
      </c>
      <c r="F72">
        <v>4</v>
      </c>
    </row>
    <row r="73" spans="1:6" x14ac:dyDescent="0.25">
      <c r="A73" t="s">
        <v>123</v>
      </c>
      <c r="B73" t="s">
        <v>118</v>
      </c>
      <c r="C73" t="s">
        <v>119</v>
      </c>
      <c r="D73" s="2">
        <v>45924</v>
      </c>
      <c r="E73">
        <v>28</v>
      </c>
      <c r="F73">
        <v>5</v>
      </c>
    </row>
    <row r="74" spans="1:6" x14ac:dyDescent="0.25">
      <c r="A74" t="s">
        <v>124</v>
      </c>
      <c r="B74" t="s">
        <v>118</v>
      </c>
      <c r="C74" t="s">
        <v>119</v>
      </c>
      <c r="D74" s="2">
        <v>45955</v>
      </c>
      <c r="E74">
        <v>28</v>
      </c>
      <c r="F74">
        <v>6</v>
      </c>
    </row>
    <row r="75" spans="1:6" x14ac:dyDescent="0.25">
      <c r="A75" t="s">
        <v>125</v>
      </c>
      <c r="B75" t="s">
        <v>126</v>
      </c>
      <c r="C75" t="s">
        <v>127</v>
      </c>
      <c r="D75" s="2">
        <v>45799</v>
      </c>
      <c r="E75">
        <v>28</v>
      </c>
      <c r="F75">
        <v>1</v>
      </c>
    </row>
    <row r="76" spans="1:6" x14ac:dyDescent="0.25">
      <c r="A76" t="s">
        <v>128</v>
      </c>
      <c r="B76" t="s">
        <v>126</v>
      </c>
      <c r="C76" t="s">
        <v>127</v>
      </c>
      <c r="D76" s="2">
        <v>45824</v>
      </c>
      <c r="E76">
        <v>28</v>
      </c>
      <c r="F76">
        <v>2</v>
      </c>
    </row>
    <row r="77" spans="1:6" x14ac:dyDescent="0.25">
      <c r="A77" t="s">
        <v>129</v>
      </c>
      <c r="B77" t="s">
        <v>126</v>
      </c>
      <c r="C77" t="s">
        <v>127</v>
      </c>
      <c r="D77" s="2">
        <v>45849</v>
      </c>
      <c r="E77">
        <v>28</v>
      </c>
      <c r="F77">
        <v>3</v>
      </c>
    </row>
    <row r="78" spans="1:6" x14ac:dyDescent="0.25">
      <c r="A78" t="s">
        <v>130</v>
      </c>
      <c r="B78" t="s">
        <v>126</v>
      </c>
      <c r="C78" t="s">
        <v>127</v>
      </c>
      <c r="D78" s="2">
        <v>45880</v>
      </c>
      <c r="E78">
        <v>28</v>
      </c>
      <c r="F78">
        <v>4</v>
      </c>
    </row>
    <row r="79" spans="1:6" x14ac:dyDescent="0.25">
      <c r="A79" t="s">
        <v>131</v>
      </c>
      <c r="B79" t="s">
        <v>126</v>
      </c>
      <c r="C79" t="s">
        <v>127</v>
      </c>
      <c r="D79" s="2">
        <v>45907</v>
      </c>
      <c r="E79">
        <v>28</v>
      </c>
      <c r="F79">
        <v>5</v>
      </c>
    </row>
    <row r="80" spans="1:6" x14ac:dyDescent="0.25">
      <c r="A80" t="s">
        <v>132</v>
      </c>
      <c r="B80" t="s">
        <v>126</v>
      </c>
      <c r="C80" t="s">
        <v>127</v>
      </c>
      <c r="D80" s="2">
        <v>45932</v>
      </c>
      <c r="E80">
        <v>28</v>
      </c>
      <c r="F80">
        <v>6</v>
      </c>
    </row>
    <row r="81" spans="1:6" x14ac:dyDescent="0.25">
      <c r="A81" t="s">
        <v>133</v>
      </c>
      <c r="B81" t="s">
        <v>134</v>
      </c>
      <c r="C81" t="s">
        <v>135</v>
      </c>
      <c r="D81" s="2">
        <v>45819</v>
      </c>
      <c r="E81">
        <v>28</v>
      </c>
      <c r="F81">
        <v>1</v>
      </c>
    </row>
    <row r="82" spans="1:6" x14ac:dyDescent="0.25">
      <c r="A82" t="s">
        <v>136</v>
      </c>
      <c r="B82" t="s">
        <v>134</v>
      </c>
      <c r="C82" t="s">
        <v>135</v>
      </c>
      <c r="D82" s="2">
        <v>45849</v>
      </c>
      <c r="E82">
        <v>28</v>
      </c>
      <c r="F82">
        <v>2</v>
      </c>
    </row>
    <row r="83" spans="1:6" x14ac:dyDescent="0.25">
      <c r="A83" t="s">
        <v>137</v>
      </c>
      <c r="B83" t="s">
        <v>134</v>
      </c>
      <c r="C83" t="s">
        <v>135</v>
      </c>
      <c r="D83" s="2">
        <v>45877</v>
      </c>
      <c r="E83">
        <v>28</v>
      </c>
      <c r="F83">
        <v>3</v>
      </c>
    </row>
    <row r="84" spans="1:6" x14ac:dyDescent="0.25">
      <c r="A84" t="s">
        <v>138</v>
      </c>
      <c r="B84" t="s">
        <v>134</v>
      </c>
      <c r="C84" t="s">
        <v>135</v>
      </c>
      <c r="D84" s="2">
        <v>45906</v>
      </c>
      <c r="E84">
        <v>28</v>
      </c>
      <c r="F84">
        <v>4</v>
      </c>
    </row>
    <row r="85" spans="1:6" x14ac:dyDescent="0.25">
      <c r="A85" t="s">
        <v>139</v>
      </c>
      <c r="B85" t="s">
        <v>134</v>
      </c>
      <c r="C85" t="s">
        <v>135</v>
      </c>
      <c r="D85" s="2">
        <v>45931</v>
      </c>
      <c r="E85">
        <v>28</v>
      </c>
      <c r="F85">
        <v>5</v>
      </c>
    </row>
    <row r="86" spans="1:6" x14ac:dyDescent="0.25">
      <c r="A86" t="s">
        <v>140</v>
      </c>
      <c r="B86" t="s">
        <v>141</v>
      </c>
      <c r="C86" t="s">
        <v>142</v>
      </c>
      <c r="D86" s="2">
        <v>45893</v>
      </c>
      <c r="E86">
        <v>21</v>
      </c>
      <c r="F86">
        <v>1</v>
      </c>
    </row>
    <row r="87" spans="1:6" x14ac:dyDescent="0.25">
      <c r="A87" t="s">
        <v>143</v>
      </c>
      <c r="B87" t="s">
        <v>141</v>
      </c>
      <c r="C87" t="s">
        <v>142</v>
      </c>
      <c r="D87" s="2">
        <v>45912</v>
      </c>
      <c r="E87">
        <v>21</v>
      </c>
      <c r="F87">
        <v>2</v>
      </c>
    </row>
    <row r="88" spans="1:6" x14ac:dyDescent="0.25">
      <c r="A88" t="s">
        <v>144</v>
      </c>
      <c r="B88" t="s">
        <v>141</v>
      </c>
      <c r="C88" t="s">
        <v>142</v>
      </c>
      <c r="D88" s="2">
        <v>45931</v>
      </c>
      <c r="E88">
        <v>21</v>
      </c>
      <c r="F88">
        <v>3</v>
      </c>
    </row>
    <row r="89" spans="1:6" x14ac:dyDescent="0.25">
      <c r="A89" t="s">
        <v>145</v>
      </c>
      <c r="B89" t="s">
        <v>141</v>
      </c>
      <c r="C89" t="s">
        <v>142</v>
      </c>
      <c r="D89" s="2">
        <v>45955</v>
      </c>
      <c r="E89">
        <v>21</v>
      </c>
      <c r="F89">
        <v>4</v>
      </c>
    </row>
    <row r="90" spans="1:6" x14ac:dyDescent="0.25">
      <c r="A90" t="s">
        <v>146</v>
      </c>
      <c r="B90" t="s">
        <v>147</v>
      </c>
      <c r="C90" t="s">
        <v>148</v>
      </c>
      <c r="D90" s="2">
        <v>45815</v>
      </c>
      <c r="E90">
        <v>30</v>
      </c>
      <c r="F90">
        <v>1</v>
      </c>
    </row>
    <row r="91" spans="1:6" x14ac:dyDescent="0.25">
      <c r="A91" t="s">
        <v>149</v>
      </c>
      <c r="B91" t="s">
        <v>147</v>
      </c>
      <c r="C91" t="s">
        <v>148</v>
      </c>
      <c r="D91" s="2">
        <v>45847</v>
      </c>
      <c r="E91">
        <v>30</v>
      </c>
      <c r="F91">
        <v>2</v>
      </c>
    </row>
    <row r="92" spans="1:6" x14ac:dyDescent="0.25">
      <c r="A92" t="s">
        <v>150</v>
      </c>
      <c r="B92" t="s">
        <v>147</v>
      </c>
      <c r="C92" t="s">
        <v>148</v>
      </c>
      <c r="D92" s="2">
        <v>45875</v>
      </c>
      <c r="E92">
        <v>30</v>
      </c>
      <c r="F92">
        <v>3</v>
      </c>
    </row>
    <row r="93" spans="1:6" x14ac:dyDescent="0.25">
      <c r="A93" t="s">
        <v>151</v>
      </c>
      <c r="B93" t="s">
        <v>147</v>
      </c>
      <c r="C93" t="s">
        <v>148</v>
      </c>
      <c r="D93" s="2">
        <v>45906</v>
      </c>
      <c r="E93">
        <v>30</v>
      </c>
      <c r="F93">
        <v>4</v>
      </c>
    </row>
    <row r="94" spans="1:6" x14ac:dyDescent="0.25">
      <c r="A94" t="s">
        <v>152</v>
      </c>
      <c r="B94" t="s">
        <v>147</v>
      </c>
      <c r="C94" t="s">
        <v>148</v>
      </c>
      <c r="D94" s="2">
        <v>45933</v>
      </c>
      <c r="E94">
        <v>30</v>
      </c>
      <c r="F94">
        <v>5</v>
      </c>
    </row>
    <row r="95" spans="1:6" x14ac:dyDescent="0.25">
      <c r="A95" t="s">
        <v>153</v>
      </c>
      <c r="B95" t="s">
        <v>154</v>
      </c>
      <c r="C95" t="s">
        <v>155</v>
      </c>
      <c r="D95" s="2">
        <v>45889</v>
      </c>
      <c r="E95">
        <v>28</v>
      </c>
      <c r="F95">
        <v>1</v>
      </c>
    </row>
    <row r="96" spans="1:6" x14ac:dyDescent="0.25">
      <c r="A96" t="s">
        <v>156</v>
      </c>
      <c r="B96" t="s">
        <v>154</v>
      </c>
      <c r="C96" t="s">
        <v>155</v>
      </c>
      <c r="D96" s="2">
        <v>45915</v>
      </c>
      <c r="E96">
        <v>28</v>
      </c>
      <c r="F96">
        <v>2</v>
      </c>
    </row>
    <row r="97" spans="1:6" x14ac:dyDescent="0.25">
      <c r="A97" t="s">
        <v>157</v>
      </c>
      <c r="B97" t="s">
        <v>154</v>
      </c>
      <c r="C97" t="s">
        <v>155</v>
      </c>
      <c r="D97" s="2">
        <v>45943</v>
      </c>
      <c r="E97">
        <v>28</v>
      </c>
      <c r="F97">
        <v>3</v>
      </c>
    </row>
    <row r="98" spans="1:6" x14ac:dyDescent="0.25">
      <c r="A98" t="s">
        <v>158</v>
      </c>
      <c r="B98" t="s">
        <v>159</v>
      </c>
      <c r="C98" t="s">
        <v>160</v>
      </c>
      <c r="D98" s="2">
        <v>45834</v>
      </c>
      <c r="E98">
        <v>28</v>
      </c>
      <c r="F98">
        <v>1</v>
      </c>
    </row>
    <row r="99" spans="1:6" x14ac:dyDescent="0.25">
      <c r="A99" t="s">
        <v>161</v>
      </c>
      <c r="B99" t="s">
        <v>159</v>
      </c>
      <c r="C99" t="s">
        <v>160</v>
      </c>
      <c r="D99" s="2">
        <v>45860</v>
      </c>
      <c r="E99">
        <v>28</v>
      </c>
      <c r="F99">
        <v>2</v>
      </c>
    </row>
    <row r="100" spans="1:6" x14ac:dyDescent="0.25">
      <c r="A100" t="s">
        <v>162</v>
      </c>
      <c r="B100" t="s">
        <v>159</v>
      </c>
      <c r="C100" t="s">
        <v>160</v>
      </c>
      <c r="D100" s="2">
        <v>45891</v>
      </c>
      <c r="E100">
        <v>28</v>
      </c>
      <c r="F100">
        <v>3</v>
      </c>
    </row>
    <row r="101" spans="1:6" x14ac:dyDescent="0.25">
      <c r="A101" t="s">
        <v>163</v>
      </c>
      <c r="B101" t="s">
        <v>159</v>
      </c>
      <c r="C101" t="s">
        <v>160</v>
      </c>
      <c r="D101" s="2">
        <v>45920</v>
      </c>
      <c r="E101">
        <v>28</v>
      </c>
      <c r="F101">
        <v>4</v>
      </c>
    </row>
    <row r="102" spans="1:6" x14ac:dyDescent="0.25">
      <c r="A102" t="s">
        <v>164</v>
      </c>
      <c r="B102" t="s">
        <v>159</v>
      </c>
      <c r="C102" t="s">
        <v>160</v>
      </c>
      <c r="D102" s="2">
        <v>45950</v>
      </c>
      <c r="E102">
        <v>28</v>
      </c>
      <c r="F102">
        <v>5</v>
      </c>
    </row>
    <row r="103" spans="1:6" x14ac:dyDescent="0.25">
      <c r="A103" t="s">
        <v>165</v>
      </c>
      <c r="B103" t="s">
        <v>166</v>
      </c>
      <c r="C103" t="s">
        <v>167</v>
      </c>
      <c r="D103" s="2">
        <v>45893</v>
      </c>
      <c r="E103">
        <v>30</v>
      </c>
      <c r="F103">
        <v>1</v>
      </c>
    </row>
    <row r="104" spans="1:6" x14ac:dyDescent="0.25">
      <c r="A104" t="s">
        <v>168</v>
      </c>
      <c r="B104" t="s">
        <v>166</v>
      </c>
      <c r="C104" t="s">
        <v>167</v>
      </c>
      <c r="D104" s="2">
        <v>45921</v>
      </c>
      <c r="E104">
        <v>30</v>
      </c>
      <c r="F104">
        <v>2</v>
      </c>
    </row>
    <row r="105" spans="1:6" x14ac:dyDescent="0.25">
      <c r="A105" t="s">
        <v>169</v>
      </c>
      <c r="B105" t="s">
        <v>166</v>
      </c>
      <c r="C105" t="s">
        <v>167</v>
      </c>
      <c r="D105" s="2">
        <v>45949</v>
      </c>
      <c r="E105">
        <v>30</v>
      </c>
      <c r="F105">
        <v>3</v>
      </c>
    </row>
    <row r="106" spans="1:6" x14ac:dyDescent="0.25">
      <c r="A106" t="s">
        <v>170</v>
      </c>
      <c r="B106" t="s">
        <v>171</v>
      </c>
      <c r="C106" t="s">
        <v>172</v>
      </c>
      <c r="D106" s="2">
        <v>45784</v>
      </c>
      <c r="E106">
        <v>28</v>
      </c>
      <c r="F106">
        <v>1</v>
      </c>
    </row>
    <row r="107" spans="1:6" x14ac:dyDescent="0.25">
      <c r="A107" t="s">
        <v>173</v>
      </c>
      <c r="B107" t="s">
        <v>171</v>
      </c>
      <c r="C107" t="s">
        <v>172</v>
      </c>
      <c r="D107" s="2">
        <v>45815</v>
      </c>
      <c r="E107">
        <v>28</v>
      </c>
      <c r="F107">
        <v>2</v>
      </c>
    </row>
    <row r="108" spans="1:6" x14ac:dyDescent="0.25">
      <c r="A108" t="s">
        <v>174</v>
      </c>
      <c r="B108" t="s">
        <v>171</v>
      </c>
      <c r="C108" t="s">
        <v>172</v>
      </c>
      <c r="D108" s="2">
        <v>45842</v>
      </c>
      <c r="E108">
        <v>28</v>
      </c>
      <c r="F108">
        <v>3</v>
      </c>
    </row>
    <row r="109" spans="1:6" x14ac:dyDescent="0.25">
      <c r="A109" t="s">
        <v>175</v>
      </c>
      <c r="B109" t="s">
        <v>176</v>
      </c>
      <c r="C109" t="s">
        <v>177</v>
      </c>
      <c r="D109" s="2">
        <v>45791</v>
      </c>
      <c r="E109">
        <v>21</v>
      </c>
      <c r="F109">
        <v>1</v>
      </c>
    </row>
    <row r="110" spans="1:6" x14ac:dyDescent="0.25">
      <c r="A110" t="s">
        <v>178</v>
      </c>
      <c r="B110" t="s">
        <v>176</v>
      </c>
      <c r="C110" t="s">
        <v>177</v>
      </c>
      <c r="D110" s="2">
        <v>45809</v>
      </c>
      <c r="E110">
        <v>21</v>
      </c>
      <c r="F110">
        <v>2</v>
      </c>
    </row>
    <row r="111" spans="1:6" x14ac:dyDescent="0.25">
      <c r="A111" t="s">
        <v>179</v>
      </c>
      <c r="B111" t="s">
        <v>176</v>
      </c>
      <c r="C111" t="s">
        <v>177</v>
      </c>
      <c r="D111" s="2">
        <v>45828</v>
      </c>
      <c r="E111">
        <v>21</v>
      </c>
      <c r="F111">
        <v>3</v>
      </c>
    </row>
    <row r="112" spans="1:6" x14ac:dyDescent="0.25">
      <c r="A112" t="s">
        <v>180</v>
      </c>
      <c r="B112" t="s">
        <v>176</v>
      </c>
      <c r="C112" t="s">
        <v>177</v>
      </c>
      <c r="D112" s="2">
        <v>45850</v>
      </c>
      <c r="E112">
        <v>21</v>
      </c>
      <c r="F112">
        <v>4</v>
      </c>
    </row>
    <row r="113" spans="1:6" x14ac:dyDescent="0.25">
      <c r="A113" t="s">
        <v>181</v>
      </c>
      <c r="B113" t="s">
        <v>176</v>
      </c>
      <c r="C113" t="s">
        <v>177</v>
      </c>
      <c r="D113" s="2">
        <v>45871</v>
      </c>
      <c r="E113">
        <v>21</v>
      </c>
      <c r="F113">
        <v>5</v>
      </c>
    </row>
    <row r="114" spans="1:6" x14ac:dyDescent="0.25">
      <c r="A114" t="s">
        <v>182</v>
      </c>
      <c r="B114" t="s">
        <v>176</v>
      </c>
      <c r="C114" t="s">
        <v>177</v>
      </c>
      <c r="D114" s="2">
        <v>45892</v>
      </c>
      <c r="E114">
        <v>21</v>
      </c>
      <c r="F114">
        <v>6</v>
      </c>
    </row>
    <row r="115" spans="1:6" x14ac:dyDescent="0.25">
      <c r="A115" t="s">
        <v>183</v>
      </c>
      <c r="B115" t="s">
        <v>176</v>
      </c>
      <c r="C115" t="s">
        <v>177</v>
      </c>
      <c r="D115" s="2">
        <v>45912</v>
      </c>
      <c r="E115">
        <v>21</v>
      </c>
      <c r="F115">
        <v>7</v>
      </c>
    </row>
    <row r="116" spans="1:6" x14ac:dyDescent="0.25">
      <c r="A116" t="s">
        <v>184</v>
      </c>
      <c r="B116" t="s">
        <v>176</v>
      </c>
      <c r="C116" t="s">
        <v>177</v>
      </c>
      <c r="D116" s="2">
        <v>45936</v>
      </c>
      <c r="E116">
        <v>21</v>
      </c>
      <c r="F116">
        <v>8</v>
      </c>
    </row>
    <row r="117" spans="1:6" x14ac:dyDescent="0.25">
      <c r="A117" t="s">
        <v>185</v>
      </c>
      <c r="B117" t="s">
        <v>176</v>
      </c>
      <c r="C117" t="s">
        <v>177</v>
      </c>
      <c r="D117" s="2">
        <v>45956</v>
      </c>
      <c r="E117">
        <v>21</v>
      </c>
      <c r="F117">
        <v>9</v>
      </c>
    </row>
    <row r="118" spans="1:6" x14ac:dyDescent="0.25">
      <c r="A118" t="s">
        <v>186</v>
      </c>
      <c r="B118" t="s">
        <v>187</v>
      </c>
      <c r="C118" t="s">
        <v>188</v>
      </c>
      <c r="D118" s="2">
        <v>45906</v>
      </c>
      <c r="E118">
        <v>28</v>
      </c>
      <c r="F118">
        <v>1</v>
      </c>
    </row>
    <row r="119" spans="1:6" x14ac:dyDescent="0.25">
      <c r="A119" t="s">
        <v>189</v>
      </c>
      <c r="B119" t="s">
        <v>187</v>
      </c>
      <c r="C119" t="s">
        <v>188</v>
      </c>
      <c r="D119" s="2">
        <v>45931</v>
      </c>
      <c r="E119">
        <v>28</v>
      </c>
      <c r="F119">
        <v>2</v>
      </c>
    </row>
    <row r="120" spans="1:6" x14ac:dyDescent="0.25">
      <c r="A120" t="s">
        <v>190</v>
      </c>
      <c r="B120" t="s">
        <v>187</v>
      </c>
      <c r="C120" t="s">
        <v>188</v>
      </c>
      <c r="D120" s="2">
        <v>45957</v>
      </c>
      <c r="E120">
        <v>28</v>
      </c>
      <c r="F120">
        <v>3</v>
      </c>
    </row>
    <row r="121" spans="1:6" x14ac:dyDescent="0.25">
      <c r="A121" t="s">
        <v>191</v>
      </c>
      <c r="B121" t="s">
        <v>192</v>
      </c>
      <c r="C121" t="s">
        <v>193</v>
      </c>
      <c r="D121" s="2">
        <v>45838</v>
      </c>
      <c r="E121">
        <v>56</v>
      </c>
      <c r="F121">
        <v>1</v>
      </c>
    </row>
    <row r="122" spans="1:6" x14ac:dyDescent="0.25">
      <c r="A122" t="s">
        <v>194</v>
      </c>
      <c r="B122" t="s">
        <v>192</v>
      </c>
      <c r="C122" t="s">
        <v>193</v>
      </c>
      <c r="D122" s="2">
        <v>45893</v>
      </c>
      <c r="E122">
        <v>56</v>
      </c>
      <c r="F122">
        <v>2</v>
      </c>
    </row>
    <row r="123" spans="1:6" x14ac:dyDescent="0.25">
      <c r="A123" t="s">
        <v>195</v>
      </c>
      <c r="B123" t="s">
        <v>192</v>
      </c>
      <c r="C123" t="s">
        <v>193</v>
      </c>
      <c r="D123" s="2">
        <v>45950</v>
      </c>
      <c r="E123">
        <v>56</v>
      </c>
      <c r="F123">
        <v>3</v>
      </c>
    </row>
    <row r="124" spans="1:6" x14ac:dyDescent="0.25">
      <c r="A124" t="s">
        <v>196</v>
      </c>
      <c r="B124" t="s">
        <v>197</v>
      </c>
      <c r="C124" t="s">
        <v>198</v>
      </c>
      <c r="D124" s="2">
        <v>45798</v>
      </c>
      <c r="E124">
        <v>28</v>
      </c>
      <c r="F124">
        <v>1</v>
      </c>
    </row>
    <row r="125" spans="1:6" x14ac:dyDescent="0.25">
      <c r="A125" t="s">
        <v>199</v>
      </c>
      <c r="B125" t="s">
        <v>197</v>
      </c>
      <c r="C125" t="s">
        <v>198</v>
      </c>
      <c r="D125" s="2">
        <v>45826</v>
      </c>
      <c r="E125">
        <v>28</v>
      </c>
      <c r="F125">
        <v>2</v>
      </c>
    </row>
    <row r="126" spans="1:6" x14ac:dyDescent="0.25">
      <c r="A126" t="s">
        <v>200</v>
      </c>
      <c r="B126" t="s">
        <v>201</v>
      </c>
      <c r="C126" t="s">
        <v>202</v>
      </c>
      <c r="D126" s="2">
        <v>45835</v>
      </c>
      <c r="E126">
        <v>30</v>
      </c>
      <c r="F126">
        <v>1</v>
      </c>
    </row>
    <row r="127" spans="1:6" x14ac:dyDescent="0.25">
      <c r="A127" t="s">
        <v>203</v>
      </c>
      <c r="B127" t="s">
        <v>201</v>
      </c>
      <c r="C127" t="s">
        <v>202</v>
      </c>
      <c r="D127" s="2">
        <v>45866</v>
      </c>
      <c r="E127">
        <v>30</v>
      </c>
      <c r="F127">
        <v>2</v>
      </c>
    </row>
    <row r="128" spans="1:6" x14ac:dyDescent="0.25">
      <c r="A128" t="s">
        <v>204</v>
      </c>
      <c r="B128" t="s">
        <v>201</v>
      </c>
      <c r="C128" t="s">
        <v>202</v>
      </c>
      <c r="D128" s="2">
        <v>45899</v>
      </c>
      <c r="E128">
        <v>30</v>
      </c>
      <c r="F128">
        <v>3</v>
      </c>
    </row>
    <row r="129" spans="1:6" x14ac:dyDescent="0.25">
      <c r="A129" t="s">
        <v>205</v>
      </c>
      <c r="B129" t="s">
        <v>201</v>
      </c>
      <c r="C129" t="s">
        <v>202</v>
      </c>
      <c r="D129" s="2">
        <v>45927</v>
      </c>
      <c r="E129">
        <v>30</v>
      </c>
      <c r="F129">
        <v>4</v>
      </c>
    </row>
    <row r="130" spans="1:6" x14ac:dyDescent="0.25">
      <c r="A130" t="s">
        <v>206</v>
      </c>
      <c r="B130" t="s">
        <v>201</v>
      </c>
      <c r="C130" t="s">
        <v>202</v>
      </c>
      <c r="D130" s="2">
        <v>45957</v>
      </c>
      <c r="E130">
        <v>30</v>
      </c>
      <c r="F130">
        <v>5</v>
      </c>
    </row>
    <row r="131" spans="1:6" x14ac:dyDescent="0.25">
      <c r="A131" t="s">
        <v>207</v>
      </c>
      <c r="B131" t="s">
        <v>208</v>
      </c>
      <c r="C131" t="s">
        <v>209</v>
      </c>
      <c r="D131" s="2">
        <v>45859</v>
      </c>
      <c r="E131">
        <v>30</v>
      </c>
      <c r="F131">
        <v>1</v>
      </c>
    </row>
    <row r="132" spans="1:6" x14ac:dyDescent="0.25">
      <c r="A132" t="s">
        <v>210</v>
      </c>
      <c r="B132" t="s">
        <v>208</v>
      </c>
      <c r="C132" t="s">
        <v>209</v>
      </c>
      <c r="D132" s="2">
        <v>45888</v>
      </c>
      <c r="E132">
        <v>30</v>
      </c>
      <c r="F132">
        <v>2</v>
      </c>
    </row>
    <row r="133" spans="1:6" x14ac:dyDescent="0.25">
      <c r="A133" t="s">
        <v>211</v>
      </c>
      <c r="B133" t="s">
        <v>208</v>
      </c>
      <c r="C133" t="s">
        <v>209</v>
      </c>
      <c r="D133" s="2">
        <v>45921</v>
      </c>
      <c r="E133">
        <v>30</v>
      </c>
      <c r="F133">
        <v>3</v>
      </c>
    </row>
    <row r="134" spans="1:6" x14ac:dyDescent="0.25">
      <c r="A134" t="s">
        <v>212</v>
      </c>
      <c r="B134" t="s">
        <v>208</v>
      </c>
      <c r="C134" t="s">
        <v>209</v>
      </c>
      <c r="D134" s="2">
        <v>45948</v>
      </c>
      <c r="E134">
        <v>30</v>
      </c>
      <c r="F134">
        <v>4</v>
      </c>
    </row>
    <row r="135" spans="1:6" x14ac:dyDescent="0.25">
      <c r="A135" t="s">
        <v>213</v>
      </c>
      <c r="B135" t="s">
        <v>214</v>
      </c>
      <c r="C135" t="s">
        <v>215</v>
      </c>
      <c r="D135" s="2">
        <v>45960</v>
      </c>
      <c r="E135">
        <v>28</v>
      </c>
      <c r="F135">
        <v>1</v>
      </c>
    </row>
    <row r="136" spans="1:6" x14ac:dyDescent="0.25">
      <c r="A136" t="s">
        <v>216</v>
      </c>
      <c r="B136" t="s">
        <v>217</v>
      </c>
      <c r="C136" t="s">
        <v>218</v>
      </c>
      <c r="D136" s="2">
        <v>45863</v>
      </c>
      <c r="E136">
        <v>28</v>
      </c>
      <c r="F136">
        <v>1</v>
      </c>
    </row>
    <row r="137" spans="1:6" x14ac:dyDescent="0.25">
      <c r="A137" t="s">
        <v>219</v>
      </c>
      <c r="B137" t="s">
        <v>217</v>
      </c>
      <c r="C137" t="s">
        <v>218</v>
      </c>
      <c r="D137" s="2">
        <v>45891</v>
      </c>
      <c r="E137">
        <v>28</v>
      </c>
      <c r="F137">
        <v>2</v>
      </c>
    </row>
    <row r="138" spans="1:6" x14ac:dyDescent="0.25">
      <c r="A138" t="s">
        <v>220</v>
      </c>
      <c r="B138" t="s">
        <v>217</v>
      </c>
      <c r="C138" t="s">
        <v>218</v>
      </c>
      <c r="D138" s="2">
        <v>45921</v>
      </c>
      <c r="E138">
        <v>28</v>
      </c>
      <c r="F138">
        <v>3</v>
      </c>
    </row>
    <row r="139" spans="1:6" x14ac:dyDescent="0.25">
      <c r="A139" t="s">
        <v>221</v>
      </c>
      <c r="B139" t="s">
        <v>217</v>
      </c>
      <c r="C139" t="s">
        <v>218</v>
      </c>
      <c r="D139" s="2">
        <v>45948</v>
      </c>
      <c r="E139">
        <v>28</v>
      </c>
      <c r="F139">
        <v>4</v>
      </c>
    </row>
    <row r="140" spans="1:6" x14ac:dyDescent="0.25">
      <c r="A140" t="s">
        <v>222</v>
      </c>
      <c r="B140" t="s">
        <v>223</v>
      </c>
      <c r="C140" t="s">
        <v>224</v>
      </c>
      <c r="D140" s="2">
        <v>45815</v>
      </c>
      <c r="E140">
        <v>30</v>
      </c>
      <c r="F140">
        <v>1</v>
      </c>
    </row>
    <row r="141" spans="1:6" x14ac:dyDescent="0.25">
      <c r="A141" t="s">
        <v>225</v>
      </c>
      <c r="B141" t="s">
        <v>223</v>
      </c>
      <c r="C141" t="s">
        <v>224</v>
      </c>
      <c r="D141" s="2">
        <v>45843</v>
      </c>
      <c r="E141">
        <v>30</v>
      </c>
      <c r="F141">
        <v>2</v>
      </c>
    </row>
    <row r="142" spans="1:6" x14ac:dyDescent="0.25">
      <c r="A142" t="s">
        <v>226</v>
      </c>
      <c r="B142" t="s">
        <v>223</v>
      </c>
      <c r="C142" t="s">
        <v>224</v>
      </c>
      <c r="D142" s="2">
        <v>45873</v>
      </c>
      <c r="E142">
        <v>30</v>
      </c>
      <c r="F142">
        <v>3</v>
      </c>
    </row>
    <row r="143" spans="1:6" x14ac:dyDescent="0.25">
      <c r="A143" t="s">
        <v>227</v>
      </c>
      <c r="B143" t="s">
        <v>223</v>
      </c>
      <c r="C143" t="s">
        <v>224</v>
      </c>
      <c r="D143" s="2">
        <v>45901</v>
      </c>
      <c r="E143">
        <v>30</v>
      </c>
      <c r="F143">
        <v>4</v>
      </c>
    </row>
    <row r="144" spans="1:6" x14ac:dyDescent="0.25">
      <c r="A144" t="s">
        <v>228</v>
      </c>
      <c r="B144" t="s">
        <v>223</v>
      </c>
      <c r="C144" t="s">
        <v>224</v>
      </c>
      <c r="D144" s="2">
        <v>45930</v>
      </c>
      <c r="E144">
        <v>30</v>
      </c>
      <c r="F144">
        <v>5</v>
      </c>
    </row>
    <row r="145" spans="1:6" x14ac:dyDescent="0.25">
      <c r="A145" t="s">
        <v>229</v>
      </c>
      <c r="B145" t="s">
        <v>223</v>
      </c>
      <c r="C145" t="s">
        <v>224</v>
      </c>
      <c r="D145" s="2">
        <v>45957</v>
      </c>
      <c r="E145">
        <v>30</v>
      </c>
      <c r="F145">
        <v>6</v>
      </c>
    </row>
    <row r="146" spans="1:6" x14ac:dyDescent="0.25">
      <c r="A146" t="s">
        <v>230</v>
      </c>
      <c r="B146" t="s">
        <v>231</v>
      </c>
      <c r="C146" t="s">
        <v>232</v>
      </c>
      <c r="D146" s="2">
        <v>45787</v>
      </c>
      <c r="E146">
        <v>28</v>
      </c>
      <c r="F146">
        <v>1</v>
      </c>
    </row>
    <row r="147" spans="1:6" x14ac:dyDescent="0.25">
      <c r="A147" t="s">
        <v>233</v>
      </c>
      <c r="B147" t="s">
        <v>231</v>
      </c>
      <c r="C147" t="s">
        <v>232</v>
      </c>
      <c r="D147" s="2">
        <v>45815</v>
      </c>
      <c r="E147">
        <v>28</v>
      </c>
      <c r="F147">
        <v>2</v>
      </c>
    </row>
    <row r="148" spans="1:6" x14ac:dyDescent="0.25">
      <c r="A148" t="s">
        <v>234</v>
      </c>
      <c r="B148" t="s">
        <v>235</v>
      </c>
      <c r="C148" t="s">
        <v>236</v>
      </c>
      <c r="D148" s="2">
        <v>45898</v>
      </c>
      <c r="E148">
        <v>30</v>
      </c>
      <c r="F148">
        <v>1</v>
      </c>
    </row>
    <row r="149" spans="1:6" x14ac:dyDescent="0.25">
      <c r="A149" t="s">
        <v>237</v>
      </c>
      <c r="B149" t="s">
        <v>235</v>
      </c>
      <c r="C149" t="s">
        <v>236</v>
      </c>
      <c r="D149" s="2">
        <v>45930</v>
      </c>
      <c r="E149">
        <v>30</v>
      </c>
      <c r="F149">
        <v>2</v>
      </c>
    </row>
    <row r="150" spans="1:6" x14ac:dyDescent="0.25">
      <c r="A150" t="s">
        <v>238</v>
      </c>
      <c r="B150" t="s">
        <v>235</v>
      </c>
      <c r="C150" t="s">
        <v>236</v>
      </c>
      <c r="D150" s="2">
        <v>45961</v>
      </c>
      <c r="E150">
        <v>30</v>
      </c>
      <c r="F150">
        <v>3</v>
      </c>
    </row>
    <row r="151" spans="1:6" x14ac:dyDescent="0.25">
      <c r="A151" t="s">
        <v>239</v>
      </c>
      <c r="B151" t="s">
        <v>240</v>
      </c>
      <c r="C151" t="s">
        <v>241</v>
      </c>
      <c r="D151" s="2">
        <v>45813</v>
      </c>
      <c r="E151">
        <v>28</v>
      </c>
      <c r="F151">
        <v>1</v>
      </c>
    </row>
    <row r="152" spans="1:6" x14ac:dyDescent="0.25">
      <c r="A152" t="s">
        <v>242</v>
      </c>
      <c r="B152" t="s">
        <v>240</v>
      </c>
      <c r="C152" t="s">
        <v>241</v>
      </c>
      <c r="D152" s="2">
        <v>45843</v>
      </c>
      <c r="E152">
        <v>28</v>
      </c>
      <c r="F152">
        <v>2</v>
      </c>
    </row>
    <row r="153" spans="1:6" x14ac:dyDescent="0.25">
      <c r="A153" t="s">
        <v>243</v>
      </c>
      <c r="B153" t="s">
        <v>240</v>
      </c>
      <c r="C153" t="s">
        <v>241</v>
      </c>
      <c r="D153" s="2">
        <v>45871</v>
      </c>
      <c r="E153">
        <v>28</v>
      </c>
      <c r="F153">
        <v>3</v>
      </c>
    </row>
    <row r="154" spans="1:6" x14ac:dyDescent="0.25">
      <c r="A154" t="s">
        <v>244</v>
      </c>
      <c r="B154" t="s">
        <v>240</v>
      </c>
      <c r="C154" t="s">
        <v>241</v>
      </c>
      <c r="D154" s="2">
        <v>45900</v>
      </c>
      <c r="E154">
        <v>28</v>
      </c>
      <c r="F154">
        <v>4</v>
      </c>
    </row>
    <row r="155" spans="1:6" x14ac:dyDescent="0.25">
      <c r="A155" t="s">
        <v>245</v>
      </c>
      <c r="B155" t="s">
        <v>240</v>
      </c>
      <c r="C155" t="s">
        <v>241</v>
      </c>
      <c r="D155" s="2">
        <v>45925</v>
      </c>
      <c r="E155">
        <v>28</v>
      </c>
      <c r="F155">
        <v>5</v>
      </c>
    </row>
    <row r="156" spans="1:6" x14ac:dyDescent="0.25">
      <c r="A156" t="s">
        <v>246</v>
      </c>
      <c r="B156" t="s">
        <v>240</v>
      </c>
      <c r="C156" t="s">
        <v>241</v>
      </c>
      <c r="D156" s="2">
        <v>45955</v>
      </c>
      <c r="E156">
        <v>28</v>
      </c>
      <c r="F156">
        <v>6</v>
      </c>
    </row>
    <row r="157" spans="1:6" x14ac:dyDescent="0.25">
      <c r="A157" t="s">
        <v>247</v>
      </c>
      <c r="B157" t="s">
        <v>248</v>
      </c>
      <c r="C157" t="s">
        <v>249</v>
      </c>
      <c r="D157" s="2">
        <v>45958</v>
      </c>
      <c r="E157">
        <v>28</v>
      </c>
      <c r="F157">
        <v>1</v>
      </c>
    </row>
    <row r="158" spans="1:6" x14ac:dyDescent="0.25">
      <c r="A158" t="s">
        <v>250</v>
      </c>
      <c r="B158" t="s">
        <v>251</v>
      </c>
      <c r="C158" t="s">
        <v>252</v>
      </c>
      <c r="D158" s="2">
        <v>45892</v>
      </c>
      <c r="E158">
        <v>28</v>
      </c>
      <c r="F158">
        <v>1</v>
      </c>
    </row>
    <row r="159" spans="1:6" x14ac:dyDescent="0.25">
      <c r="A159" t="s">
        <v>253</v>
      </c>
      <c r="B159" t="s">
        <v>251</v>
      </c>
      <c r="C159" t="s">
        <v>252</v>
      </c>
      <c r="D159" s="2">
        <v>45919</v>
      </c>
      <c r="E159">
        <v>28</v>
      </c>
      <c r="F159">
        <v>2</v>
      </c>
    </row>
    <row r="160" spans="1:6" x14ac:dyDescent="0.25">
      <c r="A160" t="s">
        <v>254</v>
      </c>
      <c r="B160" t="s">
        <v>251</v>
      </c>
      <c r="C160" t="s">
        <v>252</v>
      </c>
      <c r="D160" s="2">
        <v>45950</v>
      </c>
      <c r="E160">
        <v>28</v>
      </c>
      <c r="F160">
        <v>3</v>
      </c>
    </row>
    <row r="161" spans="1:6" x14ac:dyDescent="0.25">
      <c r="A161" t="s">
        <v>255</v>
      </c>
      <c r="B161" t="s">
        <v>256</v>
      </c>
      <c r="C161" t="s">
        <v>257</v>
      </c>
      <c r="D161" s="2">
        <v>45779</v>
      </c>
      <c r="E161">
        <v>28</v>
      </c>
      <c r="F161">
        <v>1</v>
      </c>
    </row>
    <row r="162" spans="1:6" x14ac:dyDescent="0.25">
      <c r="A162" t="s">
        <v>258</v>
      </c>
      <c r="B162" t="s">
        <v>256</v>
      </c>
      <c r="C162" t="s">
        <v>257</v>
      </c>
      <c r="D162" s="2">
        <v>45809</v>
      </c>
      <c r="E162">
        <v>28</v>
      </c>
      <c r="F162">
        <v>2</v>
      </c>
    </row>
    <row r="163" spans="1:6" x14ac:dyDescent="0.25">
      <c r="A163" t="s">
        <v>259</v>
      </c>
      <c r="B163" t="s">
        <v>256</v>
      </c>
      <c r="C163" t="s">
        <v>257</v>
      </c>
      <c r="D163" s="2">
        <v>45836</v>
      </c>
      <c r="E163">
        <v>28</v>
      </c>
      <c r="F163">
        <v>3</v>
      </c>
    </row>
    <row r="164" spans="1:6" x14ac:dyDescent="0.25">
      <c r="A164" t="s">
        <v>260</v>
      </c>
      <c r="B164" t="s">
        <v>256</v>
      </c>
      <c r="C164" t="s">
        <v>257</v>
      </c>
      <c r="D164" s="2">
        <v>45863</v>
      </c>
      <c r="E164">
        <v>28</v>
      </c>
      <c r="F164">
        <v>4</v>
      </c>
    </row>
    <row r="165" spans="1:6" x14ac:dyDescent="0.25">
      <c r="A165" t="s">
        <v>261</v>
      </c>
      <c r="B165" t="s">
        <v>256</v>
      </c>
      <c r="C165" t="s">
        <v>257</v>
      </c>
      <c r="D165" s="2">
        <v>45888</v>
      </c>
      <c r="E165">
        <v>28</v>
      </c>
      <c r="F165">
        <v>5</v>
      </c>
    </row>
    <row r="166" spans="1:6" x14ac:dyDescent="0.25">
      <c r="A166" t="s">
        <v>262</v>
      </c>
      <c r="B166" t="s">
        <v>256</v>
      </c>
      <c r="C166" t="s">
        <v>257</v>
      </c>
      <c r="D166" s="2">
        <v>45914</v>
      </c>
      <c r="E166">
        <v>28</v>
      </c>
      <c r="F166">
        <v>6</v>
      </c>
    </row>
    <row r="167" spans="1:6" x14ac:dyDescent="0.25">
      <c r="A167" t="s">
        <v>263</v>
      </c>
      <c r="B167" t="s">
        <v>256</v>
      </c>
      <c r="C167" t="s">
        <v>257</v>
      </c>
      <c r="D167" s="2">
        <v>45945</v>
      </c>
      <c r="E167">
        <v>28</v>
      </c>
      <c r="F167">
        <v>7</v>
      </c>
    </row>
    <row r="168" spans="1:6" x14ac:dyDescent="0.25">
      <c r="A168" t="s">
        <v>264</v>
      </c>
      <c r="B168" t="s">
        <v>265</v>
      </c>
      <c r="C168" t="s">
        <v>266</v>
      </c>
      <c r="D168" s="2">
        <v>45782</v>
      </c>
      <c r="E168">
        <v>30</v>
      </c>
      <c r="F168">
        <v>1</v>
      </c>
    </row>
    <row r="169" spans="1:6" x14ac:dyDescent="0.25">
      <c r="A169" t="s">
        <v>267</v>
      </c>
      <c r="B169" t="s">
        <v>265</v>
      </c>
      <c r="C169" t="s">
        <v>266</v>
      </c>
      <c r="D169" s="2">
        <v>45810</v>
      </c>
      <c r="E169">
        <v>30</v>
      </c>
      <c r="F169">
        <v>2</v>
      </c>
    </row>
    <row r="170" spans="1:6" x14ac:dyDescent="0.25">
      <c r="A170" t="s">
        <v>268</v>
      </c>
      <c r="B170" t="s">
        <v>265</v>
      </c>
      <c r="C170" t="s">
        <v>266</v>
      </c>
      <c r="D170" s="2">
        <v>45838</v>
      </c>
      <c r="E170">
        <v>30</v>
      </c>
      <c r="F170">
        <v>3</v>
      </c>
    </row>
    <row r="171" spans="1:6" x14ac:dyDescent="0.25">
      <c r="A171" t="s">
        <v>269</v>
      </c>
      <c r="B171" t="s">
        <v>265</v>
      </c>
      <c r="C171" t="s">
        <v>266</v>
      </c>
      <c r="D171" s="2">
        <v>45868</v>
      </c>
      <c r="E171">
        <v>30</v>
      </c>
      <c r="F171">
        <v>4</v>
      </c>
    </row>
    <row r="172" spans="1:6" x14ac:dyDescent="0.25">
      <c r="A172" t="s">
        <v>270</v>
      </c>
      <c r="B172" t="s">
        <v>265</v>
      </c>
      <c r="C172" t="s">
        <v>266</v>
      </c>
      <c r="D172" s="2">
        <v>45898</v>
      </c>
      <c r="E172">
        <v>30</v>
      </c>
      <c r="F172">
        <v>5</v>
      </c>
    </row>
    <row r="173" spans="1:6" x14ac:dyDescent="0.25">
      <c r="A173" t="s">
        <v>271</v>
      </c>
      <c r="B173" t="s">
        <v>265</v>
      </c>
      <c r="C173" t="s">
        <v>266</v>
      </c>
      <c r="D173" s="2">
        <v>45929</v>
      </c>
      <c r="E173">
        <v>30</v>
      </c>
      <c r="F173">
        <v>6</v>
      </c>
    </row>
    <row r="174" spans="1:6" x14ac:dyDescent="0.25">
      <c r="A174" t="s">
        <v>272</v>
      </c>
      <c r="B174" t="s">
        <v>273</v>
      </c>
      <c r="C174" t="s">
        <v>274</v>
      </c>
      <c r="D174" s="2">
        <v>45833</v>
      </c>
      <c r="E174">
        <v>30</v>
      </c>
      <c r="F174">
        <v>1</v>
      </c>
    </row>
    <row r="175" spans="1:6" x14ac:dyDescent="0.25">
      <c r="A175" t="s">
        <v>275</v>
      </c>
      <c r="B175" t="s">
        <v>273</v>
      </c>
      <c r="C175" t="s">
        <v>274</v>
      </c>
      <c r="D175" s="2">
        <v>45863</v>
      </c>
      <c r="E175">
        <v>30</v>
      </c>
      <c r="F175">
        <v>2</v>
      </c>
    </row>
    <row r="176" spans="1:6" x14ac:dyDescent="0.25">
      <c r="A176" t="s">
        <v>276</v>
      </c>
      <c r="B176" t="s">
        <v>273</v>
      </c>
      <c r="C176" t="s">
        <v>274</v>
      </c>
      <c r="D176" s="2">
        <v>45893</v>
      </c>
      <c r="E176">
        <v>30</v>
      </c>
      <c r="F176">
        <v>3</v>
      </c>
    </row>
    <row r="177" spans="1:6" x14ac:dyDescent="0.25">
      <c r="A177" t="s">
        <v>277</v>
      </c>
      <c r="B177" t="s">
        <v>273</v>
      </c>
      <c r="C177" t="s">
        <v>274</v>
      </c>
      <c r="D177" s="2">
        <v>45926</v>
      </c>
      <c r="E177">
        <v>30</v>
      </c>
      <c r="F177">
        <v>4</v>
      </c>
    </row>
    <row r="178" spans="1:6" x14ac:dyDescent="0.25">
      <c r="A178" t="s">
        <v>278</v>
      </c>
      <c r="B178" t="s">
        <v>273</v>
      </c>
      <c r="C178" t="s">
        <v>274</v>
      </c>
      <c r="D178" s="2">
        <v>45953</v>
      </c>
      <c r="E178">
        <v>30</v>
      </c>
      <c r="F178">
        <v>5</v>
      </c>
    </row>
    <row r="179" spans="1:6" x14ac:dyDescent="0.25">
      <c r="A179" t="s">
        <v>279</v>
      </c>
      <c r="B179" t="s">
        <v>280</v>
      </c>
      <c r="C179" t="s">
        <v>281</v>
      </c>
      <c r="D179" s="2">
        <v>45816</v>
      </c>
      <c r="E179">
        <v>30</v>
      </c>
      <c r="F179">
        <v>1</v>
      </c>
    </row>
    <row r="180" spans="1:6" x14ac:dyDescent="0.25">
      <c r="A180" t="s">
        <v>282</v>
      </c>
      <c r="B180" t="s">
        <v>280</v>
      </c>
      <c r="C180" t="s">
        <v>281</v>
      </c>
      <c r="D180" s="2">
        <v>45849</v>
      </c>
      <c r="E180">
        <v>30</v>
      </c>
      <c r="F180">
        <v>2</v>
      </c>
    </row>
    <row r="181" spans="1:6" x14ac:dyDescent="0.25">
      <c r="A181" t="s">
        <v>283</v>
      </c>
      <c r="B181" t="s">
        <v>280</v>
      </c>
      <c r="C181" t="s">
        <v>281</v>
      </c>
      <c r="D181" s="2">
        <v>45880</v>
      </c>
      <c r="E181">
        <v>30</v>
      </c>
      <c r="F181">
        <v>3</v>
      </c>
    </row>
    <row r="182" spans="1:6" x14ac:dyDescent="0.25">
      <c r="A182" t="s">
        <v>284</v>
      </c>
      <c r="B182" t="s">
        <v>285</v>
      </c>
      <c r="C182" t="s">
        <v>286</v>
      </c>
      <c r="D182" s="2">
        <v>45933</v>
      </c>
      <c r="E182">
        <v>28</v>
      </c>
      <c r="F182">
        <v>1</v>
      </c>
    </row>
    <row r="183" spans="1:6" x14ac:dyDescent="0.25">
      <c r="A183" t="s">
        <v>287</v>
      </c>
      <c r="B183" t="s">
        <v>288</v>
      </c>
      <c r="C183" t="s">
        <v>289</v>
      </c>
      <c r="D183" s="2">
        <v>45886</v>
      </c>
      <c r="E183">
        <v>28</v>
      </c>
      <c r="F183">
        <v>1</v>
      </c>
    </row>
    <row r="184" spans="1:6" x14ac:dyDescent="0.25">
      <c r="A184" t="s">
        <v>290</v>
      </c>
      <c r="B184" t="s">
        <v>288</v>
      </c>
      <c r="C184" t="s">
        <v>289</v>
      </c>
      <c r="D184" s="2">
        <v>45912</v>
      </c>
      <c r="E184">
        <v>28</v>
      </c>
      <c r="F184">
        <v>2</v>
      </c>
    </row>
    <row r="185" spans="1:6" x14ac:dyDescent="0.25">
      <c r="A185" t="s">
        <v>291</v>
      </c>
      <c r="B185" t="s">
        <v>288</v>
      </c>
      <c r="C185" t="s">
        <v>289</v>
      </c>
      <c r="D185" s="2">
        <v>45942</v>
      </c>
      <c r="E185">
        <v>28</v>
      </c>
      <c r="F185">
        <v>3</v>
      </c>
    </row>
    <row r="186" spans="1:6" x14ac:dyDescent="0.25">
      <c r="A186" t="s">
        <v>292</v>
      </c>
      <c r="B186" t="s">
        <v>293</v>
      </c>
      <c r="C186" t="s">
        <v>294</v>
      </c>
      <c r="D186" s="2">
        <v>45851</v>
      </c>
      <c r="E186">
        <v>56</v>
      </c>
      <c r="F186">
        <v>1</v>
      </c>
    </row>
    <row r="187" spans="1:6" x14ac:dyDescent="0.25">
      <c r="A187" t="s">
        <v>295</v>
      </c>
      <c r="B187" t="s">
        <v>293</v>
      </c>
      <c r="C187" t="s">
        <v>294</v>
      </c>
      <c r="D187" s="2">
        <v>45904</v>
      </c>
      <c r="E187">
        <v>56</v>
      </c>
      <c r="F187">
        <v>2</v>
      </c>
    </row>
    <row r="188" spans="1:6" x14ac:dyDescent="0.25">
      <c r="A188" t="s">
        <v>296</v>
      </c>
      <c r="B188" t="s">
        <v>297</v>
      </c>
      <c r="C188" t="s">
        <v>298</v>
      </c>
      <c r="D188" s="2">
        <v>45855</v>
      </c>
      <c r="E188">
        <v>28</v>
      </c>
      <c r="F188">
        <v>1</v>
      </c>
    </row>
    <row r="189" spans="1:6" x14ac:dyDescent="0.25">
      <c r="A189" t="s">
        <v>299</v>
      </c>
      <c r="B189" t="s">
        <v>300</v>
      </c>
      <c r="C189" t="s">
        <v>301</v>
      </c>
      <c r="D189" s="2">
        <v>45790</v>
      </c>
      <c r="E189">
        <v>28</v>
      </c>
      <c r="F189">
        <v>1</v>
      </c>
    </row>
    <row r="190" spans="1:6" x14ac:dyDescent="0.25">
      <c r="A190" t="s">
        <v>302</v>
      </c>
      <c r="B190" t="s">
        <v>300</v>
      </c>
      <c r="C190" t="s">
        <v>301</v>
      </c>
      <c r="D190" s="2">
        <v>45818</v>
      </c>
      <c r="E190">
        <v>28</v>
      </c>
      <c r="F190">
        <v>2</v>
      </c>
    </row>
    <row r="191" spans="1:6" x14ac:dyDescent="0.25">
      <c r="A191" t="s">
        <v>303</v>
      </c>
      <c r="B191" t="s">
        <v>300</v>
      </c>
      <c r="C191" t="s">
        <v>301</v>
      </c>
      <c r="D191" s="2">
        <v>45846</v>
      </c>
      <c r="E191">
        <v>28</v>
      </c>
      <c r="F191">
        <v>3</v>
      </c>
    </row>
    <row r="192" spans="1:6" x14ac:dyDescent="0.25">
      <c r="A192" t="s">
        <v>304</v>
      </c>
      <c r="B192" t="s">
        <v>300</v>
      </c>
      <c r="C192" t="s">
        <v>301</v>
      </c>
      <c r="D192" s="2">
        <v>45876</v>
      </c>
      <c r="E192">
        <v>28</v>
      </c>
      <c r="F192">
        <v>4</v>
      </c>
    </row>
    <row r="193" spans="1:6" x14ac:dyDescent="0.25">
      <c r="A193" t="s">
        <v>305</v>
      </c>
      <c r="B193" t="s">
        <v>300</v>
      </c>
      <c r="C193" t="s">
        <v>301</v>
      </c>
      <c r="D193" s="2">
        <v>45902</v>
      </c>
      <c r="E193">
        <v>28</v>
      </c>
      <c r="F193">
        <v>5</v>
      </c>
    </row>
    <row r="194" spans="1:6" x14ac:dyDescent="0.25">
      <c r="A194" t="s">
        <v>306</v>
      </c>
      <c r="B194" t="s">
        <v>300</v>
      </c>
      <c r="C194" t="s">
        <v>301</v>
      </c>
      <c r="D194" s="2">
        <v>45930</v>
      </c>
      <c r="E194">
        <v>28</v>
      </c>
      <c r="F194">
        <v>6</v>
      </c>
    </row>
    <row r="195" spans="1:6" x14ac:dyDescent="0.25">
      <c r="A195" t="s">
        <v>307</v>
      </c>
      <c r="B195" t="s">
        <v>300</v>
      </c>
      <c r="C195" t="s">
        <v>301</v>
      </c>
      <c r="D195" s="2">
        <v>45961</v>
      </c>
      <c r="E195">
        <v>28</v>
      </c>
      <c r="F195">
        <v>7</v>
      </c>
    </row>
    <row r="196" spans="1:6" x14ac:dyDescent="0.25">
      <c r="A196" t="s">
        <v>308</v>
      </c>
      <c r="B196" t="s">
        <v>309</v>
      </c>
      <c r="C196" t="s">
        <v>310</v>
      </c>
      <c r="D196" s="2">
        <v>45885</v>
      </c>
      <c r="E196">
        <v>28</v>
      </c>
      <c r="F196">
        <v>1</v>
      </c>
    </row>
    <row r="197" spans="1:6" x14ac:dyDescent="0.25">
      <c r="A197" t="s">
        <v>311</v>
      </c>
      <c r="B197" t="s">
        <v>309</v>
      </c>
      <c r="C197" t="s">
        <v>310</v>
      </c>
      <c r="D197" s="2">
        <v>45910</v>
      </c>
      <c r="E197">
        <v>28</v>
      </c>
      <c r="F197">
        <v>2</v>
      </c>
    </row>
    <row r="198" spans="1:6" x14ac:dyDescent="0.25">
      <c r="A198" t="s">
        <v>312</v>
      </c>
      <c r="B198" t="s">
        <v>309</v>
      </c>
      <c r="C198" t="s">
        <v>310</v>
      </c>
      <c r="D198" s="2">
        <v>45941</v>
      </c>
      <c r="E198">
        <v>28</v>
      </c>
      <c r="F198">
        <v>3</v>
      </c>
    </row>
    <row r="199" spans="1:6" x14ac:dyDescent="0.25">
      <c r="A199" t="s">
        <v>313</v>
      </c>
      <c r="B199" t="s">
        <v>314</v>
      </c>
      <c r="C199" t="s">
        <v>315</v>
      </c>
      <c r="D199" s="2">
        <v>45937</v>
      </c>
      <c r="E199">
        <v>28</v>
      </c>
      <c r="F199">
        <v>1</v>
      </c>
    </row>
    <row r="200" spans="1:6" x14ac:dyDescent="0.25">
      <c r="A200" t="s">
        <v>316</v>
      </c>
      <c r="B200" t="s">
        <v>317</v>
      </c>
      <c r="C200" t="s">
        <v>318</v>
      </c>
      <c r="D200" s="2">
        <v>45794</v>
      </c>
      <c r="E200">
        <v>28</v>
      </c>
      <c r="F200">
        <v>1</v>
      </c>
    </row>
    <row r="201" spans="1:6" x14ac:dyDescent="0.25">
      <c r="A201" t="s">
        <v>319</v>
      </c>
      <c r="B201" t="s">
        <v>317</v>
      </c>
      <c r="C201" t="s">
        <v>318</v>
      </c>
      <c r="D201" s="2">
        <v>45822</v>
      </c>
      <c r="E201">
        <v>28</v>
      </c>
      <c r="F201">
        <v>2</v>
      </c>
    </row>
    <row r="202" spans="1:6" x14ac:dyDescent="0.25">
      <c r="A202" t="s">
        <v>320</v>
      </c>
      <c r="B202" t="s">
        <v>317</v>
      </c>
      <c r="C202" t="s">
        <v>318</v>
      </c>
      <c r="D202" s="2">
        <v>45852</v>
      </c>
      <c r="E202">
        <v>28</v>
      </c>
      <c r="F202">
        <v>3</v>
      </c>
    </row>
    <row r="203" spans="1:6" x14ac:dyDescent="0.25">
      <c r="A203" t="s">
        <v>321</v>
      </c>
      <c r="B203" t="s">
        <v>317</v>
      </c>
      <c r="C203" t="s">
        <v>318</v>
      </c>
      <c r="D203" s="2">
        <v>45882</v>
      </c>
      <c r="E203">
        <v>28</v>
      </c>
      <c r="F203">
        <v>4</v>
      </c>
    </row>
    <row r="204" spans="1:6" x14ac:dyDescent="0.25">
      <c r="A204" t="s">
        <v>322</v>
      </c>
      <c r="B204" t="s">
        <v>317</v>
      </c>
      <c r="C204" t="s">
        <v>318</v>
      </c>
      <c r="D204" s="2">
        <v>45911</v>
      </c>
      <c r="E204">
        <v>28</v>
      </c>
      <c r="F204">
        <v>5</v>
      </c>
    </row>
    <row r="205" spans="1:6" x14ac:dyDescent="0.25">
      <c r="A205" t="s">
        <v>323</v>
      </c>
      <c r="B205" t="s">
        <v>317</v>
      </c>
      <c r="C205" t="s">
        <v>318</v>
      </c>
      <c r="D205" s="2">
        <v>45938</v>
      </c>
      <c r="E205">
        <v>28</v>
      </c>
      <c r="F205">
        <v>6</v>
      </c>
    </row>
    <row r="206" spans="1:6" x14ac:dyDescent="0.25">
      <c r="A206" t="s">
        <v>324</v>
      </c>
      <c r="B206" t="s">
        <v>325</v>
      </c>
      <c r="C206" t="s">
        <v>326</v>
      </c>
      <c r="D206" s="2">
        <v>45905</v>
      </c>
      <c r="E206">
        <v>28</v>
      </c>
      <c r="F206">
        <v>1</v>
      </c>
    </row>
    <row r="207" spans="1:6" x14ac:dyDescent="0.25">
      <c r="A207" t="s">
        <v>327</v>
      </c>
      <c r="B207" t="s">
        <v>325</v>
      </c>
      <c r="C207" t="s">
        <v>326</v>
      </c>
      <c r="D207" s="2">
        <v>45930</v>
      </c>
      <c r="E207">
        <v>28</v>
      </c>
      <c r="F207">
        <v>2</v>
      </c>
    </row>
    <row r="208" spans="1:6" x14ac:dyDescent="0.25">
      <c r="A208" t="s">
        <v>328</v>
      </c>
      <c r="B208" t="s">
        <v>325</v>
      </c>
      <c r="C208" t="s">
        <v>326</v>
      </c>
      <c r="D208" s="2">
        <v>45956</v>
      </c>
      <c r="E208">
        <v>28</v>
      </c>
      <c r="F208">
        <v>3</v>
      </c>
    </row>
    <row r="209" spans="1:6" x14ac:dyDescent="0.25">
      <c r="A209" t="s">
        <v>329</v>
      </c>
      <c r="B209" t="s">
        <v>330</v>
      </c>
      <c r="C209" t="s">
        <v>331</v>
      </c>
      <c r="D209" s="2">
        <v>45915</v>
      </c>
      <c r="E209">
        <v>28</v>
      </c>
      <c r="F209">
        <v>1</v>
      </c>
    </row>
    <row r="210" spans="1:6" x14ac:dyDescent="0.25">
      <c r="A210" t="s">
        <v>332</v>
      </c>
      <c r="B210" t="s">
        <v>330</v>
      </c>
      <c r="C210" t="s">
        <v>331</v>
      </c>
      <c r="D210" s="2">
        <v>45946</v>
      </c>
      <c r="E210">
        <v>28</v>
      </c>
      <c r="F210">
        <v>2</v>
      </c>
    </row>
    <row r="211" spans="1:6" x14ac:dyDescent="0.25">
      <c r="A211" t="s">
        <v>333</v>
      </c>
      <c r="B211" t="s">
        <v>334</v>
      </c>
      <c r="C211" t="s">
        <v>335</v>
      </c>
      <c r="D211" s="2">
        <v>45939</v>
      </c>
      <c r="E211">
        <v>28</v>
      </c>
      <c r="F211">
        <v>1</v>
      </c>
    </row>
    <row r="212" spans="1:6" x14ac:dyDescent="0.25">
      <c r="A212" t="s">
        <v>336</v>
      </c>
      <c r="B212" t="s">
        <v>337</v>
      </c>
      <c r="C212" t="s">
        <v>338</v>
      </c>
      <c r="D212" s="2">
        <v>45925</v>
      </c>
      <c r="E212">
        <v>28</v>
      </c>
      <c r="F212">
        <v>1</v>
      </c>
    </row>
    <row r="213" spans="1:6" x14ac:dyDescent="0.25">
      <c r="A213" t="s">
        <v>339</v>
      </c>
      <c r="B213" t="s">
        <v>337</v>
      </c>
      <c r="C213" t="s">
        <v>338</v>
      </c>
      <c r="D213" s="2">
        <v>45950</v>
      </c>
      <c r="E213">
        <v>28</v>
      </c>
      <c r="F213">
        <v>2</v>
      </c>
    </row>
    <row r="214" spans="1:6" x14ac:dyDescent="0.25">
      <c r="A214" t="s">
        <v>340</v>
      </c>
      <c r="B214" t="s">
        <v>341</v>
      </c>
      <c r="C214" t="s">
        <v>342</v>
      </c>
      <c r="D214" s="2">
        <v>45961</v>
      </c>
      <c r="E214">
        <v>30</v>
      </c>
      <c r="F214">
        <v>1</v>
      </c>
    </row>
    <row r="215" spans="1:6" x14ac:dyDescent="0.25">
      <c r="A215" t="s">
        <v>343</v>
      </c>
      <c r="B215" t="s">
        <v>344</v>
      </c>
      <c r="C215" t="s">
        <v>345</v>
      </c>
      <c r="D215" s="2">
        <v>45852</v>
      </c>
      <c r="E215">
        <v>28</v>
      </c>
      <c r="F215">
        <v>1</v>
      </c>
    </row>
    <row r="216" spans="1:6" x14ac:dyDescent="0.25">
      <c r="A216" t="s">
        <v>346</v>
      </c>
      <c r="B216" t="s">
        <v>344</v>
      </c>
      <c r="C216" t="s">
        <v>345</v>
      </c>
      <c r="D216" s="2">
        <v>45881</v>
      </c>
      <c r="E216">
        <v>28</v>
      </c>
      <c r="F216">
        <v>2</v>
      </c>
    </row>
    <row r="217" spans="1:6" x14ac:dyDescent="0.25">
      <c r="A217" t="s">
        <v>347</v>
      </c>
      <c r="B217" t="s">
        <v>344</v>
      </c>
      <c r="C217" t="s">
        <v>345</v>
      </c>
      <c r="D217" s="2">
        <v>45912</v>
      </c>
      <c r="E217">
        <v>28</v>
      </c>
      <c r="F217">
        <v>3</v>
      </c>
    </row>
    <row r="218" spans="1:6" x14ac:dyDescent="0.25">
      <c r="A218" t="s">
        <v>348</v>
      </c>
      <c r="B218" t="s">
        <v>344</v>
      </c>
      <c r="C218" t="s">
        <v>345</v>
      </c>
      <c r="D218" s="2">
        <v>45940</v>
      </c>
      <c r="E218">
        <v>28</v>
      </c>
      <c r="F218">
        <v>4</v>
      </c>
    </row>
    <row r="219" spans="1:6" x14ac:dyDescent="0.25">
      <c r="A219" t="s">
        <v>349</v>
      </c>
      <c r="B219" t="s">
        <v>350</v>
      </c>
      <c r="C219" t="s">
        <v>351</v>
      </c>
      <c r="D219" s="2">
        <v>45778</v>
      </c>
      <c r="E219">
        <v>28</v>
      </c>
      <c r="F219">
        <v>1</v>
      </c>
    </row>
    <row r="220" spans="1:6" x14ac:dyDescent="0.25">
      <c r="A220" t="s">
        <v>352</v>
      </c>
      <c r="B220" t="s">
        <v>350</v>
      </c>
      <c r="C220" t="s">
        <v>351</v>
      </c>
      <c r="D220" s="2">
        <v>45806</v>
      </c>
      <c r="E220">
        <v>28</v>
      </c>
      <c r="F220">
        <v>2</v>
      </c>
    </row>
    <row r="221" spans="1:6" x14ac:dyDescent="0.25">
      <c r="A221" t="s">
        <v>353</v>
      </c>
      <c r="B221" t="s">
        <v>354</v>
      </c>
      <c r="C221" t="s">
        <v>355</v>
      </c>
      <c r="D221" s="2">
        <v>45868</v>
      </c>
      <c r="E221">
        <v>30</v>
      </c>
      <c r="F221">
        <v>1</v>
      </c>
    </row>
    <row r="222" spans="1:6" x14ac:dyDescent="0.25">
      <c r="A222" t="s">
        <v>356</v>
      </c>
      <c r="B222" t="s">
        <v>354</v>
      </c>
      <c r="C222" t="s">
        <v>355</v>
      </c>
      <c r="D222" s="2">
        <v>45896</v>
      </c>
      <c r="E222">
        <v>30</v>
      </c>
      <c r="F222">
        <v>2</v>
      </c>
    </row>
    <row r="223" spans="1:6" x14ac:dyDescent="0.25">
      <c r="A223" t="s">
        <v>357</v>
      </c>
      <c r="B223" t="s">
        <v>354</v>
      </c>
      <c r="C223" t="s">
        <v>355</v>
      </c>
      <c r="D223" s="2">
        <v>45925</v>
      </c>
      <c r="E223">
        <v>30</v>
      </c>
      <c r="F223">
        <v>3</v>
      </c>
    </row>
    <row r="224" spans="1:6" x14ac:dyDescent="0.25">
      <c r="A224" t="s">
        <v>358</v>
      </c>
      <c r="B224" t="s">
        <v>354</v>
      </c>
      <c r="C224" t="s">
        <v>355</v>
      </c>
      <c r="D224" s="2">
        <v>45953</v>
      </c>
      <c r="E224">
        <v>30</v>
      </c>
      <c r="F224">
        <v>4</v>
      </c>
    </row>
    <row r="225" spans="1:6" x14ac:dyDescent="0.25">
      <c r="A225" t="s">
        <v>359</v>
      </c>
      <c r="B225" t="s">
        <v>360</v>
      </c>
      <c r="C225" t="s">
        <v>361</v>
      </c>
      <c r="D225" s="2">
        <v>45924</v>
      </c>
      <c r="E225">
        <v>28</v>
      </c>
      <c r="F225">
        <v>1</v>
      </c>
    </row>
    <row r="226" spans="1:6" x14ac:dyDescent="0.25">
      <c r="A226" t="s">
        <v>362</v>
      </c>
      <c r="B226" t="s">
        <v>360</v>
      </c>
      <c r="C226" t="s">
        <v>361</v>
      </c>
      <c r="D226" s="2">
        <v>45950</v>
      </c>
      <c r="E226">
        <v>28</v>
      </c>
      <c r="F226">
        <v>2</v>
      </c>
    </row>
    <row r="227" spans="1:6" x14ac:dyDescent="0.25">
      <c r="A227" t="s">
        <v>363</v>
      </c>
      <c r="B227" t="s">
        <v>364</v>
      </c>
      <c r="C227" t="s">
        <v>365</v>
      </c>
      <c r="D227" s="2">
        <v>45825</v>
      </c>
      <c r="E227">
        <v>28</v>
      </c>
      <c r="F227">
        <v>1</v>
      </c>
    </row>
    <row r="228" spans="1:6" x14ac:dyDescent="0.25">
      <c r="A228" t="s">
        <v>366</v>
      </c>
      <c r="B228" t="s">
        <v>364</v>
      </c>
      <c r="C228" t="s">
        <v>365</v>
      </c>
      <c r="D228" s="2">
        <v>45853</v>
      </c>
      <c r="E228">
        <v>28</v>
      </c>
      <c r="F228">
        <v>2</v>
      </c>
    </row>
    <row r="229" spans="1:6" x14ac:dyDescent="0.25">
      <c r="A229" t="s">
        <v>367</v>
      </c>
      <c r="B229" t="s">
        <v>364</v>
      </c>
      <c r="C229" t="s">
        <v>365</v>
      </c>
      <c r="D229" s="2">
        <v>45882</v>
      </c>
      <c r="E229">
        <v>28</v>
      </c>
      <c r="F229">
        <v>3</v>
      </c>
    </row>
    <row r="230" spans="1:6" x14ac:dyDescent="0.25">
      <c r="A230" t="s">
        <v>368</v>
      </c>
      <c r="B230" t="s">
        <v>364</v>
      </c>
      <c r="C230" t="s">
        <v>365</v>
      </c>
      <c r="D230" s="2">
        <v>45907</v>
      </c>
      <c r="E230">
        <v>28</v>
      </c>
      <c r="F230">
        <v>4</v>
      </c>
    </row>
    <row r="231" spans="1:6" x14ac:dyDescent="0.25">
      <c r="A231" t="s">
        <v>369</v>
      </c>
      <c r="B231" t="s">
        <v>364</v>
      </c>
      <c r="C231" t="s">
        <v>365</v>
      </c>
      <c r="D231" s="2">
        <v>45934</v>
      </c>
      <c r="E231">
        <v>28</v>
      </c>
      <c r="F231">
        <v>5</v>
      </c>
    </row>
    <row r="232" spans="1:6" x14ac:dyDescent="0.25">
      <c r="A232" t="s">
        <v>370</v>
      </c>
      <c r="B232" t="s">
        <v>364</v>
      </c>
      <c r="C232" t="s">
        <v>365</v>
      </c>
      <c r="D232" s="2">
        <v>45960</v>
      </c>
      <c r="E232">
        <v>28</v>
      </c>
      <c r="F232">
        <v>6</v>
      </c>
    </row>
    <row r="233" spans="1:6" x14ac:dyDescent="0.25">
      <c r="A233" t="s">
        <v>371</v>
      </c>
      <c r="B233" t="s">
        <v>372</v>
      </c>
      <c r="C233" t="s">
        <v>373</v>
      </c>
      <c r="D233" s="2">
        <v>45949</v>
      </c>
      <c r="E233">
        <v>28</v>
      </c>
      <c r="F233">
        <v>1</v>
      </c>
    </row>
    <row r="234" spans="1:6" x14ac:dyDescent="0.25">
      <c r="A234" t="s">
        <v>374</v>
      </c>
      <c r="B234" t="s">
        <v>375</v>
      </c>
      <c r="C234" t="s">
        <v>376</v>
      </c>
      <c r="D234" s="2">
        <v>45912</v>
      </c>
      <c r="E234">
        <v>21</v>
      </c>
      <c r="F234">
        <v>1</v>
      </c>
    </row>
    <row r="235" spans="1:6" x14ac:dyDescent="0.25">
      <c r="A235" t="s">
        <v>377</v>
      </c>
      <c r="B235" t="s">
        <v>375</v>
      </c>
      <c r="C235" t="s">
        <v>376</v>
      </c>
      <c r="D235" s="2">
        <v>45936</v>
      </c>
      <c r="E235">
        <v>21</v>
      </c>
      <c r="F235">
        <v>2</v>
      </c>
    </row>
    <row r="236" spans="1:6" x14ac:dyDescent="0.25">
      <c r="A236" t="s">
        <v>378</v>
      </c>
      <c r="B236" t="s">
        <v>375</v>
      </c>
      <c r="C236" t="s">
        <v>376</v>
      </c>
      <c r="D236" s="2">
        <v>45960</v>
      </c>
      <c r="E236">
        <v>21</v>
      </c>
      <c r="F236">
        <v>3</v>
      </c>
    </row>
    <row r="237" spans="1:6" x14ac:dyDescent="0.25">
      <c r="A237" t="s">
        <v>379</v>
      </c>
      <c r="B237" t="s">
        <v>380</v>
      </c>
      <c r="C237" t="s">
        <v>381</v>
      </c>
      <c r="D237" s="2">
        <v>45795</v>
      </c>
      <c r="E237">
        <v>30</v>
      </c>
      <c r="F237">
        <v>1</v>
      </c>
    </row>
    <row r="238" spans="1:6" x14ac:dyDescent="0.25">
      <c r="A238" t="s">
        <v>382</v>
      </c>
      <c r="B238" t="s">
        <v>380</v>
      </c>
      <c r="C238" t="s">
        <v>381</v>
      </c>
      <c r="D238" s="2">
        <v>45824</v>
      </c>
      <c r="E238">
        <v>30</v>
      </c>
      <c r="F238">
        <v>2</v>
      </c>
    </row>
    <row r="239" spans="1:6" x14ac:dyDescent="0.25">
      <c r="A239" t="s">
        <v>383</v>
      </c>
      <c r="B239" t="s">
        <v>380</v>
      </c>
      <c r="C239" t="s">
        <v>381</v>
      </c>
      <c r="D239" s="2">
        <v>45857</v>
      </c>
      <c r="E239">
        <v>30</v>
      </c>
      <c r="F239">
        <v>3</v>
      </c>
    </row>
    <row r="240" spans="1:6" x14ac:dyDescent="0.25">
      <c r="A240" t="s">
        <v>384</v>
      </c>
      <c r="B240" t="s">
        <v>385</v>
      </c>
      <c r="C240" t="s">
        <v>386</v>
      </c>
      <c r="D240" s="2">
        <v>45917</v>
      </c>
      <c r="E240">
        <v>28</v>
      </c>
      <c r="F240">
        <v>1</v>
      </c>
    </row>
    <row r="241" spans="1:6" x14ac:dyDescent="0.25">
      <c r="A241" t="s">
        <v>387</v>
      </c>
      <c r="B241" t="s">
        <v>385</v>
      </c>
      <c r="C241" t="s">
        <v>386</v>
      </c>
      <c r="D241" s="2">
        <v>45946</v>
      </c>
      <c r="E241">
        <v>28</v>
      </c>
      <c r="F241">
        <v>2</v>
      </c>
    </row>
    <row r="242" spans="1:6" x14ac:dyDescent="0.25">
      <c r="A242" t="s">
        <v>388</v>
      </c>
      <c r="B242" t="s">
        <v>389</v>
      </c>
      <c r="C242" t="s">
        <v>390</v>
      </c>
      <c r="D242" s="2">
        <v>45907</v>
      </c>
      <c r="E242">
        <v>28</v>
      </c>
      <c r="F242">
        <v>1</v>
      </c>
    </row>
    <row r="243" spans="1:6" x14ac:dyDescent="0.25">
      <c r="A243" t="s">
        <v>391</v>
      </c>
      <c r="B243" t="s">
        <v>389</v>
      </c>
      <c r="C243" t="s">
        <v>390</v>
      </c>
      <c r="D243" s="2">
        <v>45933</v>
      </c>
      <c r="E243">
        <v>28</v>
      </c>
      <c r="F243">
        <v>2</v>
      </c>
    </row>
    <row r="244" spans="1:6" x14ac:dyDescent="0.25">
      <c r="A244" t="s">
        <v>392</v>
      </c>
      <c r="B244" t="s">
        <v>389</v>
      </c>
      <c r="C244" t="s">
        <v>390</v>
      </c>
      <c r="D244" s="2">
        <v>45960</v>
      </c>
      <c r="E244">
        <v>28</v>
      </c>
      <c r="F244">
        <v>3</v>
      </c>
    </row>
    <row r="245" spans="1:6" x14ac:dyDescent="0.25">
      <c r="A245" t="s">
        <v>393</v>
      </c>
      <c r="B245" t="s">
        <v>394</v>
      </c>
      <c r="C245" t="s">
        <v>395</v>
      </c>
      <c r="D245" s="2">
        <v>45783</v>
      </c>
      <c r="E245">
        <v>28</v>
      </c>
      <c r="F245">
        <v>1</v>
      </c>
    </row>
    <row r="246" spans="1:6" x14ac:dyDescent="0.25">
      <c r="A246" t="s">
        <v>396</v>
      </c>
      <c r="B246" t="s">
        <v>394</v>
      </c>
      <c r="C246" t="s">
        <v>395</v>
      </c>
      <c r="D246" s="2">
        <v>45814</v>
      </c>
      <c r="E246">
        <v>28</v>
      </c>
      <c r="F246">
        <v>2</v>
      </c>
    </row>
    <row r="247" spans="1:6" x14ac:dyDescent="0.25">
      <c r="A247" t="s">
        <v>397</v>
      </c>
      <c r="B247" t="s">
        <v>394</v>
      </c>
      <c r="C247" t="s">
        <v>395</v>
      </c>
      <c r="D247" s="2">
        <v>45841</v>
      </c>
      <c r="E247">
        <v>28</v>
      </c>
      <c r="F247">
        <v>3</v>
      </c>
    </row>
    <row r="248" spans="1:6" x14ac:dyDescent="0.25">
      <c r="A248" t="s">
        <v>398</v>
      </c>
      <c r="B248" t="s">
        <v>394</v>
      </c>
      <c r="C248" t="s">
        <v>395</v>
      </c>
      <c r="D248" s="2">
        <v>45872</v>
      </c>
      <c r="E248">
        <v>28</v>
      </c>
      <c r="F248">
        <v>4</v>
      </c>
    </row>
    <row r="249" spans="1:6" x14ac:dyDescent="0.25">
      <c r="A249" t="s">
        <v>399</v>
      </c>
      <c r="B249" t="s">
        <v>394</v>
      </c>
      <c r="C249" t="s">
        <v>395</v>
      </c>
      <c r="D249" s="2">
        <v>45901</v>
      </c>
      <c r="E249">
        <v>28</v>
      </c>
      <c r="F249">
        <v>5</v>
      </c>
    </row>
    <row r="250" spans="1:6" x14ac:dyDescent="0.25">
      <c r="A250" t="s">
        <v>400</v>
      </c>
      <c r="B250" t="s">
        <v>394</v>
      </c>
      <c r="C250" t="s">
        <v>395</v>
      </c>
      <c r="D250" s="2">
        <v>45932</v>
      </c>
      <c r="E250">
        <v>28</v>
      </c>
      <c r="F250">
        <v>6</v>
      </c>
    </row>
    <row r="251" spans="1:6" x14ac:dyDescent="0.25">
      <c r="A251" t="s">
        <v>401</v>
      </c>
      <c r="B251" t="s">
        <v>394</v>
      </c>
      <c r="C251" t="s">
        <v>395</v>
      </c>
      <c r="D251" s="2">
        <v>45958</v>
      </c>
      <c r="E251">
        <v>28</v>
      </c>
      <c r="F251">
        <v>7</v>
      </c>
    </row>
    <row r="252" spans="1:6" x14ac:dyDescent="0.25">
      <c r="A252" t="s">
        <v>402</v>
      </c>
      <c r="B252" t="s">
        <v>403</v>
      </c>
      <c r="C252" t="s">
        <v>404</v>
      </c>
      <c r="D252" s="2">
        <v>45898</v>
      </c>
      <c r="E252">
        <v>28</v>
      </c>
      <c r="F252">
        <v>1</v>
      </c>
    </row>
    <row r="253" spans="1:6" x14ac:dyDescent="0.25">
      <c r="A253" t="s">
        <v>405</v>
      </c>
      <c r="B253" t="s">
        <v>403</v>
      </c>
      <c r="C253" t="s">
        <v>404</v>
      </c>
      <c r="D253" s="2">
        <v>45928</v>
      </c>
      <c r="E253">
        <v>28</v>
      </c>
      <c r="F253">
        <v>2</v>
      </c>
    </row>
    <row r="254" spans="1:6" x14ac:dyDescent="0.25">
      <c r="A254" t="s">
        <v>406</v>
      </c>
      <c r="B254" t="s">
        <v>403</v>
      </c>
      <c r="C254" t="s">
        <v>404</v>
      </c>
      <c r="D254" s="2">
        <v>45955</v>
      </c>
      <c r="E254">
        <v>28</v>
      </c>
      <c r="F254">
        <v>3</v>
      </c>
    </row>
    <row r="255" spans="1:6" x14ac:dyDescent="0.25">
      <c r="A255" t="s">
        <v>407</v>
      </c>
      <c r="B255" t="s">
        <v>408</v>
      </c>
      <c r="C255" t="s">
        <v>409</v>
      </c>
      <c r="D255" s="2">
        <v>45940</v>
      </c>
      <c r="E255">
        <v>28</v>
      </c>
      <c r="F255">
        <v>1</v>
      </c>
    </row>
    <row r="256" spans="1:6" x14ac:dyDescent="0.25">
      <c r="A256" t="s">
        <v>410</v>
      </c>
      <c r="B256" t="s">
        <v>411</v>
      </c>
      <c r="C256" t="s">
        <v>412</v>
      </c>
      <c r="D256" s="2">
        <v>45873</v>
      </c>
      <c r="E256">
        <v>21</v>
      </c>
      <c r="F256">
        <v>1</v>
      </c>
    </row>
    <row r="257" spans="1:6" x14ac:dyDescent="0.25">
      <c r="A257" t="s">
        <v>413</v>
      </c>
      <c r="B257" t="s">
        <v>414</v>
      </c>
      <c r="C257" t="s">
        <v>415</v>
      </c>
      <c r="D257" s="2">
        <v>45782</v>
      </c>
      <c r="E257">
        <v>14</v>
      </c>
      <c r="F257">
        <v>1</v>
      </c>
    </row>
    <row r="258" spans="1:6" x14ac:dyDescent="0.25">
      <c r="A258" t="s">
        <v>416</v>
      </c>
      <c r="B258" t="s">
        <v>414</v>
      </c>
      <c r="C258" t="s">
        <v>415</v>
      </c>
      <c r="D258" s="2">
        <v>45795</v>
      </c>
      <c r="E258">
        <v>14</v>
      </c>
      <c r="F258">
        <v>2</v>
      </c>
    </row>
    <row r="259" spans="1:6" x14ac:dyDescent="0.25">
      <c r="A259" t="s">
        <v>417</v>
      </c>
      <c r="B259" t="s">
        <v>418</v>
      </c>
      <c r="C259" t="s">
        <v>419</v>
      </c>
      <c r="D259" s="2">
        <v>45795</v>
      </c>
      <c r="E259">
        <v>28</v>
      </c>
      <c r="F259">
        <v>1</v>
      </c>
    </row>
    <row r="260" spans="1:6" x14ac:dyDescent="0.25">
      <c r="A260" t="s">
        <v>420</v>
      </c>
      <c r="B260" t="s">
        <v>418</v>
      </c>
      <c r="C260" t="s">
        <v>419</v>
      </c>
      <c r="D260" s="2">
        <v>45821</v>
      </c>
      <c r="E260">
        <v>28</v>
      </c>
      <c r="F260">
        <v>2</v>
      </c>
    </row>
    <row r="261" spans="1:6" x14ac:dyDescent="0.25">
      <c r="A261" t="s">
        <v>421</v>
      </c>
      <c r="B261" t="s">
        <v>418</v>
      </c>
      <c r="C261" t="s">
        <v>419</v>
      </c>
      <c r="D261" s="2">
        <v>45848</v>
      </c>
      <c r="E261">
        <v>28</v>
      </c>
      <c r="F261">
        <v>3</v>
      </c>
    </row>
    <row r="262" spans="1:6" x14ac:dyDescent="0.25">
      <c r="A262" t="s">
        <v>422</v>
      </c>
      <c r="B262" t="s">
        <v>418</v>
      </c>
      <c r="C262" t="s">
        <v>419</v>
      </c>
      <c r="D262" s="2">
        <v>45878</v>
      </c>
      <c r="E262">
        <v>28</v>
      </c>
      <c r="F262">
        <v>4</v>
      </c>
    </row>
    <row r="263" spans="1:6" x14ac:dyDescent="0.25">
      <c r="A263" t="s">
        <v>423</v>
      </c>
      <c r="B263" t="s">
        <v>418</v>
      </c>
      <c r="C263" t="s">
        <v>419</v>
      </c>
      <c r="D263" s="2">
        <v>45905</v>
      </c>
      <c r="E263">
        <v>28</v>
      </c>
      <c r="F263">
        <v>5</v>
      </c>
    </row>
    <row r="264" spans="1:6" x14ac:dyDescent="0.25">
      <c r="A264" t="s">
        <v>424</v>
      </c>
      <c r="B264" t="s">
        <v>418</v>
      </c>
      <c r="C264" t="s">
        <v>419</v>
      </c>
      <c r="D264" s="2">
        <v>45934</v>
      </c>
      <c r="E264">
        <v>28</v>
      </c>
      <c r="F264">
        <v>6</v>
      </c>
    </row>
    <row r="265" spans="1:6" x14ac:dyDescent="0.25">
      <c r="A265" t="s">
        <v>425</v>
      </c>
      <c r="B265" t="s">
        <v>426</v>
      </c>
      <c r="C265" t="s">
        <v>427</v>
      </c>
      <c r="D265" s="2">
        <v>45839</v>
      </c>
      <c r="E265">
        <v>30</v>
      </c>
      <c r="F265">
        <v>1</v>
      </c>
    </row>
    <row r="266" spans="1:6" x14ac:dyDescent="0.25">
      <c r="A266" t="s">
        <v>428</v>
      </c>
      <c r="B266" t="s">
        <v>426</v>
      </c>
      <c r="C266" t="s">
        <v>427</v>
      </c>
      <c r="D266" s="2">
        <v>45868</v>
      </c>
      <c r="E266">
        <v>30</v>
      </c>
      <c r="F266">
        <v>2</v>
      </c>
    </row>
    <row r="267" spans="1:6" x14ac:dyDescent="0.25">
      <c r="A267" t="s">
        <v>429</v>
      </c>
      <c r="B267" t="s">
        <v>426</v>
      </c>
      <c r="C267" t="s">
        <v>427</v>
      </c>
      <c r="D267" s="2">
        <v>45899</v>
      </c>
      <c r="E267">
        <v>30</v>
      </c>
      <c r="F267">
        <v>3</v>
      </c>
    </row>
    <row r="268" spans="1:6" x14ac:dyDescent="0.25">
      <c r="A268" t="s">
        <v>430</v>
      </c>
      <c r="B268" t="s">
        <v>426</v>
      </c>
      <c r="C268" t="s">
        <v>427</v>
      </c>
      <c r="D268" s="2">
        <v>45927</v>
      </c>
      <c r="E268">
        <v>30</v>
      </c>
      <c r="F268">
        <v>4</v>
      </c>
    </row>
    <row r="269" spans="1:6" x14ac:dyDescent="0.25">
      <c r="A269" t="s">
        <v>431</v>
      </c>
      <c r="B269" t="s">
        <v>426</v>
      </c>
      <c r="C269" t="s">
        <v>427</v>
      </c>
      <c r="D269" s="2">
        <v>45955</v>
      </c>
      <c r="E269">
        <v>30</v>
      </c>
      <c r="F269">
        <v>5</v>
      </c>
    </row>
    <row r="270" spans="1:6" x14ac:dyDescent="0.25">
      <c r="A270" t="s">
        <v>432</v>
      </c>
      <c r="B270" t="s">
        <v>433</v>
      </c>
      <c r="C270" t="s">
        <v>434</v>
      </c>
      <c r="D270" s="2">
        <v>45946</v>
      </c>
      <c r="E270">
        <v>28</v>
      </c>
      <c r="F270">
        <v>1</v>
      </c>
    </row>
    <row r="271" spans="1:6" x14ac:dyDescent="0.25">
      <c r="A271" t="s">
        <v>435</v>
      </c>
      <c r="B271" t="s">
        <v>436</v>
      </c>
      <c r="C271" t="s">
        <v>437</v>
      </c>
      <c r="D271" s="2">
        <v>45804</v>
      </c>
      <c r="E271">
        <v>28</v>
      </c>
      <c r="F271">
        <v>1</v>
      </c>
    </row>
    <row r="272" spans="1:6" x14ac:dyDescent="0.25">
      <c r="A272" t="s">
        <v>438</v>
      </c>
      <c r="B272" t="s">
        <v>436</v>
      </c>
      <c r="C272" t="s">
        <v>437</v>
      </c>
      <c r="D272" s="2">
        <v>45831</v>
      </c>
      <c r="E272">
        <v>28</v>
      </c>
      <c r="F272">
        <v>2</v>
      </c>
    </row>
    <row r="273" spans="1:6" x14ac:dyDescent="0.25">
      <c r="A273" t="s">
        <v>439</v>
      </c>
      <c r="B273" t="s">
        <v>436</v>
      </c>
      <c r="C273" t="s">
        <v>437</v>
      </c>
      <c r="D273" s="2">
        <v>45859</v>
      </c>
      <c r="E273">
        <v>28</v>
      </c>
      <c r="F273">
        <v>3</v>
      </c>
    </row>
    <row r="274" spans="1:6" x14ac:dyDescent="0.25">
      <c r="A274" t="s">
        <v>440</v>
      </c>
      <c r="B274" t="s">
        <v>436</v>
      </c>
      <c r="C274" t="s">
        <v>437</v>
      </c>
      <c r="D274" s="2">
        <v>45884</v>
      </c>
      <c r="E274">
        <v>28</v>
      </c>
      <c r="F274">
        <v>4</v>
      </c>
    </row>
    <row r="275" spans="1:6" x14ac:dyDescent="0.25">
      <c r="A275" t="s">
        <v>441</v>
      </c>
      <c r="B275" t="s">
        <v>436</v>
      </c>
      <c r="C275" t="s">
        <v>437</v>
      </c>
      <c r="D275" s="2">
        <v>45910</v>
      </c>
      <c r="E275">
        <v>28</v>
      </c>
      <c r="F275">
        <v>5</v>
      </c>
    </row>
    <row r="276" spans="1:6" x14ac:dyDescent="0.25">
      <c r="A276" t="s">
        <v>442</v>
      </c>
      <c r="B276" t="s">
        <v>436</v>
      </c>
      <c r="C276" t="s">
        <v>437</v>
      </c>
      <c r="D276" s="2">
        <v>45936</v>
      </c>
      <c r="E276">
        <v>28</v>
      </c>
      <c r="F276">
        <v>6</v>
      </c>
    </row>
    <row r="277" spans="1:6" x14ac:dyDescent="0.25">
      <c r="A277" t="s">
        <v>443</v>
      </c>
      <c r="B277" t="s">
        <v>444</v>
      </c>
      <c r="C277" t="s">
        <v>445</v>
      </c>
      <c r="D277" s="2">
        <v>45926</v>
      </c>
      <c r="E277">
        <v>30</v>
      </c>
      <c r="F277">
        <v>1</v>
      </c>
    </row>
    <row r="278" spans="1:6" x14ac:dyDescent="0.25">
      <c r="A278" t="s">
        <v>446</v>
      </c>
      <c r="B278" t="s">
        <v>447</v>
      </c>
      <c r="C278" t="s">
        <v>448</v>
      </c>
      <c r="D278" s="2">
        <v>45863</v>
      </c>
      <c r="E278">
        <v>30</v>
      </c>
      <c r="F278">
        <v>1</v>
      </c>
    </row>
    <row r="279" spans="1:6" x14ac:dyDescent="0.25">
      <c r="A279" t="s">
        <v>449</v>
      </c>
      <c r="B279" t="s">
        <v>447</v>
      </c>
      <c r="C279" t="s">
        <v>448</v>
      </c>
      <c r="D279" s="2">
        <v>45894</v>
      </c>
      <c r="E279">
        <v>30</v>
      </c>
      <c r="F279">
        <v>2</v>
      </c>
    </row>
    <row r="280" spans="1:6" x14ac:dyDescent="0.25">
      <c r="A280" t="s">
        <v>450</v>
      </c>
      <c r="B280" t="s">
        <v>447</v>
      </c>
      <c r="C280" t="s">
        <v>448</v>
      </c>
      <c r="D280" s="2">
        <v>45927</v>
      </c>
      <c r="E280">
        <v>30</v>
      </c>
      <c r="F280">
        <v>3</v>
      </c>
    </row>
    <row r="281" spans="1:6" x14ac:dyDescent="0.25">
      <c r="A281" t="s">
        <v>451</v>
      </c>
      <c r="B281" t="s">
        <v>447</v>
      </c>
      <c r="C281" t="s">
        <v>448</v>
      </c>
      <c r="D281" s="2">
        <v>45956</v>
      </c>
      <c r="E281">
        <v>30</v>
      </c>
      <c r="F281">
        <v>4</v>
      </c>
    </row>
    <row r="282" spans="1:6" x14ac:dyDescent="0.25">
      <c r="A282" t="s">
        <v>452</v>
      </c>
      <c r="B282" t="s">
        <v>453</v>
      </c>
      <c r="C282" t="s">
        <v>454</v>
      </c>
      <c r="D282" s="2">
        <v>45789</v>
      </c>
      <c r="E282">
        <v>28</v>
      </c>
      <c r="F282">
        <v>1</v>
      </c>
    </row>
    <row r="283" spans="1:6" x14ac:dyDescent="0.25">
      <c r="A283" t="s">
        <v>455</v>
      </c>
      <c r="B283" t="s">
        <v>453</v>
      </c>
      <c r="C283" t="s">
        <v>454</v>
      </c>
      <c r="D283" s="2">
        <v>45814</v>
      </c>
      <c r="E283">
        <v>28</v>
      </c>
      <c r="F283">
        <v>2</v>
      </c>
    </row>
    <row r="284" spans="1:6" x14ac:dyDescent="0.25">
      <c r="A284" t="s">
        <v>456</v>
      </c>
      <c r="B284" t="s">
        <v>457</v>
      </c>
      <c r="C284" t="s">
        <v>458</v>
      </c>
      <c r="D284" s="2">
        <v>45917</v>
      </c>
      <c r="E284">
        <v>56</v>
      </c>
      <c r="F284">
        <v>1</v>
      </c>
    </row>
    <row r="285" spans="1:6" x14ac:dyDescent="0.25">
      <c r="A285" t="s">
        <v>459</v>
      </c>
      <c r="B285" t="s">
        <v>460</v>
      </c>
      <c r="C285" t="s">
        <v>461</v>
      </c>
      <c r="D285" s="2">
        <v>45942</v>
      </c>
      <c r="E285">
        <v>30</v>
      </c>
      <c r="F285">
        <v>1</v>
      </c>
    </row>
    <row r="286" spans="1:6" x14ac:dyDescent="0.25">
      <c r="A286" t="s">
        <v>462</v>
      </c>
      <c r="B286" t="s">
        <v>463</v>
      </c>
      <c r="C286" t="s">
        <v>464</v>
      </c>
      <c r="D286" s="2">
        <v>45953</v>
      </c>
      <c r="E286">
        <v>30</v>
      </c>
      <c r="F286">
        <v>1</v>
      </c>
    </row>
    <row r="287" spans="1:6" x14ac:dyDescent="0.25">
      <c r="A287" t="s">
        <v>465</v>
      </c>
      <c r="B287" t="s">
        <v>466</v>
      </c>
      <c r="C287" t="s">
        <v>467</v>
      </c>
      <c r="D287" s="2">
        <v>45956</v>
      </c>
      <c r="E287">
        <v>28</v>
      </c>
      <c r="F287">
        <v>1</v>
      </c>
    </row>
    <row r="288" spans="1:6" x14ac:dyDescent="0.25">
      <c r="A288" t="s">
        <v>468</v>
      </c>
      <c r="B288" t="s">
        <v>469</v>
      </c>
      <c r="C288" t="s">
        <v>470</v>
      </c>
      <c r="D288" s="2">
        <v>45939</v>
      </c>
      <c r="E288">
        <v>28</v>
      </c>
      <c r="F288">
        <v>1</v>
      </c>
    </row>
    <row r="289" spans="1:6" x14ac:dyDescent="0.25">
      <c r="A289" t="s">
        <v>471</v>
      </c>
      <c r="B289" t="s">
        <v>472</v>
      </c>
      <c r="C289" t="s">
        <v>473</v>
      </c>
      <c r="D289" s="2">
        <v>45812</v>
      </c>
      <c r="E289">
        <v>56</v>
      </c>
      <c r="F289">
        <v>1</v>
      </c>
    </row>
    <row r="290" spans="1:6" x14ac:dyDescent="0.25">
      <c r="A290" t="s">
        <v>474</v>
      </c>
      <c r="B290" t="s">
        <v>472</v>
      </c>
      <c r="C290" t="s">
        <v>473</v>
      </c>
      <c r="D290" s="2">
        <v>45870</v>
      </c>
      <c r="E290">
        <v>56</v>
      </c>
      <c r="F290">
        <v>2</v>
      </c>
    </row>
    <row r="291" spans="1:6" x14ac:dyDescent="0.25">
      <c r="A291" t="s">
        <v>475</v>
      </c>
      <c r="B291" t="s">
        <v>472</v>
      </c>
      <c r="C291" t="s">
        <v>473</v>
      </c>
      <c r="D291" s="2">
        <v>45927</v>
      </c>
      <c r="E291">
        <v>56</v>
      </c>
      <c r="F291">
        <v>3</v>
      </c>
    </row>
    <row r="292" spans="1:6" x14ac:dyDescent="0.25">
      <c r="A292" t="s">
        <v>476</v>
      </c>
      <c r="B292" t="s">
        <v>477</v>
      </c>
      <c r="C292" t="s">
        <v>478</v>
      </c>
      <c r="D292" s="2">
        <v>45961</v>
      </c>
      <c r="E292">
        <v>28</v>
      </c>
      <c r="F292">
        <v>1</v>
      </c>
    </row>
    <row r="293" spans="1:6" x14ac:dyDescent="0.25">
      <c r="A293" t="s">
        <v>479</v>
      </c>
      <c r="B293" t="s">
        <v>480</v>
      </c>
      <c r="C293" t="s">
        <v>481</v>
      </c>
      <c r="D293" s="2">
        <v>45895</v>
      </c>
      <c r="E293">
        <v>28</v>
      </c>
      <c r="F293">
        <v>1</v>
      </c>
    </row>
    <row r="294" spans="1:6" x14ac:dyDescent="0.25">
      <c r="A294" t="s">
        <v>482</v>
      </c>
      <c r="B294" t="s">
        <v>480</v>
      </c>
      <c r="C294" t="s">
        <v>481</v>
      </c>
      <c r="D294" s="2">
        <v>45925</v>
      </c>
      <c r="E294">
        <v>28</v>
      </c>
      <c r="F294">
        <v>2</v>
      </c>
    </row>
    <row r="295" spans="1:6" x14ac:dyDescent="0.25">
      <c r="A295" t="s">
        <v>483</v>
      </c>
      <c r="B295" t="s">
        <v>480</v>
      </c>
      <c r="C295" t="s">
        <v>481</v>
      </c>
      <c r="D295" s="2">
        <v>45953</v>
      </c>
      <c r="E295">
        <v>28</v>
      </c>
      <c r="F295">
        <v>3</v>
      </c>
    </row>
    <row r="296" spans="1:6" x14ac:dyDescent="0.25">
      <c r="A296" t="s">
        <v>484</v>
      </c>
      <c r="B296" t="s">
        <v>485</v>
      </c>
      <c r="C296" t="s">
        <v>486</v>
      </c>
      <c r="D296" s="2">
        <v>45853</v>
      </c>
      <c r="E296">
        <v>28</v>
      </c>
      <c r="F296">
        <v>1</v>
      </c>
    </row>
    <row r="297" spans="1:6" x14ac:dyDescent="0.25">
      <c r="A297" t="s">
        <v>487</v>
      </c>
      <c r="B297" t="s">
        <v>485</v>
      </c>
      <c r="C297" t="s">
        <v>486</v>
      </c>
      <c r="D297" s="2">
        <v>45880</v>
      </c>
      <c r="E297">
        <v>28</v>
      </c>
      <c r="F297">
        <v>2</v>
      </c>
    </row>
    <row r="298" spans="1:6" x14ac:dyDescent="0.25">
      <c r="A298" t="s">
        <v>488</v>
      </c>
      <c r="B298" t="s">
        <v>485</v>
      </c>
      <c r="C298" t="s">
        <v>486</v>
      </c>
      <c r="D298" s="2">
        <v>45909</v>
      </c>
      <c r="E298">
        <v>28</v>
      </c>
      <c r="F298">
        <v>3</v>
      </c>
    </row>
    <row r="299" spans="1:6" x14ac:dyDescent="0.25">
      <c r="A299" t="s">
        <v>489</v>
      </c>
      <c r="B299" t="s">
        <v>490</v>
      </c>
      <c r="C299" t="s">
        <v>491</v>
      </c>
      <c r="D299" s="2">
        <v>45789</v>
      </c>
      <c r="E299">
        <v>28</v>
      </c>
      <c r="F299">
        <v>1</v>
      </c>
    </row>
    <row r="300" spans="1:6" x14ac:dyDescent="0.25">
      <c r="A300" t="s">
        <v>492</v>
      </c>
      <c r="B300" t="s">
        <v>490</v>
      </c>
      <c r="C300" t="s">
        <v>491</v>
      </c>
      <c r="D300" s="2">
        <v>45816</v>
      </c>
      <c r="E300">
        <v>28</v>
      </c>
      <c r="F300">
        <v>2</v>
      </c>
    </row>
    <row r="301" spans="1:6" x14ac:dyDescent="0.25">
      <c r="A301" t="s">
        <v>493</v>
      </c>
      <c r="B301" t="s">
        <v>490</v>
      </c>
      <c r="C301" t="s">
        <v>491</v>
      </c>
      <c r="D301" s="2">
        <v>45846</v>
      </c>
      <c r="E301">
        <v>28</v>
      </c>
      <c r="F301">
        <v>3</v>
      </c>
    </row>
    <row r="302" spans="1:6" x14ac:dyDescent="0.25">
      <c r="A302" t="s">
        <v>494</v>
      </c>
      <c r="B302" t="s">
        <v>490</v>
      </c>
      <c r="C302" t="s">
        <v>491</v>
      </c>
      <c r="D302" s="2">
        <v>45877</v>
      </c>
      <c r="E302">
        <v>28</v>
      </c>
      <c r="F302">
        <v>4</v>
      </c>
    </row>
    <row r="303" spans="1:6" x14ac:dyDescent="0.25">
      <c r="A303" t="s">
        <v>495</v>
      </c>
      <c r="B303" t="s">
        <v>490</v>
      </c>
      <c r="C303" t="s">
        <v>491</v>
      </c>
      <c r="D303" s="2">
        <v>45905</v>
      </c>
      <c r="E303">
        <v>28</v>
      </c>
      <c r="F303">
        <v>5</v>
      </c>
    </row>
    <row r="304" spans="1:6" x14ac:dyDescent="0.25">
      <c r="A304" t="s">
        <v>496</v>
      </c>
      <c r="B304" t="s">
        <v>490</v>
      </c>
      <c r="C304" t="s">
        <v>491</v>
      </c>
      <c r="D304" s="2">
        <v>45935</v>
      </c>
      <c r="E304">
        <v>28</v>
      </c>
      <c r="F304">
        <v>6</v>
      </c>
    </row>
    <row r="305" spans="1:6" x14ac:dyDescent="0.25">
      <c r="A305" t="s">
        <v>497</v>
      </c>
      <c r="B305" t="s">
        <v>498</v>
      </c>
      <c r="C305" t="s">
        <v>499</v>
      </c>
      <c r="D305" s="2">
        <v>45829</v>
      </c>
      <c r="E305">
        <v>28</v>
      </c>
      <c r="F305">
        <v>1</v>
      </c>
    </row>
    <row r="306" spans="1:6" x14ac:dyDescent="0.25">
      <c r="A306" t="s">
        <v>500</v>
      </c>
      <c r="B306" t="s">
        <v>501</v>
      </c>
      <c r="C306" t="s">
        <v>502</v>
      </c>
      <c r="D306" s="2">
        <v>45858</v>
      </c>
      <c r="E306">
        <v>28</v>
      </c>
      <c r="F306">
        <v>1</v>
      </c>
    </row>
    <row r="307" spans="1:6" x14ac:dyDescent="0.25">
      <c r="A307" t="s">
        <v>503</v>
      </c>
      <c r="B307" t="s">
        <v>501</v>
      </c>
      <c r="C307" t="s">
        <v>502</v>
      </c>
      <c r="D307" s="2">
        <v>45883</v>
      </c>
      <c r="E307">
        <v>28</v>
      </c>
      <c r="F307">
        <v>2</v>
      </c>
    </row>
    <row r="308" spans="1:6" x14ac:dyDescent="0.25">
      <c r="A308" t="s">
        <v>504</v>
      </c>
      <c r="B308" t="s">
        <v>501</v>
      </c>
      <c r="C308" t="s">
        <v>502</v>
      </c>
      <c r="D308" s="2">
        <v>45913</v>
      </c>
      <c r="E308">
        <v>28</v>
      </c>
      <c r="F308">
        <v>3</v>
      </c>
    </row>
    <row r="309" spans="1:6" x14ac:dyDescent="0.25">
      <c r="A309" t="s">
        <v>505</v>
      </c>
      <c r="B309" t="s">
        <v>501</v>
      </c>
      <c r="C309" t="s">
        <v>502</v>
      </c>
      <c r="D309" s="2">
        <v>45942</v>
      </c>
      <c r="E309">
        <v>28</v>
      </c>
      <c r="F309">
        <v>4</v>
      </c>
    </row>
    <row r="310" spans="1:6" x14ac:dyDescent="0.25">
      <c r="A310" t="s">
        <v>506</v>
      </c>
      <c r="B310" t="s">
        <v>507</v>
      </c>
      <c r="C310" t="s">
        <v>508</v>
      </c>
      <c r="D310" s="2">
        <v>45909</v>
      </c>
      <c r="E310">
        <v>30</v>
      </c>
      <c r="F310">
        <v>1</v>
      </c>
    </row>
    <row r="311" spans="1:6" x14ac:dyDescent="0.25">
      <c r="A311" t="s">
        <v>509</v>
      </c>
      <c r="B311" t="s">
        <v>507</v>
      </c>
      <c r="C311" t="s">
        <v>508</v>
      </c>
      <c r="D311" s="2">
        <v>45940</v>
      </c>
      <c r="E311">
        <v>30</v>
      </c>
      <c r="F311">
        <v>2</v>
      </c>
    </row>
    <row r="312" spans="1:6" x14ac:dyDescent="0.25">
      <c r="A312" t="s">
        <v>510</v>
      </c>
      <c r="B312" t="s">
        <v>511</v>
      </c>
      <c r="C312" t="s">
        <v>512</v>
      </c>
      <c r="D312" s="2">
        <v>45917</v>
      </c>
      <c r="E312">
        <v>28</v>
      </c>
      <c r="F312">
        <v>1</v>
      </c>
    </row>
    <row r="313" spans="1:6" x14ac:dyDescent="0.25">
      <c r="A313" t="s">
        <v>513</v>
      </c>
      <c r="B313" t="s">
        <v>511</v>
      </c>
      <c r="C313" t="s">
        <v>512</v>
      </c>
      <c r="D313" s="2">
        <v>45944</v>
      </c>
      <c r="E313">
        <v>28</v>
      </c>
      <c r="F313">
        <v>2</v>
      </c>
    </row>
    <row r="314" spans="1:6" x14ac:dyDescent="0.25">
      <c r="A314" t="s">
        <v>514</v>
      </c>
      <c r="B314" t="s">
        <v>515</v>
      </c>
      <c r="C314" t="s">
        <v>516</v>
      </c>
      <c r="D314" s="2">
        <v>45842</v>
      </c>
      <c r="E314">
        <v>28</v>
      </c>
      <c r="F314">
        <v>1</v>
      </c>
    </row>
    <row r="315" spans="1:6" x14ac:dyDescent="0.25">
      <c r="A315" t="s">
        <v>517</v>
      </c>
      <c r="B315" t="s">
        <v>515</v>
      </c>
      <c r="C315" t="s">
        <v>516</v>
      </c>
      <c r="D315" s="2">
        <v>45868</v>
      </c>
      <c r="E315">
        <v>28</v>
      </c>
      <c r="F315">
        <v>2</v>
      </c>
    </row>
    <row r="316" spans="1:6" x14ac:dyDescent="0.25">
      <c r="A316" t="s">
        <v>518</v>
      </c>
      <c r="B316" t="s">
        <v>515</v>
      </c>
      <c r="C316" t="s">
        <v>516</v>
      </c>
      <c r="D316" s="2">
        <v>45897</v>
      </c>
      <c r="E316">
        <v>28</v>
      </c>
      <c r="F316">
        <v>3</v>
      </c>
    </row>
    <row r="317" spans="1:6" x14ac:dyDescent="0.25">
      <c r="A317" t="s">
        <v>519</v>
      </c>
      <c r="B317" t="s">
        <v>515</v>
      </c>
      <c r="C317" t="s">
        <v>516</v>
      </c>
      <c r="D317" s="2">
        <v>45925</v>
      </c>
      <c r="E317">
        <v>28</v>
      </c>
      <c r="F317">
        <v>4</v>
      </c>
    </row>
    <row r="318" spans="1:6" x14ac:dyDescent="0.25">
      <c r="A318" t="s">
        <v>520</v>
      </c>
      <c r="B318" t="s">
        <v>515</v>
      </c>
      <c r="C318" t="s">
        <v>516</v>
      </c>
      <c r="D318" s="2">
        <v>45952</v>
      </c>
      <c r="E318">
        <v>28</v>
      </c>
      <c r="F318">
        <v>5</v>
      </c>
    </row>
    <row r="319" spans="1:6" x14ac:dyDescent="0.25">
      <c r="A319" t="s">
        <v>521</v>
      </c>
      <c r="B319" t="s">
        <v>522</v>
      </c>
      <c r="C319" t="s">
        <v>523</v>
      </c>
      <c r="D319" s="2">
        <v>45943</v>
      </c>
      <c r="E319">
        <v>28</v>
      </c>
      <c r="F319">
        <v>1</v>
      </c>
    </row>
    <row r="320" spans="1:6" x14ac:dyDescent="0.25">
      <c r="A320" t="s">
        <v>524</v>
      </c>
      <c r="B320" t="s">
        <v>525</v>
      </c>
      <c r="C320" t="s">
        <v>526</v>
      </c>
      <c r="D320" s="2">
        <v>45851</v>
      </c>
      <c r="E320">
        <v>28</v>
      </c>
      <c r="F320">
        <v>1</v>
      </c>
    </row>
    <row r="321" spans="1:6" x14ac:dyDescent="0.25">
      <c r="A321" t="s">
        <v>527</v>
      </c>
      <c r="B321" t="s">
        <v>528</v>
      </c>
      <c r="C321" t="s">
        <v>529</v>
      </c>
      <c r="D321" s="2">
        <v>45790</v>
      </c>
      <c r="E321">
        <v>30</v>
      </c>
      <c r="F321">
        <v>1</v>
      </c>
    </row>
    <row r="322" spans="1:6" x14ac:dyDescent="0.25">
      <c r="A322" t="s">
        <v>530</v>
      </c>
      <c r="B322" t="s">
        <v>528</v>
      </c>
      <c r="C322" t="s">
        <v>529</v>
      </c>
      <c r="D322" s="2">
        <v>45817</v>
      </c>
      <c r="E322">
        <v>30</v>
      </c>
      <c r="F322">
        <v>2</v>
      </c>
    </row>
    <row r="323" spans="1:6" x14ac:dyDescent="0.25">
      <c r="A323" t="s">
        <v>531</v>
      </c>
      <c r="B323" t="s">
        <v>528</v>
      </c>
      <c r="C323" t="s">
        <v>529</v>
      </c>
      <c r="D323" s="2">
        <v>45849</v>
      </c>
      <c r="E323">
        <v>30</v>
      </c>
      <c r="F323">
        <v>3</v>
      </c>
    </row>
    <row r="324" spans="1:6" x14ac:dyDescent="0.25">
      <c r="A324" t="s">
        <v>532</v>
      </c>
      <c r="B324" t="s">
        <v>528</v>
      </c>
      <c r="C324" t="s">
        <v>529</v>
      </c>
      <c r="D324" s="2">
        <v>45881</v>
      </c>
      <c r="E324">
        <v>30</v>
      </c>
      <c r="F324">
        <v>4</v>
      </c>
    </row>
    <row r="325" spans="1:6" x14ac:dyDescent="0.25">
      <c r="A325" t="s">
        <v>533</v>
      </c>
      <c r="B325" t="s">
        <v>528</v>
      </c>
      <c r="C325" t="s">
        <v>529</v>
      </c>
      <c r="D325" s="2">
        <v>45910</v>
      </c>
      <c r="E325">
        <v>30</v>
      </c>
      <c r="F325">
        <v>5</v>
      </c>
    </row>
    <row r="326" spans="1:6" x14ac:dyDescent="0.25">
      <c r="A326" t="s">
        <v>534</v>
      </c>
      <c r="B326" t="s">
        <v>528</v>
      </c>
      <c r="C326" t="s">
        <v>529</v>
      </c>
      <c r="D326" s="2">
        <v>45937</v>
      </c>
      <c r="E326">
        <v>30</v>
      </c>
      <c r="F326">
        <v>6</v>
      </c>
    </row>
    <row r="327" spans="1:6" x14ac:dyDescent="0.25">
      <c r="A327" t="s">
        <v>535</v>
      </c>
      <c r="B327" t="s">
        <v>536</v>
      </c>
      <c r="C327" t="s">
        <v>537</v>
      </c>
      <c r="D327" s="2">
        <v>45862</v>
      </c>
      <c r="E327">
        <v>28</v>
      </c>
      <c r="F327">
        <v>1</v>
      </c>
    </row>
    <row r="328" spans="1:6" x14ac:dyDescent="0.25">
      <c r="A328" t="s">
        <v>538</v>
      </c>
      <c r="B328" t="s">
        <v>536</v>
      </c>
      <c r="C328" t="s">
        <v>537</v>
      </c>
      <c r="D328" s="2">
        <v>45892</v>
      </c>
      <c r="E328">
        <v>28</v>
      </c>
      <c r="F328">
        <v>2</v>
      </c>
    </row>
    <row r="329" spans="1:6" x14ac:dyDescent="0.25">
      <c r="A329" t="s">
        <v>539</v>
      </c>
      <c r="B329" t="s">
        <v>536</v>
      </c>
      <c r="C329" t="s">
        <v>537</v>
      </c>
      <c r="D329" s="2">
        <v>45919</v>
      </c>
      <c r="E329">
        <v>28</v>
      </c>
      <c r="F329">
        <v>3</v>
      </c>
    </row>
    <row r="330" spans="1:6" x14ac:dyDescent="0.25">
      <c r="A330" t="s">
        <v>540</v>
      </c>
      <c r="B330" t="s">
        <v>536</v>
      </c>
      <c r="C330" t="s">
        <v>537</v>
      </c>
      <c r="D330" s="2">
        <v>45950</v>
      </c>
      <c r="E330">
        <v>28</v>
      </c>
      <c r="F330">
        <v>4</v>
      </c>
    </row>
    <row r="331" spans="1:6" x14ac:dyDescent="0.25">
      <c r="A331" t="s">
        <v>541</v>
      </c>
      <c r="B331" t="s">
        <v>542</v>
      </c>
      <c r="C331" t="s">
        <v>543</v>
      </c>
      <c r="D331" s="2">
        <v>45809</v>
      </c>
      <c r="E331">
        <v>30</v>
      </c>
      <c r="F331">
        <v>1</v>
      </c>
    </row>
    <row r="332" spans="1:6" x14ac:dyDescent="0.25">
      <c r="A332" t="s">
        <v>544</v>
      </c>
      <c r="B332" t="s">
        <v>542</v>
      </c>
      <c r="C332" t="s">
        <v>543</v>
      </c>
      <c r="D332" s="2">
        <v>45836</v>
      </c>
      <c r="E332">
        <v>30</v>
      </c>
      <c r="F332">
        <v>2</v>
      </c>
    </row>
    <row r="333" spans="1:6" x14ac:dyDescent="0.25">
      <c r="A333" t="s">
        <v>545</v>
      </c>
      <c r="B333" t="s">
        <v>542</v>
      </c>
      <c r="C333" t="s">
        <v>543</v>
      </c>
      <c r="D333" s="2">
        <v>45866</v>
      </c>
      <c r="E333">
        <v>30</v>
      </c>
      <c r="F333">
        <v>3</v>
      </c>
    </row>
    <row r="334" spans="1:6" x14ac:dyDescent="0.25">
      <c r="A334" t="s">
        <v>546</v>
      </c>
      <c r="B334" t="s">
        <v>542</v>
      </c>
      <c r="C334" t="s">
        <v>543</v>
      </c>
      <c r="D334" s="2">
        <v>45896</v>
      </c>
      <c r="E334">
        <v>30</v>
      </c>
      <c r="F334">
        <v>4</v>
      </c>
    </row>
    <row r="335" spans="1:6" x14ac:dyDescent="0.25">
      <c r="A335" t="s">
        <v>547</v>
      </c>
      <c r="B335" t="s">
        <v>542</v>
      </c>
      <c r="C335" t="s">
        <v>543</v>
      </c>
      <c r="D335" s="2">
        <v>45926</v>
      </c>
      <c r="E335">
        <v>30</v>
      </c>
      <c r="F335">
        <v>5</v>
      </c>
    </row>
    <row r="336" spans="1:6" x14ac:dyDescent="0.25">
      <c r="A336" t="s">
        <v>548</v>
      </c>
      <c r="B336" t="s">
        <v>542</v>
      </c>
      <c r="C336" t="s">
        <v>543</v>
      </c>
      <c r="D336" s="2">
        <v>45956</v>
      </c>
      <c r="E336">
        <v>30</v>
      </c>
      <c r="F336">
        <v>6</v>
      </c>
    </row>
    <row r="337" spans="1:6" x14ac:dyDescent="0.25">
      <c r="A337" t="s">
        <v>549</v>
      </c>
      <c r="B337" t="s">
        <v>550</v>
      </c>
      <c r="C337" t="s">
        <v>551</v>
      </c>
      <c r="D337" s="2">
        <v>45872</v>
      </c>
      <c r="E337">
        <v>28</v>
      </c>
      <c r="F337">
        <v>1</v>
      </c>
    </row>
    <row r="338" spans="1:6" x14ac:dyDescent="0.25">
      <c r="A338" t="s">
        <v>552</v>
      </c>
      <c r="B338" t="s">
        <v>550</v>
      </c>
      <c r="C338" t="s">
        <v>551</v>
      </c>
      <c r="D338" s="2">
        <v>45897</v>
      </c>
      <c r="E338">
        <v>28</v>
      </c>
      <c r="F338">
        <v>2</v>
      </c>
    </row>
    <row r="339" spans="1:6" x14ac:dyDescent="0.25">
      <c r="A339" t="s">
        <v>553</v>
      </c>
      <c r="B339" t="s">
        <v>550</v>
      </c>
      <c r="C339" t="s">
        <v>551</v>
      </c>
      <c r="D339" s="2">
        <v>45925</v>
      </c>
      <c r="E339">
        <v>28</v>
      </c>
      <c r="F339">
        <v>3</v>
      </c>
    </row>
    <row r="340" spans="1:6" x14ac:dyDescent="0.25">
      <c r="A340" t="s">
        <v>554</v>
      </c>
      <c r="B340" t="s">
        <v>550</v>
      </c>
      <c r="C340" t="s">
        <v>551</v>
      </c>
      <c r="D340" s="2">
        <v>45956</v>
      </c>
      <c r="E340">
        <v>28</v>
      </c>
      <c r="F340">
        <v>4</v>
      </c>
    </row>
    <row r="341" spans="1:6" x14ac:dyDescent="0.25">
      <c r="A341" t="s">
        <v>555</v>
      </c>
      <c r="B341" t="s">
        <v>556</v>
      </c>
      <c r="C341" t="s">
        <v>557</v>
      </c>
      <c r="D341" s="2">
        <v>45880</v>
      </c>
      <c r="E341">
        <v>28</v>
      </c>
      <c r="F341">
        <v>1</v>
      </c>
    </row>
    <row r="342" spans="1:6" x14ac:dyDescent="0.25">
      <c r="A342" t="s">
        <v>558</v>
      </c>
      <c r="B342" t="s">
        <v>556</v>
      </c>
      <c r="C342" t="s">
        <v>557</v>
      </c>
      <c r="D342" s="2">
        <v>45910</v>
      </c>
      <c r="E342">
        <v>28</v>
      </c>
      <c r="F342">
        <v>2</v>
      </c>
    </row>
    <row r="343" spans="1:6" x14ac:dyDescent="0.25">
      <c r="A343" t="s">
        <v>559</v>
      </c>
      <c r="B343" t="s">
        <v>556</v>
      </c>
      <c r="C343" t="s">
        <v>557</v>
      </c>
      <c r="D343" s="2">
        <v>45936</v>
      </c>
      <c r="E343">
        <v>28</v>
      </c>
      <c r="F343">
        <v>3</v>
      </c>
    </row>
    <row r="344" spans="1:6" x14ac:dyDescent="0.25">
      <c r="A344" t="s">
        <v>560</v>
      </c>
      <c r="B344" t="s">
        <v>556</v>
      </c>
      <c r="C344" t="s">
        <v>557</v>
      </c>
      <c r="D344" s="2">
        <v>45961</v>
      </c>
      <c r="E344">
        <v>28</v>
      </c>
      <c r="F344">
        <v>4</v>
      </c>
    </row>
    <row r="345" spans="1:6" x14ac:dyDescent="0.25">
      <c r="A345" t="s">
        <v>561</v>
      </c>
      <c r="B345" t="s">
        <v>562</v>
      </c>
      <c r="C345" t="s">
        <v>563</v>
      </c>
      <c r="D345" s="2">
        <v>45890</v>
      </c>
      <c r="E345">
        <v>28</v>
      </c>
      <c r="F345">
        <v>1</v>
      </c>
    </row>
    <row r="346" spans="1:6" x14ac:dyDescent="0.25">
      <c r="A346" t="s">
        <v>564</v>
      </c>
      <c r="B346" t="s">
        <v>562</v>
      </c>
      <c r="C346" t="s">
        <v>563</v>
      </c>
      <c r="D346" s="2">
        <v>45915</v>
      </c>
      <c r="E346">
        <v>28</v>
      </c>
      <c r="F346">
        <v>2</v>
      </c>
    </row>
    <row r="347" spans="1:6" x14ac:dyDescent="0.25">
      <c r="A347" t="s">
        <v>565</v>
      </c>
      <c r="B347" t="s">
        <v>566</v>
      </c>
      <c r="C347" t="s">
        <v>567</v>
      </c>
      <c r="D347" s="2">
        <v>45864</v>
      </c>
      <c r="E347">
        <v>28</v>
      </c>
      <c r="F347">
        <v>1</v>
      </c>
    </row>
    <row r="348" spans="1:6" x14ac:dyDescent="0.25">
      <c r="A348" t="s">
        <v>568</v>
      </c>
      <c r="B348" t="s">
        <v>566</v>
      </c>
      <c r="C348" t="s">
        <v>567</v>
      </c>
      <c r="D348" s="2">
        <v>45889</v>
      </c>
      <c r="E348">
        <v>28</v>
      </c>
      <c r="F348">
        <v>2</v>
      </c>
    </row>
    <row r="349" spans="1:6" x14ac:dyDescent="0.25">
      <c r="A349" t="s">
        <v>569</v>
      </c>
      <c r="B349" t="s">
        <v>566</v>
      </c>
      <c r="C349" t="s">
        <v>567</v>
      </c>
      <c r="D349" s="2">
        <v>45916</v>
      </c>
      <c r="E349">
        <v>28</v>
      </c>
      <c r="F349">
        <v>3</v>
      </c>
    </row>
    <row r="350" spans="1:6" x14ac:dyDescent="0.25">
      <c r="A350" t="s">
        <v>570</v>
      </c>
      <c r="B350" t="s">
        <v>566</v>
      </c>
      <c r="C350" t="s">
        <v>567</v>
      </c>
      <c r="D350" s="2">
        <v>45944</v>
      </c>
      <c r="E350">
        <v>28</v>
      </c>
      <c r="F350">
        <v>4</v>
      </c>
    </row>
    <row r="351" spans="1:6" x14ac:dyDescent="0.25">
      <c r="A351" t="s">
        <v>571</v>
      </c>
      <c r="B351" t="s">
        <v>572</v>
      </c>
      <c r="C351" t="s">
        <v>573</v>
      </c>
      <c r="D351" s="2">
        <v>45905</v>
      </c>
      <c r="E351">
        <v>28</v>
      </c>
      <c r="F351">
        <v>1</v>
      </c>
    </row>
    <row r="352" spans="1:6" x14ac:dyDescent="0.25">
      <c r="A352" t="s">
        <v>574</v>
      </c>
      <c r="B352" t="s">
        <v>572</v>
      </c>
      <c r="C352" t="s">
        <v>573</v>
      </c>
      <c r="D352" s="2">
        <v>45934</v>
      </c>
      <c r="E352">
        <v>28</v>
      </c>
      <c r="F352">
        <v>2</v>
      </c>
    </row>
    <row r="353" spans="1:6" x14ac:dyDescent="0.25">
      <c r="A353" t="s">
        <v>575</v>
      </c>
      <c r="B353" t="s">
        <v>572</v>
      </c>
      <c r="C353" t="s">
        <v>573</v>
      </c>
      <c r="D353" s="2">
        <v>45959</v>
      </c>
      <c r="E353">
        <v>28</v>
      </c>
      <c r="F353">
        <v>3</v>
      </c>
    </row>
    <row r="354" spans="1:6" x14ac:dyDescent="0.25">
      <c r="A354" t="s">
        <v>576</v>
      </c>
      <c r="B354" t="s">
        <v>577</v>
      </c>
      <c r="C354" t="s">
        <v>578</v>
      </c>
      <c r="D354" s="2">
        <v>45905</v>
      </c>
      <c r="E354">
        <v>30</v>
      </c>
      <c r="F354">
        <v>1</v>
      </c>
    </row>
    <row r="355" spans="1:6" x14ac:dyDescent="0.25">
      <c r="A355" t="s">
        <v>579</v>
      </c>
      <c r="B355" t="s">
        <v>577</v>
      </c>
      <c r="C355" t="s">
        <v>578</v>
      </c>
      <c r="D355" s="2">
        <v>45935</v>
      </c>
      <c r="E355">
        <v>30</v>
      </c>
      <c r="F355">
        <v>2</v>
      </c>
    </row>
    <row r="356" spans="1:6" x14ac:dyDescent="0.25">
      <c r="A356" t="s">
        <v>580</v>
      </c>
      <c r="B356" t="s">
        <v>581</v>
      </c>
      <c r="C356" t="s">
        <v>582</v>
      </c>
      <c r="D356" s="2">
        <v>45910</v>
      </c>
      <c r="E356">
        <v>30</v>
      </c>
      <c r="F356">
        <v>1</v>
      </c>
    </row>
    <row r="357" spans="1:6" x14ac:dyDescent="0.25">
      <c r="A357" t="s">
        <v>583</v>
      </c>
      <c r="B357" t="s">
        <v>581</v>
      </c>
      <c r="C357" t="s">
        <v>582</v>
      </c>
      <c r="D357" s="2">
        <v>45942</v>
      </c>
      <c r="E357">
        <v>30</v>
      </c>
      <c r="F357">
        <v>2</v>
      </c>
    </row>
    <row r="358" spans="1:6" x14ac:dyDescent="0.25">
      <c r="A358" t="s">
        <v>584</v>
      </c>
      <c r="B358" t="s">
        <v>585</v>
      </c>
      <c r="C358" t="s">
        <v>586</v>
      </c>
      <c r="D358" s="2">
        <v>45799</v>
      </c>
      <c r="E358">
        <v>28</v>
      </c>
      <c r="F358">
        <v>1</v>
      </c>
    </row>
    <row r="359" spans="1:6" x14ac:dyDescent="0.25">
      <c r="A359" t="s">
        <v>587</v>
      </c>
      <c r="B359" t="s">
        <v>585</v>
      </c>
      <c r="C359" t="s">
        <v>586</v>
      </c>
      <c r="D359" s="2">
        <v>45827</v>
      </c>
      <c r="E359">
        <v>28</v>
      </c>
      <c r="F359">
        <v>2</v>
      </c>
    </row>
    <row r="360" spans="1:6" x14ac:dyDescent="0.25">
      <c r="A360" t="s">
        <v>588</v>
      </c>
      <c r="B360" t="s">
        <v>585</v>
      </c>
      <c r="C360" t="s">
        <v>586</v>
      </c>
      <c r="D360" s="2">
        <v>45852</v>
      </c>
      <c r="E360">
        <v>28</v>
      </c>
      <c r="F360">
        <v>3</v>
      </c>
    </row>
    <row r="361" spans="1:6" x14ac:dyDescent="0.25">
      <c r="A361" t="s">
        <v>589</v>
      </c>
      <c r="B361" t="s">
        <v>585</v>
      </c>
      <c r="C361" t="s">
        <v>586</v>
      </c>
      <c r="D361" s="2">
        <v>45879</v>
      </c>
      <c r="E361">
        <v>28</v>
      </c>
      <c r="F361">
        <v>4</v>
      </c>
    </row>
    <row r="362" spans="1:6" x14ac:dyDescent="0.25">
      <c r="A362" t="s">
        <v>590</v>
      </c>
      <c r="B362" t="s">
        <v>585</v>
      </c>
      <c r="C362" t="s">
        <v>586</v>
      </c>
      <c r="D362" s="2">
        <v>45905</v>
      </c>
      <c r="E362">
        <v>28</v>
      </c>
      <c r="F362">
        <v>5</v>
      </c>
    </row>
    <row r="363" spans="1:6" x14ac:dyDescent="0.25">
      <c r="A363" t="s">
        <v>591</v>
      </c>
      <c r="B363" t="s">
        <v>585</v>
      </c>
      <c r="C363" t="s">
        <v>586</v>
      </c>
      <c r="D363" s="2">
        <v>45935</v>
      </c>
      <c r="E363">
        <v>28</v>
      </c>
      <c r="F363">
        <v>6</v>
      </c>
    </row>
    <row r="364" spans="1:6" x14ac:dyDescent="0.25">
      <c r="A364" t="s">
        <v>592</v>
      </c>
      <c r="B364" t="s">
        <v>593</v>
      </c>
      <c r="C364" t="s">
        <v>594</v>
      </c>
      <c r="D364" s="2">
        <v>45886</v>
      </c>
      <c r="E364">
        <v>28</v>
      </c>
      <c r="F364">
        <v>1</v>
      </c>
    </row>
    <row r="365" spans="1:6" x14ac:dyDescent="0.25">
      <c r="A365" t="s">
        <v>595</v>
      </c>
      <c r="B365" t="s">
        <v>593</v>
      </c>
      <c r="C365" t="s">
        <v>594</v>
      </c>
      <c r="D365" s="2">
        <v>45915</v>
      </c>
      <c r="E365">
        <v>28</v>
      </c>
      <c r="F365">
        <v>2</v>
      </c>
    </row>
    <row r="366" spans="1:6" x14ac:dyDescent="0.25">
      <c r="A366" t="s">
        <v>596</v>
      </c>
      <c r="B366" t="s">
        <v>593</v>
      </c>
      <c r="C366" t="s">
        <v>594</v>
      </c>
      <c r="D366" s="2">
        <v>45942</v>
      </c>
      <c r="E366">
        <v>28</v>
      </c>
      <c r="F366">
        <v>3</v>
      </c>
    </row>
    <row r="367" spans="1:6" x14ac:dyDescent="0.25">
      <c r="A367" t="s">
        <v>597</v>
      </c>
      <c r="B367" t="s">
        <v>598</v>
      </c>
      <c r="C367" t="s">
        <v>599</v>
      </c>
      <c r="D367" s="2">
        <v>45888</v>
      </c>
      <c r="E367">
        <v>28</v>
      </c>
      <c r="F367">
        <v>1</v>
      </c>
    </row>
    <row r="368" spans="1:6" x14ac:dyDescent="0.25">
      <c r="A368" t="s">
        <v>600</v>
      </c>
      <c r="B368" t="s">
        <v>598</v>
      </c>
      <c r="C368" t="s">
        <v>599</v>
      </c>
      <c r="D368" s="2">
        <v>45913</v>
      </c>
      <c r="E368">
        <v>28</v>
      </c>
      <c r="F368">
        <v>2</v>
      </c>
    </row>
    <row r="369" spans="1:6" x14ac:dyDescent="0.25">
      <c r="A369" t="s">
        <v>601</v>
      </c>
      <c r="B369" t="s">
        <v>598</v>
      </c>
      <c r="C369" t="s">
        <v>599</v>
      </c>
      <c r="D369" s="2">
        <v>45942</v>
      </c>
      <c r="E369">
        <v>28</v>
      </c>
      <c r="F369">
        <v>3</v>
      </c>
    </row>
    <row r="370" spans="1:6" x14ac:dyDescent="0.25">
      <c r="A370" t="s">
        <v>602</v>
      </c>
      <c r="B370" t="s">
        <v>603</v>
      </c>
      <c r="C370" t="s">
        <v>604</v>
      </c>
      <c r="D370" s="2">
        <v>45824</v>
      </c>
      <c r="E370">
        <v>28</v>
      </c>
      <c r="F370">
        <v>1</v>
      </c>
    </row>
    <row r="371" spans="1:6" x14ac:dyDescent="0.25">
      <c r="A371" t="s">
        <v>605</v>
      </c>
      <c r="B371" t="s">
        <v>603</v>
      </c>
      <c r="C371" t="s">
        <v>604</v>
      </c>
      <c r="D371" s="2">
        <v>45850</v>
      </c>
      <c r="E371">
        <v>28</v>
      </c>
      <c r="F371">
        <v>2</v>
      </c>
    </row>
    <row r="372" spans="1:6" x14ac:dyDescent="0.25">
      <c r="A372" t="s">
        <v>606</v>
      </c>
      <c r="B372" t="s">
        <v>603</v>
      </c>
      <c r="C372" t="s">
        <v>604</v>
      </c>
      <c r="D372" s="2">
        <v>45877</v>
      </c>
      <c r="E372">
        <v>28</v>
      </c>
      <c r="F372">
        <v>3</v>
      </c>
    </row>
    <row r="373" spans="1:6" x14ac:dyDescent="0.25">
      <c r="A373" t="s">
        <v>607</v>
      </c>
      <c r="B373" t="s">
        <v>603</v>
      </c>
      <c r="C373" t="s">
        <v>604</v>
      </c>
      <c r="D373" s="2">
        <v>45905</v>
      </c>
      <c r="E373">
        <v>28</v>
      </c>
      <c r="F373">
        <v>4</v>
      </c>
    </row>
    <row r="374" spans="1:6" x14ac:dyDescent="0.25">
      <c r="A374" t="s">
        <v>608</v>
      </c>
      <c r="B374" t="s">
        <v>603</v>
      </c>
      <c r="C374" t="s">
        <v>604</v>
      </c>
      <c r="D374" s="2">
        <v>45932</v>
      </c>
      <c r="E374">
        <v>28</v>
      </c>
      <c r="F374">
        <v>5</v>
      </c>
    </row>
    <row r="375" spans="1:6" x14ac:dyDescent="0.25">
      <c r="A375" t="s">
        <v>609</v>
      </c>
      <c r="B375" t="s">
        <v>610</v>
      </c>
      <c r="C375" t="s">
        <v>611</v>
      </c>
      <c r="D375" s="2">
        <v>45853</v>
      </c>
      <c r="E375">
        <v>30</v>
      </c>
      <c r="F375">
        <v>1</v>
      </c>
    </row>
    <row r="376" spans="1:6" x14ac:dyDescent="0.25">
      <c r="A376" t="s">
        <v>612</v>
      </c>
      <c r="B376" t="s">
        <v>610</v>
      </c>
      <c r="C376" t="s">
        <v>611</v>
      </c>
      <c r="D376" s="2">
        <v>45883</v>
      </c>
      <c r="E376">
        <v>30</v>
      </c>
      <c r="F376">
        <v>2</v>
      </c>
    </row>
    <row r="377" spans="1:6" x14ac:dyDescent="0.25">
      <c r="A377" t="s">
        <v>613</v>
      </c>
      <c r="B377" t="s">
        <v>614</v>
      </c>
      <c r="C377" t="s">
        <v>615</v>
      </c>
      <c r="D377" s="2">
        <v>45804</v>
      </c>
      <c r="E377">
        <v>14</v>
      </c>
      <c r="F377">
        <v>1</v>
      </c>
    </row>
    <row r="378" spans="1:6" x14ac:dyDescent="0.25">
      <c r="A378" t="s">
        <v>616</v>
      </c>
      <c r="B378" t="s">
        <v>614</v>
      </c>
      <c r="C378" t="s">
        <v>615</v>
      </c>
      <c r="D378" s="2">
        <v>45816</v>
      </c>
      <c r="E378">
        <v>14</v>
      </c>
      <c r="F378">
        <v>2</v>
      </c>
    </row>
    <row r="379" spans="1:6" x14ac:dyDescent="0.25">
      <c r="A379" t="s">
        <v>617</v>
      </c>
      <c r="B379" t="s">
        <v>614</v>
      </c>
      <c r="C379" t="s">
        <v>615</v>
      </c>
      <c r="D379" s="2">
        <v>45832</v>
      </c>
      <c r="E379">
        <v>14</v>
      </c>
      <c r="F379">
        <v>3</v>
      </c>
    </row>
    <row r="380" spans="1:6" x14ac:dyDescent="0.25">
      <c r="A380" t="s">
        <v>618</v>
      </c>
      <c r="B380" t="s">
        <v>614</v>
      </c>
      <c r="C380" t="s">
        <v>615</v>
      </c>
      <c r="D380" s="2">
        <v>45843</v>
      </c>
      <c r="E380">
        <v>14</v>
      </c>
      <c r="F380">
        <v>4</v>
      </c>
    </row>
    <row r="381" spans="1:6" x14ac:dyDescent="0.25">
      <c r="A381" t="s">
        <v>619</v>
      </c>
      <c r="B381" t="s">
        <v>614</v>
      </c>
      <c r="C381" t="s">
        <v>615</v>
      </c>
      <c r="D381" s="2">
        <v>45860</v>
      </c>
      <c r="E381">
        <v>14</v>
      </c>
      <c r="F381">
        <v>5</v>
      </c>
    </row>
    <row r="382" spans="1:6" x14ac:dyDescent="0.25">
      <c r="A382" t="s">
        <v>620</v>
      </c>
      <c r="B382" t="s">
        <v>614</v>
      </c>
      <c r="C382" t="s">
        <v>615</v>
      </c>
      <c r="D382" s="2">
        <v>45873</v>
      </c>
      <c r="E382">
        <v>14</v>
      </c>
      <c r="F382">
        <v>6</v>
      </c>
    </row>
    <row r="383" spans="1:6" x14ac:dyDescent="0.25">
      <c r="A383" t="s">
        <v>621</v>
      </c>
      <c r="B383" t="s">
        <v>614</v>
      </c>
      <c r="C383" t="s">
        <v>615</v>
      </c>
      <c r="D383" s="2">
        <v>45887</v>
      </c>
      <c r="E383">
        <v>14</v>
      </c>
      <c r="F383">
        <v>7</v>
      </c>
    </row>
    <row r="384" spans="1:6" x14ac:dyDescent="0.25">
      <c r="A384" t="s">
        <v>622</v>
      </c>
      <c r="B384" t="s">
        <v>614</v>
      </c>
      <c r="C384" t="s">
        <v>615</v>
      </c>
      <c r="D384" s="2">
        <v>45901</v>
      </c>
      <c r="E384">
        <v>14</v>
      </c>
      <c r="F384">
        <v>8</v>
      </c>
    </row>
    <row r="385" spans="1:6" x14ac:dyDescent="0.25">
      <c r="A385" t="s">
        <v>623</v>
      </c>
      <c r="B385" t="s">
        <v>614</v>
      </c>
      <c r="C385" t="s">
        <v>615</v>
      </c>
      <c r="D385" s="2">
        <v>45917</v>
      </c>
      <c r="E385">
        <v>14</v>
      </c>
      <c r="F385">
        <v>9</v>
      </c>
    </row>
    <row r="386" spans="1:6" x14ac:dyDescent="0.25">
      <c r="A386" t="s">
        <v>624</v>
      </c>
      <c r="B386" t="s">
        <v>614</v>
      </c>
      <c r="C386" t="s">
        <v>615</v>
      </c>
      <c r="D386" s="2">
        <v>45928</v>
      </c>
      <c r="E386">
        <v>14</v>
      </c>
      <c r="F386">
        <v>10</v>
      </c>
    </row>
    <row r="387" spans="1:6" x14ac:dyDescent="0.25">
      <c r="A387" t="s">
        <v>625</v>
      </c>
      <c r="B387" t="s">
        <v>614</v>
      </c>
      <c r="C387" t="s">
        <v>615</v>
      </c>
      <c r="D387" s="2">
        <v>45943</v>
      </c>
      <c r="E387">
        <v>14</v>
      </c>
      <c r="F387">
        <v>11</v>
      </c>
    </row>
    <row r="388" spans="1:6" x14ac:dyDescent="0.25">
      <c r="A388" t="s">
        <v>626</v>
      </c>
      <c r="B388" t="s">
        <v>614</v>
      </c>
      <c r="C388" t="s">
        <v>615</v>
      </c>
      <c r="D388" s="2">
        <v>45955</v>
      </c>
      <c r="E388">
        <v>14</v>
      </c>
      <c r="F388">
        <v>12</v>
      </c>
    </row>
    <row r="389" spans="1:6" x14ac:dyDescent="0.25">
      <c r="A389" t="s">
        <v>627</v>
      </c>
      <c r="B389" t="s">
        <v>628</v>
      </c>
      <c r="C389" t="s">
        <v>629</v>
      </c>
      <c r="D389" s="2">
        <v>45861</v>
      </c>
      <c r="E389">
        <v>28</v>
      </c>
      <c r="F389">
        <v>1</v>
      </c>
    </row>
    <row r="390" spans="1:6" x14ac:dyDescent="0.25">
      <c r="A390" t="s">
        <v>630</v>
      </c>
      <c r="B390" t="s">
        <v>631</v>
      </c>
      <c r="C390" t="s">
        <v>632</v>
      </c>
      <c r="D390" s="2">
        <v>45853</v>
      </c>
      <c r="E390">
        <v>28</v>
      </c>
      <c r="F390">
        <v>1</v>
      </c>
    </row>
    <row r="391" spans="1:6" x14ac:dyDescent="0.25">
      <c r="A391" t="s">
        <v>633</v>
      </c>
      <c r="B391" t="s">
        <v>631</v>
      </c>
      <c r="C391" t="s">
        <v>632</v>
      </c>
      <c r="D391" s="2">
        <v>45878</v>
      </c>
      <c r="E391">
        <v>28</v>
      </c>
      <c r="F391">
        <v>2</v>
      </c>
    </row>
    <row r="392" spans="1:6" x14ac:dyDescent="0.25">
      <c r="A392" t="s">
        <v>634</v>
      </c>
      <c r="B392" t="s">
        <v>631</v>
      </c>
      <c r="C392" t="s">
        <v>632</v>
      </c>
      <c r="D392" s="2">
        <v>45906</v>
      </c>
      <c r="E392">
        <v>28</v>
      </c>
      <c r="F392">
        <v>3</v>
      </c>
    </row>
    <row r="393" spans="1:6" x14ac:dyDescent="0.25">
      <c r="A393" t="s">
        <v>635</v>
      </c>
      <c r="B393" t="s">
        <v>631</v>
      </c>
      <c r="C393" t="s">
        <v>632</v>
      </c>
      <c r="D393" s="2">
        <v>45933</v>
      </c>
      <c r="E393">
        <v>28</v>
      </c>
      <c r="F393">
        <v>4</v>
      </c>
    </row>
    <row r="394" spans="1:6" x14ac:dyDescent="0.25">
      <c r="A394" t="s">
        <v>636</v>
      </c>
      <c r="B394" t="s">
        <v>637</v>
      </c>
      <c r="C394" t="s">
        <v>638</v>
      </c>
      <c r="D394" s="2">
        <v>45892</v>
      </c>
      <c r="E394">
        <v>30</v>
      </c>
      <c r="F394">
        <v>1</v>
      </c>
    </row>
    <row r="395" spans="1:6" x14ac:dyDescent="0.25">
      <c r="A395" t="s">
        <v>639</v>
      </c>
      <c r="B395" t="s">
        <v>637</v>
      </c>
      <c r="C395" t="s">
        <v>638</v>
      </c>
      <c r="D395" s="2">
        <v>45923</v>
      </c>
      <c r="E395">
        <v>30</v>
      </c>
      <c r="F395">
        <v>2</v>
      </c>
    </row>
    <row r="396" spans="1:6" x14ac:dyDescent="0.25">
      <c r="A396" t="s">
        <v>640</v>
      </c>
      <c r="B396" t="s">
        <v>637</v>
      </c>
      <c r="C396" t="s">
        <v>638</v>
      </c>
      <c r="D396" s="2">
        <v>45951</v>
      </c>
      <c r="E396">
        <v>30</v>
      </c>
      <c r="F396">
        <v>3</v>
      </c>
    </row>
    <row r="397" spans="1:6" x14ac:dyDescent="0.25">
      <c r="A397" t="s">
        <v>641</v>
      </c>
      <c r="B397" t="s">
        <v>642</v>
      </c>
      <c r="C397" t="s">
        <v>643</v>
      </c>
      <c r="D397" s="2">
        <v>45961</v>
      </c>
      <c r="E397">
        <v>28</v>
      </c>
      <c r="F397">
        <v>1</v>
      </c>
    </row>
    <row r="398" spans="1:6" x14ac:dyDescent="0.25">
      <c r="A398" t="s">
        <v>644</v>
      </c>
      <c r="B398" t="s">
        <v>645</v>
      </c>
      <c r="C398" t="s">
        <v>646</v>
      </c>
      <c r="D398" s="2">
        <v>45820</v>
      </c>
      <c r="E398">
        <v>28</v>
      </c>
      <c r="F398">
        <v>1</v>
      </c>
    </row>
    <row r="399" spans="1:6" x14ac:dyDescent="0.25">
      <c r="A399" t="s">
        <v>647</v>
      </c>
      <c r="B399" t="s">
        <v>645</v>
      </c>
      <c r="C399" t="s">
        <v>646</v>
      </c>
      <c r="D399" s="2">
        <v>45850</v>
      </c>
      <c r="E399">
        <v>28</v>
      </c>
      <c r="F399">
        <v>2</v>
      </c>
    </row>
    <row r="400" spans="1:6" x14ac:dyDescent="0.25">
      <c r="A400" t="s">
        <v>648</v>
      </c>
      <c r="B400" t="s">
        <v>645</v>
      </c>
      <c r="C400" t="s">
        <v>646</v>
      </c>
      <c r="D400" s="2">
        <v>45881</v>
      </c>
      <c r="E400">
        <v>28</v>
      </c>
      <c r="F400">
        <v>3</v>
      </c>
    </row>
    <row r="401" spans="1:6" x14ac:dyDescent="0.25">
      <c r="A401" t="s">
        <v>649</v>
      </c>
      <c r="B401" t="s">
        <v>645</v>
      </c>
      <c r="C401" t="s">
        <v>646</v>
      </c>
      <c r="D401" s="2">
        <v>45909</v>
      </c>
      <c r="E401">
        <v>28</v>
      </c>
      <c r="F401">
        <v>4</v>
      </c>
    </row>
    <row r="402" spans="1:6" x14ac:dyDescent="0.25">
      <c r="A402" t="s">
        <v>650</v>
      </c>
      <c r="B402" t="s">
        <v>645</v>
      </c>
      <c r="C402" t="s">
        <v>646</v>
      </c>
      <c r="D402" s="2">
        <v>45938</v>
      </c>
      <c r="E402">
        <v>28</v>
      </c>
      <c r="F402">
        <v>5</v>
      </c>
    </row>
    <row r="403" spans="1:6" x14ac:dyDescent="0.25">
      <c r="A403" t="s">
        <v>651</v>
      </c>
      <c r="B403" t="s">
        <v>652</v>
      </c>
      <c r="C403" t="s">
        <v>653</v>
      </c>
      <c r="D403" s="2">
        <v>45891</v>
      </c>
      <c r="E403">
        <v>28</v>
      </c>
      <c r="F403">
        <v>1</v>
      </c>
    </row>
    <row r="404" spans="1:6" x14ac:dyDescent="0.25">
      <c r="A404" t="s">
        <v>654</v>
      </c>
      <c r="B404" t="s">
        <v>652</v>
      </c>
      <c r="C404" t="s">
        <v>653</v>
      </c>
      <c r="D404" s="2">
        <v>45922</v>
      </c>
      <c r="E404">
        <v>28</v>
      </c>
      <c r="F404">
        <v>2</v>
      </c>
    </row>
    <row r="405" spans="1:6" x14ac:dyDescent="0.25">
      <c r="A405" t="s">
        <v>655</v>
      </c>
      <c r="B405" t="s">
        <v>652</v>
      </c>
      <c r="C405" t="s">
        <v>653</v>
      </c>
      <c r="D405" s="2">
        <v>45953</v>
      </c>
      <c r="E405">
        <v>28</v>
      </c>
      <c r="F405">
        <v>3</v>
      </c>
    </row>
    <row r="406" spans="1:6" x14ac:dyDescent="0.25">
      <c r="A406" t="s">
        <v>656</v>
      </c>
      <c r="B406" t="s">
        <v>657</v>
      </c>
      <c r="C406" t="s">
        <v>658</v>
      </c>
      <c r="D406" s="2">
        <v>45892</v>
      </c>
      <c r="E406">
        <v>28</v>
      </c>
      <c r="F406">
        <v>1</v>
      </c>
    </row>
    <row r="407" spans="1:6" x14ac:dyDescent="0.25">
      <c r="A407" t="s">
        <v>659</v>
      </c>
      <c r="B407" t="s">
        <v>657</v>
      </c>
      <c r="C407" t="s">
        <v>658</v>
      </c>
      <c r="D407" s="2">
        <v>45922</v>
      </c>
      <c r="E407">
        <v>28</v>
      </c>
      <c r="F407">
        <v>2</v>
      </c>
    </row>
    <row r="408" spans="1:6" x14ac:dyDescent="0.25">
      <c r="A408" t="s">
        <v>660</v>
      </c>
      <c r="B408" t="s">
        <v>657</v>
      </c>
      <c r="C408" t="s">
        <v>658</v>
      </c>
      <c r="D408" s="2">
        <v>45950</v>
      </c>
      <c r="E408">
        <v>28</v>
      </c>
      <c r="F408">
        <v>3</v>
      </c>
    </row>
    <row r="409" spans="1:6" x14ac:dyDescent="0.25">
      <c r="A409" t="s">
        <v>661</v>
      </c>
      <c r="B409" t="s">
        <v>662</v>
      </c>
      <c r="C409" t="s">
        <v>663</v>
      </c>
      <c r="D409" s="2">
        <v>45868</v>
      </c>
      <c r="E409">
        <v>28</v>
      </c>
      <c r="F409">
        <v>1</v>
      </c>
    </row>
    <row r="410" spans="1:6" x14ac:dyDescent="0.25">
      <c r="A410" t="s">
        <v>664</v>
      </c>
      <c r="B410" t="s">
        <v>662</v>
      </c>
      <c r="C410" t="s">
        <v>663</v>
      </c>
      <c r="D410" s="2">
        <v>45895</v>
      </c>
      <c r="E410">
        <v>28</v>
      </c>
      <c r="F410">
        <v>2</v>
      </c>
    </row>
    <row r="411" spans="1:6" x14ac:dyDescent="0.25">
      <c r="A411" t="s">
        <v>665</v>
      </c>
      <c r="B411" t="s">
        <v>662</v>
      </c>
      <c r="C411" t="s">
        <v>663</v>
      </c>
      <c r="D411" s="2">
        <v>45923</v>
      </c>
      <c r="E411">
        <v>28</v>
      </c>
      <c r="F411">
        <v>3</v>
      </c>
    </row>
    <row r="412" spans="1:6" x14ac:dyDescent="0.25">
      <c r="A412" t="s">
        <v>666</v>
      </c>
      <c r="B412" t="s">
        <v>662</v>
      </c>
      <c r="C412" t="s">
        <v>663</v>
      </c>
      <c r="D412" s="2">
        <v>45954</v>
      </c>
      <c r="E412">
        <v>28</v>
      </c>
      <c r="F412">
        <v>4</v>
      </c>
    </row>
    <row r="413" spans="1:6" x14ac:dyDescent="0.25">
      <c r="A413" t="s">
        <v>667</v>
      </c>
      <c r="B413" t="s">
        <v>668</v>
      </c>
      <c r="C413" t="s">
        <v>669</v>
      </c>
      <c r="D413" s="2">
        <v>45889</v>
      </c>
      <c r="E413">
        <v>14</v>
      </c>
      <c r="F413">
        <v>1</v>
      </c>
    </row>
    <row r="414" spans="1:6" x14ac:dyDescent="0.25">
      <c r="A414" t="s">
        <v>670</v>
      </c>
      <c r="B414" t="s">
        <v>668</v>
      </c>
      <c r="C414" t="s">
        <v>669</v>
      </c>
      <c r="D414" s="2">
        <v>45904</v>
      </c>
      <c r="E414">
        <v>14</v>
      </c>
      <c r="F414">
        <v>2</v>
      </c>
    </row>
    <row r="415" spans="1:6" x14ac:dyDescent="0.25">
      <c r="A415" t="s">
        <v>671</v>
      </c>
      <c r="B415" t="s">
        <v>668</v>
      </c>
      <c r="C415" t="s">
        <v>669</v>
      </c>
      <c r="D415" s="2">
        <v>45919</v>
      </c>
      <c r="E415">
        <v>14</v>
      </c>
      <c r="F415">
        <v>3</v>
      </c>
    </row>
    <row r="416" spans="1:6" x14ac:dyDescent="0.25">
      <c r="A416" t="s">
        <v>672</v>
      </c>
      <c r="B416" t="s">
        <v>668</v>
      </c>
      <c r="C416" t="s">
        <v>669</v>
      </c>
      <c r="D416" s="2">
        <v>45934</v>
      </c>
      <c r="E416">
        <v>14</v>
      </c>
      <c r="F416">
        <v>4</v>
      </c>
    </row>
    <row r="417" spans="1:6" x14ac:dyDescent="0.25">
      <c r="A417" t="s">
        <v>673</v>
      </c>
      <c r="B417" t="s">
        <v>668</v>
      </c>
      <c r="C417" t="s">
        <v>669</v>
      </c>
      <c r="D417" s="2">
        <v>45949</v>
      </c>
      <c r="E417">
        <v>14</v>
      </c>
      <c r="F417">
        <v>5</v>
      </c>
    </row>
    <row r="418" spans="1:6" x14ac:dyDescent="0.25">
      <c r="A418" t="s">
        <v>674</v>
      </c>
      <c r="B418" t="s">
        <v>668</v>
      </c>
      <c r="C418" t="s">
        <v>669</v>
      </c>
      <c r="D418" s="2">
        <v>45960</v>
      </c>
      <c r="E418">
        <v>14</v>
      </c>
      <c r="F418">
        <v>6</v>
      </c>
    </row>
    <row r="419" spans="1:6" x14ac:dyDescent="0.25">
      <c r="A419" t="s">
        <v>675</v>
      </c>
      <c r="B419" t="s">
        <v>676</v>
      </c>
      <c r="C419" t="s">
        <v>677</v>
      </c>
      <c r="D419" s="2">
        <v>45941</v>
      </c>
      <c r="E419">
        <v>28</v>
      </c>
      <c r="F419">
        <v>1</v>
      </c>
    </row>
    <row r="420" spans="1:6" x14ac:dyDescent="0.25">
      <c r="A420" t="s">
        <v>678</v>
      </c>
      <c r="B420" t="s">
        <v>679</v>
      </c>
      <c r="C420" t="s">
        <v>680</v>
      </c>
      <c r="D420" s="2">
        <v>45792</v>
      </c>
      <c r="E420">
        <v>28</v>
      </c>
      <c r="F420">
        <v>1</v>
      </c>
    </row>
    <row r="421" spans="1:6" x14ac:dyDescent="0.25">
      <c r="A421" t="s">
        <v>681</v>
      </c>
      <c r="B421" t="s">
        <v>679</v>
      </c>
      <c r="C421" t="s">
        <v>680</v>
      </c>
      <c r="D421" s="2">
        <v>45818</v>
      </c>
      <c r="E421">
        <v>28</v>
      </c>
      <c r="F421">
        <v>2</v>
      </c>
    </row>
    <row r="422" spans="1:6" x14ac:dyDescent="0.25">
      <c r="A422" t="s">
        <v>682</v>
      </c>
      <c r="B422" t="s">
        <v>679</v>
      </c>
      <c r="C422" t="s">
        <v>680</v>
      </c>
      <c r="D422" s="2">
        <v>45849</v>
      </c>
      <c r="E422">
        <v>28</v>
      </c>
      <c r="F422">
        <v>3</v>
      </c>
    </row>
    <row r="423" spans="1:6" x14ac:dyDescent="0.25">
      <c r="A423" t="s">
        <v>683</v>
      </c>
      <c r="B423" t="s">
        <v>679</v>
      </c>
      <c r="C423" t="s">
        <v>680</v>
      </c>
      <c r="D423" s="2">
        <v>45875</v>
      </c>
      <c r="E423">
        <v>28</v>
      </c>
      <c r="F423">
        <v>4</v>
      </c>
    </row>
    <row r="424" spans="1:6" x14ac:dyDescent="0.25">
      <c r="A424" t="s">
        <v>684</v>
      </c>
      <c r="B424" t="s">
        <v>679</v>
      </c>
      <c r="C424" t="s">
        <v>680</v>
      </c>
      <c r="D424" s="2">
        <v>45903</v>
      </c>
      <c r="E424">
        <v>28</v>
      </c>
      <c r="F424">
        <v>5</v>
      </c>
    </row>
    <row r="425" spans="1:6" x14ac:dyDescent="0.25">
      <c r="A425" t="s">
        <v>685</v>
      </c>
      <c r="B425" t="s">
        <v>679</v>
      </c>
      <c r="C425" t="s">
        <v>680</v>
      </c>
      <c r="D425" s="2">
        <v>45933</v>
      </c>
      <c r="E425">
        <v>28</v>
      </c>
      <c r="F425">
        <v>6</v>
      </c>
    </row>
    <row r="426" spans="1:6" x14ac:dyDescent="0.25">
      <c r="A426" t="s">
        <v>686</v>
      </c>
      <c r="B426" t="s">
        <v>679</v>
      </c>
      <c r="C426" t="s">
        <v>680</v>
      </c>
      <c r="D426" s="2">
        <v>45959</v>
      </c>
      <c r="E426">
        <v>28</v>
      </c>
      <c r="F426">
        <v>7</v>
      </c>
    </row>
    <row r="427" spans="1:6" x14ac:dyDescent="0.25">
      <c r="A427" t="s">
        <v>687</v>
      </c>
      <c r="B427" t="s">
        <v>688</v>
      </c>
      <c r="C427" t="s">
        <v>689</v>
      </c>
      <c r="D427" s="2">
        <v>45949</v>
      </c>
      <c r="E427">
        <v>30</v>
      </c>
      <c r="F427">
        <v>1</v>
      </c>
    </row>
    <row r="428" spans="1:6" x14ac:dyDescent="0.25">
      <c r="A428" t="s">
        <v>690</v>
      </c>
      <c r="B428" t="s">
        <v>691</v>
      </c>
      <c r="C428" t="s">
        <v>692</v>
      </c>
      <c r="D428" s="2">
        <v>45881</v>
      </c>
      <c r="E428">
        <v>56</v>
      </c>
      <c r="F428">
        <v>1</v>
      </c>
    </row>
    <row r="429" spans="1:6" x14ac:dyDescent="0.25">
      <c r="A429" t="s">
        <v>693</v>
      </c>
      <c r="B429" t="s">
        <v>691</v>
      </c>
      <c r="C429" t="s">
        <v>692</v>
      </c>
      <c r="D429" s="2">
        <v>45936</v>
      </c>
      <c r="E429">
        <v>56</v>
      </c>
      <c r="F429">
        <v>2</v>
      </c>
    </row>
    <row r="430" spans="1:6" x14ac:dyDescent="0.25">
      <c r="A430" t="s">
        <v>694</v>
      </c>
      <c r="B430" t="s">
        <v>695</v>
      </c>
      <c r="C430" t="s">
        <v>696</v>
      </c>
      <c r="D430" s="2">
        <v>45909</v>
      </c>
      <c r="E430">
        <v>28</v>
      </c>
      <c r="F430">
        <v>1</v>
      </c>
    </row>
    <row r="431" spans="1:6" x14ac:dyDescent="0.25">
      <c r="A431" t="s">
        <v>697</v>
      </c>
      <c r="B431" t="s">
        <v>695</v>
      </c>
      <c r="C431" t="s">
        <v>696</v>
      </c>
      <c r="D431" s="2">
        <v>45940</v>
      </c>
      <c r="E431">
        <v>28</v>
      </c>
      <c r="F431">
        <v>2</v>
      </c>
    </row>
    <row r="432" spans="1:6" x14ac:dyDescent="0.25">
      <c r="A432" t="s">
        <v>698</v>
      </c>
      <c r="B432" t="s">
        <v>699</v>
      </c>
      <c r="C432" t="s">
        <v>700</v>
      </c>
      <c r="D432" s="2">
        <v>45951</v>
      </c>
      <c r="E432">
        <v>28</v>
      </c>
      <c r="F432">
        <v>1</v>
      </c>
    </row>
    <row r="433" spans="1:6" x14ac:dyDescent="0.25">
      <c r="A433" t="s">
        <v>701</v>
      </c>
      <c r="B433" t="s">
        <v>702</v>
      </c>
      <c r="C433" t="s">
        <v>703</v>
      </c>
      <c r="D433" s="2">
        <v>45785</v>
      </c>
      <c r="E433">
        <v>28</v>
      </c>
      <c r="F433">
        <v>1</v>
      </c>
    </row>
    <row r="434" spans="1:6" x14ac:dyDescent="0.25">
      <c r="A434" t="s">
        <v>704</v>
      </c>
      <c r="B434" t="s">
        <v>702</v>
      </c>
      <c r="C434" t="s">
        <v>703</v>
      </c>
      <c r="D434" s="2">
        <v>45814</v>
      </c>
      <c r="E434">
        <v>28</v>
      </c>
      <c r="F434">
        <v>2</v>
      </c>
    </row>
    <row r="435" spans="1:6" x14ac:dyDescent="0.25">
      <c r="A435" t="s">
        <v>705</v>
      </c>
      <c r="B435" t="s">
        <v>702</v>
      </c>
      <c r="C435" t="s">
        <v>703</v>
      </c>
      <c r="D435" s="2">
        <v>45845</v>
      </c>
      <c r="E435">
        <v>28</v>
      </c>
      <c r="F435">
        <v>3</v>
      </c>
    </row>
    <row r="436" spans="1:6" x14ac:dyDescent="0.25">
      <c r="A436" t="s">
        <v>706</v>
      </c>
      <c r="B436" t="s">
        <v>702</v>
      </c>
      <c r="C436" t="s">
        <v>703</v>
      </c>
      <c r="D436" s="2">
        <v>45874</v>
      </c>
      <c r="E436">
        <v>28</v>
      </c>
      <c r="F436">
        <v>4</v>
      </c>
    </row>
    <row r="437" spans="1:6" x14ac:dyDescent="0.25">
      <c r="A437" t="s">
        <v>707</v>
      </c>
      <c r="B437" t="s">
        <v>702</v>
      </c>
      <c r="C437" t="s">
        <v>703</v>
      </c>
      <c r="D437" s="2">
        <v>45905</v>
      </c>
      <c r="E437">
        <v>28</v>
      </c>
      <c r="F437">
        <v>5</v>
      </c>
    </row>
    <row r="438" spans="1:6" x14ac:dyDescent="0.25">
      <c r="A438" t="s">
        <v>708</v>
      </c>
      <c r="B438" t="s">
        <v>702</v>
      </c>
      <c r="C438" t="s">
        <v>703</v>
      </c>
      <c r="D438" s="2">
        <v>45936</v>
      </c>
      <c r="E438">
        <v>28</v>
      </c>
      <c r="F438">
        <v>6</v>
      </c>
    </row>
    <row r="439" spans="1:6" x14ac:dyDescent="0.25">
      <c r="A439" t="s">
        <v>709</v>
      </c>
      <c r="B439" t="s">
        <v>710</v>
      </c>
      <c r="C439" t="s">
        <v>711</v>
      </c>
      <c r="D439" s="2">
        <v>45933</v>
      </c>
      <c r="E439">
        <v>28</v>
      </c>
      <c r="F439">
        <v>1</v>
      </c>
    </row>
    <row r="440" spans="1:6" x14ac:dyDescent="0.25">
      <c r="A440" t="s">
        <v>712</v>
      </c>
      <c r="B440" t="s">
        <v>713</v>
      </c>
      <c r="C440" t="s">
        <v>714</v>
      </c>
      <c r="D440" s="2">
        <v>45890</v>
      </c>
      <c r="E440">
        <v>28</v>
      </c>
      <c r="F440">
        <v>1</v>
      </c>
    </row>
    <row r="441" spans="1:6" x14ac:dyDescent="0.25">
      <c r="A441" t="s">
        <v>715</v>
      </c>
      <c r="B441" t="s">
        <v>713</v>
      </c>
      <c r="C441" t="s">
        <v>714</v>
      </c>
      <c r="D441" s="2">
        <v>45918</v>
      </c>
      <c r="E441">
        <v>28</v>
      </c>
      <c r="F441">
        <v>2</v>
      </c>
    </row>
    <row r="442" spans="1:6" x14ac:dyDescent="0.25">
      <c r="A442" t="s">
        <v>716</v>
      </c>
      <c r="B442" t="s">
        <v>713</v>
      </c>
      <c r="C442" t="s">
        <v>714</v>
      </c>
      <c r="D442" s="2">
        <v>45946</v>
      </c>
      <c r="E442">
        <v>28</v>
      </c>
      <c r="F442">
        <v>3</v>
      </c>
    </row>
    <row r="443" spans="1:6" x14ac:dyDescent="0.25">
      <c r="A443" t="s">
        <v>717</v>
      </c>
      <c r="B443" t="s">
        <v>718</v>
      </c>
      <c r="C443" t="s">
        <v>719</v>
      </c>
      <c r="D443" s="2">
        <v>45810</v>
      </c>
      <c r="E443">
        <v>28</v>
      </c>
      <c r="F443">
        <v>1</v>
      </c>
    </row>
    <row r="444" spans="1:6" x14ac:dyDescent="0.25">
      <c r="A444" t="s">
        <v>720</v>
      </c>
      <c r="B444" t="s">
        <v>718</v>
      </c>
      <c r="C444" t="s">
        <v>719</v>
      </c>
      <c r="D444" s="2">
        <v>45839</v>
      </c>
      <c r="E444">
        <v>28</v>
      </c>
      <c r="F444">
        <v>2</v>
      </c>
    </row>
    <row r="445" spans="1:6" x14ac:dyDescent="0.25">
      <c r="A445" t="s">
        <v>721</v>
      </c>
      <c r="B445" t="s">
        <v>718</v>
      </c>
      <c r="C445" t="s">
        <v>719</v>
      </c>
      <c r="D445" s="2">
        <v>45870</v>
      </c>
      <c r="E445">
        <v>28</v>
      </c>
      <c r="F445">
        <v>3</v>
      </c>
    </row>
    <row r="446" spans="1:6" x14ac:dyDescent="0.25">
      <c r="A446" t="s">
        <v>722</v>
      </c>
      <c r="B446" t="s">
        <v>718</v>
      </c>
      <c r="C446" t="s">
        <v>719</v>
      </c>
      <c r="D446" s="2">
        <v>45895</v>
      </c>
      <c r="E446">
        <v>28</v>
      </c>
      <c r="F446">
        <v>4</v>
      </c>
    </row>
    <row r="447" spans="1:6" x14ac:dyDescent="0.25">
      <c r="A447" t="s">
        <v>723</v>
      </c>
      <c r="B447" t="s">
        <v>718</v>
      </c>
      <c r="C447" t="s">
        <v>719</v>
      </c>
      <c r="D447" s="2">
        <v>45920</v>
      </c>
      <c r="E447">
        <v>28</v>
      </c>
      <c r="F447">
        <v>5</v>
      </c>
    </row>
    <row r="448" spans="1:6" x14ac:dyDescent="0.25">
      <c r="A448" t="s">
        <v>724</v>
      </c>
      <c r="B448" t="s">
        <v>718</v>
      </c>
      <c r="C448" t="s">
        <v>719</v>
      </c>
      <c r="D448" s="2">
        <v>45951</v>
      </c>
      <c r="E448">
        <v>28</v>
      </c>
      <c r="F448">
        <v>6</v>
      </c>
    </row>
    <row r="449" spans="1:6" x14ac:dyDescent="0.25">
      <c r="A449" t="s">
        <v>725</v>
      </c>
      <c r="B449" t="s">
        <v>726</v>
      </c>
      <c r="C449" t="s">
        <v>727</v>
      </c>
      <c r="D449" s="2">
        <v>45838</v>
      </c>
      <c r="E449">
        <v>30</v>
      </c>
      <c r="F449">
        <v>1</v>
      </c>
    </row>
    <row r="450" spans="1:6" x14ac:dyDescent="0.25">
      <c r="A450" t="s">
        <v>728</v>
      </c>
      <c r="B450" t="s">
        <v>726</v>
      </c>
      <c r="C450" t="s">
        <v>727</v>
      </c>
      <c r="D450" s="2">
        <v>45867</v>
      </c>
      <c r="E450">
        <v>30</v>
      </c>
      <c r="F450">
        <v>2</v>
      </c>
    </row>
    <row r="451" spans="1:6" x14ac:dyDescent="0.25">
      <c r="A451" t="s">
        <v>729</v>
      </c>
      <c r="B451" t="s">
        <v>730</v>
      </c>
      <c r="C451" t="s">
        <v>731</v>
      </c>
      <c r="D451" s="2">
        <v>45943</v>
      </c>
      <c r="E451">
        <v>30</v>
      </c>
      <c r="F451">
        <v>1</v>
      </c>
    </row>
    <row r="452" spans="1:6" x14ac:dyDescent="0.25">
      <c r="A452" t="s">
        <v>732</v>
      </c>
      <c r="B452" t="s">
        <v>733</v>
      </c>
      <c r="C452" t="s">
        <v>734</v>
      </c>
      <c r="D452" s="2">
        <v>45870</v>
      </c>
      <c r="E452">
        <v>28</v>
      </c>
      <c r="F452">
        <v>1</v>
      </c>
    </row>
    <row r="453" spans="1:6" x14ac:dyDescent="0.25">
      <c r="A453" t="s">
        <v>735</v>
      </c>
      <c r="B453" t="s">
        <v>733</v>
      </c>
      <c r="C453" t="s">
        <v>734</v>
      </c>
      <c r="D453" s="2">
        <v>45898</v>
      </c>
      <c r="E453">
        <v>28</v>
      </c>
      <c r="F453">
        <v>2</v>
      </c>
    </row>
    <row r="454" spans="1:6" x14ac:dyDescent="0.25">
      <c r="A454" t="s">
        <v>736</v>
      </c>
      <c r="B454" t="s">
        <v>733</v>
      </c>
      <c r="C454" t="s">
        <v>734</v>
      </c>
      <c r="D454" s="2">
        <v>45927</v>
      </c>
      <c r="E454">
        <v>28</v>
      </c>
      <c r="F454">
        <v>3</v>
      </c>
    </row>
    <row r="455" spans="1:6" x14ac:dyDescent="0.25">
      <c r="A455" t="s">
        <v>737</v>
      </c>
      <c r="B455" t="s">
        <v>733</v>
      </c>
      <c r="C455" t="s">
        <v>734</v>
      </c>
      <c r="D455" s="2">
        <v>45952</v>
      </c>
      <c r="E455">
        <v>28</v>
      </c>
      <c r="F455">
        <v>4</v>
      </c>
    </row>
    <row r="456" spans="1:6" x14ac:dyDescent="0.25">
      <c r="A456" t="s">
        <v>738</v>
      </c>
      <c r="B456" t="s">
        <v>739</v>
      </c>
      <c r="C456" t="s">
        <v>740</v>
      </c>
      <c r="D456" s="2">
        <v>45923</v>
      </c>
      <c r="E456">
        <v>30</v>
      </c>
      <c r="F456">
        <v>1</v>
      </c>
    </row>
    <row r="457" spans="1:6" x14ac:dyDescent="0.25">
      <c r="A457" t="s">
        <v>741</v>
      </c>
      <c r="B457" t="s">
        <v>742</v>
      </c>
      <c r="C457" t="s">
        <v>743</v>
      </c>
      <c r="D457" s="2">
        <v>45932</v>
      </c>
      <c r="E457">
        <v>28</v>
      </c>
      <c r="F457">
        <v>1</v>
      </c>
    </row>
    <row r="458" spans="1:6" x14ac:dyDescent="0.25">
      <c r="A458" t="s">
        <v>744</v>
      </c>
      <c r="B458" t="s">
        <v>742</v>
      </c>
      <c r="C458" t="s">
        <v>743</v>
      </c>
      <c r="D458" s="2">
        <v>45961</v>
      </c>
      <c r="E458">
        <v>28</v>
      </c>
      <c r="F458">
        <v>2</v>
      </c>
    </row>
    <row r="459" spans="1:6" x14ac:dyDescent="0.25">
      <c r="A459" t="s">
        <v>745</v>
      </c>
      <c r="B459" t="s">
        <v>746</v>
      </c>
      <c r="C459" t="s">
        <v>747</v>
      </c>
      <c r="D459" s="2">
        <v>45951</v>
      </c>
      <c r="E459">
        <v>28</v>
      </c>
      <c r="F459">
        <v>1</v>
      </c>
    </row>
    <row r="460" spans="1:6" x14ac:dyDescent="0.25">
      <c r="A460" t="s">
        <v>748</v>
      </c>
      <c r="B460" t="s">
        <v>749</v>
      </c>
      <c r="C460" t="s">
        <v>750</v>
      </c>
      <c r="D460" s="2">
        <v>45872</v>
      </c>
      <c r="E460">
        <v>28</v>
      </c>
      <c r="F460">
        <v>1</v>
      </c>
    </row>
    <row r="461" spans="1:6" x14ac:dyDescent="0.25">
      <c r="A461" t="s">
        <v>751</v>
      </c>
      <c r="B461" t="s">
        <v>749</v>
      </c>
      <c r="C461" t="s">
        <v>750</v>
      </c>
      <c r="D461" s="2">
        <v>45899</v>
      </c>
      <c r="E461">
        <v>28</v>
      </c>
      <c r="F461">
        <v>2</v>
      </c>
    </row>
    <row r="462" spans="1:6" x14ac:dyDescent="0.25">
      <c r="A462" t="s">
        <v>752</v>
      </c>
      <c r="B462" t="s">
        <v>749</v>
      </c>
      <c r="C462" t="s">
        <v>750</v>
      </c>
      <c r="D462" s="2">
        <v>45925</v>
      </c>
      <c r="E462">
        <v>28</v>
      </c>
      <c r="F462">
        <v>3</v>
      </c>
    </row>
    <row r="463" spans="1:6" x14ac:dyDescent="0.25">
      <c r="A463" t="s">
        <v>753</v>
      </c>
      <c r="B463" t="s">
        <v>749</v>
      </c>
      <c r="C463" t="s">
        <v>750</v>
      </c>
      <c r="D463" s="2">
        <v>45955</v>
      </c>
      <c r="E463">
        <v>28</v>
      </c>
      <c r="F463">
        <v>4</v>
      </c>
    </row>
    <row r="464" spans="1:6" x14ac:dyDescent="0.25">
      <c r="A464" t="s">
        <v>754</v>
      </c>
      <c r="B464" t="s">
        <v>755</v>
      </c>
      <c r="C464" t="s">
        <v>756</v>
      </c>
      <c r="D464" s="2">
        <v>45891</v>
      </c>
      <c r="E464">
        <v>30</v>
      </c>
      <c r="F464">
        <v>1</v>
      </c>
    </row>
    <row r="465" spans="1:6" x14ac:dyDescent="0.25">
      <c r="A465" t="s">
        <v>757</v>
      </c>
      <c r="B465" t="s">
        <v>755</v>
      </c>
      <c r="C465" t="s">
        <v>756</v>
      </c>
      <c r="D465" s="2">
        <v>45920</v>
      </c>
      <c r="E465">
        <v>30</v>
      </c>
      <c r="F465">
        <v>2</v>
      </c>
    </row>
    <row r="466" spans="1:6" x14ac:dyDescent="0.25">
      <c r="A466" t="s">
        <v>758</v>
      </c>
      <c r="B466" t="s">
        <v>755</v>
      </c>
      <c r="C466" t="s">
        <v>756</v>
      </c>
      <c r="D466" s="2">
        <v>45949</v>
      </c>
      <c r="E466">
        <v>30</v>
      </c>
      <c r="F466">
        <v>3</v>
      </c>
    </row>
    <row r="467" spans="1:6" x14ac:dyDescent="0.25">
      <c r="A467" t="s">
        <v>759</v>
      </c>
      <c r="B467" t="s">
        <v>760</v>
      </c>
      <c r="C467" t="s">
        <v>761</v>
      </c>
      <c r="D467" s="2">
        <v>45797</v>
      </c>
      <c r="E467">
        <v>30</v>
      </c>
      <c r="F467">
        <v>1</v>
      </c>
    </row>
    <row r="468" spans="1:6" x14ac:dyDescent="0.25">
      <c r="A468" t="s">
        <v>762</v>
      </c>
      <c r="B468" t="s">
        <v>760</v>
      </c>
      <c r="C468" t="s">
        <v>761</v>
      </c>
      <c r="D468" s="2">
        <v>45826</v>
      </c>
      <c r="E468">
        <v>30</v>
      </c>
      <c r="F468">
        <v>2</v>
      </c>
    </row>
    <row r="469" spans="1:6" x14ac:dyDescent="0.25">
      <c r="A469" t="s">
        <v>763</v>
      </c>
      <c r="B469" t="s">
        <v>764</v>
      </c>
      <c r="C469" t="s">
        <v>765</v>
      </c>
      <c r="D469" s="2">
        <v>45813</v>
      </c>
      <c r="E469">
        <v>28</v>
      </c>
      <c r="F469">
        <v>1</v>
      </c>
    </row>
    <row r="470" spans="1:6" x14ac:dyDescent="0.25">
      <c r="A470" t="s">
        <v>766</v>
      </c>
      <c r="B470" t="s">
        <v>764</v>
      </c>
      <c r="C470" t="s">
        <v>765</v>
      </c>
      <c r="D470" s="2">
        <v>45843</v>
      </c>
      <c r="E470">
        <v>28</v>
      </c>
      <c r="F470">
        <v>2</v>
      </c>
    </row>
    <row r="471" spans="1:6" x14ac:dyDescent="0.25">
      <c r="A471" t="s">
        <v>767</v>
      </c>
      <c r="B471" t="s">
        <v>764</v>
      </c>
      <c r="C471" t="s">
        <v>765</v>
      </c>
      <c r="D471" s="2">
        <v>45868</v>
      </c>
      <c r="E471">
        <v>28</v>
      </c>
      <c r="F471">
        <v>3</v>
      </c>
    </row>
    <row r="472" spans="1:6" x14ac:dyDescent="0.25">
      <c r="A472" t="s">
        <v>768</v>
      </c>
      <c r="B472" t="s">
        <v>764</v>
      </c>
      <c r="C472" t="s">
        <v>765</v>
      </c>
      <c r="D472" s="2">
        <v>45894</v>
      </c>
      <c r="E472">
        <v>28</v>
      </c>
      <c r="F472">
        <v>4</v>
      </c>
    </row>
    <row r="473" spans="1:6" x14ac:dyDescent="0.25">
      <c r="A473" t="s">
        <v>769</v>
      </c>
      <c r="B473" t="s">
        <v>764</v>
      </c>
      <c r="C473" t="s">
        <v>765</v>
      </c>
      <c r="D473" s="2">
        <v>45921</v>
      </c>
      <c r="E473">
        <v>28</v>
      </c>
      <c r="F473">
        <v>5</v>
      </c>
    </row>
    <row r="474" spans="1:6" x14ac:dyDescent="0.25">
      <c r="A474" t="s">
        <v>770</v>
      </c>
      <c r="B474" t="s">
        <v>764</v>
      </c>
      <c r="C474" t="s">
        <v>765</v>
      </c>
      <c r="D474" s="2">
        <v>45949</v>
      </c>
      <c r="E474">
        <v>28</v>
      </c>
      <c r="F474">
        <v>6</v>
      </c>
    </row>
    <row r="475" spans="1:6" x14ac:dyDescent="0.25">
      <c r="A475" t="s">
        <v>771</v>
      </c>
      <c r="B475" t="s">
        <v>772</v>
      </c>
      <c r="C475" t="s">
        <v>773</v>
      </c>
      <c r="D475" s="2">
        <v>45871</v>
      </c>
      <c r="E475">
        <v>28</v>
      </c>
      <c r="F475">
        <v>1</v>
      </c>
    </row>
    <row r="476" spans="1:6" x14ac:dyDescent="0.25">
      <c r="A476" t="s">
        <v>774</v>
      </c>
      <c r="B476" t="s">
        <v>772</v>
      </c>
      <c r="C476" t="s">
        <v>773</v>
      </c>
      <c r="D476" s="2">
        <v>45898</v>
      </c>
      <c r="E476">
        <v>28</v>
      </c>
      <c r="F476">
        <v>2</v>
      </c>
    </row>
    <row r="477" spans="1:6" x14ac:dyDescent="0.25">
      <c r="A477" t="s">
        <v>775</v>
      </c>
      <c r="B477" t="s">
        <v>772</v>
      </c>
      <c r="C477" t="s">
        <v>773</v>
      </c>
      <c r="D477" s="2">
        <v>45926</v>
      </c>
      <c r="E477">
        <v>28</v>
      </c>
      <c r="F477">
        <v>3</v>
      </c>
    </row>
    <row r="478" spans="1:6" x14ac:dyDescent="0.25">
      <c r="A478" t="s">
        <v>776</v>
      </c>
      <c r="B478" t="s">
        <v>772</v>
      </c>
      <c r="C478" t="s">
        <v>773</v>
      </c>
      <c r="D478" s="2">
        <v>45956</v>
      </c>
      <c r="E478">
        <v>28</v>
      </c>
      <c r="F478">
        <v>4</v>
      </c>
    </row>
    <row r="479" spans="1:6" x14ac:dyDescent="0.25">
      <c r="A479" t="s">
        <v>777</v>
      </c>
      <c r="B479" t="s">
        <v>778</v>
      </c>
      <c r="C479" t="s">
        <v>779</v>
      </c>
      <c r="D479" s="2">
        <v>45858</v>
      </c>
      <c r="E479">
        <v>28</v>
      </c>
      <c r="F479">
        <v>1</v>
      </c>
    </row>
    <row r="480" spans="1:6" x14ac:dyDescent="0.25">
      <c r="A480" t="s">
        <v>780</v>
      </c>
      <c r="B480" t="s">
        <v>778</v>
      </c>
      <c r="C480" t="s">
        <v>779</v>
      </c>
      <c r="D480" s="2">
        <v>45884</v>
      </c>
      <c r="E480">
        <v>28</v>
      </c>
      <c r="F480">
        <v>2</v>
      </c>
    </row>
    <row r="481" spans="1:6" x14ac:dyDescent="0.25">
      <c r="A481" t="s">
        <v>781</v>
      </c>
      <c r="B481" t="s">
        <v>778</v>
      </c>
      <c r="C481" t="s">
        <v>779</v>
      </c>
      <c r="D481" s="2">
        <v>45915</v>
      </c>
      <c r="E481">
        <v>28</v>
      </c>
      <c r="F481">
        <v>3</v>
      </c>
    </row>
    <row r="482" spans="1:6" x14ac:dyDescent="0.25">
      <c r="A482" t="s">
        <v>782</v>
      </c>
      <c r="B482" t="s">
        <v>778</v>
      </c>
      <c r="C482" t="s">
        <v>779</v>
      </c>
      <c r="D482" s="2">
        <v>45945</v>
      </c>
      <c r="E482">
        <v>28</v>
      </c>
      <c r="F482">
        <v>4</v>
      </c>
    </row>
    <row r="483" spans="1:6" x14ac:dyDescent="0.25">
      <c r="A483" t="s">
        <v>783</v>
      </c>
      <c r="B483" t="s">
        <v>784</v>
      </c>
      <c r="C483" t="s">
        <v>785</v>
      </c>
      <c r="D483" s="2">
        <v>45849</v>
      </c>
      <c r="E483">
        <v>28</v>
      </c>
      <c r="F483">
        <v>1</v>
      </c>
    </row>
    <row r="484" spans="1:6" x14ac:dyDescent="0.25">
      <c r="A484" t="s">
        <v>786</v>
      </c>
      <c r="B484" t="s">
        <v>784</v>
      </c>
      <c r="C484" t="s">
        <v>785</v>
      </c>
      <c r="D484" s="2">
        <v>45880</v>
      </c>
      <c r="E484">
        <v>28</v>
      </c>
      <c r="F484">
        <v>2</v>
      </c>
    </row>
    <row r="485" spans="1:6" x14ac:dyDescent="0.25">
      <c r="A485" t="s">
        <v>787</v>
      </c>
      <c r="B485" t="s">
        <v>784</v>
      </c>
      <c r="C485" t="s">
        <v>785</v>
      </c>
      <c r="D485" s="2">
        <v>45911</v>
      </c>
      <c r="E485">
        <v>28</v>
      </c>
      <c r="F485">
        <v>3</v>
      </c>
    </row>
    <row r="486" spans="1:6" x14ac:dyDescent="0.25">
      <c r="A486" t="s">
        <v>788</v>
      </c>
      <c r="B486" t="s">
        <v>789</v>
      </c>
      <c r="C486" t="s">
        <v>790</v>
      </c>
      <c r="D486" s="2">
        <v>45807</v>
      </c>
      <c r="E486">
        <v>28</v>
      </c>
      <c r="F486">
        <v>1</v>
      </c>
    </row>
    <row r="487" spans="1:6" x14ac:dyDescent="0.25">
      <c r="A487" t="s">
        <v>791</v>
      </c>
      <c r="B487" t="s">
        <v>789</v>
      </c>
      <c r="C487" t="s">
        <v>790</v>
      </c>
      <c r="D487" s="2">
        <v>45836</v>
      </c>
      <c r="E487">
        <v>28</v>
      </c>
      <c r="F487">
        <v>2</v>
      </c>
    </row>
    <row r="488" spans="1:6" x14ac:dyDescent="0.25">
      <c r="A488" t="s">
        <v>792</v>
      </c>
      <c r="B488" t="s">
        <v>793</v>
      </c>
      <c r="C488" t="s">
        <v>794</v>
      </c>
      <c r="D488" s="2">
        <v>45825</v>
      </c>
      <c r="E488">
        <v>21</v>
      </c>
      <c r="F488">
        <v>1</v>
      </c>
    </row>
    <row r="489" spans="1:6" x14ac:dyDescent="0.25">
      <c r="A489" t="s">
        <v>795</v>
      </c>
      <c r="B489" t="s">
        <v>793</v>
      </c>
      <c r="C489" t="s">
        <v>794</v>
      </c>
      <c r="D489" s="2">
        <v>45847</v>
      </c>
      <c r="E489">
        <v>21</v>
      </c>
      <c r="F489">
        <v>2</v>
      </c>
    </row>
    <row r="490" spans="1:6" x14ac:dyDescent="0.25">
      <c r="A490" t="s">
        <v>796</v>
      </c>
      <c r="B490" t="s">
        <v>797</v>
      </c>
      <c r="C490" t="s">
        <v>798</v>
      </c>
      <c r="D490" s="2">
        <v>45910</v>
      </c>
      <c r="E490">
        <v>28</v>
      </c>
      <c r="F490">
        <v>1</v>
      </c>
    </row>
    <row r="491" spans="1:6" x14ac:dyDescent="0.25">
      <c r="A491" t="s">
        <v>799</v>
      </c>
      <c r="B491" t="s">
        <v>797</v>
      </c>
      <c r="C491" t="s">
        <v>798</v>
      </c>
      <c r="D491" s="2">
        <v>45941</v>
      </c>
      <c r="E491">
        <v>28</v>
      </c>
      <c r="F491">
        <v>2</v>
      </c>
    </row>
    <row r="492" spans="1:6" x14ac:dyDescent="0.25">
      <c r="A492" t="s">
        <v>800</v>
      </c>
      <c r="B492" t="s">
        <v>801</v>
      </c>
      <c r="C492" t="s">
        <v>802</v>
      </c>
      <c r="D492" s="2">
        <v>45921</v>
      </c>
      <c r="E492">
        <v>21</v>
      </c>
      <c r="F492">
        <v>1</v>
      </c>
    </row>
    <row r="493" spans="1:6" x14ac:dyDescent="0.25">
      <c r="A493" t="s">
        <v>803</v>
      </c>
      <c r="B493" t="s">
        <v>801</v>
      </c>
      <c r="C493" t="s">
        <v>802</v>
      </c>
      <c r="D493" s="2">
        <v>45940</v>
      </c>
      <c r="E493">
        <v>21</v>
      </c>
      <c r="F493">
        <v>2</v>
      </c>
    </row>
    <row r="494" spans="1:6" x14ac:dyDescent="0.25">
      <c r="A494" t="s">
        <v>804</v>
      </c>
      <c r="B494" t="s">
        <v>801</v>
      </c>
      <c r="C494" t="s">
        <v>802</v>
      </c>
      <c r="D494" s="2">
        <v>45961</v>
      </c>
      <c r="E494">
        <v>21</v>
      </c>
      <c r="F494">
        <v>3</v>
      </c>
    </row>
    <row r="495" spans="1:6" x14ac:dyDescent="0.25">
      <c r="A495" t="s">
        <v>805</v>
      </c>
      <c r="B495" t="s">
        <v>806</v>
      </c>
      <c r="C495" t="s">
        <v>807</v>
      </c>
      <c r="D495" s="2">
        <v>45845</v>
      </c>
      <c r="E495">
        <v>28</v>
      </c>
      <c r="F495">
        <v>1</v>
      </c>
    </row>
    <row r="496" spans="1:6" x14ac:dyDescent="0.25">
      <c r="A496" t="s">
        <v>808</v>
      </c>
      <c r="B496" t="s">
        <v>806</v>
      </c>
      <c r="C496" t="s">
        <v>807</v>
      </c>
      <c r="D496" s="2">
        <v>45871</v>
      </c>
      <c r="E496">
        <v>28</v>
      </c>
      <c r="F496">
        <v>2</v>
      </c>
    </row>
    <row r="497" spans="1:6" x14ac:dyDescent="0.25">
      <c r="A497" t="s">
        <v>809</v>
      </c>
      <c r="B497" t="s">
        <v>806</v>
      </c>
      <c r="C497" t="s">
        <v>807</v>
      </c>
      <c r="D497" s="2">
        <v>45898</v>
      </c>
      <c r="E497">
        <v>28</v>
      </c>
      <c r="F497">
        <v>3</v>
      </c>
    </row>
    <row r="498" spans="1:6" x14ac:dyDescent="0.25">
      <c r="A498" t="s">
        <v>810</v>
      </c>
      <c r="B498" t="s">
        <v>806</v>
      </c>
      <c r="C498" t="s">
        <v>807</v>
      </c>
      <c r="D498" s="2">
        <v>45926</v>
      </c>
      <c r="E498">
        <v>28</v>
      </c>
      <c r="F498">
        <v>4</v>
      </c>
    </row>
    <row r="499" spans="1:6" x14ac:dyDescent="0.25">
      <c r="A499" t="s">
        <v>811</v>
      </c>
      <c r="B499" t="s">
        <v>806</v>
      </c>
      <c r="C499" t="s">
        <v>807</v>
      </c>
      <c r="D499" s="2">
        <v>45954</v>
      </c>
      <c r="E499">
        <v>28</v>
      </c>
      <c r="F499">
        <v>5</v>
      </c>
    </row>
    <row r="500" spans="1:6" x14ac:dyDescent="0.25">
      <c r="A500" t="s">
        <v>812</v>
      </c>
      <c r="B500" t="s">
        <v>813</v>
      </c>
      <c r="C500" t="s">
        <v>814</v>
      </c>
      <c r="D500" s="2">
        <v>45844</v>
      </c>
      <c r="E500">
        <v>28</v>
      </c>
      <c r="F500">
        <v>1</v>
      </c>
    </row>
    <row r="501" spans="1:6" x14ac:dyDescent="0.25">
      <c r="A501" t="s">
        <v>815</v>
      </c>
      <c r="B501" t="s">
        <v>816</v>
      </c>
      <c r="C501" t="s">
        <v>817</v>
      </c>
      <c r="D501" s="2">
        <v>45892</v>
      </c>
      <c r="E501">
        <v>28</v>
      </c>
      <c r="F501">
        <v>1</v>
      </c>
    </row>
    <row r="502" spans="1:6" x14ac:dyDescent="0.25">
      <c r="A502" t="s">
        <v>818</v>
      </c>
      <c r="B502" t="s">
        <v>816</v>
      </c>
      <c r="C502" t="s">
        <v>817</v>
      </c>
      <c r="D502" s="2">
        <v>45919</v>
      </c>
      <c r="E502">
        <v>28</v>
      </c>
      <c r="F502">
        <v>2</v>
      </c>
    </row>
    <row r="503" spans="1:6" x14ac:dyDescent="0.25">
      <c r="A503" t="s">
        <v>819</v>
      </c>
      <c r="B503" t="s">
        <v>816</v>
      </c>
      <c r="C503" t="s">
        <v>817</v>
      </c>
      <c r="D503" s="2">
        <v>45948</v>
      </c>
      <c r="E503">
        <v>28</v>
      </c>
      <c r="F503">
        <v>3</v>
      </c>
    </row>
    <row r="504" spans="1:6" x14ac:dyDescent="0.25">
      <c r="A504" t="s">
        <v>820</v>
      </c>
      <c r="B504" t="s">
        <v>821</v>
      </c>
      <c r="C504" t="s">
        <v>822</v>
      </c>
      <c r="D504" s="2">
        <v>45934</v>
      </c>
      <c r="E504">
        <v>28</v>
      </c>
      <c r="F504">
        <v>1</v>
      </c>
    </row>
    <row r="505" spans="1:6" x14ac:dyDescent="0.25">
      <c r="A505" t="s">
        <v>823</v>
      </c>
      <c r="B505" t="s">
        <v>824</v>
      </c>
      <c r="C505" t="s">
        <v>825</v>
      </c>
      <c r="D505" s="2">
        <v>45955</v>
      </c>
      <c r="E505">
        <v>28</v>
      </c>
      <c r="F505">
        <v>1</v>
      </c>
    </row>
    <row r="506" spans="1:6" x14ac:dyDescent="0.25">
      <c r="A506" t="s">
        <v>826</v>
      </c>
      <c r="B506" t="s">
        <v>827</v>
      </c>
      <c r="C506" t="s">
        <v>828</v>
      </c>
      <c r="D506" s="2">
        <v>45829</v>
      </c>
      <c r="E506">
        <v>28</v>
      </c>
      <c r="F506">
        <v>1</v>
      </c>
    </row>
    <row r="507" spans="1:6" x14ac:dyDescent="0.25">
      <c r="A507" t="s">
        <v>829</v>
      </c>
      <c r="B507" t="s">
        <v>827</v>
      </c>
      <c r="C507" t="s">
        <v>828</v>
      </c>
      <c r="D507" s="2">
        <v>45855</v>
      </c>
      <c r="E507">
        <v>28</v>
      </c>
      <c r="F507">
        <v>2</v>
      </c>
    </row>
    <row r="508" spans="1:6" x14ac:dyDescent="0.25">
      <c r="A508" t="s">
        <v>830</v>
      </c>
      <c r="B508" t="s">
        <v>827</v>
      </c>
      <c r="C508" t="s">
        <v>828</v>
      </c>
      <c r="D508" s="2">
        <v>45882</v>
      </c>
      <c r="E508">
        <v>28</v>
      </c>
      <c r="F508">
        <v>3</v>
      </c>
    </row>
    <row r="509" spans="1:6" x14ac:dyDescent="0.25">
      <c r="A509" t="s">
        <v>831</v>
      </c>
      <c r="B509" t="s">
        <v>827</v>
      </c>
      <c r="C509" t="s">
        <v>828</v>
      </c>
      <c r="D509" s="2">
        <v>45913</v>
      </c>
      <c r="E509">
        <v>28</v>
      </c>
      <c r="F509">
        <v>4</v>
      </c>
    </row>
    <row r="510" spans="1:6" x14ac:dyDescent="0.25">
      <c r="A510" t="s">
        <v>832</v>
      </c>
      <c r="B510" t="s">
        <v>827</v>
      </c>
      <c r="C510" t="s">
        <v>828</v>
      </c>
      <c r="D510" s="2">
        <v>45938</v>
      </c>
      <c r="E510">
        <v>28</v>
      </c>
      <c r="F510">
        <v>5</v>
      </c>
    </row>
    <row r="511" spans="1:6" x14ac:dyDescent="0.25">
      <c r="A511" t="s">
        <v>833</v>
      </c>
      <c r="B511" t="s">
        <v>834</v>
      </c>
      <c r="C511" t="s">
        <v>835</v>
      </c>
      <c r="D511" s="2">
        <v>45812</v>
      </c>
      <c r="E511">
        <v>28</v>
      </c>
      <c r="F511">
        <v>1</v>
      </c>
    </row>
    <row r="512" spans="1:6" x14ac:dyDescent="0.25">
      <c r="A512" t="s">
        <v>836</v>
      </c>
      <c r="B512" t="s">
        <v>834</v>
      </c>
      <c r="C512" t="s">
        <v>835</v>
      </c>
      <c r="D512" s="2">
        <v>45837</v>
      </c>
      <c r="E512">
        <v>28</v>
      </c>
      <c r="F512">
        <v>2</v>
      </c>
    </row>
    <row r="513" spans="1:6" x14ac:dyDescent="0.25">
      <c r="A513" t="s">
        <v>837</v>
      </c>
      <c r="B513" t="s">
        <v>834</v>
      </c>
      <c r="C513" t="s">
        <v>835</v>
      </c>
      <c r="D513" s="2">
        <v>45868</v>
      </c>
      <c r="E513">
        <v>28</v>
      </c>
      <c r="F513">
        <v>3</v>
      </c>
    </row>
    <row r="514" spans="1:6" x14ac:dyDescent="0.25">
      <c r="A514" t="s">
        <v>838</v>
      </c>
      <c r="B514" t="s">
        <v>834</v>
      </c>
      <c r="C514" t="s">
        <v>835</v>
      </c>
      <c r="D514" s="2">
        <v>45899</v>
      </c>
      <c r="E514">
        <v>28</v>
      </c>
      <c r="F514">
        <v>4</v>
      </c>
    </row>
    <row r="515" spans="1:6" x14ac:dyDescent="0.25">
      <c r="A515" t="s">
        <v>839</v>
      </c>
      <c r="B515" t="s">
        <v>834</v>
      </c>
      <c r="C515" t="s">
        <v>835</v>
      </c>
      <c r="D515" s="2">
        <v>45930</v>
      </c>
      <c r="E515">
        <v>28</v>
      </c>
      <c r="F515">
        <v>5</v>
      </c>
    </row>
    <row r="516" spans="1:6" x14ac:dyDescent="0.25">
      <c r="A516" t="s">
        <v>840</v>
      </c>
      <c r="B516" t="s">
        <v>834</v>
      </c>
      <c r="C516" t="s">
        <v>835</v>
      </c>
      <c r="D516" s="2">
        <v>45960</v>
      </c>
      <c r="E516">
        <v>28</v>
      </c>
      <c r="F516">
        <v>6</v>
      </c>
    </row>
    <row r="517" spans="1:6" x14ac:dyDescent="0.25">
      <c r="A517" t="s">
        <v>841</v>
      </c>
      <c r="B517" t="s">
        <v>842</v>
      </c>
      <c r="C517" t="s">
        <v>843</v>
      </c>
      <c r="D517" s="2">
        <v>45796</v>
      </c>
      <c r="E517">
        <v>28</v>
      </c>
      <c r="F517">
        <v>1</v>
      </c>
    </row>
    <row r="518" spans="1:6" x14ac:dyDescent="0.25">
      <c r="A518" t="s">
        <v>844</v>
      </c>
      <c r="B518" t="s">
        <v>842</v>
      </c>
      <c r="C518" t="s">
        <v>843</v>
      </c>
      <c r="D518" s="2">
        <v>45823</v>
      </c>
      <c r="E518">
        <v>28</v>
      </c>
      <c r="F518">
        <v>2</v>
      </c>
    </row>
    <row r="519" spans="1:6" x14ac:dyDescent="0.25">
      <c r="A519" t="s">
        <v>845</v>
      </c>
      <c r="B519" t="s">
        <v>842</v>
      </c>
      <c r="C519" t="s">
        <v>843</v>
      </c>
      <c r="D519" s="2">
        <v>45851</v>
      </c>
      <c r="E519">
        <v>28</v>
      </c>
      <c r="F519">
        <v>3</v>
      </c>
    </row>
    <row r="520" spans="1:6" x14ac:dyDescent="0.25">
      <c r="A520" t="s">
        <v>846</v>
      </c>
      <c r="B520" t="s">
        <v>842</v>
      </c>
      <c r="C520" t="s">
        <v>843</v>
      </c>
      <c r="D520" s="2">
        <v>45876</v>
      </c>
      <c r="E520">
        <v>28</v>
      </c>
      <c r="F520">
        <v>4</v>
      </c>
    </row>
    <row r="521" spans="1:6" x14ac:dyDescent="0.25">
      <c r="A521" t="s">
        <v>847</v>
      </c>
      <c r="B521" t="s">
        <v>842</v>
      </c>
      <c r="C521" t="s">
        <v>843</v>
      </c>
      <c r="D521" s="2">
        <v>45907</v>
      </c>
      <c r="E521">
        <v>28</v>
      </c>
      <c r="F521">
        <v>5</v>
      </c>
    </row>
    <row r="522" spans="1:6" x14ac:dyDescent="0.25">
      <c r="A522" t="s">
        <v>848</v>
      </c>
      <c r="B522" t="s">
        <v>842</v>
      </c>
      <c r="C522" t="s">
        <v>843</v>
      </c>
      <c r="D522" s="2">
        <v>45937</v>
      </c>
      <c r="E522">
        <v>28</v>
      </c>
      <c r="F522">
        <v>6</v>
      </c>
    </row>
    <row r="523" spans="1:6" x14ac:dyDescent="0.25">
      <c r="A523" t="s">
        <v>849</v>
      </c>
      <c r="B523" t="s">
        <v>850</v>
      </c>
      <c r="C523" t="s">
        <v>851</v>
      </c>
      <c r="D523" s="2">
        <v>45822</v>
      </c>
      <c r="E523">
        <v>28</v>
      </c>
      <c r="F523">
        <v>1</v>
      </c>
    </row>
    <row r="524" spans="1:6" x14ac:dyDescent="0.25">
      <c r="A524" t="s">
        <v>852</v>
      </c>
      <c r="B524" t="s">
        <v>850</v>
      </c>
      <c r="C524" t="s">
        <v>851</v>
      </c>
      <c r="D524" s="2">
        <v>45848</v>
      </c>
      <c r="E524">
        <v>28</v>
      </c>
      <c r="F524">
        <v>2</v>
      </c>
    </row>
    <row r="525" spans="1:6" x14ac:dyDescent="0.25">
      <c r="A525" t="s">
        <v>853</v>
      </c>
      <c r="B525" t="s">
        <v>850</v>
      </c>
      <c r="C525" t="s">
        <v>851</v>
      </c>
      <c r="D525" s="2">
        <v>45874</v>
      </c>
      <c r="E525">
        <v>28</v>
      </c>
      <c r="F525">
        <v>3</v>
      </c>
    </row>
    <row r="526" spans="1:6" x14ac:dyDescent="0.25">
      <c r="A526" t="s">
        <v>854</v>
      </c>
      <c r="B526" t="s">
        <v>850</v>
      </c>
      <c r="C526" t="s">
        <v>851</v>
      </c>
      <c r="D526" s="2">
        <v>45905</v>
      </c>
      <c r="E526">
        <v>28</v>
      </c>
      <c r="F526">
        <v>4</v>
      </c>
    </row>
    <row r="527" spans="1:6" x14ac:dyDescent="0.25">
      <c r="A527" t="s">
        <v>855</v>
      </c>
      <c r="B527" t="s">
        <v>850</v>
      </c>
      <c r="C527" t="s">
        <v>851</v>
      </c>
      <c r="D527" s="2">
        <v>45931</v>
      </c>
      <c r="E527">
        <v>28</v>
      </c>
      <c r="F527">
        <v>5</v>
      </c>
    </row>
    <row r="528" spans="1:6" x14ac:dyDescent="0.25">
      <c r="A528" t="s">
        <v>856</v>
      </c>
      <c r="B528" t="s">
        <v>850</v>
      </c>
      <c r="C528" t="s">
        <v>851</v>
      </c>
      <c r="D528" s="2">
        <v>45960</v>
      </c>
      <c r="E528">
        <v>28</v>
      </c>
      <c r="F528">
        <v>6</v>
      </c>
    </row>
    <row r="529" spans="1:6" x14ac:dyDescent="0.25">
      <c r="A529" t="s">
        <v>857</v>
      </c>
      <c r="B529" t="s">
        <v>858</v>
      </c>
      <c r="C529" t="s">
        <v>859</v>
      </c>
      <c r="D529" s="2">
        <v>45891</v>
      </c>
      <c r="E529">
        <v>28</v>
      </c>
      <c r="F529">
        <v>1</v>
      </c>
    </row>
    <row r="530" spans="1:6" x14ac:dyDescent="0.25">
      <c r="A530" t="s">
        <v>860</v>
      </c>
      <c r="B530" t="s">
        <v>858</v>
      </c>
      <c r="C530" t="s">
        <v>859</v>
      </c>
      <c r="D530" s="2">
        <v>45921</v>
      </c>
      <c r="E530">
        <v>28</v>
      </c>
      <c r="F530">
        <v>2</v>
      </c>
    </row>
    <row r="531" spans="1:6" x14ac:dyDescent="0.25">
      <c r="A531" t="s">
        <v>861</v>
      </c>
      <c r="B531" t="s">
        <v>862</v>
      </c>
      <c r="C531" t="s">
        <v>863</v>
      </c>
      <c r="D531" s="2">
        <v>45952</v>
      </c>
      <c r="E531">
        <v>30</v>
      </c>
      <c r="F531">
        <v>1</v>
      </c>
    </row>
    <row r="532" spans="1:6" x14ac:dyDescent="0.25">
      <c r="A532" t="s">
        <v>864</v>
      </c>
      <c r="B532" t="s">
        <v>865</v>
      </c>
      <c r="C532" t="s">
        <v>866</v>
      </c>
      <c r="D532" s="2">
        <v>45859</v>
      </c>
      <c r="E532">
        <v>28</v>
      </c>
      <c r="F532">
        <v>1</v>
      </c>
    </row>
    <row r="533" spans="1:6" x14ac:dyDescent="0.25">
      <c r="A533" t="s">
        <v>867</v>
      </c>
      <c r="B533" t="s">
        <v>865</v>
      </c>
      <c r="C533" t="s">
        <v>866</v>
      </c>
      <c r="D533" s="2">
        <v>45886</v>
      </c>
      <c r="E533">
        <v>28</v>
      </c>
      <c r="F533">
        <v>2</v>
      </c>
    </row>
    <row r="534" spans="1:6" x14ac:dyDescent="0.25">
      <c r="A534" t="s">
        <v>868</v>
      </c>
      <c r="B534" t="s">
        <v>865</v>
      </c>
      <c r="C534" t="s">
        <v>866</v>
      </c>
      <c r="D534" s="2">
        <v>45913</v>
      </c>
      <c r="E534">
        <v>28</v>
      </c>
      <c r="F534">
        <v>3</v>
      </c>
    </row>
    <row r="535" spans="1:6" x14ac:dyDescent="0.25">
      <c r="A535" t="s">
        <v>869</v>
      </c>
      <c r="B535" t="s">
        <v>865</v>
      </c>
      <c r="C535" t="s">
        <v>866</v>
      </c>
      <c r="D535" s="2">
        <v>45941</v>
      </c>
      <c r="E535">
        <v>28</v>
      </c>
      <c r="F535">
        <v>4</v>
      </c>
    </row>
    <row r="536" spans="1:6" x14ac:dyDescent="0.25">
      <c r="A536" t="s">
        <v>870</v>
      </c>
      <c r="B536" t="s">
        <v>871</v>
      </c>
      <c r="C536" t="s">
        <v>872</v>
      </c>
      <c r="D536" s="2">
        <v>45866</v>
      </c>
      <c r="E536">
        <v>56</v>
      </c>
      <c r="F536">
        <v>1</v>
      </c>
    </row>
    <row r="537" spans="1:6" x14ac:dyDescent="0.25">
      <c r="A537" t="s">
        <v>873</v>
      </c>
      <c r="B537" t="s">
        <v>871</v>
      </c>
      <c r="C537" t="s">
        <v>872</v>
      </c>
      <c r="D537" s="2">
        <v>45925</v>
      </c>
      <c r="E537">
        <v>56</v>
      </c>
      <c r="F537">
        <v>2</v>
      </c>
    </row>
    <row r="538" spans="1:6" x14ac:dyDescent="0.25">
      <c r="A538" t="s">
        <v>874</v>
      </c>
      <c r="B538" t="s">
        <v>875</v>
      </c>
      <c r="C538" t="s">
        <v>876</v>
      </c>
      <c r="D538" s="2">
        <v>45794</v>
      </c>
      <c r="E538">
        <v>30</v>
      </c>
      <c r="F538">
        <v>1</v>
      </c>
    </row>
    <row r="539" spans="1:6" x14ac:dyDescent="0.25">
      <c r="A539" t="s">
        <v>877</v>
      </c>
      <c r="B539" t="s">
        <v>875</v>
      </c>
      <c r="C539" t="s">
        <v>876</v>
      </c>
      <c r="D539" s="2">
        <v>45821</v>
      </c>
      <c r="E539">
        <v>30</v>
      </c>
      <c r="F539">
        <v>2</v>
      </c>
    </row>
    <row r="540" spans="1:6" x14ac:dyDescent="0.25">
      <c r="A540" t="s">
        <v>878</v>
      </c>
      <c r="B540" t="s">
        <v>875</v>
      </c>
      <c r="C540" t="s">
        <v>876</v>
      </c>
      <c r="D540" s="2">
        <v>45852</v>
      </c>
      <c r="E540">
        <v>30</v>
      </c>
      <c r="F540">
        <v>3</v>
      </c>
    </row>
    <row r="541" spans="1:6" x14ac:dyDescent="0.25">
      <c r="A541" t="s">
        <v>879</v>
      </c>
      <c r="B541" t="s">
        <v>875</v>
      </c>
      <c r="C541" t="s">
        <v>876</v>
      </c>
      <c r="D541" s="2">
        <v>45885</v>
      </c>
      <c r="E541">
        <v>30</v>
      </c>
      <c r="F541">
        <v>4</v>
      </c>
    </row>
    <row r="542" spans="1:6" x14ac:dyDescent="0.25">
      <c r="A542" t="s">
        <v>880</v>
      </c>
      <c r="B542" t="s">
        <v>875</v>
      </c>
      <c r="C542" t="s">
        <v>876</v>
      </c>
      <c r="D542" s="2">
        <v>45914</v>
      </c>
      <c r="E542">
        <v>30</v>
      </c>
      <c r="F542">
        <v>5</v>
      </c>
    </row>
    <row r="543" spans="1:6" x14ac:dyDescent="0.25">
      <c r="A543" t="s">
        <v>881</v>
      </c>
      <c r="B543" t="s">
        <v>875</v>
      </c>
      <c r="C543" t="s">
        <v>876</v>
      </c>
      <c r="D543" s="2">
        <v>45946</v>
      </c>
      <c r="E543">
        <v>30</v>
      </c>
      <c r="F543">
        <v>6</v>
      </c>
    </row>
    <row r="544" spans="1:6" x14ac:dyDescent="0.25">
      <c r="A544" t="s">
        <v>882</v>
      </c>
      <c r="B544" t="s">
        <v>883</v>
      </c>
      <c r="C544" t="s">
        <v>884</v>
      </c>
      <c r="D544" s="2">
        <v>45916</v>
      </c>
      <c r="E544">
        <v>28</v>
      </c>
      <c r="F544">
        <v>1</v>
      </c>
    </row>
    <row r="545" spans="1:6" x14ac:dyDescent="0.25">
      <c r="A545" t="s">
        <v>885</v>
      </c>
      <c r="B545" t="s">
        <v>883</v>
      </c>
      <c r="C545" t="s">
        <v>884</v>
      </c>
      <c r="D545" s="2">
        <v>45943</v>
      </c>
      <c r="E545">
        <v>28</v>
      </c>
      <c r="F545">
        <v>2</v>
      </c>
    </row>
    <row r="546" spans="1:6" x14ac:dyDescent="0.25">
      <c r="A546" t="s">
        <v>886</v>
      </c>
      <c r="B546" t="s">
        <v>887</v>
      </c>
      <c r="C546" t="s">
        <v>888</v>
      </c>
      <c r="D546" s="2">
        <v>45854</v>
      </c>
      <c r="E546">
        <v>30</v>
      </c>
      <c r="F546">
        <v>1</v>
      </c>
    </row>
    <row r="547" spans="1:6" x14ac:dyDescent="0.25">
      <c r="A547" t="s">
        <v>889</v>
      </c>
      <c r="B547" t="s">
        <v>887</v>
      </c>
      <c r="C547" t="s">
        <v>888</v>
      </c>
      <c r="D547" s="2">
        <v>45881</v>
      </c>
      <c r="E547">
        <v>30</v>
      </c>
      <c r="F547">
        <v>2</v>
      </c>
    </row>
    <row r="548" spans="1:6" x14ac:dyDescent="0.25">
      <c r="A548" t="s">
        <v>890</v>
      </c>
      <c r="B548" t="s">
        <v>887</v>
      </c>
      <c r="C548" t="s">
        <v>888</v>
      </c>
      <c r="D548" s="2">
        <v>45910</v>
      </c>
      <c r="E548">
        <v>30</v>
      </c>
      <c r="F548">
        <v>3</v>
      </c>
    </row>
    <row r="549" spans="1:6" x14ac:dyDescent="0.25">
      <c r="A549" t="s">
        <v>891</v>
      </c>
      <c r="B549" t="s">
        <v>887</v>
      </c>
      <c r="C549" t="s">
        <v>888</v>
      </c>
      <c r="D549" s="2">
        <v>45939</v>
      </c>
      <c r="E549">
        <v>30</v>
      </c>
      <c r="F549">
        <v>4</v>
      </c>
    </row>
    <row r="550" spans="1:6" x14ac:dyDescent="0.25">
      <c r="A550" t="s">
        <v>892</v>
      </c>
      <c r="B550" t="s">
        <v>893</v>
      </c>
      <c r="C550" t="s">
        <v>894</v>
      </c>
      <c r="D550" s="2">
        <v>45818</v>
      </c>
      <c r="E550">
        <v>28</v>
      </c>
      <c r="F550">
        <v>1</v>
      </c>
    </row>
    <row r="551" spans="1:6" x14ac:dyDescent="0.25">
      <c r="A551" t="s">
        <v>895</v>
      </c>
      <c r="B551" t="s">
        <v>893</v>
      </c>
      <c r="C551" t="s">
        <v>894</v>
      </c>
      <c r="D551" s="2">
        <v>45848</v>
      </c>
      <c r="E551">
        <v>28</v>
      </c>
      <c r="F551">
        <v>2</v>
      </c>
    </row>
    <row r="552" spans="1:6" x14ac:dyDescent="0.25">
      <c r="A552" t="s">
        <v>896</v>
      </c>
      <c r="B552" t="s">
        <v>893</v>
      </c>
      <c r="C552" t="s">
        <v>894</v>
      </c>
      <c r="D552" s="2">
        <v>45875</v>
      </c>
      <c r="E552">
        <v>28</v>
      </c>
      <c r="F552">
        <v>3</v>
      </c>
    </row>
    <row r="553" spans="1:6" x14ac:dyDescent="0.25">
      <c r="A553" t="s">
        <v>897</v>
      </c>
      <c r="B553" t="s">
        <v>898</v>
      </c>
      <c r="C553" t="s">
        <v>899</v>
      </c>
      <c r="D553" s="2">
        <v>45959</v>
      </c>
      <c r="E553">
        <v>30</v>
      </c>
      <c r="F553">
        <v>1</v>
      </c>
    </row>
    <row r="554" spans="1:6" x14ac:dyDescent="0.25">
      <c r="A554" t="s">
        <v>900</v>
      </c>
      <c r="B554" t="s">
        <v>901</v>
      </c>
      <c r="C554" t="s">
        <v>902</v>
      </c>
      <c r="D554" s="2">
        <v>45941</v>
      </c>
      <c r="E554">
        <v>28</v>
      </c>
      <c r="F554">
        <v>1</v>
      </c>
    </row>
    <row r="555" spans="1:6" x14ac:dyDescent="0.25">
      <c r="A555" t="s">
        <v>903</v>
      </c>
      <c r="B555" t="s">
        <v>904</v>
      </c>
      <c r="C555" t="s">
        <v>905</v>
      </c>
      <c r="D555" s="2">
        <v>45870</v>
      </c>
      <c r="E555">
        <v>28</v>
      </c>
      <c r="F555">
        <v>1</v>
      </c>
    </row>
    <row r="556" spans="1:6" x14ac:dyDescent="0.25">
      <c r="A556" t="s">
        <v>906</v>
      </c>
      <c r="B556" t="s">
        <v>904</v>
      </c>
      <c r="C556" t="s">
        <v>905</v>
      </c>
      <c r="D556" s="2">
        <v>45901</v>
      </c>
      <c r="E556">
        <v>28</v>
      </c>
      <c r="F556">
        <v>2</v>
      </c>
    </row>
    <row r="557" spans="1:6" x14ac:dyDescent="0.25">
      <c r="A557" t="s">
        <v>907</v>
      </c>
      <c r="B557" t="s">
        <v>904</v>
      </c>
      <c r="C557" t="s">
        <v>905</v>
      </c>
      <c r="D557" s="2">
        <v>45932</v>
      </c>
      <c r="E557">
        <v>28</v>
      </c>
      <c r="F557">
        <v>3</v>
      </c>
    </row>
    <row r="558" spans="1:6" x14ac:dyDescent="0.25">
      <c r="A558" t="s">
        <v>908</v>
      </c>
      <c r="B558" t="s">
        <v>904</v>
      </c>
      <c r="C558" t="s">
        <v>905</v>
      </c>
      <c r="D558" s="2">
        <v>45960</v>
      </c>
      <c r="E558">
        <v>28</v>
      </c>
      <c r="F558">
        <v>4</v>
      </c>
    </row>
    <row r="559" spans="1:6" x14ac:dyDescent="0.25">
      <c r="A559" t="s">
        <v>909</v>
      </c>
      <c r="B559" t="s">
        <v>910</v>
      </c>
      <c r="C559" t="s">
        <v>911</v>
      </c>
      <c r="D559" s="2">
        <v>45835</v>
      </c>
      <c r="E559">
        <v>28</v>
      </c>
      <c r="F559">
        <v>1</v>
      </c>
    </row>
    <row r="560" spans="1:6" x14ac:dyDescent="0.25">
      <c r="A560" t="s">
        <v>912</v>
      </c>
      <c r="B560" t="s">
        <v>913</v>
      </c>
      <c r="C560" t="s">
        <v>914</v>
      </c>
      <c r="D560" s="2">
        <v>45829</v>
      </c>
      <c r="E560">
        <v>14</v>
      </c>
      <c r="F560">
        <v>1</v>
      </c>
    </row>
    <row r="561" spans="1:6" x14ac:dyDescent="0.25">
      <c r="A561" t="s">
        <v>915</v>
      </c>
      <c r="B561" t="s">
        <v>913</v>
      </c>
      <c r="C561" t="s">
        <v>914</v>
      </c>
      <c r="D561" s="2">
        <v>45840</v>
      </c>
      <c r="E561">
        <v>14</v>
      </c>
      <c r="F561">
        <v>2</v>
      </c>
    </row>
    <row r="562" spans="1:6" x14ac:dyDescent="0.25">
      <c r="A562" t="s">
        <v>916</v>
      </c>
      <c r="B562" t="s">
        <v>913</v>
      </c>
      <c r="C562" t="s">
        <v>914</v>
      </c>
      <c r="D562" s="2">
        <v>45854</v>
      </c>
      <c r="E562">
        <v>14</v>
      </c>
      <c r="F562">
        <v>3</v>
      </c>
    </row>
    <row r="563" spans="1:6" x14ac:dyDescent="0.25">
      <c r="A563" t="s">
        <v>917</v>
      </c>
      <c r="B563" t="s">
        <v>913</v>
      </c>
      <c r="C563" t="s">
        <v>914</v>
      </c>
      <c r="D563" s="2">
        <v>45867</v>
      </c>
      <c r="E563">
        <v>14</v>
      </c>
      <c r="F563">
        <v>4</v>
      </c>
    </row>
    <row r="564" spans="1:6" x14ac:dyDescent="0.25">
      <c r="A564" t="s">
        <v>918</v>
      </c>
      <c r="B564" t="s">
        <v>913</v>
      </c>
      <c r="C564" t="s">
        <v>914</v>
      </c>
      <c r="D564" s="2">
        <v>45881</v>
      </c>
      <c r="E564">
        <v>14</v>
      </c>
      <c r="F564">
        <v>5</v>
      </c>
    </row>
    <row r="565" spans="1:6" x14ac:dyDescent="0.25">
      <c r="A565" t="s">
        <v>919</v>
      </c>
      <c r="B565" t="s">
        <v>913</v>
      </c>
      <c r="C565" t="s">
        <v>914</v>
      </c>
      <c r="D565" s="2">
        <v>45895</v>
      </c>
      <c r="E565">
        <v>14</v>
      </c>
      <c r="F565">
        <v>6</v>
      </c>
    </row>
    <row r="566" spans="1:6" x14ac:dyDescent="0.25">
      <c r="A566" t="s">
        <v>920</v>
      </c>
      <c r="B566" t="s">
        <v>913</v>
      </c>
      <c r="C566" t="s">
        <v>914</v>
      </c>
      <c r="D566" s="2">
        <v>45906</v>
      </c>
      <c r="E566">
        <v>14</v>
      </c>
      <c r="F566">
        <v>7</v>
      </c>
    </row>
    <row r="567" spans="1:6" x14ac:dyDescent="0.25">
      <c r="A567" t="s">
        <v>921</v>
      </c>
      <c r="B567" t="s">
        <v>913</v>
      </c>
      <c r="C567" t="s">
        <v>914</v>
      </c>
      <c r="D567" s="2">
        <v>45922</v>
      </c>
      <c r="E567">
        <v>14</v>
      </c>
      <c r="F567">
        <v>8</v>
      </c>
    </row>
    <row r="568" spans="1:6" x14ac:dyDescent="0.25">
      <c r="A568" t="s">
        <v>922</v>
      </c>
      <c r="B568" t="s">
        <v>913</v>
      </c>
      <c r="C568" t="s">
        <v>914</v>
      </c>
      <c r="D568" s="2">
        <v>45939</v>
      </c>
      <c r="E568">
        <v>14</v>
      </c>
      <c r="F568">
        <v>9</v>
      </c>
    </row>
    <row r="569" spans="1:6" x14ac:dyDescent="0.25">
      <c r="A569" t="s">
        <v>923</v>
      </c>
      <c r="B569" t="s">
        <v>913</v>
      </c>
      <c r="C569" t="s">
        <v>914</v>
      </c>
      <c r="D569" s="2">
        <v>45952</v>
      </c>
      <c r="E569">
        <v>14</v>
      </c>
      <c r="F569">
        <v>10</v>
      </c>
    </row>
    <row r="570" spans="1:6" x14ac:dyDescent="0.25">
      <c r="A570" t="s">
        <v>924</v>
      </c>
      <c r="B570" t="s">
        <v>925</v>
      </c>
      <c r="C570" t="s">
        <v>926</v>
      </c>
      <c r="D570" s="2">
        <v>45813</v>
      </c>
      <c r="E570">
        <v>28</v>
      </c>
      <c r="F570">
        <v>1</v>
      </c>
    </row>
    <row r="571" spans="1:6" x14ac:dyDescent="0.25">
      <c r="A571" t="s">
        <v>927</v>
      </c>
      <c r="B571" t="s">
        <v>925</v>
      </c>
      <c r="C571" t="s">
        <v>926</v>
      </c>
      <c r="D571" s="2">
        <v>45843</v>
      </c>
      <c r="E571">
        <v>28</v>
      </c>
      <c r="F571">
        <v>2</v>
      </c>
    </row>
    <row r="572" spans="1:6" x14ac:dyDescent="0.25">
      <c r="A572" t="s">
        <v>928</v>
      </c>
      <c r="B572" t="s">
        <v>925</v>
      </c>
      <c r="C572" t="s">
        <v>926</v>
      </c>
      <c r="D572" s="2">
        <v>45873</v>
      </c>
      <c r="E572">
        <v>28</v>
      </c>
      <c r="F572">
        <v>3</v>
      </c>
    </row>
    <row r="573" spans="1:6" x14ac:dyDescent="0.25">
      <c r="A573" t="s">
        <v>929</v>
      </c>
      <c r="B573" t="s">
        <v>925</v>
      </c>
      <c r="C573" t="s">
        <v>926</v>
      </c>
      <c r="D573" s="2">
        <v>45901</v>
      </c>
      <c r="E573">
        <v>28</v>
      </c>
      <c r="F573">
        <v>4</v>
      </c>
    </row>
    <row r="574" spans="1:6" x14ac:dyDescent="0.25">
      <c r="A574" t="s">
        <v>930</v>
      </c>
      <c r="B574" t="s">
        <v>925</v>
      </c>
      <c r="C574" t="s">
        <v>926</v>
      </c>
      <c r="D574" s="2">
        <v>45931</v>
      </c>
      <c r="E574">
        <v>28</v>
      </c>
      <c r="F574">
        <v>5</v>
      </c>
    </row>
    <row r="575" spans="1:6" x14ac:dyDescent="0.25">
      <c r="A575" t="s">
        <v>931</v>
      </c>
      <c r="B575" t="s">
        <v>925</v>
      </c>
      <c r="C575" t="s">
        <v>926</v>
      </c>
      <c r="D575" s="2">
        <v>45960</v>
      </c>
      <c r="E575">
        <v>28</v>
      </c>
      <c r="F575">
        <v>6</v>
      </c>
    </row>
    <row r="576" spans="1:6" x14ac:dyDescent="0.25">
      <c r="A576" t="s">
        <v>932</v>
      </c>
      <c r="B576" t="s">
        <v>933</v>
      </c>
      <c r="C576" t="s">
        <v>934</v>
      </c>
      <c r="D576" s="2">
        <v>45904</v>
      </c>
      <c r="E576">
        <v>14</v>
      </c>
      <c r="F576">
        <v>1</v>
      </c>
    </row>
    <row r="577" spans="1:6" x14ac:dyDescent="0.25">
      <c r="A577" t="s">
        <v>935</v>
      </c>
      <c r="B577" t="s">
        <v>933</v>
      </c>
      <c r="C577" t="s">
        <v>934</v>
      </c>
      <c r="D577" s="2">
        <v>45921</v>
      </c>
      <c r="E577">
        <v>14</v>
      </c>
      <c r="F577">
        <v>2</v>
      </c>
    </row>
    <row r="578" spans="1:6" x14ac:dyDescent="0.25">
      <c r="A578" t="s">
        <v>936</v>
      </c>
      <c r="B578" t="s">
        <v>933</v>
      </c>
      <c r="C578" t="s">
        <v>934</v>
      </c>
      <c r="D578" s="2">
        <v>45936</v>
      </c>
      <c r="E578">
        <v>14</v>
      </c>
      <c r="F578">
        <v>3</v>
      </c>
    </row>
    <row r="579" spans="1:6" x14ac:dyDescent="0.25">
      <c r="A579" t="s">
        <v>937</v>
      </c>
      <c r="B579" t="s">
        <v>933</v>
      </c>
      <c r="C579" t="s">
        <v>934</v>
      </c>
      <c r="D579" s="2">
        <v>45949</v>
      </c>
      <c r="E579">
        <v>14</v>
      </c>
      <c r="F579">
        <v>4</v>
      </c>
    </row>
    <row r="580" spans="1:6" x14ac:dyDescent="0.25">
      <c r="A580" t="s">
        <v>938</v>
      </c>
      <c r="B580" t="s">
        <v>939</v>
      </c>
      <c r="C580" t="s">
        <v>940</v>
      </c>
      <c r="D580" s="2">
        <v>45870</v>
      </c>
      <c r="E580">
        <v>14</v>
      </c>
      <c r="F580">
        <v>1</v>
      </c>
    </row>
    <row r="581" spans="1:6" x14ac:dyDescent="0.25">
      <c r="A581" t="s">
        <v>941</v>
      </c>
      <c r="B581" t="s">
        <v>939</v>
      </c>
      <c r="C581" t="s">
        <v>940</v>
      </c>
      <c r="D581" s="2">
        <v>45886</v>
      </c>
      <c r="E581">
        <v>14</v>
      </c>
      <c r="F581">
        <v>2</v>
      </c>
    </row>
    <row r="582" spans="1:6" x14ac:dyDescent="0.25">
      <c r="A582" t="s">
        <v>942</v>
      </c>
      <c r="B582" t="s">
        <v>939</v>
      </c>
      <c r="C582" t="s">
        <v>940</v>
      </c>
      <c r="D582" s="2">
        <v>45902</v>
      </c>
      <c r="E582">
        <v>14</v>
      </c>
      <c r="F582">
        <v>3</v>
      </c>
    </row>
    <row r="583" spans="1:6" x14ac:dyDescent="0.25">
      <c r="A583" t="s">
        <v>943</v>
      </c>
      <c r="B583" t="s">
        <v>939</v>
      </c>
      <c r="C583" t="s">
        <v>940</v>
      </c>
      <c r="D583" s="2">
        <v>45917</v>
      </c>
      <c r="E583">
        <v>14</v>
      </c>
      <c r="F583">
        <v>4</v>
      </c>
    </row>
    <row r="584" spans="1:6" x14ac:dyDescent="0.25">
      <c r="A584" t="s">
        <v>944</v>
      </c>
      <c r="B584" t="s">
        <v>939</v>
      </c>
      <c r="C584" t="s">
        <v>940</v>
      </c>
      <c r="D584" s="2">
        <v>45929</v>
      </c>
      <c r="E584">
        <v>14</v>
      </c>
      <c r="F584">
        <v>5</v>
      </c>
    </row>
    <row r="585" spans="1:6" x14ac:dyDescent="0.25">
      <c r="A585" t="s">
        <v>945</v>
      </c>
      <c r="B585" t="s">
        <v>939</v>
      </c>
      <c r="C585" t="s">
        <v>940</v>
      </c>
      <c r="D585" s="2">
        <v>45945</v>
      </c>
      <c r="E585">
        <v>14</v>
      </c>
      <c r="F585">
        <v>6</v>
      </c>
    </row>
    <row r="586" spans="1:6" x14ac:dyDescent="0.25">
      <c r="A586" t="s">
        <v>946</v>
      </c>
      <c r="B586" t="s">
        <v>939</v>
      </c>
      <c r="C586" t="s">
        <v>940</v>
      </c>
      <c r="D586" s="2">
        <v>45958</v>
      </c>
      <c r="E586">
        <v>14</v>
      </c>
      <c r="F586">
        <v>7</v>
      </c>
    </row>
    <row r="587" spans="1:6" x14ac:dyDescent="0.25">
      <c r="A587" t="s">
        <v>947</v>
      </c>
      <c r="B587" t="s">
        <v>948</v>
      </c>
      <c r="C587" t="s">
        <v>949</v>
      </c>
      <c r="D587" s="2">
        <v>45924</v>
      </c>
      <c r="E587">
        <v>28</v>
      </c>
      <c r="F587">
        <v>1</v>
      </c>
    </row>
    <row r="588" spans="1:6" x14ac:dyDescent="0.25">
      <c r="A588" t="s">
        <v>950</v>
      </c>
      <c r="B588" t="s">
        <v>948</v>
      </c>
      <c r="C588" t="s">
        <v>949</v>
      </c>
      <c r="D588" s="2">
        <v>45951</v>
      </c>
      <c r="E588">
        <v>28</v>
      </c>
      <c r="F588">
        <v>2</v>
      </c>
    </row>
    <row r="589" spans="1:6" x14ac:dyDescent="0.25">
      <c r="A589" t="s">
        <v>951</v>
      </c>
      <c r="B589" t="s">
        <v>952</v>
      </c>
      <c r="C589" t="s">
        <v>953</v>
      </c>
      <c r="D589" s="2">
        <v>45897</v>
      </c>
      <c r="E589">
        <v>28</v>
      </c>
      <c r="F589">
        <v>1</v>
      </c>
    </row>
    <row r="590" spans="1:6" x14ac:dyDescent="0.25">
      <c r="A590" t="s">
        <v>954</v>
      </c>
      <c r="B590" t="s">
        <v>952</v>
      </c>
      <c r="C590" t="s">
        <v>953</v>
      </c>
      <c r="D590" s="2">
        <v>45924</v>
      </c>
      <c r="E590">
        <v>28</v>
      </c>
      <c r="F590">
        <v>2</v>
      </c>
    </row>
    <row r="591" spans="1:6" x14ac:dyDescent="0.25">
      <c r="A591" t="s">
        <v>955</v>
      </c>
      <c r="B591" t="s">
        <v>952</v>
      </c>
      <c r="C591" t="s">
        <v>953</v>
      </c>
      <c r="D591" s="2">
        <v>45955</v>
      </c>
      <c r="E591">
        <v>28</v>
      </c>
      <c r="F591">
        <v>3</v>
      </c>
    </row>
    <row r="592" spans="1:6" x14ac:dyDescent="0.25">
      <c r="A592" t="s">
        <v>956</v>
      </c>
      <c r="B592" t="s">
        <v>957</v>
      </c>
      <c r="C592" t="s">
        <v>958</v>
      </c>
      <c r="D592" s="2">
        <v>45919</v>
      </c>
      <c r="E592">
        <v>21</v>
      </c>
      <c r="F592">
        <v>1</v>
      </c>
    </row>
    <row r="593" spans="1:6" x14ac:dyDescent="0.25">
      <c r="A593" t="s">
        <v>959</v>
      </c>
      <c r="B593" t="s">
        <v>957</v>
      </c>
      <c r="C593" t="s">
        <v>958</v>
      </c>
      <c r="D593" s="2">
        <v>45939</v>
      </c>
      <c r="E593">
        <v>21</v>
      </c>
      <c r="F593">
        <v>2</v>
      </c>
    </row>
    <row r="594" spans="1:6" x14ac:dyDescent="0.25">
      <c r="A594" t="s">
        <v>960</v>
      </c>
      <c r="B594" t="s">
        <v>957</v>
      </c>
      <c r="C594" t="s">
        <v>958</v>
      </c>
      <c r="D594" s="2">
        <v>45959</v>
      </c>
      <c r="E594">
        <v>21</v>
      </c>
      <c r="F594">
        <v>3</v>
      </c>
    </row>
    <row r="595" spans="1:6" x14ac:dyDescent="0.25">
      <c r="A595" t="s">
        <v>961</v>
      </c>
      <c r="B595" t="s">
        <v>962</v>
      </c>
      <c r="C595" t="s">
        <v>963</v>
      </c>
      <c r="D595" s="2">
        <v>45934</v>
      </c>
      <c r="E595">
        <v>28</v>
      </c>
      <c r="F595">
        <v>1</v>
      </c>
    </row>
    <row r="596" spans="1:6" x14ac:dyDescent="0.25">
      <c r="A596" t="s">
        <v>964</v>
      </c>
      <c r="B596" t="s">
        <v>965</v>
      </c>
      <c r="C596" t="s">
        <v>966</v>
      </c>
      <c r="D596" s="2">
        <v>45794</v>
      </c>
      <c r="E596">
        <v>21</v>
      </c>
      <c r="F596">
        <v>1</v>
      </c>
    </row>
    <row r="597" spans="1:6" x14ac:dyDescent="0.25">
      <c r="A597" t="s">
        <v>967</v>
      </c>
      <c r="B597" t="s">
        <v>965</v>
      </c>
      <c r="C597" t="s">
        <v>966</v>
      </c>
      <c r="D597" s="2">
        <v>45818</v>
      </c>
      <c r="E597">
        <v>21</v>
      </c>
      <c r="F597">
        <v>2</v>
      </c>
    </row>
    <row r="598" spans="1:6" x14ac:dyDescent="0.25">
      <c r="A598" t="s">
        <v>968</v>
      </c>
      <c r="B598" t="s">
        <v>965</v>
      </c>
      <c r="C598" t="s">
        <v>966</v>
      </c>
      <c r="D598" s="2">
        <v>45840</v>
      </c>
      <c r="E598">
        <v>21</v>
      </c>
      <c r="F598">
        <v>3</v>
      </c>
    </row>
    <row r="599" spans="1:6" x14ac:dyDescent="0.25">
      <c r="A599" t="s">
        <v>969</v>
      </c>
      <c r="B599" t="s">
        <v>965</v>
      </c>
      <c r="C599" t="s">
        <v>966</v>
      </c>
      <c r="D599" s="2">
        <v>45862</v>
      </c>
      <c r="E599">
        <v>21</v>
      </c>
      <c r="F599">
        <v>4</v>
      </c>
    </row>
    <row r="600" spans="1:6" x14ac:dyDescent="0.25">
      <c r="A600" t="s">
        <v>970</v>
      </c>
      <c r="B600" t="s">
        <v>965</v>
      </c>
      <c r="C600" t="s">
        <v>966</v>
      </c>
      <c r="D600" s="2">
        <v>45883</v>
      </c>
      <c r="E600">
        <v>21</v>
      </c>
      <c r="F600">
        <v>5</v>
      </c>
    </row>
    <row r="601" spans="1:6" x14ac:dyDescent="0.25">
      <c r="A601" t="s">
        <v>971</v>
      </c>
      <c r="B601" t="s">
        <v>965</v>
      </c>
      <c r="C601" t="s">
        <v>966</v>
      </c>
      <c r="D601" s="2">
        <v>45902</v>
      </c>
      <c r="E601">
        <v>21</v>
      </c>
      <c r="F601">
        <v>6</v>
      </c>
    </row>
    <row r="602" spans="1:6" x14ac:dyDescent="0.25">
      <c r="A602" t="s">
        <v>972</v>
      </c>
      <c r="B602" t="s">
        <v>965</v>
      </c>
      <c r="C602" t="s">
        <v>966</v>
      </c>
      <c r="D602" s="2">
        <v>45920</v>
      </c>
      <c r="E602">
        <v>21</v>
      </c>
      <c r="F602">
        <v>7</v>
      </c>
    </row>
    <row r="603" spans="1:6" x14ac:dyDescent="0.25">
      <c r="A603" t="s">
        <v>973</v>
      </c>
      <c r="B603" t="s">
        <v>965</v>
      </c>
      <c r="C603" t="s">
        <v>966</v>
      </c>
      <c r="D603" s="2">
        <v>45943</v>
      </c>
      <c r="E603">
        <v>21</v>
      </c>
      <c r="F603">
        <v>8</v>
      </c>
    </row>
    <row r="604" spans="1:6" x14ac:dyDescent="0.25">
      <c r="A604" t="s">
        <v>974</v>
      </c>
      <c r="B604" t="s">
        <v>975</v>
      </c>
      <c r="C604" t="s">
        <v>976</v>
      </c>
      <c r="D604" s="2">
        <v>45879</v>
      </c>
      <c r="E604">
        <v>28</v>
      </c>
      <c r="F604">
        <v>1</v>
      </c>
    </row>
    <row r="605" spans="1:6" x14ac:dyDescent="0.25">
      <c r="A605" t="s">
        <v>977</v>
      </c>
      <c r="B605" t="s">
        <v>975</v>
      </c>
      <c r="C605" t="s">
        <v>976</v>
      </c>
      <c r="D605" s="2">
        <v>45907</v>
      </c>
      <c r="E605">
        <v>28</v>
      </c>
      <c r="F605">
        <v>2</v>
      </c>
    </row>
    <row r="606" spans="1:6" x14ac:dyDescent="0.25">
      <c r="A606" t="s">
        <v>978</v>
      </c>
      <c r="B606" t="s">
        <v>975</v>
      </c>
      <c r="C606" t="s">
        <v>976</v>
      </c>
      <c r="D606" s="2">
        <v>45938</v>
      </c>
      <c r="E606">
        <v>28</v>
      </c>
      <c r="F606">
        <v>3</v>
      </c>
    </row>
    <row r="607" spans="1:6" x14ac:dyDescent="0.25">
      <c r="A607" t="s">
        <v>979</v>
      </c>
      <c r="B607" t="s">
        <v>980</v>
      </c>
      <c r="C607" t="s">
        <v>981</v>
      </c>
      <c r="D607" s="2">
        <v>45900</v>
      </c>
      <c r="E607">
        <v>14</v>
      </c>
      <c r="F607">
        <v>1</v>
      </c>
    </row>
    <row r="608" spans="1:6" x14ac:dyDescent="0.25">
      <c r="A608" t="s">
        <v>982</v>
      </c>
      <c r="B608" t="s">
        <v>980</v>
      </c>
      <c r="C608" t="s">
        <v>981</v>
      </c>
      <c r="D608" s="2">
        <v>45912</v>
      </c>
      <c r="E608">
        <v>14</v>
      </c>
      <c r="F608">
        <v>2</v>
      </c>
    </row>
    <row r="609" spans="1:6" x14ac:dyDescent="0.25">
      <c r="A609" t="s">
        <v>983</v>
      </c>
      <c r="B609" t="s">
        <v>980</v>
      </c>
      <c r="C609" t="s">
        <v>981</v>
      </c>
      <c r="D609" s="2">
        <v>45926</v>
      </c>
      <c r="E609">
        <v>14</v>
      </c>
      <c r="F609">
        <v>3</v>
      </c>
    </row>
    <row r="610" spans="1:6" x14ac:dyDescent="0.25">
      <c r="A610" t="s">
        <v>984</v>
      </c>
      <c r="B610" t="s">
        <v>980</v>
      </c>
      <c r="C610" t="s">
        <v>981</v>
      </c>
      <c r="D610" s="2">
        <v>45940</v>
      </c>
      <c r="E610">
        <v>14</v>
      </c>
      <c r="F610">
        <v>4</v>
      </c>
    </row>
    <row r="611" spans="1:6" x14ac:dyDescent="0.25">
      <c r="A611" t="s">
        <v>985</v>
      </c>
      <c r="B611" t="s">
        <v>980</v>
      </c>
      <c r="C611" t="s">
        <v>981</v>
      </c>
      <c r="D611" s="2">
        <v>45953</v>
      </c>
      <c r="E611">
        <v>14</v>
      </c>
      <c r="F611">
        <v>5</v>
      </c>
    </row>
    <row r="612" spans="1:6" x14ac:dyDescent="0.25">
      <c r="A612" t="s">
        <v>986</v>
      </c>
      <c r="B612" t="s">
        <v>987</v>
      </c>
      <c r="C612" t="s">
        <v>988</v>
      </c>
      <c r="D612" s="2">
        <v>45883</v>
      </c>
      <c r="E612">
        <v>30</v>
      </c>
      <c r="F612">
        <v>1</v>
      </c>
    </row>
    <row r="613" spans="1:6" x14ac:dyDescent="0.25">
      <c r="A613" t="s">
        <v>989</v>
      </c>
      <c r="B613" t="s">
        <v>987</v>
      </c>
      <c r="C613" t="s">
        <v>988</v>
      </c>
      <c r="D613" s="2">
        <v>45916</v>
      </c>
      <c r="E613">
        <v>30</v>
      </c>
      <c r="F613">
        <v>2</v>
      </c>
    </row>
    <row r="614" spans="1:6" x14ac:dyDescent="0.25">
      <c r="A614" t="s">
        <v>990</v>
      </c>
      <c r="B614" t="s">
        <v>987</v>
      </c>
      <c r="C614" t="s">
        <v>988</v>
      </c>
      <c r="D614" s="2">
        <v>45946</v>
      </c>
      <c r="E614">
        <v>30</v>
      </c>
      <c r="F614">
        <v>3</v>
      </c>
    </row>
    <row r="615" spans="1:6" x14ac:dyDescent="0.25">
      <c r="A615" t="s">
        <v>991</v>
      </c>
      <c r="B615" t="s">
        <v>992</v>
      </c>
      <c r="C615" t="s">
        <v>993</v>
      </c>
      <c r="D615" s="2">
        <v>45882</v>
      </c>
      <c r="E615">
        <v>30</v>
      </c>
      <c r="F615">
        <v>1</v>
      </c>
    </row>
    <row r="616" spans="1:6" x14ac:dyDescent="0.25">
      <c r="A616" t="s">
        <v>994</v>
      </c>
      <c r="B616" t="s">
        <v>992</v>
      </c>
      <c r="C616" t="s">
        <v>993</v>
      </c>
      <c r="D616" s="2">
        <v>45911</v>
      </c>
      <c r="E616">
        <v>30</v>
      </c>
      <c r="F616">
        <v>2</v>
      </c>
    </row>
    <row r="617" spans="1:6" x14ac:dyDescent="0.25">
      <c r="A617" t="s">
        <v>995</v>
      </c>
      <c r="B617" t="s">
        <v>992</v>
      </c>
      <c r="C617" t="s">
        <v>993</v>
      </c>
      <c r="D617" s="2">
        <v>45938</v>
      </c>
      <c r="E617">
        <v>30</v>
      </c>
      <c r="F617">
        <v>3</v>
      </c>
    </row>
    <row r="618" spans="1:6" x14ac:dyDescent="0.25">
      <c r="A618" t="s">
        <v>996</v>
      </c>
      <c r="B618" t="s">
        <v>997</v>
      </c>
      <c r="C618" t="s">
        <v>998</v>
      </c>
      <c r="D618" s="2">
        <v>45925</v>
      </c>
      <c r="E618">
        <v>56</v>
      </c>
      <c r="F618">
        <v>1</v>
      </c>
    </row>
    <row r="619" spans="1:6" x14ac:dyDescent="0.25">
      <c r="A619" t="s">
        <v>999</v>
      </c>
      <c r="B619" t="s">
        <v>1000</v>
      </c>
      <c r="C619" t="s">
        <v>1001</v>
      </c>
      <c r="D619" s="2">
        <v>45810</v>
      </c>
      <c r="E619">
        <v>30</v>
      </c>
      <c r="F619">
        <v>1</v>
      </c>
    </row>
    <row r="620" spans="1:6" x14ac:dyDescent="0.25">
      <c r="A620" t="s">
        <v>1002</v>
      </c>
      <c r="B620" t="s">
        <v>1000</v>
      </c>
      <c r="C620" t="s">
        <v>1001</v>
      </c>
      <c r="D620" s="2">
        <v>45843</v>
      </c>
      <c r="E620">
        <v>30</v>
      </c>
      <c r="F620">
        <v>2</v>
      </c>
    </row>
    <row r="621" spans="1:6" x14ac:dyDescent="0.25">
      <c r="A621" t="s">
        <v>1003</v>
      </c>
      <c r="B621" t="s">
        <v>1000</v>
      </c>
      <c r="C621" t="s">
        <v>1001</v>
      </c>
      <c r="D621" s="2">
        <v>45874</v>
      </c>
      <c r="E621">
        <v>30</v>
      </c>
      <c r="F621">
        <v>3</v>
      </c>
    </row>
    <row r="622" spans="1:6" x14ac:dyDescent="0.25">
      <c r="A622" t="s">
        <v>1004</v>
      </c>
      <c r="B622" t="s">
        <v>1000</v>
      </c>
      <c r="C622" t="s">
        <v>1001</v>
      </c>
      <c r="D622" s="2">
        <v>45902</v>
      </c>
      <c r="E622">
        <v>30</v>
      </c>
      <c r="F622">
        <v>4</v>
      </c>
    </row>
    <row r="623" spans="1:6" x14ac:dyDescent="0.25">
      <c r="A623" t="s">
        <v>1005</v>
      </c>
      <c r="B623" t="s">
        <v>1000</v>
      </c>
      <c r="C623" t="s">
        <v>1001</v>
      </c>
      <c r="D623" s="2">
        <v>45935</v>
      </c>
      <c r="E623">
        <v>30</v>
      </c>
      <c r="F623">
        <v>5</v>
      </c>
    </row>
    <row r="624" spans="1:6" x14ac:dyDescent="0.25">
      <c r="A624" t="s">
        <v>1006</v>
      </c>
      <c r="B624" t="s">
        <v>1007</v>
      </c>
      <c r="C624" t="s">
        <v>1008</v>
      </c>
      <c r="D624" s="2">
        <v>45942</v>
      </c>
      <c r="E624">
        <v>30</v>
      </c>
      <c r="F624">
        <v>1</v>
      </c>
    </row>
    <row r="625" spans="1:6" x14ac:dyDescent="0.25">
      <c r="A625" t="s">
        <v>1009</v>
      </c>
      <c r="B625" t="s">
        <v>1010</v>
      </c>
      <c r="C625" t="s">
        <v>1011</v>
      </c>
      <c r="D625" s="2">
        <v>45893</v>
      </c>
      <c r="E625">
        <v>30</v>
      </c>
      <c r="F625">
        <v>1</v>
      </c>
    </row>
    <row r="626" spans="1:6" x14ac:dyDescent="0.25">
      <c r="A626" t="s">
        <v>1012</v>
      </c>
      <c r="B626" t="s">
        <v>1010</v>
      </c>
      <c r="C626" t="s">
        <v>1011</v>
      </c>
      <c r="D626" s="2">
        <v>45923</v>
      </c>
      <c r="E626">
        <v>30</v>
      </c>
      <c r="F626">
        <v>2</v>
      </c>
    </row>
    <row r="627" spans="1:6" x14ac:dyDescent="0.25">
      <c r="A627" t="s">
        <v>1013</v>
      </c>
      <c r="B627" t="s">
        <v>1010</v>
      </c>
      <c r="C627" t="s">
        <v>1011</v>
      </c>
      <c r="D627" s="2">
        <v>45953</v>
      </c>
      <c r="E627">
        <v>30</v>
      </c>
      <c r="F627">
        <v>3</v>
      </c>
    </row>
    <row r="628" spans="1:6" x14ac:dyDescent="0.25">
      <c r="A628" t="s">
        <v>1014</v>
      </c>
      <c r="B628" t="s">
        <v>1015</v>
      </c>
      <c r="C628" t="s">
        <v>1016</v>
      </c>
      <c r="D628" s="2">
        <v>45952</v>
      </c>
      <c r="E628">
        <v>28</v>
      </c>
      <c r="F628">
        <v>1</v>
      </c>
    </row>
    <row r="629" spans="1:6" x14ac:dyDescent="0.25">
      <c r="A629" t="s">
        <v>1017</v>
      </c>
      <c r="B629" t="s">
        <v>1018</v>
      </c>
      <c r="C629" t="s">
        <v>1019</v>
      </c>
      <c r="D629" s="2">
        <v>45866</v>
      </c>
      <c r="E629">
        <v>30</v>
      </c>
      <c r="F629">
        <v>1</v>
      </c>
    </row>
    <row r="630" spans="1:6" x14ac:dyDescent="0.25">
      <c r="A630" t="s">
        <v>1020</v>
      </c>
      <c r="B630" t="s">
        <v>1018</v>
      </c>
      <c r="C630" t="s">
        <v>1019</v>
      </c>
      <c r="D630" s="2">
        <v>45893</v>
      </c>
      <c r="E630">
        <v>30</v>
      </c>
      <c r="F630">
        <v>2</v>
      </c>
    </row>
    <row r="631" spans="1:6" x14ac:dyDescent="0.25">
      <c r="A631" t="s">
        <v>1021</v>
      </c>
      <c r="B631" t="s">
        <v>1018</v>
      </c>
      <c r="C631" t="s">
        <v>1019</v>
      </c>
      <c r="D631" s="2">
        <v>45921</v>
      </c>
      <c r="E631">
        <v>30</v>
      </c>
      <c r="F631">
        <v>3</v>
      </c>
    </row>
    <row r="632" spans="1:6" x14ac:dyDescent="0.25">
      <c r="A632" t="s">
        <v>1022</v>
      </c>
      <c r="B632" t="s">
        <v>1018</v>
      </c>
      <c r="C632" t="s">
        <v>1019</v>
      </c>
      <c r="D632" s="2">
        <v>45950</v>
      </c>
      <c r="E632">
        <v>30</v>
      </c>
      <c r="F632">
        <v>4</v>
      </c>
    </row>
    <row r="633" spans="1:6" x14ac:dyDescent="0.25">
      <c r="A633" t="s">
        <v>1023</v>
      </c>
      <c r="B633" t="s">
        <v>1024</v>
      </c>
      <c r="C633" t="s">
        <v>1025</v>
      </c>
      <c r="D633" s="2">
        <v>45919</v>
      </c>
      <c r="E633">
        <v>21</v>
      </c>
      <c r="F633">
        <v>1</v>
      </c>
    </row>
    <row r="634" spans="1:6" x14ac:dyDescent="0.25">
      <c r="A634" t="s">
        <v>1026</v>
      </c>
      <c r="B634" t="s">
        <v>1024</v>
      </c>
      <c r="C634" t="s">
        <v>1025</v>
      </c>
      <c r="D634" s="2">
        <v>45943</v>
      </c>
      <c r="E634">
        <v>21</v>
      </c>
      <c r="F634">
        <v>2</v>
      </c>
    </row>
    <row r="635" spans="1:6" x14ac:dyDescent="0.25">
      <c r="A635" t="s">
        <v>1027</v>
      </c>
      <c r="B635" t="s">
        <v>1028</v>
      </c>
      <c r="C635" t="s">
        <v>1029</v>
      </c>
      <c r="D635" s="2">
        <v>45928</v>
      </c>
      <c r="E635">
        <v>28</v>
      </c>
      <c r="F635">
        <v>1</v>
      </c>
    </row>
    <row r="636" spans="1:6" x14ac:dyDescent="0.25">
      <c r="A636" t="s">
        <v>1030</v>
      </c>
      <c r="B636" t="s">
        <v>1028</v>
      </c>
      <c r="C636" t="s">
        <v>1029</v>
      </c>
      <c r="D636" s="2">
        <v>45958</v>
      </c>
      <c r="E636">
        <v>28</v>
      </c>
      <c r="F636">
        <v>2</v>
      </c>
    </row>
    <row r="637" spans="1:6" x14ac:dyDescent="0.25">
      <c r="A637" t="s">
        <v>1031</v>
      </c>
      <c r="B637" t="s">
        <v>1032</v>
      </c>
      <c r="C637" t="s">
        <v>1033</v>
      </c>
      <c r="D637" s="2">
        <v>45811</v>
      </c>
      <c r="E637">
        <v>28</v>
      </c>
      <c r="F637">
        <v>1</v>
      </c>
    </row>
    <row r="638" spans="1:6" x14ac:dyDescent="0.25">
      <c r="A638" t="s">
        <v>1034</v>
      </c>
      <c r="B638" t="s">
        <v>1035</v>
      </c>
      <c r="C638" t="s">
        <v>1036</v>
      </c>
      <c r="D638" s="2">
        <v>45906</v>
      </c>
      <c r="E638">
        <v>28</v>
      </c>
      <c r="F638">
        <v>1</v>
      </c>
    </row>
    <row r="639" spans="1:6" x14ac:dyDescent="0.25">
      <c r="A639" t="s">
        <v>1037</v>
      </c>
      <c r="B639" t="s">
        <v>1035</v>
      </c>
      <c r="C639" t="s">
        <v>1036</v>
      </c>
      <c r="D639" s="2">
        <v>45936</v>
      </c>
      <c r="E639">
        <v>28</v>
      </c>
      <c r="F639">
        <v>2</v>
      </c>
    </row>
    <row r="640" spans="1:6" x14ac:dyDescent="0.25">
      <c r="A640" t="s">
        <v>1038</v>
      </c>
      <c r="B640" t="s">
        <v>1039</v>
      </c>
      <c r="C640" t="s">
        <v>1040</v>
      </c>
      <c r="D640" s="2">
        <v>45809</v>
      </c>
      <c r="E640">
        <v>56</v>
      </c>
      <c r="F640">
        <v>1</v>
      </c>
    </row>
    <row r="641" spans="1:6" x14ac:dyDescent="0.25">
      <c r="A641" t="s">
        <v>1041</v>
      </c>
      <c r="B641" t="s">
        <v>1039</v>
      </c>
      <c r="C641" t="s">
        <v>1040</v>
      </c>
      <c r="D641" s="2">
        <v>45863</v>
      </c>
      <c r="E641">
        <v>56</v>
      </c>
      <c r="F641">
        <v>2</v>
      </c>
    </row>
    <row r="642" spans="1:6" x14ac:dyDescent="0.25">
      <c r="A642" t="s">
        <v>1042</v>
      </c>
      <c r="B642" t="s">
        <v>1039</v>
      </c>
      <c r="C642" t="s">
        <v>1040</v>
      </c>
      <c r="D642" s="2">
        <v>45919</v>
      </c>
      <c r="E642">
        <v>56</v>
      </c>
      <c r="F642">
        <v>3</v>
      </c>
    </row>
    <row r="643" spans="1:6" x14ac:dyDescent="0.25">
      <c r="A643" t="s">
        <v>1043</v>
      </c>
      <c r="B643" t="s">
        <v>1044</v>
      </c>
      <c r="C643" t="s">
        <v>1045</v>
      </c>
      <c r="D643" s="2">
        <v>45817</v>
      </c>
      <c r="E643">
        <v>21</v>
      </c>
      <c r="F643">
        <v>1</v>
      </c>
    </row>
    <row r="644" spans="1:6" x14ac:dyDescent="0.25">
      <c r="A644" t="s">
        <v>1046</v>
      </c>
      <c r="B644" t="s">
        <v>1047</v>
      </c>
      <c r="C644" t="s">
        <v>1048</v>
      </c>
      <c r="D644" s="2">
        <v>45820</v>
      </c>
      <c r="E644">
        <v>28</v>
      </c>
      <c r="F644">
        <v>1</v>
      </c>
    </row>
    <row r="645" spans="1:6" x14ac:dyDescent="0.25">
      <c r="A645" t="s">
        <v>1049</v>
      </c>
      <c r="B645" t="s">
        <v>1047</v>
      </c>
      <c r="C645" t="s">
        <v>1048</v>
      </c>
      <c r="D645" s="2">
        <v>45851</v>
      </c>
      <c r="E645">
        <v>28</v>
      </c>
      <c r="F645">
        <v>2</v>
      </c>
    </row>
    <row r="646" spans="1:6" x14ac:dyDescent="0.25">
      <c r="A646" t="s">
        <v>1050</v>
      </c>
      <c r="B646" t="s">
        <v>1047</v>
      </c>
      <c r="C646" t="s">
        <v>1048</v>
      </c>
      <c r="D646" s="2">
        <v>45878</v>
      </c>
      <c r="E646">
        <v>28</v>
      </c>
      <c r="F646">
        <v>3</v>
      </c>
    </row>
    <row r="647" spans="1:6" x14ac:dyDescent="0.25">
      <c r="A647" t="s">
        <v>1051</v>
      </c>
      <c r="B647" t="s">
        <v>1047</v>
      </c>
      <c r="C647" t="s">
        <v>1048</v>
      </c>
      <c r="D647" s="2">
        <v>45905</v>
      </c>
      <c r="E647">
        <v>28</v>
      </c>
      <c r="F647">
        <v>4</v>
      </c>
    </row>
    <row r="648" spans="1:6" x14ac:dyDescent="0.25">
      <c r="A648" t="s">
        <v>1052</v>
      </c>
      <c r="B648" t="s">
        <v>1047</v>
      </c>
      <c r="C648" t="s">
        <v>1048</v>
      </c>
      <c r="D648" s="2">
        <v>45935</v>
      </c>
      <c r="E648">
        <v>28</v>
      </c>
      <c r="F648">
        <v>5</v>
      </c>
    </row>
    <row r="649" spans="1:6" x14ac:dyDescent="0.25">
      <c r="A649" t="s">
        <v>1053</v>
      </c>
      <c r="B649" t="s">
        <v>1054</v>
      </c>
      <c r="C649" t="s">
        <v>1055</v>
      </c>
      <c r="D649" s="2">
        <v>45860</v>
      </c>
      <c r="E649">
        <v>28</v>
      </c>
      <c r="F649">
        <v>1</v>
      </c>
    </row>
    <row r="650" spans="1:6" x14ac:dyDescent="0.25">
      <c r="A650" t="s">
        <v>1056</v>
      </c>
      <c r="B650" t="s">
        <v>1054</v>
      </c>
      <c r="C650" t="s">
        <v>1055</v>
      </c>
      <c r="D650" s="2">
        <v>45887</v>
      </c>
      <c r="E650">
        <v>28</v>
      </c>
      <c r="F650">
        <v>2</v>
      </c>
    </row>
    <row r="651" spans="1:6" x14ac:dyDescent="0.25">
      <c r="A651" t="s">
        <v>1057</v>
      </c>
      <c r="B651" t="s">
        <v>1054</v>
      </c>
      <c r="C651" t="s">
        <v>1055</v>
      </c>
      <c r="D651" s="2">
        <v>45917</v>
      </c>
      <c r="E651">
        <v>28</v>
      </c>
      <c r="F651">
        <v>3</v>
      </c>
    </row>
    <row r="652" spans="1:6" x14ac:dyDescent="0.25">
      <c r="A652" t="s">
        <v>1058</v>
      </c>
      <c r="B652" t="s">
        <v>1054</v>
      </c>
      <c r="C652" t="s">
        <v>1055</v>
      </c>
      <c r="D652" s="2">
        <v>45944</v>
      </c>
      <c r="E652">
        <v>28</v>
      </c>
      <c r="F652">
        <v>4</v>
      </c>
    </row>
    <row r="653" spans="1:6" x14ac:dyDescent="0.25">
      <c r="A653" t="s">
        <v>1059</v>
      </c>
      <c r="B653" t="s">
        <v>1060</v>
      </c>
      <c r="C653" t="s">
        <v>1061</v>
      </c>
      <c r="D653" s="2">
        <v>45835</v>
      </c>
      <c r="E653">
        <v>28</v>
      </c>
      <c r="F653">
        <v>1</v>
      </c>
    </row>
    <row r="654" spans="1:6" x14ac:dyDescent="0.25">
      <c r="A654" t="s">
        <v>1062</v>
      </c>
      <c r="B654" t="s">
        <v>1060</v>
      </c>
      <c r="C654" t="s">
        <v>1061</v>
      </c>
      <c r="D654" s="2">
        <v>45866</v>
      </c>
      <c r="E654">
        <v>28</v>
      </c>
      <c r="F654">
        <v>2</v>
      </c>
    </row>
    <row r="655" spans="1:6" x14ac:dyDescent="0.25">
      <c r="A655" t="s">
        <v>1063</v>
      </c>
      <c r="B655" t="s">
        <v>1060</v>
      </c>
      <c r="C655" t="s">
        <v>1061</v>
      </c>
      <c r="D655" s="2">
        <v>45892</v>
      </c>
      <c r="E655">
        <v>28</v>
      </c>
      <c r="F655">
        <v>3</v>
      </c>
    </row>
    <row r="656" spans="1:6" x14ac:dyDescent="0.25">
      <c r="A656" t="s">
        <v>1064</v>
      </c>
      <c r="B656" t="s">
        <v>1060</v>
      </c>
      <c r="C656" t="s">
        <v>1061</v>
      </c>
      <c r="D656" s="2">
        <v>45923</v>
      </c>
      <c r="E656">
        <v>28</v>
      </c>
      <c r="F656">
        <v>4</v>
      </c>
    </row>
    <row r="657" spans="1:6" x14ac:dyDescent="0.25">
      <c r="A657" t="s">
        <v>1065</v>
      </c>
      <c r="B657" t="s">
        <v>1060</v>
      </c>
      <c r="C657" t="s">
        <v>1061</v>
      </c>
      <c r="D657" s="2">
        <v>45948</v>
      </c>
      <c r="E657">
        <v>28</v>
      </c>
      <c r="F657">
        <v>5</v>
      </c>
    </row>
    <row r="658" spans="1:6" x14ac:dyDescent="0.25">
      <c r="A658" t="s">
        <v>1066</v>
      </c>
      <c r="B658" t="s">
        <v>1067</v>
      </c>
      <c r="C658" t="s">
        <v>1068</v>
      </c>
      <c r="D658" s="2">
        <v>45910</v>
      </c>
      <c r="E658">
        <v>28</v>
      </c>
      <c r="F658">
        <v>1</v>
      </c>
    </row>
    <row r="659" spans="1:6" x14ac:dyDescent="0.25">
      <c r="A659" t="s">
        <v>1069</v>
      </c>
      <c r="B659" t="s">
        <v>1067</v>
      </c>
      <c r="C659" t="s">
        <v>1068</v>
      </c>
      <c r="D659" s="2">
        <v>45936</v>
      </c>
      <c r="E659">
        <v>28</v>
      </c>
      <c r="F659">
        <v>2</v>
      </c>
    </row>
    <row r="660" spans="1:6" x14ac:dyDescent="0.25">
      <c r="A660" t="s">
        <v>1070</v>
      </c>
      <c r="B660" t="s">
        <v>1071</v>
      </c>
      <c r="C660" t="s">
        <v>1072</v>
      </c>
      <c r="D660" s="2">
        <v>45798</v>
      </c>
      <c r="E660">
        <v>21</v>
      </c>
      <c r="F660">
        <v>1</v>
      </c>
    </row>
    <row r="661" spans="1:6" x14ac:dyDescent="0.25">
      <c r="A661" t="s">
        <v>1073</v>
      </c>
      <c r="B661" t="s">
        <v>1071</v>
      </c>
      <c r="C661" t="s">
        <v>1072</v>
      </c>
      <c r="D661" s="2">
        <v>45820</v>
      </c>
      <c r="E661">
        <v>21</v>
      </c>
      <c r="F661">
        <v>2</v>
      </c>
    </row>
    <row r="662" spans="1:6" x14ac:dyDescent="0.25">
      <c r="A662" t="s">
        <v>1074</v>
      </c>
      <c r="B662" t="s">
        <v>1071</v>
      </c>
      <c r="C662" t="s">
        <v>1072</v>
      </c>
      <c r="D662" s="2">
        <v>45839</v>
      </c>
      <c r="E662">
        <v>21</v>
      </c>
      <c r="F662">
        <v>3</v>
      </c>
    </row>
    <row r="663" spans="1:6" x14ac:dyDescent="0.25">
      <c r="A663" t="s">
        <v>1075</v>
      </c>
      <c r="B663" t="s">
        <v>1071</v>
      </c>
      <c r="C663" t="s">
        <v>1072</v>
      </c>
      <c r="D663" s="2">
        <v>45859</v>
      </c>
      <c r="E663">
        <v>21</v>
      </c>
      <c r="F663">
        <v>4</v>
      </c>
    </row>
    <row r="664" spans="1:6" x14ac:dyDescent="0.25">
      <c r="A664" t="s">
        <v>1076</v>
      </c>
      <c r="B664" t="s">
        <v>1071</v>
      </c>
      <c r="C664" t="s">
        <v>1072</v>
      </c>
      <c r="D664" s="2">
        <v>45882</v>
      </c>
      <c r="E664">
        <v>21</v>
      </c>
      <c r="F664">
        <v>5</v>
      </c>
    </row>
    <row r="665" spans="1:6" x14ac:dyDescent="0.25">
      <c r="A665" t="s">
        <v>1077</v>
      </c>
      <c r="B665" t="s">
        <v>1071</v>
      </c>
      <c r="C665" t="s">
        <v>1072</v>
      </c>
      <c r="D665" s="2">
        <v>45900</v>
      </c>
      <c r="E665">
        <v>21</v>
      </c>
      <c r="F665">
        <v>6</v>
      </c>
    </row>
    <row r="666" spans="1:6" x14ac:dyDescent="0.25">
      <c r="A666" t="s">
        <v>1078</v>
      </c>
      <c r="B666" t="s">
        <v>1071</v>
      </c>
      <c r="C666" t="s">
        <v>1072</v>
      </c>
      <c r="D666" s="2">
        <v>45923</v>
      </c>
      <c r="E666">
        <v>21</v>
      </c>
      <c r="F666">
        <v>7</v>
      </c>
    </row>
    <row r="667" spans="1:6" x14ac:dyDescent="0.25">
      <c r="A667" t="s">
        <v>1079</v>
      </c>
      <c r="B667" t="s">
        <v>1071</v>
      </c>
      <c r="C667" t="s">
        <v>1072</v>
      </c>
      <c r="D667" s="2">
        <v>45947</v>
      </c>
      <c r="E667">
        <v>21</v>
      </c>
      <c r="F667">
        <v>8</v>
      </c>
    </row>
    <row r="668" spans="1:6" x14ac:dyDescent="0.25">
      <c r="A668" t="s">
        <v>1080</v>
      </c>
      <c r="B668" t="s">
        <v>1081</v>
      </c>
      <c r="C668" t="s">
        <v>1082</v>
      </c>
      <c r="D668" s="2">
        <v>45828</v>
      </c>
      <c r="E668">
        <v>21</v>
      </c>
      <c r="F668">
        <v>1</v>
      </c>
    </row>
    <row r="669" spans="1:6" x14ac:dyDescent="0.25">
      <c r="A669" t="s">
        <v>1083</v>
      </c>
      <c r="B669" t="s">
        <v>1081</v>
      </c>
      <c r="C669" t="s">
        <v>1082</v>
      </c>
      <c r="D669" s="2">
        <v>45846</v>
      </c>
      <c r="E669">
        <v>21</v>
      </c>
      <c r="F669">
        <v>2</v>
      </c>
    </row>
    <row r="670" spans="1:6" x14ac:dyDescent="0.25">
      <c r="A670" t="s">
        <v>1084</v>
      </c>
      <c r="B670" t="s">
        <v>1085</v>
      </c>
      <c r="C670" t="s">
        <v>1086</v>
      </c>
      <c r="D670" s="2">
        <v>45919</v>
      </c>
      <c r="E670">
        <v>28</v>
      </c>
      <c r="F670">
        <v>1</v>
      </c>
    </row>
    <row r="671" spans="1:6" x14ac:dyDescent="0.25">
      <c r="A671" t="s">
        <v>1087</v>
      </c>
      <c r="B671" t="s">
        <v>1085</v>
      </c>
      <c r="C671" t="s">
        <v>1086</v>
      </c>
      <c r="D671" s="2">
        <v>45950</v>
      </c>
      <c r="E671">
        <v>28</v>
      </c>
      <c r="F671">
        <v>2</v>
      </c>
    </row>
    <row r="672" spans="1:6" x14ac:dyDescent="0.25">
      <c r="A672" t="s">
        <v>1088</v>
      </c>
      <c r="B672" t="s">
        <v>1089</v>
      </c>
      <c r="C672" t="s">
        <v>1090</v>
      </c>
      <c r="D672" s="2">
        <v>45810</v>
      </c>
      <c r="E672">
        <v>28</v>
      </c>
      <c r="F672">
        <v>1</v>
      </c>
    </row>
    <row r="673" spans="1:6" x14ac:dyDescent="0.25">
      <c r="A673" t="s">
        <v>1091</v>
      </c>
      <c r="B673" t="s">
        <v>1089</v>
      </c>
      <c r="C673" t="s">
        <v>1090</v>
      </c>
      <c r="D673" s="2">
        <v>45835</v>
      </c>
      <c r="E673">
        <v>28</v>
      </c>
      <c r="F673">
        <v>2</v>
      </c>
    </row>
    <row r="674" spans="1:6" x14ac:dyDescent="0.25">
      <c r="A674" t="s">
        <v>1092</v>
      </c>
      <c r="B674" t="s">
        <v>1089</v>
      </c>
      <c r="C674" t="s">
        <v>1090</v>
      </c>
      <c r="D674" s="2">
        <v>45863</v>
      </c>
      <c r="E674">
        <v>28</v>
      </c>
      <c r="F674">
        <v>3</v>
      </c>
    </row>
    <row r="675" spans="1:6" x14ac:dyDescent="0.25">
      <c r="A675" t="s">
        <v>1093</v>
      </c>
      <c r="B675" t="s">
        <v>1089</v>
      </c>
      <c r="C675" t="s">
        <v>1090</v>
      </c>
      <c r="D675" s="2">
        <v>45888</v>
      </c>
      <c r="E675">
        <v>28</v>
      </c>
      <c r="F675">
        <v>4</v>
      </c>
    </row>
    <row r="676" spans="1:6" x14ac:dyDescent="0.25">
      <c r="A676" t="s">
        <v>1094</v>
      </c>
      <c r="B676" t="s">
        <v>1089</v>
      </c>
      <c r="C676" t="s">
        <v>1090</v>
      </c>
      <c r="D676" s="2">
        <v>45915</v>
      </c>
      <c r="E676">
        <v>28</v>
      </c>
      <c r="F676">
        <v>5</v>
      </c>
    </row>
    <row r="677" spans="1:6" x14ac:dyDescent="0.25">
      <c r="A677" t="s">
        <v>1095</v>
      </c>
      <c r="B677" t="s">
        <v>1089</v>
      </c>
      <c r="C677" t="s">
        <v>1090</v>
      </c>
      <c r="D677" s="2">
        <v>45945</v>
      </c>
      <c r="E677">
        <v>28</v>
      </c>
      <c r="F677">
        <v>6</v>
      </c>
    </row>
    <row r="678" spans="1:6" x14ac:dyDescent="0.25">
      <c r="A678" t="s">
        <v>1096</v>
      </c>
      <c r="B678" t="s">
        <v>1097</v>
      </c>
      <c r="C678" t="s">
        <v>1098</v>
      </c>
      <c r="D678" s="2">
        <v>45855</v>
      </c>
      <c r="E678">
        <v>30</v>
      </c>
      <c r="F678">
        <v>1</v>
      </c>
    </row>
    <row r="679" spans="1:6" x14ac:dyDescent="0.25">
      <c r="A679" t="s">
        <v>1099</v>
      </c>
      <c r="B679" t="s">
        <v>1097</v>
      </c>
      <c r="C679" t="s">
        <v>1098</v>
      </c>
      <c r="D679" s="2">
        <v>45887</v>
      </c>
      <c r="E679">
        <v>30</v>
      </c>
      <c r="F679">
        <v>2</v>
      </c>
    </row>
    <row r="680" spans="1:6" x14ac:dyDescent="0.25">
      <c r="A680" t="s">
        <v>1100</v>
      </c>
      <c r="B680" t="s">
        <v>1097</v>
      </c>
      <c r="C680" t="s">
        <v>1098</v>
      </c>
      <c r="D680" s="2">
        <v>45914</v>
      </c>
      <c r="E680">
        <v>30</v>
      </c>
      <c r="F680">
        <v>3</v>
      </c>
    </row>
    <row r="681" spans="1:6" x14ac:dyDescent="0.25">
      <c r="A681" t="s">
        <v>1101</v>
      </c>
      <c r="B681" t="s">
        <v>1097</v>
      </c>
      <c r="C681" t="s">
        <v>1098</v>
      </c>
      <c r="D681" s="2">
        <v>45944</v>
      </c>
      <c r="E681">
        <v>30</v>
      </c>
      <c r="F681">
        <v>4</v>
      </c>
    </row>
    <row r="682" spans="1:6" x14ac:dyDescent="0.25">
      <c r="A682" t="s">
        <v>1102</v>
      </c>
      <c r="B682" t="s">
        <v>1103</v>
      </c>
      <c r="C682" t="s">
        <v>1104</v>
      </c>
      <c r="D682" s="2">
        <v>45914</v>
      </c>
      <c r="E682">
        <v>56</v>
      </c>
      <c r="F682">
        <v>1</v>
      </c>
    </row>
    <row r="683" spans="1:6" x14ac:dyDescent="0.25">
      <c r="A683" t="s">
        <v>1105</v>
      </c>
      <c r="B683" t="s">
        <v>1106</v>
      </c>
      <c r="C683" t="s">
        <v>1107</v>
      </c>
      <c r="D683" s="2">
        <v>45906</v>
      </c>
      <c r="E683">
        <v>28</v>
      </c>
      <c r="F683">
        <v>1</v>
      </c>
    </row>
    <row r="684" spans="1:6" x14ac:dyDescent="0.25">
      <c r="A684" t="s">
        <v>1108</v>
      </c>
      <c r="B684" t="s">
        <v>1106</v>
      </c>
      <c r="C684" t="s">
        <v>1107</v>
      </c>
      <c r="D684" s="2">
        <v>45935</v>
      </c>
      <c r="E684">
        <v>28</v>
      </c>
      <c r="F684">
        <v>2</v>
      </c>
    </row>
    <row r="685" spans="1:6" x14ac:dyDescent="0.25">
      <c r="A685" t="s">
        <v>1109</v>
      </c>
      <c r="B685" t="s">
        <v>1110</v>
      </c>
      <c r="C685" t="s">
        <v>1111</v>
      </c>
      <c r="D685" s="2">
        <v>45821</v>
      </c>
      <c r="E685">
        <v>28</v>
      </c>
      <c r="F685">
        <v>1</v>
      </c>
    </row>
    <row r="686" spans="1:6" x14ac:dyDescent="0.25">
      <c r="A686" t="s">
        <v>1112</v>
      </c>
      <c r="B686" t="s">
        <v>1110</v>
      </c>
      <c r="C686" t="s">
        <v>1111</v>
      </c>
      <c r="D686" s="2">
        <v>45849</v>
      </c>
      <c r="E686">
        <v>28</v>
      </c>
      <c r="F686">
        <v>2</v>
      </c>
    </row>
    <row r="687" spans="1:6" x14ac:dyDescent="0.25">
      <c r="A687" t="s">
        <v>1113</v>
      </c>
      <c r="B687" t="s">
        <v>1110</v>
      </c>
      <c r="C687" t="s">
        <v>1111</v>
      </c>
      <c r="D687" s="2">
        <v>45874</v>
      </c>
      <c r="E687">
        <v>28</v>
      </c>
      <c r="F687">
        <v>3</v>
      </c>
    </row>
    <row r="688" spans="1:6" x14ac:dyDescent="0.25">
      <c r="A688" t="s">
        <v>1114</v>
      </c>
      <c r="B688" t="s">
        <v>1110</v>
      </c>
      <c r="C688" t="s">
        <v>1111</v>
      </c>
      <c r="D688" s="2">
        <v>45904</v>
      </c>
      <c r="E688">
        <v>28</v>
      </c>
      <c r="F688">
        <v>4</v>
      </c>
    </row>
    <row r="689" spans="1:6" x14ac:dyDescent="0.25">
      <c r="A689" t="s">
        <v>1115</v>
      </c>
      <c r="B689" t="s">
        <v>1110</v>
      </c>
      <c r="C689" t="s">
        <v>1111</v>
      </c>
      <c r="D689" s="2">
        <v>45929</v>
      </c>
      <c r="E689">
        <v>28</v>
      </c>
      <c r="F689">
        <v>5</v>
      </c>
    </row>
    <row r="690" spans="1:6" x14ac:dyDescent="0.25">
      <c r="A690" t="s">
        <v>1116</v>
      </c>
      <c r="B690" t="s">
        <v>1110</v>
      </c>
      <c r="C690" t="s">
        <v>1111</v>
      </c>
      <c r="D690" s="2">
        <v>45954</v>
      </c>
      <c r="E690">
        <v>28</v>
      </c>
      <c r="F690">
        <v>6</v>
      </c>
    </row>
    <row r="691" spans="1:6" x14ac:dyDescent="0.25">
      <c r="A691" t="s">
        <v>1117</v>
      </c>
      <c r="B691" t="s">
        <v>1118</v>
      </c>
      <c r="C691" t="s">
        <v>1119</v>
      </c>
      <c r="D691" s="2">
        <v>45926</v>
      </c>
      <c r="E691">
        <v>30</v>
      </c>
      <c r="F691">
        <v>1</v>
      </c>
    </row>
    <row r="692" spans="1:6" x14ac:dyDescent="0.25">
      <c r="A692" t="s">
        <v>1120</v>
      </c>
      <c r="B692" t="s">
        <v>1118</v>
      </c>
      <c r="C692" t="s">
        <v>1119</v>
      </c>
      <c r="D692" s="2">
        <v>45954</v>
      </c>
      <c r="E692">
        <v>30</v>
      </c>
      <c r="F692">
        <v>2</v>
      </c>
    </row>
    <row r="693" spans="1:6" x14ac:dyDescent="0.25">
      <c r="A693" t="s">
        <v>1121</v>
      </c>
      <c r="B693" t="s">
        <v>1122</v>
      </c>
      <c r="C693" t="s">
        <v>1123</v>
      </c>
      <c r="D693" s="2">
        <v>45821</v>
      </c>
      <c r="E693">
        <v>28</v>
      </c>
      <c r="F693">
        <v>1</v>
      </c>
    </row>
    <row r="694" spans="1:6" x14ac:dyDescent="0.25">
      <c r="A694" t="s">
        <v>1124</v>
      </c>
      <c r="B694" t="s">
        <v>1122</v>
      </c>
      <c r="C694" t="s">
        <v>1123</v>
      </c>
      <c r="D694" s="2">
        <v>45848</v>
      </c>
      <c r="E694">
        <v>28</v>
      </c>
      <c r="F694">
        <v>2</v>
      </c>
    </row>
    <row r="695" spans="1:6" x14ac:dyDescent="0.25">
      <c r="A695" t="s">
        <v>1125</v>
      </c>
      <c r="B695" t="s">
        <v>1122</v>
      </c>
      <c r="C695" t="s">
        <v>1123</v>
      </c>
      <c r="D695" s="2">
        <v>45877</v>
      </c>
      <c r="E695">
        <v>28</v>
      </c>
      <c r="F695">
        <v>3</v>
      </c>
    </row>
    <row r="696" spans="1:6" x14ac:dyDescent="0.25">
      <c r="A696" t="s">
        <v>1126</v>
      </c>
      <c r="B696" t="s">
        <v>1122</v>
      </c>
      <c r="C696" t="s">
        <v>1123</v>
      </c>
      <c r="D696" s="2">
        <v>45904</v>
      </c>
      <c r="E696">
        <v>28</v>
      </c>
      <c r="F696">
        <v>4</v>
      </c>
    </row>
    <row r="697" spans="1:6" x14ac:dyDescent="0.25">
      <c r="A697" t="s">
        <v>1127</v>
      </c>
      <c r="B697" t="s">
        <v>1122</v>
      </c>
      <c r="C697" t="s">
        <v>1123</v>
      </c>
      <c r="D697" s="2">
        <v>45932</v>
      </c>
      <c r="E697">
        <v>28</v>
      </c>
      <c r="F697">
        <v>5</v>
      </c>
    </row>
    <row r="698" spans="1:6" x14ac:dyDescent="0.25">
      <c r="A698" t="s">
        <v>1128</v>
      </c>
      <c r="B698" t="s">
        <v>1122</v>
      </c>
      <c r="C698" t="s">
        <v>1123</v>
      </c>
      <c r="D698" s="2">
        <v>45958</v>
      </c>
      <c r="E698">
        <v>28</v>
      </c>
      <c r="F698">
        <v>6</v>
      </c>
    </row>
    <row r="699" spans="1:6" x14ac:dyDescent="0.25">
      <c r="A699" t="s">
        <v>1129</v>
      </c>
      <c r="B699" t="s">
        <v>1130</v>
      </c>
      <c r="C699" t="s">
        <v>1131</v>
      </c>
      <c r="D699" s="2">
        <v>45937</v>
      </c>
      <c r="E699">
        <v>28</v>
      </c>
      <c r="F699">
        <v>1</v>
      </c>
    </row>
    <row r="700" spans="1:6" x14ac:dyDescent="0.25">
      <c r="A700" t="s">
        <v>1132</v>
      </c>
      <c r="B700" t="s">
        <v>1133</v>
      </c>
      <c r="C700" t="s">
        <v>1134</v>
      </c>
      <c r="D700" s="2">
        <v>45932</v>
      </c>
      <c r="E700">
        <v>28</v>
      </c>
      <c r="F700">
        <v>1</v>
      </c>
    </row>
    <row r="701" spans="1:6" x14ac:dyDescent="0.25">
      <c r="A701" t="s">
        <v>1135</v>
      </c>
      <c r="B701" t="s">
        <v>1133</v>
      </c>
      <c r="C701" t="s">
        <v>1134</v>
      </c>
      <c r="D701" s="2">
        <v>45960</v>
      </c>
      <c r="E701">
        <v>28</v>
      </c>
      <c r="F701">
        <v>2</v>
      </c>
    </row>
    <row r="702" spans="1:6" x14ac:dyDescent="0.25">
      <c r="A702" t="s">
        <v>1136</v>
      </c>
      <c r="B702" t="s">
        <v>1137</v>
      </c>
      <c r="C702" t="s">
        <v>1138</v>
      </c>
      <c r="D702" s="2">
        <v>45922</v>
      </c>
      <c r="E702">
        <v>28</v>
      </c>
      <c r="F702">
        <v>1</v>
      </c>
    </row>
    <row r="703" spans="1:6" x14ac:dyDescent="0.25">
      <c r="A703" t="s">
        <v>1139</v>
      </c>
      <c r="B703" t="s">
        <v>1140</v>
      </c>
      <c r="C703" t="s">
        <v>1141</v>
      </c>
      <c r="D703" s="2">
        <v>45785</v>
      </c>
      <c r="E703">
        <v>30</v>
      </c>
      <c r="F703">
        <v>1</v>
      </c>
    </row>
    <row r="704" spans="1:6" x14ac:dyDescent="0.25">
      <c r="A704" t="s">
        <v>1142</v>
      </c>
      <c r="B704" t="s">
        <v>1140</v>
      </c>
      <c r="C704" t="s">
        <v>1141</v>
      </c>
      <c r="D704" s="2">
        <v>45812</v>
      </c>
      <c r="E704">
        <v>30</v>
      </c>
      <c r="F704">
        <v>2</v>
      </c>
    </row>
    <row r="705" spans="1:6" x14ac:dyDescent="0.25">
      <c r="A705" t="s">
        <v>1143</v>
      </c>
      <c r="B705" t="s">
        <v>1140</v>
      </c>
      <c r="C705" t="s">
        <v>1141</v>
      </c>
      <c r="D705" s="2">
        <v>45839</v>
      </c>
      <c r="E705">
        <v>30</v>
      </c>
      <c r="F705">
        <v>3</v>
      </c>
    </row>
    <row r="706" spans="1:6" x14ac:dyDescent="0.25">
      <c r="A706" t="s">
        <v>1144</v>
      </c>
      <c r="B706" t="s">
        <v>1140</v>
      </c>
      <c r="C706" t="s">
        <v>1141</v>
      </c>
      <c r="D706" s="2">
        <v>45870</v>
      </c>
      <c r="E706">
        <v>30</v>
      </c>
      <c r="F706">
        <v>4</v>
      </c>
    </row>
    <row r="707" spans="1:6" x14ac:dyDescent="0.25">
      <c r="A707" t="s">
        <v>1145</v>
      </c>
      <c r="B707" t="s">
        <v>1140</v>
      </c>
      <c r="C707" t="s">
        <v>1141</v>
      </c>
      <c r="D707" s="2">
        <v>45900</v>
      </c>
      <c r="E707">
        <v>30</v>
      </c>
      <c r="F707">
        <v>5</v>
      </c>
    </row>
    <row r="708" spans="1:6" x14ac:dyDescent="0.25">
      <c r="A708" t="s">
        <v>1146</v>
      </c>
      <c r="B708" t="s">
        <v>1140</v>
      </c>
      <c r="C708" t="s">
        <v>1141</v>
      </c>
      <c r="D708" s="2">
        <v>45927</v>
      </c>
      <c r="E708">
        <v>30</v>
      </c>
      <c r="F708">
        <v>6</v>
      </c>
    </row>
    <row r="709" spans="1:6" x14ac:dyDescent="0.25">
      <c r="A709" t="s">
        <v>1147</v>
      </c>
      <c r="B709" t="s">
        <v>1140</v>
      </c>
      <c r="C709" t="s">
        <v>1141</v>
      </c>
      <c r="D709" s="2">
        <v>45958</v>
      </c>
      <c r="E709">
        <v>30</v>
      </c>
      <c r="F709">
        <v>7</v>
      </c>
    </row>
    <row r="710" spans="1:6" x14ac:dyDescent="0.25">
      <c r="A710" t="s">
        <v>1148</v>
      </c>
      <c r="B710" t="s">
        <v>1149</v>
      </c>
      <c r="C710" t="s">
        <v>1150</v>
      </c>
      <c r="D710" s="2">
        <v>45789</v>
      </c>
      <c r="E710">
        <v>30</v>
      </c>
      <c r="F710">
        <v>1</v>
      </c>
    </row>
    <row r="711" spans="1:6" x14ac:dyDescent="0.25">
      <c r="A711" t="s">
        <v>1151</v>
      </c>
      <c r="B711" t="s">
        <v>1152</v>
      </c>
      <c r="C711" t="s">
        <v>1153</v>
      </c>
      <c r="D711" s="2">
        <v>45925</v>
      </c>
      <c r="E711">
        <v>28</v>
      </c>
      <c r="F711">
        <v>1</v>
      </c>
    </row>
    <row r="712" spans="1:6" x14ac:dyDescent="0.25">
      <c r="A712" t="s">
        <v>1154</v>
      </c>
      <c r="B712" t="s">
        <v>1152</v>
      </c>
      <c r="C712" t="s">
        <v>1153</v>
      </c>
      <c r="D712" s="2">
        <v>45952</v>
      </c>
      <c r="E712">
        <v>28</v>
      </c>
      <c r="F712">
        <v>2</v>
      </c>
    </row>
    <row r="713" spans="1:6" x14ac:dyDescent="0.25">
      <c r="A713" t="s">
        <v>1155</v>
      </c>
      <c r="B713" t="s">
        <v>1156</v>
      </c>
      <c r="C713" t="s">
        <v>1157</v>
      </c>
      <c r="D713" s="2">
        <v>45944</v>
      </c>
      <c r="E713">
        <v>28</v>
      </c>
      <c r="F713">
        <v>1</v>
      </c>
    </row>
    <row r="714" spans="1:6" x14ac:dyDescent="0.25">
      <c r="A714" t="s">
        <v>1158</v>
      </c>
      <c r="B714" t="s">
        <v>1159</v>
      </c>
      <c r="C714" t="s">
        <v>1160</v>
      </c>
      <c r="D714" s="2">
        <v>45924</v>
      </c>
      <c r="E714">
        <v>21</v>
      </c>
      <c r="F714">
        <v>1</v>
      </c>
    </row>
    <row r="715" spans="1:6" x14ac:dyDescent="0.25">
      <c r="A715" t="s">
        <v>1161</v>
      </c>
      <c r="B715" t="s">
        <v>1159</v>
      </c>
      <c r="C715" t="s">
        <v>1160</v>
      </c>
      <c r="D715" s="2">
        <v>45945</v>
      </c>
      <c r="E715">
        <v>21</v>
      </c>
      <c r="F715">
        <v>2</v>
      </c>
    </row>
    <row r="716" spans="1:6" x14ac:dyDescent="0.25">
      <c r="A716" t="s">
        <v>1162</v>
      </c>
      <c r="B716" t="s">
        <v>1163</v>
      </c>
      <c r="C716" t="s">
        <v>1164</v>
      </c>
      <c r="D716" s="2">
        <v>45936</v>
      </c>
      <c r="E716">
        <v>30</v>
      </c>
      <c r="F716">
        <v>1</v>
      </c>
    </row>
    <row r="717" spans="1:6" x14ac:dyDescent="0.25">
      <c r="A717" t="s">
        <v>1165</v>
      </c>
      <c r="B717" t="s">
        <v>1166</v>
      </c>
      <c r="C717" t="s">
        <v>1167</v>
      </c>
      <c r="D717" s="2">
        <v>45785</v>
      </c>
      <c r="E717">
        <v>56</v>
      </c>
      <c r="F717">
        <v>1</v>
      </c>
    </row>
    <row r="718" spans="1:6" x14ac:dyDescent="0.25">
      <c r="A718" t="s">
        <v>1168</v>
      </c>
      <c r="B718" t="s">
        <v>1166</v>
      </c>
      <c r="C718" t="s">
        <v>1167</v>
      </c>
      <c r="D718" s="2">
        <v>45838</v>
      </c>
      <c r="E718">
        <v>56</v>
      </c>
      <c r="F718">
        <v>2</v>
      </c>
    </row>
    <row r="719" spans="1:6" x14ac:dyDescent="0.25">
      <c r="A719" t="s">
        <v>1169</v>
      </c>
      <c r="B719" t="s">
        <v>1166</v>
      </c>
      <c r="C719" t="s">
        <v>1167</v>
      </c>
      <c r="D719" s="2">
        <v>45893</v>
      </c>
      <c r="E719">
        <v>56</v>
      </c>
      <c r="F719">
        <v>3</v>
      </c>
    </row>
    <row r="720" spans="1:6" x14ac:dyDescent="0.25">
      <c r="A720" t="s">
        <v>1170</v>
      </c>
      <c r="B720" t="s">
        <v>1166</v>
      </c>
      <c r="C720" t="s">
        <v>1167</v>
      </c>
      <c r="D720" s="2">
        <v>45952</v>
      </c>
      <c r="E720">
        <v>56</v>
      </c>
      <c r="F720">
        <v>4</v>
      </c>
    </row>
    <row r="721" spans="1:6" x14ac:dyDescent="0.25">
      <c r="A721" t="s">
        <v>1171</v>
      </c>
      <c r="B721" t="s">
        <v>1172</v>
      </c>
      <c r="C721" t="s">
        <v>1173</v>
      </c>
      <c r="D721" s="2">
        <v>45938</v>
      </c>
      <c r="E721">
        <v>21</v>
      </c>
      <c r="F721">
        <v>1</v>
      </c>
    </row>
    <row r="722" spans="1:6" x14ac:dyDescent="0.25">
      <c r="A722" t="s">
        <v>1174</v>
      </c>
      <c r="B722" t="s">
        <v>1172</v>
      </c>
      <c r="C722" t="s">
        <v>1173</v>
      </c>
      <c r="D722" s="2">
        <v>45961</v>
      </c>
      <c r="E722">
        <v>21</v>
      </c>
      <c r="F722">
        <v>2</v>
      </c>
    </row>
    <row r="723" spans="1:6" x14ac:dyDescent="0.25">
      <c r="A723" t="s">
        <v>1175</v>
      </c>
      <c r="B723" t="s">
        <v>1176</v>
      </c>
      <c r="C723" t="s">
        <v>1177</v>
      </c>
      <c r="D723" s="2">
        <v>45852</v>
      </c>
      <c r="E723">
        <v>28</v>
      </c>
      <c r="F723">
        <v>1</v>
      </c>
    </row>
    <row r="724" spans="1:6" x14ac:dyDescent="0.25">
      <c r="A724" t="s">
        <v>1178</v>
      </c>
      <c r="B724" t="s">
        <v>1176</v>
      </c>
      <c r="C724" t="s">
        <v>1177</v>
      </c>
      <c r="D724" s="2">
        <v>45883</v>
      </c>
      <c r="E724">
        <v>28</v>
      </c>
      <c r="F724">
        <v>2</v>
      </c>
    </row>
    <row r="725" spans="1:6" x14ac:dyDescent="0.25">
      <c r="A725" t="s">
        <v>1179</v>
      </c>
      <c r="B725" t="s">
        <v>1176</v>
      </c>
      <c r="C725" t="s">
        <v>1177</v>
      </c>
      <c r="D725" s="2">
        <v>45908</v>
      </c>
      <c r="E725">
        <v>28</v>
      </c>
      <c r="F725">
        <v>3</v>
      </c>
    </row>
    <row r="726" spans="1:6" x14ac:dyDescent="0.25">
      <c r="A726" t="s">
        <v>1180</v>
      </c>
      <c r="B726" t="s">
        <v>1176</v>
      </c>
      <c r="C726" t="s">
        <v>1177</v>
      </c>
      <c r="D726" s="2">
        <v>45939</v>
      </c>
      <c r="E726">
        <v>28</v>
      </c>
      <c r="F726">
        <v>4</v>
      </c>
    </row>
    <row r="727" spans="1:6" x14ac:dyDescent="0.25">
      <c r="A727" t="s">
        <v>1181</v>
      </c>
      <c r="B727" t="s">
        <v>1182</v>
      </c>
      <c r="C727" t="s">
        <v>1183</v>
      </c>
      <c r="D727" s="2">
        <v>45855</v>
      </c>
      <c r="E727">
        <v>28</v>
      </c>
      <c r="F727">
        <v>1</v>
      </c>
    </row>
    <row r="728" spans="1:6" x14ac:dyDescent="0.25">
      <c r="A728" t="s">
        <v>1184</v>
      </c>
      <c r="B728" t="s">
        <v>1182</v>
      </c>
      <c r="C728" t="s">
        <v>1183</v>
      </c>
      <c r="D728" s="2">
        <v>45881</v>
      </c>
      <c r="E728">
        <v>28</v>
      </c>
      <c r="F728">
        <v>2</v>
      </c>
    </row>
    <row r="729" spans="1:6" x14ac:dyDescent="0.25">
      <c r="A729" t="s">
        <v>1185</v>
      </c>
      <c r="B729" t="s">
        <v>1182</v>
      </c>
      <c r="C729" t="s">
        <v>1183</v>
      </c>
      <c r="D729" s="2">
        <v>45908</v>
      </c>
      <c r="E729">
        <v>28</v>
      </c>
      <c r="F729">
        <v>3</v>
      </c>
    </row>
    <row r="730" spans="1:6" x14ac:dyDescent="0.25">
      <c r="A730" t="s">
        <v>1186</v>
      </c>
      <c r="B730" t="s">
        <v>1182</v>
      </c>
      <c r="C730" t="s">
        <v>1183</v>
      </c>
      <c r="D730" s="2">
        <v>45936</v>
      </c>
      <c r="E730">
        <v>28</v>
      </c>
      <c r="F730">
        <v>4</v>
      </c>
    </row>
    <row r="731" spans="1:6" x14ac:dyDescent="0.25">
      <c r="A731" t="s">
        <v>1187</v>
      </c>
      <c r="B731" t="s">
        <v>1188</v>
      </c>
      <c r="C731" t="s">
        <v>1189</v>
      </c>
      <c r="D731" s="2">
        <v>45840</v>
      </c>
      <c r="E731">
        <v>28</v>
      </c>
      <c r="F731">
        <v>1</v>
      </c>
    </row>
    <row r="732" spans="1:6" x14ac:dyDescent="0.25">
      <c r="A732" t="s">
        <v>1190</v>
      </c>
      <c r="B732" t="s">
        <v>1188</v>
      </c>
      <c r="C732" t="s">
        <v>1189</v>
      </c>
      <c r="D732" s="2">
        <v>45870</v>
      </c>
      <c r="E732">
        <v>28</v>
      </c>
      <c r="F732">
        <v>2</v>
      </c>
    </row>
    <row r="733" spans="1:6" x14ac:dyDescent="0.25">
      <c r="A733" t="s">
        <v>1191</v>
      </c>
      <c r="B733" t="s">
        <v>1188</v>
      </c>
      <c r="C733" t="s">
        <v>1189</v>
      </c>
      <c r="D733" s="2">
        <v>45897</v>
      </c>
      <c r="E733">
        <v>28</v>
      </c>
      <c r="F733">
        <v>3</v>
      </c>
    </row>
    <row r="734" spans="1:6" x14ac:dyDescent="0.25">
      <c r="A734" t="s">
        <v>1192</v>
      </c>
      <c r="B734" t="s">
        <v>1188</v>
      </c>
      <c r="C734" t="s">
        <v>1189</v>
      </c>
      <c r="D734" s="2">
        <v>45924</v>
      </c>
      <c r="E734">
        <v>28</v>
      </c>
      <c r="F734">
        <v>4</v>
      </c>
    </row>
    <row r="735" spans="1:6" x14ac:dyDescent="0.25">
      <c r="A735" t="s">
        <v>1193</v>
      </c>
      <c r="B735" t="s">
        <v>1188</v>
      </c>
      <c r="C735" t="s">
        <v>1189</v>
      </c>
      <c r="D735" s="2">
        <v>45949</v>
      </c>
      <c r="E735">
        <v>28</v>
      </c>
      <c r="F735">
        <v>5</v>
      </c>
    </row>
    <row r="736" spans="1:6" x14ac:dyDescent="0.25">
      <c r="A736" t="s">
        <v>1194</v>
      </c>
      <c r="B736" t="s">
        <v>1195</v>
      </c>
      <c r="C736" t="s">
        <v>1196</v>
      </c>
      <c r="D736" s="2">
        <v>45953</v>
      </c>
      <c r="E736">
        <v>21</v>
      </c>
      <c r="F736">
        <v>1</v>
      </c>
    </row>
    <row r="737" spans="1:6" x14ac:dyDescent="0.25">
      <c r="A737" t="s">
        <v>1197</v>
      </c>
      <c r="B737" t="s">
        <v>1198</v>
      </c>
      <c r="C737" t="s">
        <v>1199</v>
      </c>
      <c r="D737" s="2">
        <v>45854</v>
      </c>
      <c r="E737">
        <v>28</v>
      </c>
      <c r="F737">
        <v>1</v>
      </c>
    </row>
    <row r="738" spans="1:6" x14ac:dyDescent="0.25">
      <c r="A738" t="s">
        <v>1200</v>
      </c>
      <c r="B738" t="s">
        <v>1198</v>
      </c>
      <c r="C738" t="s">
        <v>1199</v>
      </c>
      <c r="D738" s="2">
        <v>45882</v>
      </c>
      <c r="E738">
        <v>28</v>
      </c>
      <c r="F738">
        <v>2</v>
      </c>
    </row>
    <row r="739" spans="1:6" x14ac:dyDescent="0.25">
      <c r="A739" t="s">
        <v>1201</v>
      </c>
      <c r="B739" t="s">
        <v>1198</v>
      </c>
      <c r="C739" t="s">
        <v>1199</v>
      </c>
      <c r="D739" s="2">
        <v>45913</v>
      </c>
      <c r="E739">
        <v>28</v>
      </c>
      <c r="F739">
        <v>3</v>
      </c>
    </row>
    <row r="740" spans="1:6" x14ac:dyDescent="0.25">
      <c r="A740" t="s">
        <v>1202</v>
      </c>
      <c r="B740" t="s">
        <v>1198</v>
      </c>
      <c r="C740" t="s">
        <v>1199</v>
      </c>
      <c r="D740" s="2">
        <v>45944</v>
      </c>
      <c r="E740">
        <v>28</v>
      </c>
      <c r="F740">
        <v>4</v>
      </c>
    </row>
    <row r="741" spans="1:6" x14ac:dyDescent="0.25">
      <c r="A741" t="s">
        <v>1203</v>
      </c>
      <c r="B741" t="s">
        <v>1204</v>
      </c>
      <c r="C741" t="s">
        <v>1205</v>
      </c>
      <c r="D741" s="2">
        <v>45796</v>
      </c>
      <c r="E741">
        <v>28</v>
      </c>
      <c r="F741">
        <v>1</v>
      </c>
    </row>
    <row r="742" spans="1:6" x14ac:dyDescent="0.25">
      <c r="A742" t="s">
        <v>1206</v>
      </c>
      <c r="B742" t="s">
        <v>1204</v>
      </c>
      <c r="C742" t="s">
        <v>1205</v>
      </c>
      <c r="D742" s="2">
        <v>45827</v>
      </c>
      <c r="E742">
        <v>28</v>
      </c>
      <c r="F742">
        <v>2</v>
      </c>
    </row>
    <row r="743" spans="1:6" x14ac:dyDescent="0.25">
      <c r="A743" t="s">
        <v>1207</v>
      </c>
      <c r="B743" t="s">
        <v>1204</v>
      </c>
      <c r="C743" t="s">
        <v>1205</v>
      </c>
      <c r="D743" s="2">
        <v>45852</v>
      </c>
      <c r="E743">
        <v>28</v>
      </c>
      <c r="F743">
        <v>3</v>
      </c>
    </row>
    <row r="744" spans="1:6" x14ac:dyDescent="0.25">
      <c r="A744" t="s">
        <v>1208</v>
      </c>
      <c r="B744" t="s">
        <v>1204</v>
      </c>
      <c r="C744" t="s">
        <v>1205</v>
      </c>
      <c r="D744" s="2">
        <v>45882</v>
      </c>
      <c r="E744">
        <v>28</v>
      </c>
      <c r="F744">
        <v>4</v>
      </c>
    </row>
    <row r="745" spans="1:6" x14ac:dyDescent="0.25">
      <c r="A745" t="s">
        <v>1209</v>
      </c>
      <c r="B745" t="s">
        <v>1204</v>
      </c>
      <c r="C745" t="s">
        <v>1205</v>
      </c>
      <c r="D745" s="2">
        <v>45907</v>
      </c>
      <c r="E745">
        <v>28</v>
      </c>
      <c r="F745">
        <v>5</v>
      </c>
    </row>
    <row r="746" spans="1:6" x14ac:dyDescent="0.25">
      <c r="A746" t="s">
        <v>1210</v>
      </c>
      <c r="B746" t="s">
        <v>1204</v>
      </c>
      <c r="C746" t="s">
        <v>1205</v>
      </c>
      <c r="D746" s="2">
        <v>45938</v>
      </c>
      <c r="E746">
        <v>28</v>
      </c>
      <c r="F746">
        <v>6</v>
      </c>
    </row>
    <row r="747" spans="1:6" x14ac:dyDescent="0.25">
      <c r="A747" t="s">
        <v>1211</v>
      </c>
      <c r="B747" t="s">
        <v>1212</v>
      </c>
      <c r="C747" t="s">
        <v>1213</v>
      </c>
      <c r="D747" s="2">
        <v>45793</v>
      </c>
      <c r="E747">
        <v>28</v>
      </c>
      <c r="F747">
        <v>1</v>
      </c>
    </row>
    <row r="748" spans="1:6" x14ac:dyDescent="0.25">
      <c r="A748" t="s">
        <v>1214</v>
      </c>
      <c r="B748" t="s">
        <v>1212</v>
      </c>
      <c r="C748" t="s">
        <v>1213</v>
      </c>
      <c r="D748" s="2">
        <v>45822</v>
      </c>
      <c r="E748">
        <v>28</v>
      </c>
      <c r="F748">
        <v>2</v>
      </c>
    </row>
    <row r="749" spans="1:6" x14ac:dyDescent="0.25">
      <c r="A749" t="s">
        <v>1215</v>
      </c>
      <c r="B749" t="s">
        <v>1212</v>
      </c>
      <c r="C749" t="s">
        <v>1213</v>
      </c>
      <c r="D749" s="2">
        <v>45853</v>
      </c>
      <c r="E749">
        <v>28</v>
      </c>
      <c r="F749">
        <v>3</v>
      </c>
    </row>
    <row r="750" spans="1:6" x14ac:dyDescent="0.25">
      <c r="A750" t="s">
        <v>1216</v>
      </c>
      <c r="B750" t="s">
        <v>1212</v>
      </c>
      <c r="C750" t="s">
        <v>1213</v>
      </c>
      <c r="D750" s="2">
        <v>45883</v>
      </c>
      <c r="E750">
        <v>28</v>
      </c>
      <c r="F750">
        <v>4</v>
      </c>
    </row>
    <row r="751" spans="1:6" x14ac:dyDescent="0.25">
      <c r="A751" t="s">
        <v>1217</v>
      </c>
      <c r="B751" t="s">
        <v>1212</v>
      </c>
      <c r="C751" t="s">
        <v>1213</v>
      </c>
      <c r="D751" s="2">
        <v>45909</v>
      </c>
      <c r="E751">
        <v>28</v>
      </c>
      <c r="F751">
        <v>5</v>
      </c>
    </row>
    <row r="752" spans="1:6" x14ac:dyDescent="0.25">
      <c r="A752" t="s">
        <v>1218</v>
      </c>
      <c r="B752" t="s">
        <v>1212</v>
      </c>
      <c r="C752" t="s">
        <v>1213</v>
      </c>
      <c r="D752" s="2">
        <v>45937</v>
      </c>
      <c r="E752">
        <v>28</v>
      </c>
      <c r="F752">
        <v>6</v>
      </c>
    </row>
    <row r="753" spans="1:6" x14ac:dyDescent="0.25">
      <c r="A753" t="s">
        <v>1219</v>
      </c>
      <c r="B753" t="s">
        <v>1220</v>
      </c>
      <c r="C753" t="s">
        <v>1221</v>
      </c>
      <c r="D753" s="2">
        <v>45890</v>
      </c>
      <c r="E753">
        <v>28</v>
      </c>
      <c r="F753">
        <v>1</v>
      </c>
    </row>
    <row r="754" spans="1:6" x14ac:dyDescent="0.25">
      <c r="A754" t="s">
        <v>1222</v>
      </c>
      <c r="B754" t="s">
        <v>1220</v>
      </c>
      <c r="C754" t="s">
        <v>1221</v>
      </c>
      <c r="D754" s="2">
        <v>45915</v>
      </c>
      <c r="E754">
        <v>28</v>
      </c>
      <c r="F754">
        <v>2</v>
      </c>
    </row>
    <row r="755" spans="1:6" x14ac:dyDescent="0.25">
      <c r="A755" t="s">
        <v>1223</v>
      </c>
      <c r="B755" t="s">
        <v>1220</v>
      </c>
      <c r="C755" t="s">
        <v>1221</v>
      </c>
      <c r="D755" s="2">
        <v>45945</v>
      </c>
      <c r="E755">
        <v>28</v>
      </c>
      <c r="F755">
        <v>3</v>
      </c>
    </row>
    <row r="756" spans="1:6" x14ac:dyDescent="0.25">
      <c r="A756" t="s">
        <v>1224</v>
      </c>
      <c r="B756" t="s">
        <v>1225</v>
      </c>
      <c r="C756" t="s">
        <v>1226</v>
      </c>
      <c r="D756" s="2">
        <v>45901</v>
      </c>
      <c r="E756">
        <v>28</v>
      </c>
      <c r="F756">
        <v>1</v>
      </c>
    </row>
    <row r="757" spans="1:6" x14ac:dyDescent="0.25">
      <c r="A757" t="s">
        <v>1227</v>
      </c>
      <c r="B757" t="s">
        <v>1225</v>
      </c>
      <c r="C757" t="s">
        <v>1226</v>
      </c>
      <c r="D757" s="2">
        <v>45927</v>
      </c>
      <c r="E757">
        <v>28</v>
      </c>
      <c r="F757">
        <v>2</v>
      </c>
    </row>
    <row r="758" spans="1:6" x14ac:dyDescent="0.25">
      <c r="A758" t="s">
        <v>1228</v>
      </c>
      <c r="B758" t="s">
        <v>1225</v>
      </c>
      <c r="C758" t="s">
        <v>1226</v>
      </c>
      <c r="D758" s="2">
        <v>45955</v>
      </c>
      <c r="E758">
        <v>28</v>
      </c>
      <c r="F758">
        <v>3</v>
      </c>
    </row>
    <row r="759" spans="1:6" x14ac:dyDescent="0.25">
      <c r="A759" t="s">
        <v>1229</v>
      </c>
      <c r="B759" t="s">
        <v>1230</v>
      </c>
      <c r="C759" t="s">
        <v>1231</v>
      </c>
      <c r="D759" s="2">
        <v>45830</v>
      </c>
      <c r="E759">
        <v>21</v>
      </c>
      <c r="F759">
        <v>1</v>
      </c>
    </row>
    <row r="760" spans="1:6" x14ac:dyDescent="0.25">
      <c r="A760" t="s">
        <v>1232</v>
      </c>
      <c r="B760" t="s">
        <v>1230</v>
      </c>
      <c r="C760" t="s">
        <v>1231</v>
      </c>
      <c r="D760" s="2">
        <v>45848</v>
      </c>
      <c r="E760">
        <v>21</v>
      </c>
      <c r="F760">
        <v>2</v>
      </c>
    </row>
    <row r="761" spans="1:6" x14ac:dyDescent="0.25">
      <c r="A761" t="s">
        <v>1233</v>
      </c>
      <c r="B761" t="s">
        <v>1230</v>
      </c>
      <c r="C761" t="s">
        <v>1231</v>
      </c>
      <c r="D761" s="2">
        <v>45868</v>
      </c>
      <c r="E761">
        <v>21</v>
      </c>
      <c r="F761">
        <v>3</v>
      </c>
    </row>
    <row r="762" spans="1:6" x14ac:dyDescent="0.25">
      <c r="A762" t="s">
        <v>1234</v>
      </c>
      <c r="B762" t="s">
        <v>1230</v>
      </c>
      <c r="C762" t="s">
        <v>1231</v>
      </c>
      <c r="D762" s="2">
        <v>45888</v>
      </c>
      <c r="E762">
        <v>21</v>
      </c>
      <c r="F762">
        <v>4</v>
      </c>
    </row>
    <row r="763" spans="1:6" x14ac:dyDescent="0.25">
      <c r="A763" t="s">
        <v>1235</v>
      </c>
      <c r="B763" t="s">
        <v>1230</v>
      </c>
      <c r="C763" t="s">
        <v>1231</v>
      </c>
      <c r="D763" s="2">
        <v>45911</v>
      </c>
      <c r="E763">
        <v>21</v>
      </c>
      <c r="F763">
        <v>5</v>
      </c>
    </row>
    <row r="764" spans="1:6" x14ac:dyDescent="0.25">
      <c r="A764" t="s">
        <v>1236</v>
      </c>
      <c r="B764" t="s">
        <v>1230</v>
      </c>
      <c r="C764" t="s">
        <v>1231</v>
      </c>
      <c r="D764" s="2">
        <v>45934</v>
      </c>
      <c r="E764">
        <v>21</v>
      </c>
      <c r="F764">
        <v>6</v>
      </c>
    </row>
    <row r="765" spans="1:6" x14ac:dyDescent="0.25">
      <c r="A765" t="s">
        <v>1237</v>
      </c>
      <c r="B765" t="s">
        <v>1230</v>
      </c>
      <c r="C765" t="s">
        <v>1231</v>
      </c>
      <c r="D765" s="2">
        <v>45958</v>
      </c>
      <c r="E765">
        <v>21</v>
      </c>
      <c r="F765">
        <v>7</v>
      </c>
    </row>
    <row r="766" spans="1:6" x14ac:dyDescent="0.25">
      <c r="A766" t="s">
        <v>1238</v>
      </c>
      <c r="B766" t="s">
        <v>1239</v>
      </c>
      <c r="C766" t="s">
        <v>1240</v>
      </c>
      <c r="D766" s="2">
        <v>45933</v>
      </c>
      <c r="E766">
        <v>30</v>
      </c>
      <c r="F766">
        <v>1</v>
      </c>
    </row>
    <row r="767" spans="1:6" x14ac:dyDescent="0.25">
      <c r="A767" t="s">
        <v>1241</v>
      </c>
      <c r="B767" t="s">
        <v>1242</v>
      </c>
      <c r="C767" t="s">
        <v>1243</v>
      </c>
      <c r="D767" s="2">
        <v>45858</v>
      </c>
      <c r="E767">
        <v>28</v>
      </c>
      <c r="F767">
        <v>1</v>
      </c>
    </row>
    <row r="768" spans="1:6" x14ac:dyDescent="0.25">
      <c r="A768" t="s">
        <v>1244</v>
      </c>
      <c r="B768" t="s">
        <v>1242</v>
      </c>
      <c r="C768" t="s">
        <v>1243</v>
      </c>
      <c r="D768" s="2">
        <v>45888</v>
      </c>
      <c r="E768">
        <v>28</v>
      </c>
      <c r="F768">
        <v>2</v>
      </c>
    </row>
    <row r="769" spans="1:6" x14ac:dyDescent="0.25">
      <c r="A769" t="s">
        <v>1245</v>
      </c>
      <c r="B769" t="s">
        <v>1242</v>
      </c>
      <c r="C769" t="s">
        <v>1243</v>
      </c>
      <c r="D769" s="2">
        <v>45915</v>
      </c>
      <c r="E769">
        <v>28</v>
      </c>
      <c r="F769">
        <v>3</v>
      </c>
    </row>
    <row r="770" spans="1:6" x14ac:dyDescent="0.25">
      <c r="A770" t="s">
        <v>1246</v>
      </c>
      <c r="B770" t="s">
        <v>1242</v>
      </c>
      <c r="C770" t="s">
        <v>1243</v>
      </c>
      <c r="D770" s="2">
        <v>45944</v>
      </c>
      <c r="E770">
        <v>28</v>
      </c>
      <c r="F770">
        <v>4</v>
      </c>
    </row>
    <row r="771" spans="1:6" x14ac:dyDescent="0.25">
      <c r="A771" t="s">
        <v>1247</v>
      </c>
      <c r="B771" t="s">
        <v>1248</v>
      </c>
      <c r="C771" t="s">
        <v>1249</v>
      </c>
      <c r="D771" s="2">
        <v>45859</v>
      </c>
      <c r="E771">
        <v>28</v>
      </c>
      <c r="F771">
        <v>1</v>
      </c>
    </row>
    <row r="772" spans="1:6" x14ac:dyDescent="0.25">
      <c r="A772" t="s">
        <v>1250</v>
      </c>
      <c r="B772" t="s">
        <v>1248</v>
      </c>
      <c r="C772" t="s">
        <v>1249</v>
      </c>
      <c r="D772" s="2">
        <v>45884</v>
      </c>
      <c r="E772">
        <v>28</v>
      </c>
      <c r="F772">
        <v>2</v>
      </c>
    </row>
    <row r="773" spans="1:6" x14ac:dyDescent="0.25">
      <c r="A773" t="s">
        <v>1251</v>
      </c>
      <c r="B773" t="s">
        <v>1248</v>
      </c>
      <c r="C773" t="s">
        <v>1249</v>
      </c>
      <c r="D773" s="2">
        <v>45914</v>
      </c>
      <c r="E773">
        <v>28</v>
      </c>
      <c r="F773">
        <v>3</v>
      </c>
    </row>
    <row r="774" spans="1:6" x14ac:dyDescent="0.25">
      <c r="A774" t="s">
        <v>1252</v>
      </c>
      <c r="B774" t="s">
        <v>1248</v>
      </c>
      <c r="C774" t="s">
        <v>1249</v>
      </c>
      <c r="D774" s="2">
        <v>45940</v>
      </c>
      <c r="E774">
        <v>28</v>
      </c>
      <c r="F774">
        <v>4</v>
      </c>
    </row>
    <row r="775" spans="1:6" x14ac:dyDescent="0.25">
      <c r="A775" t="s">
        <v>1253</v>
      </c>
      <c r="B775" t="s">
        <v>1254</v>
      </c>
      <c r="C775" t="s">
        <v>1255</v>
      </c>
      <c r="D775" s="2">
        <v>45866</v>
      </c>
      <c r="E775">
        <v>28</v>
      </c>
      <c r="F775">
        <v>1</v>
      </c>
    </row>
    <row r="776" spans="1:6" x14ac:dyDescent="0.25">
      <c r="A776" t="s">
        <v>1256</v>
      </c>
      <c r="B776" t="s">
        <v>1254</v>
      </c>
      <c r="C776" t="s">
        <v>1255</v>
      </c>
      <c r="D776" s="2">
        <v>45896</v>
      </c>
      <c r="E776">
        <v>28</v>
      </c>
      <c r="F776">
        <v>2</v>
      </c>
    </row>
    <row r="777" spans="1:6" x14ac:dyDescent="0.25">
      <c r="A777" t="s">
        <v>1257</v>
      </c>
      <c r="B777" t="s">
        <v>1254</v>
      </c>
      <c r="C777" t="s">
        <v>1255</v>
      </c>
      <c r="D777" s="2">
        <v>45924</v>
      </c>
      <c r="E777">
        <v>28</v>
      </c>
      <c r="F777">
        <v>3</v>
      </c>
    </row>
    <row r="778" spans="1:6" x14ac:dyDescent="0.25">
      <c r="A778" t="s">
        <v>1258</v>
      </c>
      <c r="B778" t="s">
        <v>1254</v>
      </c>
      <c r="C778" t="s">
        <v>1255</v>
      </c>
      <c r="D778" s="2">
        <v>45955</v>
      </c>
      <c r="E778">
        <v>28</v>
      </c>
      <c r="F778">
        <v>4</v>
      </c>
    </row>
    <row r="779" spans="1:6" x14ac:dyDescent="0.25">
      <c r="A779" t="s">
        <v>1259</v>
      </c>
      <c r="B779" t="s">
        <v>1260</v>
      </c>
      <c r="C779" t="s">
        <v>1261</v>
      </c>
      <c r="D779" s="2">
        <v>45811</v>
      </c>
      <c r="E779">
        <v>28</v>
      </c>
      <c r="F779">
        <v>1</v>
      </c>
    </row>
    <row r="780" spans="1:6" x14ac:dyDescent="0.25">
      <c r="A780" t="s">
        <v>1262</v>
      </c>
      <c r="B780" t="s">
        <v>1260</v>
      </c>
      <c r="C780" t="s">
        <v>1261</v>
      </c>
      <c r="D780" s="2">
        <v>45840</v>
      </c>
      <c r="E780">
        <v>28</v>
      </c>
      <c r="F780">
        <v>2</v>
      </c>
    </row>
    <row r="781" spans="1:6" x14ac:dyDescent="0.25">
      <c r="A781" t="s">
        <v>1263</v>
      </c>
      <c r="B781" t="s">
        <v>1260</v>
      </c>
      <c r="C781" t="s">
        <v>1261</v>
      </c>
      <c r="D781" s="2">
        <v>45865</v>
      </c>
      <c r="E781">
        <v>28</v>
      </c>
      <c r="F781">
        <v>3</v>
      </c>
    </row>
    <row r="782" spans="1:6" x14ac:dyDescent="0.25">
      <c r="A782" t="s">
        <v>1264</v>
      </c>
      <c r="B782" t="s">
        <v>1260</v>
      </c>
      <c r="C782" t="s">
        <v>1261</v>
      </c>
      <c r="D782" s="2">
        <v>45891</v>
      </c>
      <c r="E782">
        <v>28</v>
      </c>
      <c r="F782">
        <v>4</v>
      </c>
    </row>
    <row r="783" spans="1:6" x14ac:dyDescent="0.25">
      <c r="A783" t="s">
        <v>1265</v>
      </c>
      <c r="B783" t="s">
        <v>1260</v>
      </c>
      <c r="C783" t="s">
        <v>1261</v>
      </c>
      <c r="D783" s="2">
        <v>45922</v>
      </c>
      <c r="E783">
        <v>28</v>
      </c>
      <c r="F783">
        <v>5</v>
      </c>
    </row>
    <row r="784" spans="1:6" x14ac:dyDescent="0.25">
      <c r="A784" t="s">
        <v>1266</v>
      </c>
      <c r="B784" t="s">
        <v>1260</v>
      </c>
      <c r="C784" t="s">
        <v>1261</v>
      </c>
      <c r="D784" s="2">
        <v>45953</v>
      </c>
      <c r="E784">
        <v>28</v>
      </c>
      <c r="F784">
        <v>6</v>
      </c>
    </row>
    <row r="785" spans="1:6" x14ac:dyDescent="0.25">
      <c r="A785" t="s">
        <v>1267</v>
      </c>
      <c r="B785" t="s">
        <v>1268</v>
      </c>
      <c r="C785" t="s">
        <v>1269</v>
      </c>
      <c r="D785" s="2">
        <v>45872</v>
      </c>
      <c r="E785">
        <v>30</v>
      </c>
      <c r="F785">
        <v>1</v>
      </c>
    </row>
    <row r="786" spans="1:6" x14ac:dyDescent="0.25">
      <c r="A786" t="s">
        <v>1270</v>
      </c>
      <c r="B786" t="s">
        <v>1268</v>
      </c>
      <c r="C786" t="s">
        <v>1269</v>
      </c>
      <c r="D786" s="2">
        <v>45899</v>
      </c>
      <c r="E786">
        <v>30</v>
      </c>
      <c r="F786">
        <v>2</v>
      </c>
    </row>
    <row r="787" spans="1:6" x14ac:dyDescent="0.25">
      <c r="A787" t="s">
        <v>1271</v>
      </c>
      <c r="B787" t="s">
        <v>1268</v>
      </c>
      <c r="C787" t="s">
        <v>1269</v>
      </c>
      <c r="D787" s="2">
        <v>45929</v>
      </c>
      <c r="E787">
        <v>30</v>
      </c>
      <c r="F787">
        <v>3</v>
      </c>
    </row>
    <row r="788" spans="1:6" x14ac:dyDescent="0.25">
      <c r="A788" t="s">
        <v>1272</v>
      </c>
      <c r="B788" t="s">
        <v>1268</v>
      </c>
      <c r="C788" t="s">
        <v>1269</v>
      </c>
      <c r="D788" s="2">
        <v>45957</v>
      </c>
      <c r="E788">
        <v>30</v>
      </c>
      <c r="F788">
        <v>4</v>
      </c>
    </row>
    <row r="789" spans="1:6" x14ac:dyDescent="0.25">
      <c r="A789" t="s">
        <v>1273</v>
      </c>
      <c r="B789" t="s">
        <v>1274</v>
      </c>
      <c r="C789" t="s">
        <v>1275</v>
      </c>
      <c r="D789" s="2">
        <v>45921</v>
      </c>
      <c r="E789">
        <v>28</v>
      </c>
      <c r="F789">
        <v>1</v>
      </c>
    </row>
    <row r="790" spans="1:6" x14ac:dyDescent="0.25">
      <c r="A790" t="s">
        <v>1276</v>
      </c>
      <c r="B790" t="s">
        <v>1274</v>
      </c>
      <c r="C790" t="s">
        <v>1275</v>
      </c>
      <c r="D790" s="2">
        <v>45947</v>
      </c>
      <c r="E790">
        <v>28</v>
      </c>
      <c r="F790">
        <v>2</v>
      </c>
    </row>
    <row r="791" spans="1:6" x14ac:dyDescent="0.25">
      <c r="A791" t="s">
        <v>1277</v>
      </c>
      <c r="B791" t="s">
        <v>1278</v>
      </c>
      <c r="C791" t="s">
        <v>1279</v>
      </c>
      <c r="D791" s="2">
        <v>45859</v>
      </c>
      <c r="E791">
        <v>21</v>
      </c>
      <c r="F791">
        <v>1</v>
      </c>
    </row>
    <row r="792" spans="1:6" x14ac:dyDescent="0.25">
      <c r="A792" t="s">
        <v>1280</v>
      </c>
      <c r="B792" t="s">
        <v>1278</v>
      </c>
      <c r="C792" t="s">
        <v>1279</v>
      </c>
      <c r="D792" s="2">
        <v>45883</v>
      </c>
      <c r="E792">
        <v>21</v>
      </c>
      <c r="F792">
        <v>2</v>
      </c>
    </row>
    <row r="793" spans="1:6" x14ac:dyDescent="0.25">
      <c r="A793" t="s">
        <v>1281</v>
      </c>
      <c r="B793" t="s">
        <v>1278</v>
      </c>
      <c r="C793" t="s">
        <v>1279</v>
      </c>
      <c r="D793" s="2">
        <v>45901</v>
      </c>
      <c r="E793">
        <v>21</v>
      </c>
      <c r="F793">
        <v>3</v>
      </c>
    </row>
    <row r="794" spans="1:6" x14ac:dyDescent="0.25">
      <c r="A794" t="s">
        <v>1282</v>
      </c>
      <c r="B794" t="s">
        <v>1278</v>
      </c>
      <c r="C794" t="s">
        <v>1279</v>
      </c>
      <c r="D794" s="2">
        <v>45922</v>
      </c>
      <c r="E794">
        <v>21</v>
      </c>
      <c r="F794">
        <v>4</v>
      </c>
    </row>
    <row r="795" spans="1:6" x14ac:dyDescent="0.25">
      <c r="A795" t="s">
        <v>1283</v>
      </c>
      <c r="B795" t="s">
        <v>1278</v>
      </c>
      <c r="C795" t="s">
        <v>1279</v>
      </c>
      <c r="D795" s="2">
        <v>45944</v>
      </c>
      <c r="E795">
        <v>21</v>
      </c>
      <c r="F795">
        <v>5</v>
      </c>
    </row>
    <row r="796" spans="1:6" x14ac:dyDescent="0.25">
      <c r="A796" t="s">
        <v>1284</v>
      </c>
      <c r="B796" t="s">
        <v>1285</v>
      </c>
      <c r="C796" t="s">
        <v>1286</v>
      </c>
      <c r="D796" s="2">
        <v>45897</v>
      </c>
      <c r="E796">
        <v>28</v>
      </c>
      <c r="F796">
        <v>1</v>
      </c>
    </row>
    <row r="797" spans="1:6" x14ac:dyDescent="0.25">
      <c r="A797" t="s">
        <v>1287</v>
      </c>
      <c r="B797" t="s">
        <v>1285</v>
      </c>
      <c r="C797" t="s">
        <v>1286</v>
      </c>
      <c r="D797" s="2">
        <v>45925</v>
      </c>
      <c r="E797">
        <v>28</v>
      </c>
      <c r="F797">
        <v>2</v>
      </c>
    </row>
    <row r="798" spans="1:6" x14ac:dyDescent="0.25">
      <c r="A798" t="s">
        <v>1288</v>
      </c>
      <c r="B798" t="s">
        <v>1285</v>
      </c>
      <c r="C798" t="s">
        <v>1286</v>
      </c>
      <c r="D798" s="2">
        <v>45952</v>
      </c>
      <c r="E798">
        <v>28</v>
      </c>
      <c r="F798">
        <v>3</v>
      </c>
    </row>
    <row r="799" spans="1:6" x14ac:dyDescent="0.25">
      <c r="A799" t="s">
        <v>1289</v>
      </c>
      <c r="B799" t="s">
        <v>1290</v>
      </c>
      <c r="C799" t="s">
        <v>1291</v>
      </c>
      <c r="D799" s="2">
        <v>45846</v>
      </c>
      <c r="E799">
        <v>30</v>
      </c>
      <c r="F799">
        <v>1</v>
      </c>
    </row>
    <row r="800" spans="1:6" x14ac:dyDescent="0.25">
      <c r="A800" t="s">
        <v>1292</v>
      </c>
      <c r="B800" t="s">
        <v>1290</v>
      </c>
      <c r="C800" t="s">
        <v>1291</v>
      </c>
      <c r="D800" s="2">
        <v>45873</v>
      </c>
      <c r="E800">
        <v>30</v>
      </c>
      <c r="F800">
        <v>2</v>
      </c>
    </row>
    <row r="801" spans="1:6" x14ac:dyDescent="0.25">
      <c r="A801" t="s">
        <v>1293</v>
      </c>
      <c r="B801" t="s">
        <v>1294</v>
      </c>
      <c r="C801" t="s">
        <v>1295</v>
      </c>
      <c r="D801" s="2">
        <v>45841</v>
      </c>
      <c r="E801">
        <v>28</v>
      </c>
      <c r="F801">
        <v>1</v>
      </c>
    </row>
    <row r="802" spans="1:6" x14ac:dyDescent="0.25">
      <c r="A802" t="s">
        <v>1296</v>
      </c>
      <c r="B802" t="s">
        <v>1294</v>
      </c>
      <c r="C802" t="s">
        <v>1295</v>
      </c>
      <c r="D802" s="2">
        <v>45866</v>
      </c>
      <c r="E802">
        <v>28</v>
      </c>
      <c r="F802">
        <v>2</v>
      </c>
    </row>
    <row r="803" spans="1:6" x14ac:dyDescent="0.25">
      <c r="A803" t="s">
        <v>1297</v>
      </c>
      <c r="B803" t="s">
        <v>1294</v>
      </c>
      <c r="C803" t="s">
        <v>1295</v>
      </c>
      <c r="D803" s="2">
        <v>45895</v>
      </c>
      <c r="E803">
        <v>28</v>
      </c>
      <c r="F803">
        <v>3</v>
      </c>
    </row>
    <row r="804" spans="1:6" x14ac:dyDescent="0.25">
      <c r="A804" t="s">
        <v>1298</v>
      </c>
      <c r="B804" t="s">
        <v>1294</v>
      </c>
      <c r="C804" t="s">
        <v>1295</v>
      </c>
      <c r="D804" s="2">
        <v>45926</v>
      </c>
      <c r="E804">
        <v>28</v>
      </c>
      <c r="F804">
        <v>4</v>
      </c>
    </row>
    <row r="805" spans="1:6" x14ac:dyDescent="0.25">
      <c r="A805" t="s">
        <v>1299</v>
      </c>
      <c r="B805" t="s">
        <v>1294</v>
      </c>
      <c r="C805" t="s">
        <v>1295</v>
      </c>
      <c r="D805" s="2">
        <v>45957</v>
      </c>
      <c r="E805">
        <v>28</v>
      </c>
      <c r="F805">
        <v>5</v>
      </c>
    </row>
    <row r="806" spans="1:6" x14ac:dyDescent="0.25">
      <c r="A806" t="s">
        <v>1300</v>
      </c>
      <c r="B806" t="s">
        <v>1301</v>
      </c>
      <c r="C806" t="s">
        <v>1302</v>
      </c>
      <c r="D806" s="2">
        <v>45802</v>
      </c>
      <c r="E806">
        <v>28</v>
      </c>
      <c r="F806">
        <v>1</v>
      </c>
    </row>
    <row r="807" spans="1:6" x14ac:dyDescent="0.25">
      <c r="A807" t="s">
        <v>1303</v>
      </c>
      <c r="B807" t="s">
        <v>1301</v>
      </c>
      <c r="C807" t="s">
        <v>1302</v>
      </c>
      <c r="D807" s="2">
        <v>45831</v>
      </c>
      <c r="E807">
        <v>28</v>
      </c>
      <c r="F807">
        <v>2</v>
      </c>
    </row>
    <row r="808" spans="1:6" x14ac:dyDescent="0.25">
      <c r="A808" t="s">
        <v>1304</v>
      </c>
      <c r="B808" t="s">
        <v>1305</v>
      </c>
      <c r="C808" t="s">
        <v>1306</v>
      </c>
      <c r="D808" s="2">
        <v>45852</v>
      </c>
      <c r="E808">
        <v>56</v>
      </c>
      <c r="F808">
        <v>1</v>
      </c>
    </row>
    <row r="809" spans="1:6" x14ac:dyDescent="0.25">
      <c r="A809" t="s">
        <v>1307</v>
      </c>
      <c r="B809" t="s">
        <v>1305</v>
      </c>
      <c r="C809" t="s">
        <v>1306</v>
      </c>
      <c r="D809" s="2">
        <v>45910</v>
      </c>
      <c r="E809">
        <v>56</v>
      </c>
      <c r="F809">
        <v>2</v>
      </c>
    </row>
    <row r="810" spans="1:6" x14ac:dyDescent="0.25">
      <c r="A810" t="s">
        <v>1308</v>
      </c>
      <c r="B810" t="s">
        <v>1309</v>
      </c>
      <c r="C810" t="s">
        <v>1310</v>
      </c>
      <c r="D810" s="2">
        <v>45935</v>
      </c>
      <c r="E810">
        <v>30</v>
      </c>
      <c r="F810">
        <v>1</v>
      </c>
    </row>
    <row r="811" spans="1:6" x14ac:dyDescent="0.25">
      <c r="A811" t="s">
        <v>1311</v>
      </c>
      <c r="B811" t="s">
        <v>1312</v>
      </c>
      <c r="C811" t="s">
        <v>1313</v>
      </c>
      <c r="D811" s="2">
        <v>45841</v>
      </c>
      <c r="E811">
        <v>14</v>
      </c>
      <c r="F811">
        <v>1</v>
      </c>
    </row>
    <row r="812" spans="1:6" x14ac:dyDescent="0.25">
      <c r="A812" t="s">
        <v>1314</v>
      </c>
      <c r="B812" t="s">
        <v>1312</v>
      </c>
      <c r="C812" t="s">
        <v>1313</v>
      </c>
      <c r="D812" s="2">
        <v>45853</v>
      </c>
      <c r="E812">
        <v>14</v>
      </c>
      <c r="F812">
        <v>2</v>
      </c>
    </row>
    <row r="813" spans="1:6" x14ac:dyDescent="0.25">
      <c r="A813" t="s">
        <v>1315</v>
      </c>
      <c r="B813" t="s">
        <v>1312</v>
      </c>
      <c r="C813" t="s">
        <v>1313</v>
      </c>
      <c r="D813" s="2">
        <v>45867</v>
      </c>
      <c r="E813">
        <v>14</v>
      </c>
      <c r="F813">
        <v>3</v>
      </c>
    </row>
    <row r="814" spans="1:6" x14ac:dyDescent="0.25">
      <c r="A814" t="s">
        <v>1316</v>
      </c>
      <c r="B814" t="s">
        <v>1312</v>
      </c>
      <c r="C814" t="s">
        <v>1313</v>
      </c>
      <c r="D814" s="2">
        <v>45882</v>
      </c>
      <c r="E814">
        <v>14</v>
      </c>
      <c r="F814">
        <v>4</v>
      </c>
    </row>
    <row r="815" spans="1:6" x14ac:dyDescent="0.25">
      <c r="A815" t="s">
        <v>1317</v>
      </c>
      <c r="B815" t="s">
        <v>1312</v>
      </c>
      <c r="C815" t="s">
        <v>1313</v>
      </c>
      <c r="D815" s="2">
        <v>45897</v>
      </c>
      <c r="E815">
        <v>14</v>
      </c>
      <c r="F815">
        <v>5</v>
      </c>
    </row>
    <row r="816" spans="1:6" x14ac:dyDescent="0.25">
      <c r="A816" t="s">
        <v>1318</v>
      </c>
      <c r="B816" t="s">
        <v>1312</v>
      </c>
      <c r="C816" t="s">
        <v>1313</v>
      </c>
      <c r="D816" s="2">
        <v>45911</v>
      </c>
      <c r="E816">
        <v>14</v>
      </c>
      <c r="F816">
        <v>6</v>
      </c>
    </row>
    <row r="817" spans="1:6" x14ac:dyDescent="0.25">
      <c r="A817" t="s">
        <v>1319</v>
      </c>
      <c r="B817" t="s">
        <v>1312</v>
      </c>
      <c r="C817" t="s">
        <v>1313</v>
      </c>
      <c r="D817" s="2">
        <v>45927</v>
      </c>
      <c r="E817">
        <v>14</v>
      </c>
      <c r="F817">
        <v>7</v>
      </c>
    </row>
    <row r="818" spans="1:6" x14ac:dyDescent="0.25">
      <c r="A818" t="s">
        <v>1320</v>
      </c>
      <c r="B818" t="s">
        <v>1312</v>
      </c>
      <c r="C818" t="s">
        <v>1313</v>
      </c>
      <c r="D818" s="2">
        <v>45943</v>
      </c>
      <c r="E818">
        <v>14</v>
      </c>
      <c r="F818">
        <v>8</v>
      </c>
    </row>
    <row r="819" spans="1:6" x14ac:dyDescent="0.25">
      <c r="A819" t="s">
        <v>1321</v>
      </c>
      <c r="B819" t="s">
        <v>1312</v>
      </c>
      <c r="C819" t="s">
        <v>1313</v>
      </c>
      <c r="D819" s="2">
        <v>45954</v>
      </c>
      <c r="E819">
        <v>14</v>
      </c>
      <c r="F819">
        <v>9</v>
      </c>
    </row>
    <row r="820" spans="1:6" x14ac:dyDescent="0.25">
      <c r="A820" t="s">
        <v>1322</v>
      </c>
      <c r="B820" t="s">
        <v>1323</v>
      </c>
      <c r="C820" t="s">
        <v>1324</v>
      </c>
      <c r="D820" s="2">
        <v>45861</v>
      </c>
      <c r="E820">
        <v>28</v>
      </c>
      <c r="F820">
        <v>1</v>
      </c>
    </row>
    <row r="821" spans="1:6" x14ac:dyDescent="0.25">
      <c r="A821" t="s">
        <v>1325</v>
      </c>
      <c r="B821" t="s">
        <v>1326</v>
      </c>
      <c r="C821" t="s">
        <v>1327</v>
      </c>
      <c r="D821" s="2">
        <v>45858</v>
      </c>
      <c r="E821">
        <v>14</v>
      </c>
      <c r="F821">
        <v>1</v>
      </c>
    </row>
    <row r="822" spans="1:6" x14ac:dyDescent="0.25">
      <c r="A822" t="s">
        <v>1328</v>
      </c>
      <c r="B822" t="s">
        <v>1326</v>
      </c>
      <c r="C822" t="s">
        <v>1327</v>
      </c>
      <c r="D822" s="2">
        <v>45871</v>
      </c>
      <c r="E822">
        <v>14</v>
      </c>
      <c r="F822">
        <v>2</v>
      </c>
    </row>
    <row r="823" spans="1:6" x14ac:dyDescent="0.25">
      <c r="A823" t="s">
        <v>1329</v>
      </c>
      <c r="B823" t="s">
        <v>1326</v>
      </c>
      <c r="C823" t="s">
        <v>1327</v>
      </c>
      <c r="D823" s="2">
        <v>45888</v>
      </c>
      <c r="E823">
        <v>14</v>
      </c>
      <c r="F823">
        <v>3</v>
      </c>
    </row>
    <row r="824" spans="1:6" x14ac:dyDescent="0.25">
      <c r="A824" t="s">
        <v>1330</v>
      </c>
      <c r="B824" t="s">
        <v>1326</v>
      </c>
      <c r="C824" t="s">
        <v>1327</v>
      </c>
      <c r="D824" s="2">
        <v>45905</v>
      </c>
      <c r="E824">
        <v>14</v>
      </c>
      <c r="F824">
        <v>4</v>
      </c>
    </row>
    <row r="825" spans="1:6" x14ac:dyDescent="0.25">
      <c r="A825" t="s">
        <v>1331</v>
      </c>
      <c r="B825" t="s">
        <v>1326</v>
      </c>
      <c r="C825" t="s">
        <v>1327</v>
      </c>
      <c r="D825" s="2">
        <v>45920</v>
      </c>
      <c r="E825">
        <v>14</v>
      </c>
      <c r="F825">
        <v>5</v>
      </c>
    </row>
    <row r="826" spans="1:6" x14ac:dyDescent="0.25">
      <c r="A826" t="s">
        <v>1332</v>
      </c>
      <c r="B826" t="s">
        <v>1326</v>
      </c>
      <c r="C826" t="s">
        <v>1327</v>
      </c>
      <c r="D826" s="2">
        <v>45933</v>
      </c>
      <c r="E826">
        <v>14</v>
      </c>
      <c r="F826">
        <v>6</v>
      </c>
    </row>
    <row r="827" spans="1:6" x14ac:dyDescent="0.25">
      <c r="A827" t="s">
        <v>1333</v>
      </c>
      <c r="B827" t="s">
        <v>1326</v>
      </c>
      <c r="C827" t="s">
        <v>1327</v>
      </c>
      <c r="D827" s="2">
        <v>45944</v>
      </c>
      <c r="E827">
        <v>14</v>
      </c>
      <c r="F827">
        <v>7</v>
      </c>
    </row>
    <row r="828" spans="1:6" x14ac:dyDescent="0.25">
      <c r="A828" t="s">
        <v>1334</v>
      </c>
      <c r="B828" t="s">
        <v>1326</v>
      </c>
      <c r="C828" t="s">
        <v>1327</v>
      </c>
      <c r="D828" s="2">
        <v>45956</v>
      </c>
      <c r="E828">
        <v>14</v>
      </c>
      <c r="F828">
        <v>8</v>
      </c>
    </row>
    <row r="829" spans="1:6" x14ac:dyDescent="0.25">
      <c r="A829" t="s">
        <v>1335</v>
      </c>
      <c r="B829" t="s">
        <v>1336</v>
      </c>
      <c r="C829" t="s">
        <v>1337</v>
      </c>
      <c r="D829" s="2">
        <v>45818</v>
      </c>
      <c r="E829">
        <v>28</v>
      </c>
      <c r="F829">
        <v>1</v>
      </c>
    </row>
    <row r="830" spans="1:6" x14ac:dyDescent="0.25">
      <c r="A830" t="s">
        <v>1338</v>
      </c>
      <c r="B830" t="s">
        <v>1336</v>
      </c>
      <c r="C830" t="s">
        <v>1337</v>
      </c>
      <c r="D830" s="2">
        <v>45848</v>
      </c>
      <c r="E830">
        <v>28</v>
      </c>
      <c r="F830">
        <v>2</v>
      </c>
    </row>
    <row r="831" spans="1:6" x14ac:dyDescent="0.25">
      <c r="A831" t="s">
        <v>1339</v>
      </c>
      <c r="B831" t="s">
        <v>1336</v>
      </c>
      <c r="C831" t="s">
        <v>1337</v>
      </c>
      <c r="D831" s="2">
        <v>45878</v>
      </c>
      <c r="E831">
        <v>28</v>
      </c>
      <c r="F831">
        <v>3</v>
      </c>
    </row>
    <row r="832" spans="1:6" x14ac:dyDescent="0.25">
      <c r="A832" t="s">
        <v>1340</v>
      </c>
      <c r="B832" t="s">
        <v>1336</v>
      </c>
      <c r="C832" t="s">
        <v>1337</v>
      </c>
      <c r="D832" s="2">
        <v>45903</v>
      </c>
      <c r="E832">
        <v>28</v>
      </c>
      <c r="F832">
        <v>4</v>
      </c>
    </row>
    <row r="833" spans="1:6" x14ac:dyDescent="0.25">
      <c r="A833" t="s">
        <v>1341</v>
      </c>
      <c r="B833" t="s">
        <v>1336</v>
      </c>
      <c r="C833" t="s">
        <v>1337</v>
      </c>
      <c r="D833" s="2">
        <v>45932</v>
      </c>
      <c r="E833">
        <v>28</v>
      </c>
      <c r="F833">
        <v>5</v>
      </c>
    </row>
    <row r="834" spans="1:6" x14ac:dyDescent="0.25">
      <c r="A834" t="s">
        <v>1342</v>
      </c>
      <c r="B834" t="s">
        <v>1336</v>
      </c>
      <c r="C834" t="s">
        <v>1337</v>
      </c>
      <c r="D834" s="2">
        <v>45958</v>
      </c>
      <c r="E834">
        <v>28</v>
      </c>
      <c r="F834">
        <v>6</v>
      </c>
    </row>
    <row r="835" spans="1:6" x14ac:dyDescent="0.25">
      <c r="A835" t="s">
        <v>1343</v>
      </c>
      <c r="B835" t="s">
        <v>1344</v>
      </c>
      <c r="C835" t="s">
        <v>1345</v>
      </c>
      <c r="D835" s="2">
        <v>45909</v>
      </c>
      <c r="E835">
        <v>28</v>
      </c>
      <c r="F835">
        <v>1</v>
      </c>
    </row>
    <row r="836" spans="1:6" x14ac:dyDescent="0.25">
      <c r="A836" t="s">
        <v>1346</v>
      </c>
      <c r="B836" t="s">
        <v>1344</v>
      </c>
      <c r="C836" t="s">
        <v>1345</v>
      </c>
      <c r="D836" s="2">
        <v>45935</v>
      </c>
      <c r="E836">
        <v>28</v>
      </c>
      <c r="F836">
        <v>2</v>
      </c>
    </row>
    <row r="837" spans="1:6" x14ac:dyDescent="0.25">
      <c r="A837" t="s">
        <v>1347</v>
      </c>
      <c r="B837" t="s">
        <v>1348</v>
      </c>
      <c r="C837" t="s">
        <v>1349</v>
      </c>
      <c r="D837" s="2">
        <v>45905</v>
      </c>
      <c r="E837">
        <v>56</v>
      </c>
      <c r="F837">
        <v>1</v>
      </c>
    </row>
    <row r="838" spans="1:6" x14ac:dyDescent="0.25">
      <c r="A838" t="s">
        <v>1350</v>
      </c>
      <c r="B838" t="s">
        <v>1348</v>
      </c>
      <c r="C838" t="s">
        <v>1349</v>
      </c>
      <c r="D838" s="2">
        <v>45959</v>
      </c>
      <c r="E838">
        <v>56</v>
      </c>
      <c r="F838">
        <v>2</v>
      </c>
    </row>
    <row r="839" spans="1:6" x14ac:dyDescent="0.25">
      <c r="A839" t="s">
        <v>1351</v>
      </c>
      <c r="B839" t="s">
        <v>1352</v>
      </c>
      <c r="C839" t="s">
        <v>1353</v>
      </c>
      <c r="D839" s="2">
        <v>45905</v>
      </c>
      <c r="E839">
        <v>28</v>
      </c>
      <c r="F839">
        <v>1</v>
      </c>
    </row>
    <row r="840" spans="1:6" x14ac:dyDescent="0.25">
      <c r="A840" t="s">
        <v>1354</v>
      </c>
      <c r="B840" t="s">
        <v>1352</v>
      </c>
      <c r="C840" t="s">
        <v>1353</v>
      </c>
      <c r="D840" s="2">
        <v>45936</v>
      </c>
      <c r="E840">
        <v>28</v>
      </c>
      <c r="F840">
        <v>2</v>
      </c>
    </row>
    <row r="841" spans="1:6" x14ac:dyDescent="0.25">
      <c r="A841" t="s">
        <v>1355</v>
      </c>
      <c r="B841" t="s">
        <v>1352</v>
      </c>
      <c r="C841" t="s">
        <v>1353</v>
      </c>
      <c r="D841" s="2">
        <v>45961</v>
      </c>
      <c r="E841">
        <v>28</v>
      </c>
      <c r="F841">
        <v>3</v>
      </c>
    </row>
    <row r="842" spans="1:6" x14ac:dyDescent="0.25">
      <c r="A842" t="s">
        <v>1356</v>
      </c>
      <c r="B842" t="s">
        <v>1357</v>
      </c>
      <c r="C842" t="s">
        <v>1358</v>
      </c>
      <c r="D842" s="2">
        <v>45801</v>
      </c>
      <c r="E842">
        <v>28</v>
      </c>
      <c r="F842">
        <v>1</v>
      </c>
    </row>
    <row r="843" spans="1:6" x14ac:dyDescent="0.25">
      <c r="A843" t="s">
        <v>1359</v>
      </c>
      <c r="B843" t="s">
        <v>1357</v>
      </c>
      <c r="C843" t="s">
        <v>1358</v>
      </c>
      <c r="D843" s="2">
        <v>45831</v>
      </c>
      <c r="E843">
        <v>28</v>
      </c>
      <c r="F843">
        <v>2</v>
      </c>
    </row>
    <row r="844" spans="1:6" x14ac:dyDescent="0.25">
      <c r="A844" t="s">
        <v>1360</v>
      </c>
      <c r="B844" t="s">
        <v>1357</v>
      </c>
      <c r="C844" t="s">
        <v>1358</v>
      </c>
      <c r="D844" s="2">
        <v>45856</v>
      </c>
      <c r="E844">
        <v>28</v>
      </c>
      <c r="F844">
        <v>3</v>
      </c>
    </row>
    <row r="845" spans="1:6" x14ac:dyDescent="0.25">
      <c r="A845" t="s">
        <v>1361</v>
      </c>
      <c r="B845" t="s">
        <v>1357</v>
      </c>
      <c r="C845" t="s">
        <v>1358</v>
      </c>
      <c r="D845" s="2">
        <v>45884</v>
      </c>
      <c r="E845">
        <v>28</v>
      </c>
      <c r="F845">
        <v>4</v>
      </c>
    </row>
    <row r="846" spans="1:6" x14ac:dyDescent="0.25">
      <c r="A846" t="s">
        <v>1362</v>
      </c>
      <c r="B846" t="s">
        <v>1357</v>
      </c>
      <c r="C846" t="s">
        <v>1358</v>
      </c>
      <c r="D846" s="2">
        <v>45914</v>
      </c>
      <c r="E846">
        <v>28</v>
      </c>
      <c r="F846">
        <v>5</v>
      </c>
    </row>
    <row r="847" spans="1:6" x14ac:dyDescent="0.25">
      <c r="A847" t="s">
        <v>1363</v>
      </c>
      <c r="B847" t="s">
        <v>1357</v>
      </c>
      <c r="C847" t="s">
        <v>1358</v>
      </c>
      <c r="D847" s="2">
        <v>45943</v>
      </c>
      <c r="E847">
        <v>28</v>
      </c>
      <c r="F847">
        <v>6</v>
      </c>
    </row>
    <row r="848" spans="1:6" x14ac:dyDescent="0.25">
      <c r="A848" t="s">
        <v>1364</v>
      </c>
      <c r="B848" t="s">
        <v>1365</v>
      </c>
      <c r="C848" t="s">
        <v>1366</v>
      </c>
      <c r="D848" s="2">
        <v>45907</v>
      </c>
      <c r="E848">
        <v>30</v>
      </c>
      <c r="F848">
        <v>1</v>
      </c>
    </row>
    <row r="849" spans="1:6" x14ac:dyDescent="0.25">
      <c r="A849" t="s">
        <v>1367</v>
      </c>
      <c r="B849" t="s">
        <v>1365</v>
      </c>
      <c r="C849" t="s">
        <v>1366</v>
      </c>
      <c r="D849" s="2">
        <v>45939</v>
      </c>
      <c r="E849">
        <v>30</v>
      </c>
      <c r="F849">
        <v>2</v>
      </c>
    </row>
    <row r="850" spans="1:6" x14ac:dyDescent="0.25">
      <c r="A850" t="s">
        <v>1368</v>
      </c>
      <c r="B850" t="s">
        <v>1369</v>
      </c>
      <c r="C850" t="s">
        <v>1370</v>
      </c>
      <c r="D850" s="2">
        <v>45839</v>
      </c>
      <c r="E850">
        <v>21</v>
      </c>
      <c r="F850">
        <v>1</v>
      </c>
    </row>
    <row r="851" spans="1:6" x14ac:dyDescent="0.25">
      <c r="A851" t="s">
        <v>1371</v>
      </c>
      <c r="B851" t="s">
        <v>1369</v>
      </c>
      <c r="C851" t="s">
        <v>1370</v>
      </c>
      <c r="D851" s="2">
        <v>45861</v>
      </c>
      <c r="E851">
        <v>21</v>
      </c>
      <c r="F851">
        <v>2</v>
      </c>
    </row>
    <row r="852" spans="1:6" x14ac:dyDescent="0.25">
      <c r="A852" t="s">
        <v>1372</v>
      </c>
      <c r="B852" t="s">
        <v>1369</v>
      </c>
      <c r="C852" t="s">
        <v>1370</v>
      </c>
      <c r="D852" s="2">
        <v>45883</v>
      </c>
      <c r="E852">
        <v>21</v>
      </c>
      <c r="F852">
        <v>3</v>
      </c>
    </row>
    <row r="853" spans="1:6" x14ac:dyDescent="0.25">
      <c r="A853" t="s">
        <v>1373</v>
      </c>
      <c r="B853" t="s">
        <v>1369</v>
      </c>
      <c r="C853" t="s">
        <v>1370</v>
      </c>
      <c r="D853" s="2">
        <v>45902</v>
      </c>
      <c r="E853">
        <v>21</v>
      </c>
      <c r="F853">
        <v>4</v>
      </c>
    </row>
    <row r="854" spans="1:6" x14ac:dyDescent="0.25">
      <c r="A854" t="s">
        <v>1374</v>
      </c>
      <c r="B854" t="s">
        <v>1369</v>
      </c>
      <c r="C854" t="s">
        <v>1370</v>
      </c>
      <c r="D854" s="2">
        <v>45924</v>
      </c>
      <c r="E854">
        <v>21</v>
      </c>
      <c r="F854">
        <v>5</v>
      </c>
    </row>
    <row r="855" spans="1:6" x14ac:dyDescent="0.25">
      <c r="A855" t="s">
        <v>1375</v>
      </c>
      <c r="B855" t="s">
        <v>1369</v>
      </c>
      <c r="C855" t="s">
        <v>1370</v>
      </c>
      <c r="D855" s="2">
        <v>45947</v>
      </c>
      <c r="E855">
        <v>21</v>
      </c>
      <c r="F855">
        <v>6</v>
      </c>
    </row>
    <row r="856" spans="1:6" x14ac:dyDescent="0.25">
      <c r="A856" t="s">
        <v>1376</v>
      </c>
      <c r="B856" t="s">
        <v>1377</v>
      </c>
      <c r="C856" t="s">
        <v>1378</v>
      </c>
      <c r="D856" s="2">
        <v>45927</v>
      </c>
      <c r="E856">
        <v>14</v>
      </c>
      <c r="F856">
        <v>1</v>
      </c>
    </row>
    <row r="857" spans="1:6" x14ac:dyDescent="0.25">
      <c r="A857" t="s">
        <v>1379</v>
      </c>
      <c r="B857" t="s">
        <v>1377</v>
      </c>
      <c r="C857" t="s">
        <v>1378</v>
      </c>
      <c r="D857" s="2">
        <v>45943</v>
      </c>
      <c r="E857">
        <v>14</v>
      </c>
      <c r="F857">
        <v>2</v>
      </c>
    </row>
    <row r="858" spans="1:6" x14ac:dyDescent="0.25">
      <c r="A858" t="s">
        <v>1380</v>
      </c>
      <c r="B858" t="s">
        <v>1377</v>
      </c>
      <c r="C858" t="s">
        <v>1378</v>
      </c>
      <c r="D858" s="2">
        <v>45956</v>
      </c>
      <c r="E858">
        <v>14</v>
      </c>
      <c r="F858">
        <v>3</v>
      </c>
    </row>
    <row r="859" spans="1:6" x14ac:dyDescent="0.25">
      <c r="A859" t="s">
        <v>1381</v>
      </c>
      <c r="B859" t="s">
        <v>1382</v>
      </c>
      <c r="C859" t="s">
        <v>1383</v>
      </c>
      <c r="D859" s="2">
        <v>45790</v>
      </c>
      <c r="E859">
        <v>28</v>
      </c>
      <c r="F859">
        <v>1</v>
      </c>
    </row>
    <row r="860" spans="1:6" x14ac:dyDescent="0.25">
      <c r="A860" t="s">
        <v>1384</v>
      </c>
      <c r="B860" t="s">
        <v>1382</v>
      </c>
      <c r="C860" t="s">
        <v>1383</v>
      </c>
      <c r="D860" s="2">
        <v>45819</v>
      </c>
      <c r="E860">
        <v>28</v>
      </c>
      <c r="F860">
        <v>2</v>
      </c>
    </row>
    <row r="861" spans="1:6" x14ac:dyDescent="0.25">
      <c r="A861" t="s">
        <v>1385</v>
      </c>
      <c r="B861" t="s">
        <v>1382</v>
      </c>
      <c r="C861" t="s">
        <v>1383</v>
      </c>
      <c r="D861" s="2">
        <v>45849</v>
      </c>
      <c r="E861">
        <v>28</v>
      </c>
      <c r="F861">
        <v>3</v>
      </c>
    </row>
    <row r="862" spans="1:6" x14ac:dyDescent="0.25">
      <c r="A862" t="s">
        <v>1386</v>
      </c>
      <c r="B862" t="s">
        <v>1382</v>
      </c>
      <c r="C862" t="s">
        <v>1383</v>
      </c>
      <c r="D862" s="2">
        <v>45875</v>
      </c>
      <c r="E862">
        <v>28</v>
      </c>
      <c r="F862">
        <v>4</v>
      </c>
    </row>
    <row r="863" spans="1:6" x14ac:dyDescent="0.25">
      <c r="A863" t="s">
        <v>1387</v>
      </c>
      <c r="B863" t="s">
        <v>1382</v>
      </c>
      <c r="C863" t="s">
        <v>1383</v>
      </c>
      <c r="D863" s="2">
        <v>45903</v>
      </c>
      <c r="E863">
        <v>28</v>
      </c>
      <c r="F863">
        <v>5</v>
      </c>
    </row>
    <row r="864" spans="1:6" x14ac:dyDescent="0.25">
      <c r="A864" t="s">
        <v>1388</v>
      </c>
      <c r="B864" t="s">
        <v>1382</v>
      </c>
      <c r="C864" t="s">
        <v>1383</v>
      </c>
      <c r="D864" s="2">
        <v>45930</v>
      </c>
      <c r="E864">
        <v>28</v>
      </c>
      <c r="F864">
        <v>6</v>
      </c>
    </row>
    <row r="865" spans="1:6" x14ac:dyDescent="0.25">
      <c r="A865" t="s">
        <v>1389</v>
      </c>
      <c r="B865" t="s">
        <v>1382</v>
      </c>
      <c r="C865" t="s">
        <v>1383</v>
      </c>
      <c r="D865" s="2">
        <v>45961</v>
      </c>
      <c r="E865">
        <v>28</v>
      </c>
      <c r="F865">
        <v>7</v>
      </c>
    </row>
    <row r="866" spans="1:6" x14ac:dyDescent="0.25">
      <c r="A866" t="s">
        <v>1390</v>
      </c>
      <c r="B866" t="s">
        <v>1391</v>
      </c>
      <c r="C866" t="s">
        <v>1392</v>
      </c>
      <c r="D866" s="2">
        <v>45850</v>
      </c>
      <c r="E866">
        <v>30</v>
      </c>
      <c r="F866">
        <v>1</v>
      </c>
    </row>
    <row r="867" spans="1:6" x14ac:dyDescent="0.25">
      <c r="A867" t="s">
        <v>1393</v>
      </c>
      <c r="B867" t="s">
        <v>1391</v>
      </c>
      <c r="C867" t="s">
        <v>1392</v>
      </c>
      <c r="D867" s="2">
        <v>45882</v>
      </c>
      <c r="E867">
        <v>30</v>
      </c>
      <c r="F867">
        <v>2</v>
      </c>
    </row>
    <row r="868" spans="1:6" x14ac:dyDescent="0.25">
      <c r="A868" t="s">
        <v>1394</v>
      </c>
      <c r="B868" t="s">
        <v>1391</v>
      </c>
      <c r="C868" t="s">
        <v>1392</v>
      </c>
      <c r="D868" s="2">
        <v>45913</v>
      </c>
      <c r="E868">
        <v>30</v>
      </c>
      <c r="F868">
        <v>3</v>
      </c>
    </row>
    <row r="869" spans="1:6" x14ac:dyDescent="0.25">
      <c r="A869" t="s">
        <v>1395</v>
      </c>
      <c r="B869" t="s">
        <v>1396</v>
      </c>
      <c r="C869" t="s">
        <v>1397</v>
      </c>
      <c r="D869" s="2">
        <v>45930</v>
      </c>
      <c r="E869">
        <v>28</v>
      </c>
      <c r="F869">
        <v>1</v>
      </c>
    </row>
    <row r="870" spans="1:6" x14ac:dyDescent="0.25">
      <c r="A870" t="s">
        <v>1398</v>
      </c>
      <c r="B870" t="s">
        <v>1396</v>
      </c>
      <c r="C870" t="s">
        <v>1397</v>
      </c>
      <c r="D870" s="2">
        <v>45961</v>
      </c>
      <c r="E870">
        <v>28</v>
      </c>
      <c r="F870">
        <v>2</v>
      </c>
    </row>
    <row r="871" spans="1:6" x14ac:dyDescent="0.25">
      <c r="A871" t="s">
        <v>1399</v>
      </c>
      <c r="B871" t="s">
        <v>1400</v>
      </c>
      <c r="C871" t="s">
        <v>1401</v>
      </c>
      <c r="D871" s="2">
        <v>45945</v>
      </c>
      <c r="E871">
        <v>28</v>
      </c>
      <c r="F871">
        <v>1</v>
      </c>
    </row>
    <row r="872" spans="1:6" x14ac:dyDescent="0.25">
      <c r="A872" t="s">
        <v>1402</v>
      </c>
      <c r="B872" t="s">
        <v>1403</v>
      </c>
      <c r="C872" t="s">
        <v>1404</v>
      </c>
      <c r="D872" s="2">
        <v>45898</v>
      </c>
      <c r="E872">
        <v>28</v>
      </c>
      <c r="F872">
        <v>1</v>
      </c>
    </row>
    <row r="873" spans="1:6" x14ac:dyDescent="0.25">
      <c r="A873" t="s">
        <v>1405</v>
      </c>
      <c r="B873" t="s">
        <v>1406</v>
      </c>
      <c r="C873" t="s">
        <v>1407</v>
      </c>
      <c r="D873" s="2">
        <v>45915</v>
      </c>
      <c r="E873">
        <v>28</v>
      </c>
      <c r="F873">
        <v>1</v>
      </c>
    </row>
    <row r="874" spans="1:6" x14ac:dyDescent="0.25">
      <c r="A874" t="s">
        <v>1408</v>
      </c>
      <c r="B874" t="s">
        <v>1409</v>
      </c>
      <c r="C874" t="s">
        <v>1410</v>
      </c>
      <c r="D874" s="2">
        <v>45805</v>
      </c>
      <c r="E874">
        <v>28</v>
      </c>
      <c r="F874">
        <v>1</v>
      </c>
    </row>
    <row r="875" spans="1:6" x14ac:dyDescent="0.25">
      <c r="A875" t="s">
        <v>1411</v>
      </c>
      <c r="B875" t="s">
        <v>1409</v>
      </c>
      <c r="C875" t="s">
        <v>1410</v>
      </c>
      <c r="D875" s="2">
        <v>45835</v>
      </c>
      <c r="E875">
        <v>28</v>
      </c>
      <c r="F875">
        <v>2</v>
      </c>
    </row>
    <row r="876" spans="1:6" x14ac:dyDescent="0.25">
      <c r="A876" t="s">
        <v>1412</v>
      </c>
      <c r="B876" t="s">
        <v>1409</v>
      </c>
      <c r="C876" t="s">
        <v>1410</v>
      </c>
      <c r="D876" s="2">
        <v>45865</v>
      </c>
      <c r="E876">
        <v>28</v>
      </c>
      <c r="F876">
        <v>3</v>
      </c>
    </row>
    <row r="877" spans="1:6" x14ac:dyDescent="0.25">
      <c r="A877" t="s">
        <v>1413</v>
      </c>
      <c r="B877" t="s">
        <v>1409</v>
      </c>
      <c r="C877" t="s">
        <v>1410</v>
      </c>
      <c r="D877" s="2">
        <v>45895</v>
      </c>
      <c r="E877">
        <v>28</v>
      </c>
      <c r="F877">
        <v>4</v>
      </c>
    </row>
    <row r="878" spans="1:6" x14ac:dyDescent="0.25">
      <c r="A878" t="s">
        <v>1414</v>
      </c>
      <c r="B878" t="s">
        <v>1409</v>
      </c>
      <c r="C878" t="s">
        <v>1410</v>
      </c>
      <c r="D878" s="2">
        <v>45925</v>
      </c>
      <c r="E878">
        <v>28</v>
      </c>
      <c r="F878">
        <v>5</v>
      </c>
    </row>
    <row r="879" spans="1:6" x14ac:dyDescent="0.25">
      <c r="A879" t="s">
        <v>1415</v>
      </c>
      <c r="B879" t="s">
        <v>1409</v>
      </c>
      <c r="C879" t="s">
        <v>1410</v>
      </c>
      <c r="D879" s="2">
        <v>45951</v>
      </c>
      <c r="E879">
        <v>28</v>
      </c>
      <c r="F879">
        <v>6</v>
      </c>
    </row>
    <row r="880" spans="1:6" x14ac:dyDescent="0.25">
      <c r="A880" t="s">
        <v>1416</v>
      </c>
      <c r="B880" t="s">
        <v>1417</v>
      </c>
      <c r="C880" t="s">
        <v>1418</v>
      </c>
      <c r="D880" s="2">
        <v>45812</v>
      </c>
      <c r="E880">
        <v>28</v>
      </c>
      <c r="F880">
        <v>1</v>
      </c>
    </row>
    <row r="881" spans="1:6" x14ac:dyDescent="0.25">
      <c r="A881" t="s">
        <v>1419</v>
      </c>
      <c r="B881" t="s">
        <v>1417</v>
      </c>
      <c r="C881" t="s">
        <v>1418</v>
      </c>
      <c r="D881" s="2">
        <v>45842</v>
      </c>
      <c r="E881">
        <v>28</v>
      </c>
      <c r="F881">
        <v>2</v>
      </c>
    </row>
    <row r="882" spans="1:6" x14ac:dyDescent="0.25">
      <c r="A882" t="s">
        <v>1420</v>
      </c>
      <c r="B882" t="s">
        <v>1417</v>
      </c>
      <c r="C882" t="s">
        <v>1418</v>
      </c>
      <c r="D882" s="2">
        <v>45872</v>
      </c>
      <c r="E882">
        <v>28</v>
      </c>
      <c r="F882">
        <v>3</v>
      </c>
    </row>
    <row r="883" spans="1:6" x14ac:dyDescent="0.25">
      <c r="A883" t="s">
        <v>1421</v>
      </c>
      <c r="B883" t="s">
        <v>1417</v>
      </c>
      <c r="C883" t="s">
        <v>1418</v>
      </c>
      <c r="D883" s="2">
        <v>45903</v>
      </c>
      <c r="E883">
        <v>28</v>
      </c>
      <c r="F883">
        <v>4</v>
      </c>
    </row>
    <row r="884" spans="1:6" x14ac:dyDescent="0.25">
      <c r="A884" t="s">
        <v>1422</v>
      </c>
      <c r="B884" t="s">
        <v>1417</v>
      </c>
      <c r="C884" t="s">
        <v>1418</v>
      </c>
      <c r="D884" s="2">
        <v>45932</v>
      </c>
      <c r="E884">
        <v>28</v>
      </c>
      <c r="F884">
        <v>5</v>
      </c>
    </row>
    <row r="885" spans="1:6" x14ac:dyDescent="0.25">
      <c r="A885" t="s">
        <v>1423</v>
      </c>
      <c r="B885" t="s">
        <v>1417</v>
      </c>
      <c r="C885" t="s">
        <v>1418</v>
      </c>
      <c r="D885" s="2">
        <v>45961</v>
      </c>
      <c r="E885">
        <v>28</v>
      </c>
      <c r="F885">
        <v>6</v>
      </c>
    </row>
    <row r="886" spans="1:6" x14ac:dyDescent="0.25">
      <c r="A886" t="s">
        <v>1424</v>
      </c>
      <c r="B886" t="s">
        <v>1425</v>
      </c>
      <c r="C886" t="s">
        <v>1426</v>
      </c>
      <c r="D886" s="2">
        <v>45871</v>
      </c>
      <c r="E886">
        <v>21</v>
      </c>
      <c r="F886">
        <v>1</v>
      </c>
    </row>
    <row r="887" spans="1:6" x14ac:dyDescent="0.25">
      <c r="A887" t="s">
        <v>1427</v>
      </c>
      <c r="B887" t="s">
        <v>1425</v>
      </c>
      <c r="C887" t="s">
        <v>1426</v>
      </c>
      <c r="D887" s="2">
        <v>45894</v>
      </c>
      <c r="E887">
        <v>21</v>
      </c>
      <c r="F887">
        <v>2</v>
      </c>
    </row>
    <row r="888" spans="1:6" x14ac:dyDescent="0.25">
      <c r="A888" t="s">
        <v>1428</v>
      </c>
      <c r="B888" t="s">
        <v>1425</v>
      </c>
      <c r="C888" t="s">
        <v>1426</v>
      </c>
      <c r="D888" s="2">
        <v>45914</v>
      </c>
      <c r="E888">
        <v>21</v>
      </c>
      <c r="F888">
        <v>3</v>
      </c>
    </row>
    <row r="889" spans="1:6" x14ac:dyDescent="0.25">
      <c r="A889" t="s">
        <v>1429</v>
      </c>
      <c r="B889" t="s">
        <v>1430</v>
      </c>
      <c r="C889" t="s">
        <v>1431</v>
      </c>
      <c r="D889" s="2">
        <v>45881</v>
      </c>
      <c r="E889">
        <v>14</v>
      </c>
      <c r="F889">
        <v>1</v>
      </c>
    </row>
    <row r="890" spans="1:6" x14ac:dyDescent="0.25">
      <c r="A890" t="s">
        <v>1432</v>
      </c>
      <c r="B890" t="s">
        <v>1430</v>
      </c>
      <c r="C890" t="s">
        <v>1431</v>
      </c>
      <c r="D890" s="2">
        <v>45892</v>
      </c>
      <c r="E890">
        <v>14</v>
      </c>
      <c r="F890">
        <v>2</v>
      </c>
    </row>
    <row r="891" spans="1:6" x14ac:dyDescent="0.25">
      <c r="A891" t="s">
        <v>1433</v>
      </c>
      <c r="B891" t="s">
        <v>1430</v>
      </c>
      <c r="C891" t="s">
        <v>1431</v>
      </c>
      <c r="D891" s="2">
        <v>45903</v>
      </c>
      <c r="E891">
        <v>14</v>
      </c>
      <c r="F891">
        <v>3</v>
      </c>
    </row>
    <row r="892" spans="1:6" x14ac:dyDescent="0.25">
      <c r="A892" t="s">
        <v>1434</v>
      </c>
      <c r="B892" t="s">
        <v>1430</v>
      </c>
      <c r="C892" t="s">
        <v>1431</v>
      </c>
      <c r="D892" s="2">
        <v>45917</v>
      </c>
      <c r="E892">
        <v>14</v>
      </c>
      <c r="F892">
        <v>4</v>
      </c>
    </row>
    <row r="893" spans="1:6" x14ac:dyDescent="0.25">
      <c r="A893" t="s">
        <v>1435</v>
      </c>
      <c r="B893" t="s">
        <v>1430</v>
      </c>
      <c r="C893" t="s">
        <v>1431</v>
      </c>
      <c r="D893" s="2">
        <v>45928</v>
      </c>
      <c r="E893">
        <v>14</v>
      </c>
      <c r="F893">
        <v>5</v>
      </c>
    </row>
    <row r="894" spans="1:6" x14ac:dyDescent="0.25">
      <c r="A894" t="s">
        <v>1436</v>
      </c>
      <c r="B894" t="s">
        <v>1430</v>
      </c>
      <c r="C894" t="s">
        <v>1431</v>
      </c>
      <c r="D894" s="2">
        <v>45939</v>
      </c>
      <c r="E894">
        <v>14</v>
      </c>
      <c r="F894">
        <v>6</v>
      </c>
    </row>
    <row r="895" spans="1:6" x14ac:dyDescent="0.25">
      <c r="A895" t="s">
        <v>1437</v>
      </c>
      <c r="B895" t="s">
        <v>1430</v>
      </c>
      <c r="C895" t="s">
        <v>1431</v>
      </c>
      <c r="D895" s="2">
        <v>45952</v>
      </c>
      <c r="E895">
        <v>14</v>
      </c>
      <c r="F895">
        <v>7</v>
      </c>
    </row>
    <row r="896" spans="1:6" x14ac:dyDescent="0.25">
      <c r="A896" t="s">
        <v>1438</v>
      </c>
      <c r="B896" t="s">
        <v>1439</v>
      </c>
      <c r="C896" t="s">
        <v>1440</v>
      </c>
      <c r="D896" s="2">
        <v>45789</v>
      </c>
      <c r="E896">
        <v>30</v>
      </c>
      <c r="F896">
        <v>1</v>
      </c>
    </row>
    <row r="897" spans="1:6" x14ac:dyDescent="0.25">
      <c r="A897" t="s">
        <v>1441</v>
      </c>
      <c r="B897" t="s">
        <v>1439</v>
      </c>
      <c r="C897" t="s">
        <v>1440</v>
      </c>
      <c r="D897" s="2">
        <v>45818</v>
      </c>
      <c r="E897">
        <v>30</v>
      </c>
      <c r="F897">
        <v>2</v>
      </c>
    </row>
    <row r="898" spans="1:6" x14ac:dyDescent="0.25">
      <c r="A898" t="s">
        <v>1442</v>
      </c>
      <c r="B898" t="s">
        <v>1439</v>
      </c>
      <c r="C898" t="s">
        <v>1440</v>
      </c>
      <c r="D898" s="2">
        <v>45847</v>
      </c>
      <c r="E898">
        <v>30</v>
      </c>
      <c r="F898">
        <v>3</v>
      </c>
    </row>
    <row r="899" spans="1:6" x14ac:dyDescent="0.25">
      <c r="A899" t="s">
        <v>1443</v>
      </c>
      <c r="B899" t="s">
        <v>1439</v>
      </c>
      <c r="C899" t="s">
        <v>1440</v>
      </c>
      <c r="D899" s="2">
        <v>45880</v>
      </c>
      <c r="E899">
        <v>30</v>
      </c>
      <c r="F899">
        <v>4</v>
      </c>
    </row>
    <row r="900" spans="1:6" x14ac:dyDescent="0.25">
      <c r="A900" t="s">
        <v>1444</v>
      </c>
      <c r="B900" t="s">
        <v>1439</v>
      </c>
      <c r="C900" t="s">
        <v>1440</v>
      </c>
      <c r="D900" s="2">
        <v>45912</v>
      </c>
      <c r="E900">
        <v>30</v>
      </c>
      <c r="F900">
        <v>5</v>
      </c>
    </row>
    <row r="901" spans="1:6" x14ac:dyDescent="0.25">
      <c r="A901" t="s">
        <v>1445</v>
      </c>
      <c r="B901" t="s">
        <v>1439</v>
      </c>
      <c r="C901" t="s">
        <v>1440</v>
      </c>
      <c r="D901" s="2">
        <v>45941</v>
      </c>
      <c r="E901">
        <v>30</v>
      </c>
      <c r="F901">
        <v>6</v>
      </c>
    </row>
    <row r="902" spans="1:6" x14ac:dyDescent="0.25">
      <c r="A902" t="s">
        <v>1446</v>
      </c>
      <c r="B902" t="s">
        <v>1447</v>
      </c>
      <c r="C902" t="s">
        <v>1448</v>
      </c>
      <c r="D902" s="2">
        <v>45791</v>
      </c>
      <c r="E902">
        <v>28</v>
      </c>
      <c r="F902">
        <v>1</v>
      </c>
    </row>
    <row r="903" spans="1:6" x14ac:dyDescent="0.25">
      <c r="A903" t="s">
        <v>1449</v>
      </c>
      <c r="B903" t="s">
        <v>1447</v>
      </c>
      <c r="C903" t="s">
        <v>1448</v>
      </c>
      <c r="D903" s="2">
        <v>45816</v>
      </c>
      <c r="E903">
        <v>28</v>
      </c>
      <c r="F903">
        <v>2</v>
      </c>
    </row>
    <row r="904" spans="1:6" x14ac:dyDescent="0.25">
      <c r="A904" t="s">
        <v>1450</v>
      </c>
      <c r="B904" t="s">
        <v>1447</v>
      </c>
      <c r="C904" t="s">
        <v>1448</v>
      </c>
      <c r="D904" s="2">
        <v>45847</v>
      </c>
      <c r="E904">
        <v>28</v>
      </c>
      <c r="F904">
        <v>3</v>
      </c>
    </row>
    <row r="905" spans="1:6" x14ac:dyDescent="0.25">
      <c r="A905" t="s">
        <v>1451</v>
      </c>
      <c r="B905" t="s">
        <v>1447</v>
      </c>
      <c r="C905" t="s">
        <v>1448</v>
      </c>
      <c r="D905" s="2">
        <v>45872</v>
      </c>
      <c r="E905">
        <v>28</v>
      </c>
      <c r="F905">
        <v>4</v>
      </c>
    </row>
    <row r="906" spans="1:6" x14ac:dyDescent="0.25">
      <c r="A906" t="s">
        <v>1452</v>
      </c>
      <c r="B906" t="s">
        <v>1447</v>
      </c>
      <c r="C906" t="s">
        <v>1448</v>
      </c>
      <c r="D906" s="2">
        <v>45903</v>
      </c>
      <c r="E906">
        <v>28</v>
      </c>
      <c r="F906">
        <v>5</v>
      </c>
    </row>
    <row r="907" spans="1:6" x14ac:dyDescent="0.25">
      <c r="A907" t="s">
        <v>1453</v>
      </c>
      <c r="B907" t="s">
        <v>1447</v>
      </c>
      <c r="C907" t="s">
        <v>1448</v>
      </c>
      <c r="D907" s="2">
        <v>45933</v>
      </c>
      <c r="E907">
        <v>28</v>
      </c>
      <c r="F907">
        <v>6</v>
      </c>
    </row>
    <row r="908" spans="1:6" x14ac:dyDescent="0.25">
      <c r="A908" t="s">
        <v>1454</v>
      </c>
      <c r="B908" t="s">
        <v>1455</v>
      </c>
      <c r="C908" t="s">
        <v>1456</v>
      </c>
      <c r="D908" s="2">
        <v>45921</v>
      </c>
      <c r="E908">
        <v>28</v>
      </c>
      <c r="F908">
        <v>1</v>
      </c>
    </row>
    <row r="909" spans="1:6" x14ac:dyDescent="0.25">
      <c r="A909" t="s">
        <v>1457</v>
      </c>
      <c r="B909" t="s">
        <v>1455</v>
      </c>
      <c r="C909" t="s">
        <v>1456</v>
      </c>
      <c r="D909" s="2">
        <v>45951</v>
      </c>
      <c r="E909">
        <v>28</v>
      </c>
      <c r="F909">
        <v>2</v>
      </c>
    </row>
    <row r="910" spans="1:6" x14ac:dyDescent="0.25">
      <c r="A910" t="s">
        <v>1458</v>
      </c>
      <c r="B910" t="s">
        <v>1459</v>
      </c>
      <c r="C910" t="s">
        <v>1460</v>
      </c>
      <c r="D910" s="2">
        <v>45870</v>
      </c>
      <c r="E910">
        <v>14</v>
      </c>
      <c r="F910">
        <v>1</v>
      </c>
    </row>
    <row r="911" spans="1:6" x14ac:dyDescent="0.25">
      <c r="A911" t="s">
        <v>1461</v>
      </c>
      <c r="B911" t="s">
        <v>1459</v>
      </c>
      <c r="C911" t="s">
        <v>1460</v>
      </c>
      <c r="D911" s="2">
        <v>45882</v>
      </c>
      <c r="E911">
        <v>14</v>
      </c>
      <c r="F911">
        <v>2</v>
      </c>
    </row>
    <row r="912" spans="1:6" x14ac:dyDescent="0.25">
      <c r="A912" t="s">
        <v>1462</v>
      </c>
      <c r="B912" t="s">
        <v>1459</v>
      </c>
      <c r="C912" t="s">
        <v>1460</v>
      </c>
      <c r="D912" s="2">
        <v>45899</v>
      </c>
      <c r="E912">
        <v>14</v>
      </c>
      <c r="F912">
        <v>3</v>
      </c>
    </row>
    <row r="913" spans="1:6" x14ac:dyDescent="0.25">
      <c r="A913" t="s">
        <v>1463</v>
      </c>
      <c r="B913" t="s">
        <v>1459</v>
      </c>
      <c r="C913" t="s">
        <v>1460</v>
      </c>
      <c r="D913" s="2">
        <v>45916</v>
      </c>
      <c r="E913">
        <v>14</v>
      </c>
      <c r="F913">
        <v>4</v>
      </c>
    </row>
    <row r="914" spans="1:6" x14ac:dyDescent="0.25">
      <c r="A914" t="s">
        <v>1464</v>
      </c>
      <c r="B914" t="s">
        <v>1459</v>
      </c>
      <c r="C914" t="s">
        <v>1460</v>
      </c>
      <c r="D914" s="2">
        <v>45929</v>
      </c>
      <c r="E914">
        <v>14</v>
      </c>
      <c r="F914">
        <v>5</v>
      </c>
    </row>
    <row r="915" spans="1:6" x14ac:dyDescent="0.25">
      <c r="A915" t="s">
        <v>1465</v>
      </c>
      <c r="B915" t="s">
        <v>1459</v>
      </c>
      <c r="C915" t="s">
        <v>1460</v>
      </c>
      <c r="D915" s="2">
        <v>45945</v>
      </c>
      <c r="E915">
        <v>14</v>
      </c>
      <c r="F915">
        <v>6</v>
      </c>
    </row>
    <row r="916" spans="1:6" x14ac:dyDescent="0.25">
      <c r="A916" t="s">
        <v>1466</v>
      </c>
      <c r="B916" t="s">
        <v>1459</v>
      </c>
      <c r="C916" t="s">
        <v>1460</v>
      </c>
      <c r="D916" s="2">
        <v>45959</v>
      </c>
      <c r="E916">
        <v>14</v>
      </c>
      <c r="F916">
        <v>7</v>
      </c>
    </row>
    <row r="917" spans="1:6" x14ac:dyDescent="0.25">
      <c r="A917" t="s">
        <v>1467</v>
      </c>
      <c r="B917" t="s">
        <v>1468</v>
      </c>
      <c r="C917" t="s">
        <v>1469</v>
      </c>
      <c r="D917" s="2">
        <v>45851</v>
      </c>
      <c r="E917">
        <v>28</v>
      </c>
      <c r="F917">
        <v>1</v>
      </c>
    </row>
    <row r="918" spans="1:6" x14ac:dyDescent="0.25">
      <c r="A918" t="s">
        <v>1470</v>
      </c>
      <c r="B918" t="s">
        <v>1468</v>
      </c>
      <c r="C918" t="s">
        <v>1469</v>
      </c>
      <c r="D918" s="2">
        <v>45881</v>
      </c>
      <c r="E918">
        <v>28</v>
      </c>
      <c r="F918">
        <v>2</v>
      </c>
    </row>
    <row r="919" spans="1:6" x14ac:dyDescent="0.25">
      <c r="A919" t="s">
        <v>1471</v>
      </c>
      <c r="B919" t="s">
        <v>1468</v>
      </c>
      <c r="C919" t="s">
        <v>1469</v>
      </c>
      <c r="D919" s="2">
        <v>45910</v>
      </c>
      <c r="E919">
        <v>28</v>
      </c>
      <c r="F919">
        <v>3</v>
      </c>
    </row>
    <row r="920" spans="1:6" x14ac:dyDescent="0.25">
      <c r="A920" t="s">
        <v>1472</v>
      </c>
      <c r="B920" t="s">
        <v>1468</v>
      </c>
      <c r="C920" t="s">
        <v>1469</v>
      </c>
      <c r="D920" s="2">
        <v>45935</v>
      </c>
      <c r="E920">
        <v>28</v>
      </c>
      <c r="F920">
        <v>4</v>
      </c>
    </row>
    <row r="921" spans="1:6" x14ac:dyDescent="0.25">
      <c r="A921" t="s">
        <v>1473</v>
      </c>
      <c r="B921" t="s">
        <v>1474</v>
      </c>
      <c r="C921" t="s">
        <v>1475</v>
      </c>
      <c r="D921" s="2">
        <v>45876</v>
      </c>
      <c r="E921">
        <v>30</v>
      </c>
      <c r="F921">
        <v>1</v>
      </c>
    </row>
    <row r="922" spans="1:6" x14ac:dyDescent="0.25">
      <c r="A922" t="s">
        <v>1476</v>
      </c>
      <c r="B922" t="s">
        <v>1474</v>
      </c>
      <c r="C922" t="s">
        <v>1475</v>
      </c>
      <c r="D922" s="2">
        <v>45907</v>
      </c>
      <c r="E922">
        <v>30</v>
      </c>
      <c r="F922">
        <v>2</v>
      </c>
    </row>
    <row r="923" spans="1:6" x14ac:dyDescent="0.25">
      <c r="A923" t="s">
        <v>1477</v>
      </c>
      <c r="B923" t="s">
        <v>1474</v>
      </c>
      <c r="C923" t="s">
        <v>1475</v>
      </c>
      <c r="D923" s="2">
        <v>45940</v>
      </c>
      <c r="E923">
        <v>30</v>
      </c>
      <c r="F923">
        <v>3</v>
      </c>
    </row>
    <row r="924" spans="1:6" x14ac:dyDescent="0.25">
      <c r="A924" t="s">
        <v>1478</v>
      </c>
      <c r="B924" t="s">
        <v>1479</v>
      </c>
      <c r="C924" t="s">
        <v>1480</v>
      </c>
      <c r="D924" s="2">
        <v>45893</v>
      </c>
      <c r="E924">
        <v>30</v>
      </c>
      <c r="F924">
        <v>1</v>
      </c>
    </row>
    <row r="925" spans="1:6" x14ac:dyDescent="0.25">
      <c r="A925" t="s">
        <v>1481</v>
      </c>
      <c r="B925" t="s">
        <v>1479</v>
      </c>
      <c r="C925" t="s">
        <v>1480</v>
      </c>
      <c r="D925" s="2">
        <v>45926</v>
      </c>
      <c r="E925">
        <v>30</v>
      </c>
      <c r="F925">
        <v>2</v>
      </c>
    </row>
    <row r="926" spans="1:6" x14ac:dyDescent="0.25">
      <c r="A926" t="s">
        <v>1482</v>
      </c>
      <c r="B926" t="s">
        <v>1479</v>
      </c>
      <c r="C926" t="s">
        <v>1480</v>
      </c>
      <c r="D926" s="2">
        <v>45958</v>
      </c>
      <c r="E926">
        <v>30</v>
      </c>
      <c r="F926">
        <v>3</v>
      </c>
    </row>
    <row r="927" spans="1:6" x14ac:dyDescent="0.25">
      <c r="A927" t="s">
        <v>1483</v>
      </c>
      <c r="B927" t="s">
        <v>1484</v>
      </c>
      <c r="C927" t="s">
        <v>1485</v>
      </c>
      <c r="D927" s="2">
        <v>45918</v>
      </c>
      <c r="E927">
        <v>28</v>
      </c>
      <c r="F927">
        <v>1</v>
      </c>
    </row>
    <row r="928" spans="1:6" x14ac:dyDescent="0.25">
      <c r="A928" t="s">
        <v>1486</v>
      </c>
      <c r="B928" t="s">
        <v>1484</v>
      </c>
      <c r="C928" t="s">
        <v>1485</v>
      </c>
      <c r="D928" s="2">
        <v>45945</v>
      </c>
      <c r="E928">
        <v>28</v>
      </c>
      <c r="F928">
        <v>2</v>
      </c>
    </row>
    <row r="929" spans="1:6" x14ac:dyDescent="0.25">
      <c r="A929" t="s">
        <v>1487</v>
      </c>
      <c r="B929" t="s">
        <v>1488</v>
      </c>
      <c r="C929" t="s">
        <v>1489</v>
      </c>
      <c r="D929" s="2">
        <v>45937</v>
      </c>
      <c r="E929">
        <v>28</v>
      </c>
      <c r="F929">
        <v>1</v>
      </c>
    </row>
    <row r="930" spans="1:6" x14ac:dyDescent="0.25">
      <c r="A930" t="s">
        <v>1490</v>
      </c>
      <c r="B930" t="s">
        <v>1491</v>
      </c>
      <c r="C930" t="s">
        <v>1492</v>
      </c>
      <c r="D930" s="2">
        <v>45934</v>
      </c>
      <c r="E930">
        <v>21</v>
      </c>
      <c r="F930">
        <v>1</v>
      </c>
    </row>
    <row r="931" spans="1:6" x14ac:dyDescent="0.25">
      <c r="A931" t="s">
        <v>1493</v>
      </c>
      <c r="B931" t="s">
        <v>1491</v>
      </c>
      <c r="C931" t="s">
        <v>1492</v>
      </c>
      <c r="D931" s="2">
        <v>45958</v>
      </c>
      <c r="E931">
        <v>21</v>
      </c>
      <c r="F931">
        <v>2</v>
      </c>
    </row>
    <row r="932" spans="1:6" x14ac:dyDescent="0.25">
      <c r="A932" t="s">
        <v>1494</v>
      </c>
      <c r="B932" t="s">
        <v>1495</v>
      </c>
      <c r="C932" t="s">
        <v>1496</v>
      </c>
      <c r="D932" s="2">
        <v>45810</v>
      </c>
      <c r="E932">
        <v>28</v>
      </c>
      <c r="F932">
        <v>1</v>
      </c>
    </row>
    <row r="933" spans="1:6" x14ac:dyDescent="0.25">
      <c r="A933" t="s">
        <v>1497</v>
      </c>
      <c r="B933" t="s">
        <v>1495</v>
      </c>
      <c r="C933" t="s">
        <v>1496</v>
      </c>
      <c r="D933" s="2">
        <v>45838</v>
      </c>
      <c r="E933">
        <v>28</v>
      </c>
      <c r="F933">
        <v>2</v>
      </c>
    </row>
    <row r="934" spans="1:6" x14ac:dyDescent="0.25">
      <c r="A934" t="s">
        <v>1498</v>
      </c>
      <c r="B934" t="s">
        <v>1495</v>
      </c>
      <c r="C934" t="s">
        <v>1496</v>
      </c>
      <c r="D934" s="2">
        <v>45868</v>
      </c>
      <c r="E934">
        <v>28</v>
      </c>
      <c r="F934">
        <v>3</v>
      </c>
    </row>
    <row r="935" spans="1:6" x14ac:dyDescent="0.25">
      <c r="A935" t="s">
        <v>1499</v>
      </c>
      <c r="B935" t="s">
        <v>1495</v>
      </c>
      <c r="C935" t="s">
        <v>1496</v>
      </c>
      <c r="D935" s="2">
        <v>45894</v>
      </c>
      <c r="E935">
        <v>28</v>
      </c>
      <c r="F935">
        <v>4</v>
      </c>
    </row>
    <row r="936" spans="1:6" x14ac:dyDescent="0.25">
      <c r="A936" t="s">
        <v>1500</v>
      </c>
      <c r="B936" t="s">
        <v>1495</v>
      </c>
      <c r="C936" t="s">
        <v>1496</v>
      </c>
      <c r="D936" s="2">
        <v>45924</v>
      </c>
      <c r="E936">
        <v>28</v>
      </c>
      <c r="F936">
        <v>5</v>
      </c>
    </row>
    <row r="937" spans="1:6" x14ac:dyDescent="0.25">
      <c r="A937" t="s">
        <v>1501</v>
      </c>
      <c r="B937" t="s">
        <v>1495</v>
      </c>
      <c r="C937" t="s">
        <v>1496</v>
      </c>
      <c r="D937" s="2">
        <v>45949</v>
      </c>
      <c r="E937">
        <v>28</v>
      </c>
      <c r="F937">
        <v>6</v>
      </c>
    </row>
    <row r="938" spans="1:6" x14ac:dyDescent="0.25">
      <c r="A938" t="s">
        <v>1502</v>
      </c>
      <c r="B938" t="s">
        <v>1503</v>
      </c>
      <c r="C938" t="s">
        <v>1504</v>
      </c>
      <c r="D938" s="2">
        <v>45878</v>
      </c>
      <c r="E938">
        <v>21</v>
      </c>
      <c r="F938">
        <v>1</v>
      </c>
    </row>
    <row r="939" spans="1:6" x14ac:dyDescent="0.25">
      <c r="A939" t="s">
        <v>1505</v>
      </c>
      <c r="B939" t="s">
        <v>1503</v>
      </c>
      <c r="C939" t="s">
        <v>1504</v>
      </c>
      <c r="D939" s="2">
        <v>45898</v>
      </c>
      <c r="E939">
        <v>21</v>
      </c>
      <c r="F939">
        <v>2</v>
      </c>
    </row>
    <row r="940" spans="1:6" x14ac:dyDescent="0.25">
      <c r="A940" t="s">
        <v>1506</v>
      </c>
      <c r="B940" t="s">
        <v>1503</v>
      </c>
      <c r="C940" t="s">
        <v>1504</v>
      </c>
      <c r="D940" s="2">
        <v>45918</v>
      </c>
      <c r="E940">
        <v>21</v>
      </c>
      <c r="F940">
        <v>3</v>
      </c>
    </row>
    <row r="941" spans="1:6" x14ac:dyDescent="0.25">
      <c r="A941" t="s">
        <v>1507</v>
      </c>
      <c r="B941" t="s">
        <v>1503</v>
      </c>
      <c r="C941" t="s">
        <v>1504</v>
      </c>
      <c r="D941" s="2">
        <v>45937</v>
      </c>
      <c r="E941">
        <v>21</v>
      </c>
      <c r="F941">
        <v>4</v>
      </c>
    </row>
    <row r="942" spans="1:6" x14ac:dyDescent="0.25">
      <c r="A942" t="s">
        <v>1508</v>
      </c>
      <c r="B942" t="s">
        <v>1503</v>
      </c>
      <c r="C942" t="s">
        <v>1504</v>
      </c>
      <c r="D942" s="2">
        <v>45961</v>
      </c>
      <c r="E942">
        <v>21</v>
      </c>
      <c r="F942">
        <v>5</v>
      </c>
    </row>
    <row r="943" spans="1:6" x14ac:dyDescent="0.25">
      <c r="A943" t="s">
        <v>1509</v>
      </c>
      <c r="B943" t="s">
        <v>1510</v>
      </c>
      <c r="C943" t="s">
        <v>1511</v>
      </c>
      <c r="D943" s="2">
        <v>45864</v>
      </c>
      <c r="E943">
        <v>30</v>
      </c>
      <c r="F943">
        <v>1</v>
      </c>
    </row>
    <row r="944" spans="1:6" x14ac:dyDescent="0.25">
      <c r="A944" t="s">
        <v>1512</v>
      </c>
      <c r="B944" t="s">
        <v>1510</v>
      </c>
      <c r="C944" t="s">
        <v>1511</v>
      </c>
      <c r="D944" s="2">
        <v>45894</v>
      </c>
      <c r="E944">
        <v>30</v>
      </c>
      <c r="F944">
        <v>2</v>
      </c>
    </row>
    <row r="945" spans="1:6" x14ac:dyDescent="0.25">
      <c r="A945" t="s">
        <v>1513</v>
      </c>
      <c r="B945" t="s">
        <v>1510</v>
      </c>
      <c r="C945" t="s">
        <v>1511</v>
      </c>
      <c r="D945" s="2">
        <v>45922</v>
      </c>
      <c r="E945">
        <v>30</v>
      </c>
      <c r="F945">
        <v>3</v>
      </c>
    </row>
    <row r="946" spans="1:6" x14ac:dyDescent="0.25">
      <c r="A946" t="s">
        <v>1514</v>
      </c>
      <c r="B946" t="s">
        <v>1510</v>
      </c>
      <c r="C946" t="s">
        <v>1511</v>
      </c>
      <c r="D946" s="2">
        <v>45950</v>
      </c>
      <c r="E946">
        <v>30</v>
      </c>
      <c r="F946">
        <v>4</v>
      </c>
    </row>
    <row r="947" spans="1:6" x14ac:dyDescent="0.25">
      <c r="A947" t="s">
        <v>1515</v>
      </c>
      <c r="B947" t="s">
        <v>1516</v>
      </c>
      <c r="C947" t="s">
        <v>1517</v>
      </c>
      <c r="D947" s="2">
        <v>45871</v>
      </c>
      <c r="E947">
        <v>28</v>
      </c>
      <c r="F947">
        <v>1</v>
      </c>
    </row>
    <row r="948" spans="1:6" x14ac:dyDescent="0.25">
      <c r="A948" t="s">
        <v>1518</v>
      </c>
      <c r="B948" t="s">
        <v>1516</v>
      </c>
      <c r="C948" t="s">
        <v>1517</v>
      </c>
      <c r="D948" s="2">
        <v>45896</v>
      </c>
      <c r="E948">
        <v>28</v>
      </c>
      <c r="F948">
        <v>2</v>
      </c>
    </row>
    <row r="949" spans="1:6" x14ac:dyDescent="0.25">
      <c r="A949" t="s">
        <v>1519</v>
      </c>
      <c r="B949" t="s">
        <v>1516</v>
      </c>
      <c r="C949" t="s">
        <v>1517</v>
      </c>
      <c r="D949" s="2">
        <v>45926</v>
      </c>
      <c r="E949">
        <v>28</v>
      </c>
      <c r="F949">
        <v>3</v>
      </c>
    </row>
    <row r="950" spans="1:6" x14ac:dyDescent="0.25">
      <c r="A950" t="s">
        <v>1520</v>
      </c>
      <c r="B950" t="s">
        <v>1516</v>
      </c>
      <c r="C950" t="s">
        <v>1517</v>
      </c>
      <c r="D950" s="2">
        <v>45957</v>
      </c>
      <c r="E950">
        <v>28</v>
      </c>
      <c r="F950">
        <v>4</v>
      </c>
    </row>
    <row r="951" spans="1:6" x14ac:dyDescent="0.25">
      <c r="A951" t="s">
        <v>1521</v>
      </c>
      <c r="B951" t="s">
        <v>1522</v>
      </c>
      <c r="C951" t="s">
        <v>1523</v>
      </c>
      <c r="D951" s="2">
        <v>45814</v>
      </c>
      <c r="E951">
        <v>28</v>
      </c>
      <c r="F951">
        <v>1</v>
      </c>
    </row>
    <row r="952" spans="1:6" x14ac:dyDescent="0.25">
      <c r="A952" t="s">
        <v>1524</v>
      </c>
      <c r="B952" t="s">
        <v>1522</v>
      </c>
      <c r="C952" t="s">
        <v>1523</v>
      </c>
      <c r="D952" s="2">
        <v>45845</v>
      </c>
      <c r="E952">
        <v>28</v>
      </c>
      <c r="F952">
        <v>2</v>
      </c>
    </row>
    <row r="953" spans="1:6" x14ac:dyDescent="0.25">
      <c r="A953" t="s">
        <v>1525</v>
      </c>
      <c r="B953" t="s">
        <v>1522</v>
      </c>
      <c r="C953" t="s">
        <v>1523</v>
      </c>
      <c r="D953" s="2">
        <v>45874</v>
      </c>
      <c r="E953">
        <v>28</v>
      </c>
      <c r="F953">
        <v>3</v>
      </c>
    </row>
    <row r="954" spans="1:6" x14ac:dyDescent="0.25">
      <c r="A954" t="s">
        <v>1526</v>
      </c>
      <c r="B954" t="s">
        <v>1522</v>
      </c>
      <c r="C954" t="s">
        <v>1523</v>
      </c>
      <c r="D954" s="2">
        <v>45899</v>
      </c>
      <c r="E954">
        <v>28</v>
      </c>
      <c r="F954">
        <v>4</v>
      </c>
    </row>
    <row r="955" spans="1:6" x14ac:dyDescent="0.25">
      <c r="A955" t="s">
        <v>1527</v>
      </c>
      <c r="B955" t="s">
        <v>1522</v>
      </c>
      <c r="C955" t="s">
        <v>1523</v>
      </c>
      <c r="D955" s="2">
        <v>45929</v>
      </c>
      <c r="E955">
        <v>28</v>
      </c>
      <c r="F955">
        <v>5</v>
      </c>
    </row>
    <row r="956" spans="1:6" x14ac:dyDescent="0.25">
      <c r="A956" t="s">
        <v>1528</v>
      </c>
      <c r="B956" t="s">
        <v>1522</v>
      </c>
      <c r="C956" t="s">
        <v>1523</v>
      </c>
      <c r="D956" s="2">
        <v>45958</v>
      </c>
      <c r="E956">
        <v>28</v>
      </c>
      <c r="F956">
        <v>6</v>
      </c>
    </row>
    <row r="957" spans="1:6" x14ac:dyDescent="0.25">
      <c r="A957" t="s">
        <v>1529</v>
      </c>
      <c r="B957" t="s">
        <v>1530</v>
      </c>
      <c r="C957" t="s">
        <v>1531</v>
      </c>
      <c r="D957" s="2">
        <v>45932</v>
      </c>
      <c r="E957">
        <v>56</v>
      </c>
      <c r="F957">
        <v>1</v>
      </c>
    </row>
    <row r="958" spans="1:6" x14ac:dyDescent="0.25">
      <c r="A958" t="s">
        <v>1532</v>
      </c>
      <c r="B958" t="s">
        <v>1533</v>
      </c>
      <c r="C958" t="s">
        <v>1534</v>
      </c>
      <c r="D958" s="2">
        <v>45880</v>
      </c>
      <c r="E958">
        <v>30</v>
      </c>
      <c r="F958">
        <v>1</v>
      </c>
    </row>
    <row r="959" spans="1:6" x14ac:dyDescent="0.25">
      <c r="A959" t="s">
        <v>1535</v>
      </c>
      <c r="B959" t="s">
        <v>1533</v>
      </c>
      <c r="C959" t="s">
        <v>1534</v>
      </c>
      <c r="D959" s="2">
        <v>45911</v>
      </c>
      <c r="E959">
        <v>30</v>
      </c>
      <c r="F959">
        <v>2</v>
      </c>
    </row>
    <row r="960" spans="1:6" x14ac:dyDescent="0.25">
      <c r="A960" t="s">
        <v>1536</v>
      </c>
      <c r="B960" t="s">
        <v>1533</v>
      </c>
      <c r="C960" t="s">
        <v>1534</v>
      </c>
      <c r="D960" s="2">
        <v>45941</v>
      </c>
      <c r="E960">
        <v>30</v>
      </c>
      <c r="F960">
        <v>3</v>
      </c>
    </row>
    <row r="961" spans="1:6" x14ac:dyDescent="0.25">
      <c r="A961" t="s">
        <v>1537</v>
      </c>
      <c r="B961" t="s">
        <v>1538</v>
      </c>
      <c r="C961" t="s">
        <v>1539</v>
      </c>
      <c r="D961" s="2">
        <v>45788</v>
      </c>
      <c r="E961">
        <v>30</v>
      </c>
      <c r="F961">
        <v>1</v>
      </c>
    </row>
    <row r="962" spans="1:6" x14ac:dyDescent="0.25">
      <c r="A962" t="s">
        <v>1540</v>
      </c>
      <c r="B962" t="s">
        <v>1538</v>
      </c>
      <c r="C962" t="s">
        <v>1539</v>
      </c>
      <c r="D962" s="2">
        <v>45815</v>
      </c>
      <c r="E962">
        <v>30</v>
      </c>
      <c r="F962">
        <v>2</v>
      </c>
    </row>
    <row r="963" spans="1:6" x14ac:dyDescent="0.25">
      <c r="A963" t="s">
        <v>1541</v>
      </c>
      <c r="B963" t="s">
        <v>1538</v>
      </c>
      <c r="C963" t="s">
        <v>1539</v>
      </c>
      <c r="D963" s="2">
        <v>45843</v>
      </c>
      <c r="E963">
        <v>30</v>
      </c>
      <c r="F963">
        <v>3</v>
      </c>
    </row>
    <row r="964" spans="1:6" x14ac:dyDescent="0.25">
      <c r="A964" t="s">
        <v>1542</v>
      </c>
      <c r="B964" t="s">
        <v>1538</v>
      </c>
      <c r="C964" t="s">
        <v>1539</v>
      </c>
      <c r="D964" s="2">
        <v>45871</v>
      </c>
      <c r="E964">
        <v>30</v>
      </c>
      <c r="F964">
        <v>4</v>
      </c>
    </row>
    <row r="965" spans="1:6" x14ac:dyDescent="0.25">
      <c r="A965" t="s">
        <v>1543</v>
      </c>
      <c r="B965" t="s">
        <v>1538</v>
      </c>
      <c r="C965" t="s">
        <v>1539</v>
      </c>
      <c r="D965" s="2">
        <v>45900</v>
      </c>
      <c r="E965">
        <v>30</v>
      </c>
      <c r="F965">
        <v>5</v>
      </c>
    </row>
    <row r="966" spans="1:6" x14ac:dyDescent="0.25">
      <c r="A966" t="s">
        <v>1544</v>
      </c>
      <c r="B966" t="s">
        <v>1538</v>
      </c>
      <c r="C966" t="s">
        <v>1539</v>
      </c>
      <c r="D966" s="2">
        <v>45929</v>
      </c>
      <c r="E966">
        <v>30</v>
      </c>
      <c r="F966">
        <v>6</v>
      </c>
    </row>
    <row r="967" spans="1:6" x14ac:dyDescent="0.25">
      <c r="A967" t="s">
        <v>1545</v>
      </c>
      <c r="B967" t="s">
        <v>1538</v>
      </c>
      <c r="C967" t="s">
        <v>1539</v>
      </c>
      <c r="D967" s="2">
        <v>45957</v>
      </c>
      <c r="E967">
        <v>30</v>
      </c>
      <c r="F967">
        <v>7</v>
      </c>
    </row>
    <row r="968" spans="1:6" x14ac:dyDescent="0.25">
      <c r="A968" t="s">
        <v>1546</v>
      </c>
      <c r="B968" t="s">
        <v>1547</v>
      </c>
      <c r="C968" t="s">
        <v>1548</v>
      </c>
      <c r="D968" s="2">
        <v>45787</v>
      </c>
      <c r="E968">
        <v>28</v>
      </c>
      <c r="F968">
        <v>1</v>
      </c>
    </row>
    <row r="969" spans="1:6" x14ac:dyDescent="0.25">
      <c r="A969" t="s">
        <v>1549</v>
      </c>
      <c r="B969" t="s">
        <v>1547</v>
      </c>
      <c r="C969" t="s">
        <v>1548</v>
      </c>
      <c r="D969" s="2">
        <v>45816</v>
      </c>
      <c r="E969">
        <v>28</v>
      </c>
      <c r="F969">
        <v>2</v>
      </c>
    </row>
    <row r="970" spans="1:6" x14ac:dyDescent="0.25">
      <c r="A970" t="s">
        <v>1550</v>
      </c>
      <c r="B970" t="s">
        <v>1547</v>
      </c>
      <c r="C970" t="s">
        <v>1548</v>
      </c>
      <c r="D970" s="2">
        <v>45845</v>
      </c>
      <c r="E970">
        <v>28</v>
      </c>
      <c r="F970">
        <v>3</v>
      </c>
    </row>
    <row r="971" spans="1:6" x14ac:dyDescent="0.25">
      <c r="A971" t="s">
        <v>1551</v>
      </c>
      <c r="B971" t="s">
        <v>1547</v>
      </c>
      <c r="C971" t="s">
        <v>1548</v>
      </c>
      <c r="D971" s="2">
        <v>45876</v>
      </c>
      <c r="E971">
        <v>28</v>
      </c>
      <c r="F971">
        <v>4</v>
      </c>
    </row>
    <row r="972" spans="1:6" x14ac:dyDescent="0.25">
      <c r="A972" t="s">
        <v>1552</v>
      </c>
      <c r="B972" t="s">
        <v>1547</v>
      </c>
      <c r="C972" t="s">
        <v>1548</v>
      </c>
      <c r="D972" s="2">
        <v>45901</v>
      </c>
      <c r="E972">
        <v>28</v>
      </c>
      <c r="F972">
        <v>5</v>
      </c>
    </row>
    <row r="973" spans="1:6" x14ac:dyDescent="0.25">
      <c r="A973" t="s">
        <v>1553</v>
      </c>
      <c r="B973" t="s">
        <v>1547</v>
      </c>
      <c r="C973" t="s">
        <v>1548</v>
      </c>
      <c r="D973" s="2">
        <v>45931</v>
      </c>
      <c r="E973">
        <v>28</v>
      </c>
      <c r="F973">
        <v>6</v>
      </c>
    </row>
    <row r="974" spans="1:6" x14ac:dyDescent="0.25">
      <c r="A974" t="s">
        <v>1554</v>
      </c>
      <c r="B974" t="s">
        <v>1547</v>
      </c>
      <c r="C974" t="s">
        <v>1548</v>
      </c>
      <c r="D974" s="2">
        <v>45959</v>
      </c>
      <c r="E974">
        <v>28</v>
      </c>
      <c r="F974">
        <v>7</v>
      </c>
    </row>
    <row r="975" spans="1:6" x14ac:dyDescent="0.25">
      <c r="A975" t="s">
        <v>1555</v>
      </c>
      <c r="B975" t="s">
        <v>1556</v>
      </c>
      <c r="C975" t="s">
        <v>1557</v>
      </c>
      <c r="D975" s="2">
        <v>45960</v>
      </c>
      <c r="E975">
        <v>30</v>
      </c>
      <c r="F975">
        <v>1</v>
      </c>
    </row>
    <row r="976" spans="1:6" x14ac:dyDescent="0.25">
      <c r="A976" t="s">
        <v>1558</v>
      </c>
      <c r="B976" t="s">
        <v>1559</v>
      </c>
      <c r="C976" t="s">
        <v>1560</v>
      </c>
      <c r="D976" s="2">
        <v>45899</v>
      </c>
      <c r="E976">
        <v>30</v>
      </c>
      <c r="F976">
        <v>1</v>
      </c>
    </row>
    <row r="977" spans="1:6" x14ac:dyDescent="0.25">
      <c r="A977" t="s">
        <v>1561</v>
      </c>
      <c r="B977" t="s">
        <v>1562</v>
      </c>
      <c r="C977" t="s">
        <v>1563</v>
      </c>
      <c r="D977" s="2">
        <v>45894</v>
      </c>
      <c r="E977">
        <v>30</v>
      </c>
      <c r="F977">
        <v>1</v>
      </c>
    </row>
    <row r="978" spans="1:6" x14ac:dyDescent="0.25">
      <c r="A978" t="s">
        <v>1564</v>
      </c>
      <c r="B978" t="s">
        <v>1562</v>
      </c>
      <c r="C978" t="s">
        <v>1563</v>
      </c>
      <c r="D978" s="2">
        <v>45923</v>
      </c>
      <c r="E978">
        <v>30</v>
      </c>
      <c r="F978">
        <v>2</v>
      </c>
    </row>
    <row r="979" spans="1:6" x14ac:dyDescent="0.25">
      <c r="A979" t="s">
        <v>1565</v>
      </c>
      <c r="B979" t="s">
        <v>1562</v>
      </c>
      <c r="C979" t="s">
        <v>1563</v>
      </c>
      <c r="D979" s="2">
        <v>45956</v>
      </c>
      <c r="E979">
        <v>30</v>
      </c>
      <c r="F979">
        <v>3</v>
      </c>
    </row>
    <row r="980" spans="1:6" x14ac:dyDescent="0.25">
      <c r="A980" t="s">
        <v>1566</v>
      </c>
      <c r="B980" t="s">
        <v>1567</v>
      </c>
      <c r="C980" t="s">
        <v>1568</v>
      </c>
      <c r="D980" s="2">
        <v>45933</v>
      </c>
      <c r="E980">
        <v>30</v>
      </c>
      <c r="F980">
        <v>1</v>
      </c>
    </row>
    <row r="981" spans="1:6" x14ac:dyDescent="0.25">
      <c r="A981" t="s">
        <v>1569</v>
      </c>
      <c r="B981" t="s">
        <v>1570</v>
      </c>
      <c r="C981" t="s">
        <v>1571</v>
      </c>
      <c r="D981" s="2">
        <v>45813</v>
      </c>
      <c r="E981">
        <v>28</v>
      </c>
      <c r="F981">
        <v>1</v>
      </c>
    </row>
    <row r="982" spans="1:6" x14ac:dyDescent="0.25">
      <c r="A982" t="s">
        <v>1572</v>
      </c>
      <c r="B982" t="s">
        <v>1570</v>
      </c>
      <c r="C982" t="s">
        <v>1571</v>
      </c>
      <c r="D982" s="2">
        <v>45840</v>
      </c>
      <c r="E982">
        <v>28</v>
      </c>
      <c r="F982">
        <v>2</v>
      </c>
    </row>
    <row r="983" spans="1:6" x14ac:dyDescent="0.25">
      <c r="A983" t="s">
        <v>1573</v>
      </c>
      <c r="B983" t="s">
        <v>1570</v>
      </c>
      <c r="C983" t="s">
        <v>1571</v>
      </c>
      <c r="D983" s="2">
        <v>45871</v>
      </c>
      <c r="E983">
        <v>28</v>
      </c>
      <c r="F983">
        <v>3</v>
      </c>
    </row>
    <row r="984" spans="1:6" x14ac:dyDescent="0.25">
      <c r="A984" t="s">
        <v>1574</v>
      </c>
      <c r="B984" t="s">
        <v>1575</v>
      </c>
      <c r="C984" t="s">
        <v>1576</v>
      </c>
      <c r="D984" s="2">
        <v>45934</v>
      </c>
      <c r="E984">
        <v>28</v>
      </c>
      <c r="F984">
        <v>1</v>
      </c>
    </row>
    <row r="985" spans="1:6" x14ac:dyDescent="0.25">
      <c r="A985" t="s">
        <v>1577</v>
      </c>
      <c r="B985" t="s">
        <v>1578</v>
      </c>
      <c r="C985" t="s">
        <v>1579</v>
      </c>
      <c r="D985" s="2">
        <v>45819</v>
      </c>
      <c r="E985">
        <v>28</v>
      </c>
      <c r="F985">
        <v>1</v>
      </c>
    </row>
    <row r="986" spans="1:6" x14ac:dyDescent="0.25">
      <c r="A986" t="s">
        <v>1580</v>
      </c>
      <c r="B986" t="s">
        <v>1578</v>
      </c>
      <c r="C986" t="s">
        <v>1579</v>
      </c>
      <c r="D986" s="2">
        <v>45847</v>
      </c>
      <c r="E986">
        <v>28</v>
      </c>
      <c r="F986">
        <v>2</v>
      </c>
    </row>
    <row r="987" spans="1:6" x14ac:dyDescent="0.25">
      <c r="A987" t="s">
        <v>1581</v>
      </c>
      <c r="B987" t="s">
        <v>1582</v>
      </c>
      <c r="C987" t="s">
        <v>1583</v>
      </c>
      <c r="D987" s="2">
        <v>45935</v>
      </c>
      <c r="E987">
        <v>28</v>
      </c>
      <c r="F987">
        <v>1</v>
      </c>
    </row>
    <row r="988" spans="1:6" x14ac:dyDescent="0.25">
      <c r="A988" t="s">
        <v>1584</v>
      </c>
      <c r="B988" t="s">
        <v>1585</v>
      </c>
      <c r="C988" t="s">
        <v>1586</v>
      </c>
      <c r="D988" s="2">
        <v>45854</v>
      </c>
      <c r="E988">
        <v>21</v>
      </c>
      <c r="F988">
        <v>1</v>
      </c>
    </row>
    <row r="989" spans="1:6" x14ac:dyDescent="0.25">
      <c r="A989" t="s">
        <v>1587</v>
      </c>
      <c r="B989" t="s">
        <v>1585</v>
      </c>
      <c r="C989" t="s">
        <v>1586</v>
      </c>
      <c r="D989" s="2">
        <v>45876</v>
      </c>
      <c r="E989">
        <v>21</v>
      </c>
      <c r="F989">
        <v>2</v>
      </c>
    </row>
    <row r="990" spans="1:6" x14ac:dyDescent="0.25">
      <c r="A990" t="s">
        <v>1588</v>
      </c>
      <c r="B990" t="s">
        <v>1589</v>
      </c>
      <c r="C990" t="s">
        <v>1590</v>
      </c>
      <c r="D990" s="2">
        <v>45864</v>
      </c>
      <c r="E990">
        <v>28</v>
      </c>
      <c r="F990">
        <v>1</v>
      </c>
    </row>
    <row r="991" spans="1:6" x14ac:dyDescent="0.25">
      <c r="A991" t="s">
        <v>1591</v>
      </c>
      <c r="B991" t="s">
        <v>1589</v>
      </c>
      <c r="C991" t="s">
        <v>1590</v>
      </c>
      <c r="D991" s="2">
        <v>45895</v>
      </c>
      <c r="E991">
        <v>28</v>
      </c>
      <c r="F991">
        <v>2</v>
      </c>
    </row>
    <row r="992" spans="1:6" x14ac:dyDescent="0.25">
      <c r="A992" t="s">
        <v>1592</v>
      </c>
      <c r="B992" t="s">
        <v>1589</v>
      </c>
      <c r="C992" t="s">
        <v>1590</v>
      </c>
      <c r="D992" s="2">
        <v>45924</v>
      </c>
      <c r="E992">
        <v>28</v>
      </c>
      <c r="F992">
        <v>3</v>
      </c>
    </row>
    <row r="993" spans="1:6" x14ac:dyDescent="0.25">
      <c r="A993" t="s">
        <v>1593</v>
      </c>
      <c r="B993" t="s">
        <v>1589</v>
      </c>
      <c r="C993" t="s">
        <v>1590</v>
      </c>
      <c r="D993" s="2">
        <v>45954</v>
      </c>
      <c r="E993">
        <v>28</v>
      </c>
      <c r="F993">
        <v>4</v>
      </c>
    </row>
    <row r="994" spans="1:6" x14ac:dyDescent="0.25">
      <c r="A994" t="s">
        <v>1594</v>
      </c>
      <c r="B994" t="s">
        <v>1595</v>
      </c>
      <c r="C994" t="s">
        <v>1596</v>
      </c>
      <c r="D994" s="2">
        <v>45908</v>
      </c>
      <c r="E994">
        <v>21</v>
      </c>
      <c r="F994">
        <v>1</v>
      </c>
    </row>
    <row r="995" spans="1:6" x14ac:dyDescent="0.25">
      <c r="A995" t="s">
        <v>1597</v>
      </c>
      <c r="B995" t="s">
        <v>1595</v>
      </c>
      <c r="C995" t="s">
        <v>1596</v>
      </c>
      <c r="D995" s="2">
        <v>45931</v>
      </c>
      <c r="E995">
        <v>21</v>
      </c>
      <c r="F995">
        <v>2</v>
      </c>
    </row>
    <row r="996" spans="1:6" x14ac:dyDescent="0.25">
      <c r="A996" t="s">
        <v>1598</v>
      </c>
      <c r="B996" t="s">
        <v>1595</v>
      </c>
      <c r="C996" t="s">
        <v>1596</v>
      </c>
      <c r="D996" s="2">
        <v>45950</v>
      </c>
      <c r="E996">
        <v>21</v>
      </c>
      <c r="F996">
        <v>3</v>
      </c>
    </row>
    <row r="997" spans="1:6" x14ac:dyDescent="0.25">
      <c r="A997" t="s">
        <v>1599</v>
      </c>
      <c r="B997" t="s">
        <v>1600</v>
      </c>
      <c r="C997" t="s">
        <v>1601</v>
      </c>
      <c r="D997" s="2">
        <v>45903</v>
      </c>
      <c r="E997">
        <v>14</v>
      </c>
      <c r="F997">
        <v>1</v>
      </c>
    </row>
    <row r="998" spans="1:6" x14ac:dyDescent="0.25">
      <c r="A998" t="s">
        <v>1602</v>
      </c>
      <c r="B998" t="s">
        <v>1600</v>
      </c>
      <c r="C998" t="s">
        <v>1601</v>
      </c>
      <c r="D998" s="2">
        <v>45920</v>
      </c>
      <c r="E998">
        <v>14</v>
      </c>
      <c r="F998">
        <v>2</v>
      </c>
    </row>
    <row r="999" spans="1:6" x14ac:dyDescent="0.25">
      <c r="A999" t="s">
        <v>1603</v>
      </c>
      <c r="B999" t="s">
        <v>1600</v>
      </c>
      <c r="C999" t="s">
        <v>1601</v>
      </c>
      <c r="D999" s="2">
        <v>45932</v>
      </c>
      <c r="E999">
        <v>14</v>
      </c>
      <c r="F999">
        <v>3</v>
      </c>
    </row>
    <row r="1000" spans="1:6" x14ac:dyDescent="0.25">
      <c r="A1000" t="s">
        <v>1604</v>
      </c>
      <c r="B1000" t="s">
        <v>1600</v>
      </c>
      <c r="C1000" t="s">
        <v>1601</v>
      </c>
      <c r="D1000" s="2">
        <v>45949</v>
      </c>
      <c r="E1000">
        <v>14</v>
      </c>
      <c r="F1000">
        <v>4</v>
      </c>
    </row>
    <row r="1001" spans="1:6" x14ac:dyDescent="0.25">
      <c r="A1001" t="s">
        <v>1605</v>
      </c>
      <c r="B1001" t="s">
        <v>1606</v>
      </c>
      <c r="C1001" t="s">
        <v>1607</v>
      </c>
      <c r="D1001" s="2">
        <v>45922</v>
      </c>
      <c r="E1001">
        <v>30</v>
      </c>
      <c r="F1001">
        <v>1</v>
      </c>
    </row>
    <row r="1002" spans="1:6" x14ac:dyDescent="0.25">
      <c r="A1002" t="s">
        <v>1608</v>
      </c>
      <c r="B1002" t="s">
        <v>1606</v>
      </c>
      <c r="C1002" t="s">
        <v>1607</v>
      </c>
      <c r="D1002" s="2">
        <v>45952</v>
      </c>
      <c r="E1002">
        <v>30</v>
      </c>
      <c r="F1002">
        <v>2</v>
      </c>
    </row>
    <row r="1003" spans="1:6" x14ac:dyDescent="0.25">
      <c r="A1003" t="s">
        <v>1609</v>
      </c>
      <c r="B1003" t="s">
        <v>1610</v>
      </c>
      <c r="C1003" t="s">
        <v>1611</v>
      </c>
      <c r="D1003" s="2">
        <v>45899</v>
      </c>
      <c r="E1003">
        <v>28</v>
      </c>
      <c r="F1003">
        <v>1</v>
      </c>
    </row>
    <row r="1004" spans="1:6" x14ac:dyDescent="0.25">
      <c r="A1004" t="s">
        <v>1612</v>
      </c>
      <c r="B1004" t="s">
        <v>1610</v>
      </c>
      <c r="C1004" t="s">
        <v>1611</v>
      </c>
      <c r="D1004" s="2">
        <v>45924</v>
      </c>
      <c r="E1004">
        <v>28</v>
      </c>
      <c r="F1004">
        <v>2</v>
      </c>
    </row>
    <row r="1005" spans="1:6" x14ac:dyDescent="0.25">
      <c r="A1005" t="s">
        <v>1613</v>
      </c>
      <c r="B1005" t="s">
        <v>1610</v>
      </c>
      <c r="C1005" t="s">
        <v>1611</v>
      </c>
      <c r="D1005" s="2">
        <v>45954</v>
      </c>
      <c r="E1005">
        <v>28</v>
      </c>
      <c r="F1005">
        <v>3</v>
      </c>
    </row>
    <row r="1006" spans="1:6" x14ac:dyDescent="0.25">
      <c r="A1006" t="s">
        <v>1614</v>
      </c>
      <c r="B1006" t="s">
        <v>1615</v>
      </c>
      <c r="C1006" t="s">
        <v>1616</v>
      </c>
      <c r="D1006" s="2">
        <v>45782</v>
      </c>
      <c r="E1006">
        <v>21</v>
      </c>
      <c r="F1006">
        <v>1</v>
      </c>
    </row>
    <row r="1007" spans="1:6" x14ac:dyDescent="0.25">
      <c r="A1007" t="s">
        <v>1617</v>
      </c>
      <c r="B1007" t="s">
        <v>1615</v>
      </c>
      <c r="C1007" t="s">
        <v>1616</v>
      </c>
      <c r="D1007" s="2">
        <v>45805</v>
      </c>
      <c r="E1007">
        <v>21</v>
      </c>
      <c r="F1007">
        <v>2</v>
      </c>
    </row>
    <row r="1008" spans="1:6" x14ac:dyDescent="0.25">
      <c r="A1008" t="s">
        <v>1618</v>
      </c>
      <c r="B1008" t="s">
        <v>1615</v>
      </c>
      <c r="C1008" t="s">
        <v>1616</v>
      </c>
      <c r="D1008" s="2">
        <v>45823</v>
      </c>
      <c r="E1008">
        <v>21</v>
      </c>
      <c r="F1008">
        <v>3</v>
      </c>
    </row>
    <row r="1009" spans="1:6" x14ac:dyDescent="0.25">
      <c r="A1009" t="s">
        <v>1619</v>
      </c>
      <c r="B1009" t="s">
        <v>1615</v>
      </c>
      <c r="C1009" t="s">
        <v>1616</v>
      </c>
      <c r="D1009" s="2">
        <v>45841</v>
      </c>
      <c r="E1009">
        <v>21</v>
      </c>
      <c r="F1009">
        <v>4</v>
      </c>
    </row>
    <row r="1010" spans="1:6" x14ac:dyDescent="0.25">
      <c r="A1010" t="s">
        <v>1620</v>
      </c>
      <c r="B1010" t="s">
        <v>1615</v>
      </c>
      <c r="C1010" t="s">
        <v>1616</v>
      </c>
      <c r="D1010" s="2">
        <v>45860</v>
      </c>
      <c r="E1010">
        <v>21</v>
      </c>
      <c r="F1010">
        <v>5</v>
      </c>
    </row>
    <row r="1011" spans="1:6" x14ac:dyDescent="0.25">
      <c r="A1011" t="s">
        <v>1621</v>
      </c>
      <c r="B1011" t="s">
        <v>1615</v>
      </c>
      <c r="C1011" t="s">
        <v>1616</v>
      </c>
      <c r="D1011" s="2">
        <v>45880</v>
      </c>
      <c r="E1011">
        <v>21</v>
      </c>
      <c r="F1011">
        <v>6</v>
      </c>
    </row>
    <row r="1012" spans="1:6" x14ac:dyDescent="0.25">
      <c r="A1012" t="s">
        <v>1622</v>
      </c>
      <c r="B1012" t="s">
        <v>1615</v>
      </c>
      <c r="C1012" t="s">
        <v>1616</v>
      </c>
      <c r="D1012" s="2">
        <v>45898</v>
      </c>
      <c r="E1012">
        <v>21</v>
      </c>
      <c r="F1012">
        <v>7</v>
      </c>
    </row>
    <row r="1013" spans="1:6" x14ac:dyDescent="0.25">
      <c r="A1013" t="s">
        <v>1623</v>
      </c>
      <c r="B1013" t="s">
        <v>1615</v>
      </c>
      <c r="C1013" t="s">
        <v>1616</v>
      </c>
      <c r="D1013" s="2">
        <v>45922</v>
      </c>
      <c r="E1013">
        <v>21</v>
      </c>
      <c r="F1013">
        <v>8</v>
      </c>
    </row>
    <row r="1014" spans="1:6" x14ac:dyDescent="0.25">
      <c r="A1014" t="s">
        <v>1624</v>
      </c>
      <c r="B1014" t="s">
        <v>1615</v>
      </c>
      <c r="C1014" t="s">
        <v>1616</v>
      </c>
      <c r="D1014" s="2">
        <v>45942</v>
      </c>
      <c r="E1014">
        <v>21</v>
      </c>
      <c r="F1014">
        <v>9</v>
      </c>
    </row>
    <row r="1015" spans="1:6" x14ac:dyDescent="0.25">
      <c r="A1015" t="s">
        <v>1625</v>
      </c>
      <c r="B1015" t="s">
        <v>1626</v>
      </c>
      <c r="C1015" t="s">
        <v>1627</v>
      </c>
      <c r="D1015" s="2">
        <v>45862</v>
      </c>
      <c r="E1015">
        <v>21</v>
      </c>
      <c r="F1015">
        <v>1</v>
      </c>
    </row>
    <row r="1016" spans="1:6" x14ac:dyDescent="0.25">
      <c r="A1016" t="s">
        <v>1628</v>
      </c>
      <c r="B1016" t="s">
        <v>1626</v>
      </c>
      <c r="C1016" t="s">
        <v>1627</v>
      </c>
      <c r="D1016" s="2">
        <v>45883</v>
      </c>
      <c r="E1016">
        <v>21</v>
      </c>
      <c r="F1016">
        <v>2</v>
      </c>
    </row>
    <row r="1017" spans="1:6" x14ac:dyDescent="0.25">
      <c r="A1017" t="s">
        <v>1629</v>
      </c>
      <c r="B1017" t="s">
        <v>1630</v>
      </c>
      <c r="C1017" t="s">
        <v>1631</v>
      </c>
      <c r="D1017" s="2">
        <v>45806</v>
      </c>
      <c r="E1017">
        <v>30</v>
      </c>
      <c r="F1017">
        <v>1</v>
      </c>
    </row>
    <row r="1018" spans="1:6" x14ac:dyDescent="0.25">
      <c r="A1018" t="s">
        <v>1632</v>
      </c>
      <c r="B1018" t="s">
        <v>1630</v>
      </c>
      <c r="C1018" t="s">
        <v>1631</v>
      </c>
      <c r="D1018" s="2">
        <v>45836</v>
      </c>
      <c r="E1018">
        <v>30</v>
      </c>
      <c r="F1018">
        <v>2</v>
      </c>
    </row>
    <row r="1019" spans="1:6" x14ac:dyDescent="0.25">
      <c r="A1019" t="s">
        <v>1633</v>
      </c>
      <c r="B1019" t="s">
        <v>1630</v>
      </c>
      <c r="C1019" t="s">
        <v>1631</v>
      </c>
      <c r="D1019" s="2">
        <v>45863</v>
      </c>
      <c r="E1019">
        <v>30</v>
      </c>
      <c r="F1019">
        <v>3</v>
      </c>
    </row>
    <row r="1020" spans="1:6" x14ac:dyDescent="0.25">
      <c r="A1020" t="s">
        <v>1634</v>
      </c>
      <c r="B1020" t="s">
        <v>1630</v>
      </c>
      <c r="C1020" t="s">
        <v>1631</v>
      </c>
      <c r="D1020" s="2">
        <v>45890</v>
      </c>
      <c r="E1020">
        <v>30</v>
      </c>
      <c r="F1020">
        <v>4</v>
      </c>
    </row>
    <row r="1021" spans="1:6" x14ac:dyDescent="0.25">
      <c r="A1021" t="s">
        <v>1635</v>
      </c>
      <c r="B1021" t="s">
        <v>1630</v>
      </c>
      <c r="C1021" t="s">
        <v>1631</v>
      </c>
      <c r="D1021" s="2">
        <v>45922</v>
      </c>
      <c r="E1021">
        <v>30</v>
      </c>
      <c r="F1021">
        <v>5</v>
      </c>
    </row>
    <row r="1022" spans="1:6" x14ac:dyDescent="0.25">
      <c r="A1022" t="s">
        <v>1636</v>
      </c>
      <c r="B1022" t="s">
        <v>1630</v>
      </c>
      <c r="C1022" t="s">
        <v>1631</v>
      </c>
      <c r="D1022" s="2">
        <v>45949</v>
      </c>
      <c r="E1022">
        <v>30</v>
      </c>
      <c r="F1022">
        <v>6</v>
      </c>
    </row>
    <row r="1023" spans="1:6" x14ac:dyDescent="0.25">
      <c r="A1023" t="s">
        <v>1637</v>
      </c>
      <c r="B1023" t="s">
        <v>1638</v>
      </c>
      <c r="C1023" t="s">
        <v>1639</v>
      </c>
      <c r="D1023" s="2">
        <v>45927</v>
      </c>
      <c r="E1023">
        <v>28</v>
      </c>
      <c r="F1023">
        <v>1</v>
      </c>
    </row>
    <row r="1024" spans="1:6" x14ac:dyDescent="0.25">
      <c r="A1024" t="s">
        <v>1640</v>
      </c>
      <c r="B1024" t="s">
        <v>1638</v>
      </c>
      <c r="C1024" t="s">
        <v>1639</v>
      </c>
      <c r="D1024" s="2">
        <v>45952</v>
      </c>
      <c r="E1024">
        <v>28</v>
      </c>
      <c r="F1024">
        <v>2</v>
      </c>
    </row>
    <row r="1025" spans="1:6" x14ac:dyDescent="0.25">
      <c r="A1025" t="s">
        <v>1641</v>
      </c>
      <c r="B1025" t="s">
        <v>1642</v>
      </c>
      <c r="C1025" t="s">
        <v>1643</v>
      </c>
      <c r="D1025" s="2">
        <v>45954</v>
      </c>
      <c r="E1025">
        <v>28</v>
      </c>
      <c r="F1025">
        <v>1</v>
      </c>
    </row>
    <row r="1026" spans="1:6" x14ac:dyDescent="0.25">
      <c r="A1026" t="s">
        <v>1644</v>
      </c>
      <c r="B1026" t="s">
        <v>1645</v>
      </c>
      <c r="C1026" t="s">
        <v>1646</v>
      </c>
      <c r="D1026" s="2">
        <v>45784</v>
      </c>
      <c r="E1026">
        <v>28</v>
      </c>
      <c r="F1026">
        <v>1</v>
      </c>
    </row>
    <row r="1027" spans="1:6" x14ac:dyDescent="0.25">
      <c r="A1027" t="s">
        <v>1647</v>
      </c>
      <c r="B1027" t="s">
        <v>1645</v>
      </c>
      <c r="C1027" t="s">
        <v>1646</v>
      </c>
      <c r="D1027" s="2">
        <v>45813</v>
      </c>
      <c r="E1027">
        <v>28</v>
      </c>
      <c r="F1027">
        <v>2</v>
      </c>
    </row>
    <row r="1028" spans="1:6" x14ac:dyDescent="0.25">
      <c r="A1028" t="s">
        <v>1648</v>
      </c>
      <c r="B1028" t="s">
        <v>1645</v>
      </c>
      <c r="C1028" t="s">
        <v>1646</v>
      </c>
      <c r="D1028" s="2">
        <v>45840</v>
      </c>
      <c r="E1028">
        <v>28</v>
      </c>
      <c r="F1028">
        <v>3</v>
      </c>
    </row>
    <row r="1029" spans="1:6" x14ac:dyDescent="0.25">
      <c r="A1029" t="s">
        <v>1649</v>
      </c>
      <c r="B1029" t="s">
        <v>1645</v>
      </c>
      <c r="C1029" t="s">
        <v>1646</v>
      </c>
      <c r="D1029" s="2">
        <v>45870</v>
      </c>
      <c r="E1029">
        <v>28</v>
      </c>
      <c r="F1029">
        <v>4</v>
      </c>
    </row>
    <row r="1030" spans="1:6" x14ac:dyDescent="0.25">
      <c r="A1030" t="s">
        <v>1650</v>
      </c>
      <c r="B1030" t="s">
        <v>1645</v>
      </c>
      <c r="C1030" t="s">
        <v>1646</v>
      </c>
      <c r="D1030" s="2">
        <v>45899</v>
      </c>
      <c r="E1030">
        <v>28</v>
      </c>
      <c r="F1030">
        <v>5</v>
      </c>
    </row>
    <row r="1031" spans="1:6" x14ac:dyDescent="0.25">
      <c r="A1031" t="s">
        <v>1651</v>
      </c>
      <c r="B1031" t="s">
        <v>1645</v>
      </c>
      <c r="C1031" t="s">
        <v>1646</v>
      </c>
      <c r="D1031" s="2">
        <v>45926</v>
      </c>
      <c r="E1031">
        <v>28</v>
      </c>
      <c r="F1031">
        <v>6</v>
      </c>
    </row>
    <row r="1032" spans="1:6" x14ac:dyDescent="0.25">
      <c r="A1032" t="s">
        <v>1652</v>
      </c>
      <c r="B1032" t="s">
        <v>1645</v>
      </c>
      <c r="C1032" t="s">
        <v>1646</v>
      </c>
      <c r="D1032" s="2">
        <v>45954</v>
      </c>
      <c r="E1032">
        <v>28</v>
      </c>
      <c r="F1032">
        <v>7</v>
      </c>
    </row>
    <row r="1033" spans="1:6" x14ac:dyDescent="0.25">
      <c r="A1033" t="s">
        <v>1653</v>
      </c>
      <c r="B1033" t="s">
        <v>1654</v>
      </c>
      <c r="C1033" t="s">
        <v>1655</v>
      </c>
      <c r="D1033" s="2">
        <v>45899</v>
      </c>
      <c r="E1033">
        <v>28</v>
      </c>
      <c r="F1033">
        <v>1</v>
      </c>
    </row>
    <row r="1034" spans="1:6" x14ac:dyDescent="0.25">
      <c r="A1034" t="s">
        <v>1656</v>
      </c>
      <c r="B1034" t="s">
        <v>1654</v>
      </c>
      <c r="C1034" t="s">
        <v>1655</v>
      </c>
      <c r="D1034" s="2">
        <v>45929</v>
      </c>
      <c r="E1034">
        <v>28</v>
      </c>
      <c r="F1034">
        <v>2</v>
      </c>
    </row>
    <row r="1035" spans="1:6" x14ac:dyDescent="0.25">
      <c r="A1035" t="s">
        <v>1657</v>
      </c>
      <c r="B1035" t="s">
        <v>1654</v>
      </c>
      <c r="C1035" t="s">
        <v>1655</v>
      </c>
      <c r="D1035" s="2">
        <v>45957</v>
      </c>
      <c r="E1035">
        <v>28</v>
      </c>
      <c r="F1035">
        <v>3</v>
      </c>
    </row>
    <row r="1036" spans="1:6" x14ac:dyDescent="0.25">
      <c r="A1036" t="s">
        <v>1658</v>
      </c>
      <c r="B1036" t="s">
        <v>1659</v>
      </c>
      <c r="C1036" t="s">
        <v>1660</v>
      </c>
      <c r="D1036" s="2">
        <v>45945</v>
      </c>
      <c r="E1036">
        <v>21</v>
      </c>
      <c r="F1036">
        <v>1</v>
      </c>
    </row>
    <row r="1037" spans="1:6" x14ac:dyDescent="0.25">
      <c r="A1037" t="s">
        <v>1661</v>
      </c>
      <c r="B1037" t="s">
        <v>1662</v>
      </c>
      <c r="C1037" t="s">
        <v>1663</v>
      </c>
      <c r="D1037" s="2">
        <v>45926</v>
      </c>
      <c r="E1037">
        <v>30</v>
      </c>
      <c r="F1037">
        <v>1</v>
      </c>
    </row>
    <row r="1038" spans="1:6" x14ac:dyDescent="0.25">
      <c r="A1038" t="s">
        <v>1664</v>
      </c>
      <c r="B1038" t="s">
        <v>1662</v>
      </c>
      <c r="C1038" t="s">
        <v>1663</v>
      </c>
      <c r="D1038" s="2">
        <v>45956</v>
      </c>
      <c r="E1038">
        <v>30</v>
      </c>
      <c r="F1038">
        <v>2</v>
      </c>
    </row>
    <row r="1039" spans="1:6" x14ac:dyDescent="0.25">
      <c r="A1039" t="s">
        <v>1665</v>
      </c>
      <c r="B1039" t="s">
        <v>1666</v>
      </c>
      <c r="C1039" t="s">
        <v>1667</v>
      </c>
      <c r="D1039" s="2">
        <v>45836</v>
      </c>
      <c r="E1039">
        <v>28</v>
      </c>
      <c r="F1039">
        <v>1</v>
      </c>
    </row>
    <row r="1040" spans="1:6" x14ac:dyDescent="0.25">
      <c r="A1040" t="s">
        <v>1668</v>
      </c>
      <c r="B1040" t="s">
        <v>1666</v>
      </c>
      <c r="C1040" t="s">
        <v>1667</v>
      </c>
      <c r="D1040" s="2">
        <v>45863</v>
      </c>
      <c r="E1040">
        <v>28</v>
      </c>
      <c r="F1040">
        <v>2</v>
      </c>
    </row>
    <row r="1041" spans="1:6" x14ac:dyDescent="0.25">
      <c r="A1041" t="s">
        <v>1669</v>
      </c>
      <c r="B1041" t="s">
        <v>1670</v>
      </c>
      <c r="C1041" t="s">
        <v>1671</v>
      </c>
      <c r="D1041" s="2">
        <v>45791</v>
      </c>
      <c r="E1041">
        <v>28</v>
      </c>
      <c r="F1041">
        <v>1</v>
      </c>
    </row>
    <row r="1042" spans="1:6" x14ac:dyDescent="0.25">
      <c r="A1042" t="s">
        <v>1672</v>
      </c>
      <c r="B1042" t="s">
        <v>1670</v>
      </c>
      <c r="C1042" t="s">
        <v>1671</v>
      </c>
      <c r="D1042" s="2">
        <v>45822</v>
      </c>
      <c r="E1042">
        <v>28</v>
      </c>
      <c r="F1042">
        <v>2</v>
      </c>
    </row>
    <row r="1043" spans="1:6" x14ac:dyDescent="0.25">
      <c r="A1043" t="s">
        <v>1673</v>
      </c>
      <c r="B1043" t="s">
        <v>1670</v>
      </c>
      <c r="C1043" t="s">
        <v>1671</v>
      </c>
      <c r="D1043" s="2">
        <v>45852</v>
      </c>
      <c r="E1043">
        <v>28</v>
      </c>
      <c r="F1043">
        <v>3</v>
      </c>
    </row>
    <row r="1044" spans="1:6" x14ac:dyDescent="0.25">
      <c r="A1044" t="s">
        <v>1674</v>
      </c>
      <c r="B1044" t="s">
        <v>1675</v>
      </c>
      <c r="C1044" t="s">
        <v>1676</v>
      </c>
      <c r="D1044" s="2">
        <v>45900</v>
      </c>
      <c r="E1044">
        <v>28</v>
      </c>
      <c r="F1044">
        <v>1</v>
      </c>
    </row>
    <row r="1045" spans="1:6" x14ac:dyDescent="0.25">
      <c r="A1045" t="s">
        <v>1677</v>
      </c>
      <c r="B1045" t="s">
        <v>1675</v>
      </c>
      <c r="C1045" t="s">
        <v>1676</v>
      </c>
      <c r="D1045" s="2">
        <v>45926</v>
      </c>
      <c r="E1045">
        <v>28</v>
      </c>
      <c r="F1045">
        <v>2</v>
      </c>
    </row>
    <row r="1046" spans="1:6" x14ac:dyDescent="0.25">
      <c r="A1046" t="s">
        <v>1678</v>
      </c>
      <c r="B1046" t="s">
        <v>1679</v>
      </c>
      <c r="C1046" t="s">
        <v>1680</v>
      </c>
      <c r="D1046" s="2">
        <v>45912</v>
      </c>
      <c r="E1046">
        <v>21</v>
      </c>
      <c r="F1046">
        <v>1</v>
      </c>
    </row>
    <row r="1047" spans="1:6" x14ac:dyDescent="0.25">
      <c r="A1047" t="s">
        <v>1681</v>
      </c>
      <c r="B1047" t="s">
        <v>1679</v>
      </c>
      <c r="C1047" t="s">
        <v>1680</v>
      </c>
      <c r="D1047" s="2">
        <v>45934</v>
      </c>
      <c r="E1047">
        <v>21</v>
      </c>
      <c r="F1047">
        <v>2</v>
      </c>
    </row>
    <row r="1048" spans="1:6" x14ac:dyDescent="0.25">
      <c r="A1048" t="s">
        <v>1682</v>
      </c>
      <c r="B1048" t="s">
        <v>1679</v>
      </c>
      <c r="C1048" t="s">
        <v>1680</v>
      </c>
      <c r="D1048" s="2">
        <v>45955</v>
      </c>
      <c r="E1048">
        <v>21</v>
      </c>
      <c r="F1048">
        <v>3</v>
      </c>
    </row>
    <row r="1049" spans="1:6" x14ac:dyDescent="0.25">
      <c r="A1049" t="s">
        <v>1683</v>
      </c>
      <c r="B1049" t="s">
        <v>1684</v>
      </c>
      <c r="C1049" t="s">
        <v>1685</v>
      </c>
      <c r="D1049" s="2">
        <v>45936</v>
      </c>
      <c r="E1049">
        <v>21</v>
      </c>
      <c r="F1049">
        <v>1</v>
      </c>
    </row>
    <row r="1050" spans="1:6" x14ac:dyDescent="0.25">
      <c r="A1050" t="s">
        <v>1686</v>
      </c>
      <c r="B1050" t="s">
        <v>1684</v>
      </c>
      <c r="C1050" t="s">
        <v>1685</v>
      </c>
      <c r="D1050" s="2">
        <v>45954</v>
      </c>
      <c r="E1050">
        <v>21</v>
      </c>
      <c r="F1050">
        <v>2</v>
      </c>
    </row>
    <row r="1051" spans="1:6" x14ac:dyDescent="0.25">
      <c r="A1051" t="s">
        <v>1687</v>
      </c>
      <c r="B1051" t="s">
        <v>1688</v>
      </c>
      <c r="C1051" t="s">
        <v>1689</v>
      </c>
      <c r="D1051" s="2">
        <v>45875</v>
      </c>
      <c r="E1051">
        <v>56</v>
      </c>
      <c r="F1051">
        <v>1</v>
      </c>
    </row>
    <row r="1052" spans="1:6" x14ac:dyDescent="0.25">
      <c r="A1052" t="s">
        <v>1690</v>
      </c>
      <c r="B1052" t="s">
        <v>1688</v>
      </c>
      <c r="C1052" t="s">
        <v>1689</v>
      </c>
      <c r="D1052" s="2">
        <v>45933</v>
      </c>
      <c r="E1052">
        <v>56</v>
      </c>
      <c r="F1052">
        <v>2</v>
      </c>
    </row>
    <row r="1053" spans="1:6" x14ac:dyDescent="0.25">
      <c r="A1053" t="s">
        <v>1691</v>
      </c>
      <c r="B1053" t="s">
        <v>1692</v>
      </c>
      <c r="C1053" t="s">
        <v>1693</v>
      </c>
      <c r="D1053" s="2">
        <v>45952</v>
      </c>
      <c r="E1053">
        <v>56</v>
      </c>
      <c r="F1053">
        <v>1</v>
      </c>
    </row>
    <row r="1054" spans="1:6" x14ac:dyDescent="0.25">
      <c r="A1054" t="s">
        <v>1694</v>
      </c>
      <c r="B1054" t="s">
        <v>1695</v>
      </c>
      <c r="C1054" t="s">
        <v>1696</v>
      </c>
      <c r="D1054" s="2">
        <v>45786</v>
      </c>
      <c r="E1054">
        <v>28</v>
      </c>
      <c r="F1054">
        <v>1</v>
      </c>
    </row>
    <row r="1055" spans="1:6" x14ac:dyDescent="0.25">
      <c r="A1055" t="s">
        <v>1697</v>
      </c>
      <c r="B1055" t="s">
        <v>1695</v>
      </c>
      <c r="C1055" t="s">
        <v>1696</v>
      </c>
      <c r="D1055" s="2">
        <v>45816</v>
      </c>
      <c r="E1055">
        <v>28</v>
      </c>
      <c r="F1055">
        <v>2</v>
      </c>
    </row>
    <row r="1056" spans="1:6" x14ac:dyDescent="0.25">
      <c r="A1056" t="s">
        <v>1698</v>
      </c>
      <c r="B1056" t="s">
        <v>1695</v>
      </c>
      <c r="C1056" t="s">
        <v>1696</v>
      </c>
      <c r="D1056" s="2">
        <v>45845</v>
      </c>
      <c r="E1056">
        <v>28</v>
      </c>
      <c r="F1056">
        <v>3</v>
      </c>
    </row>
    <row r="1057" spans="1:6" x14ac:dyDescent="0.25">
      <c r="A1057" t="s">
        <v>1699</v>
      </c>
      <c r="B1057" t="s">
        <v>1695</v>
      </c>
      <c r="C1057" t="s">
        <v>1696</v>
      </c>
      <c r="D1057" s="2">
        <v>45871</v>
      </c>
      <c r="E1057">
        <v>28</v>
      </c>
      <c r="F1057">
        <v>4</v>
      </c>
    </row>
    <row r="1058" spans="1:6" x14ac:dyDescent="0.25">
      <c r="A1058" t="s">
        <v>1700</v>
      </c>
      <c r="B1058" t="s">
        <v>1695</v>
      </c>
      <c r="C1058" t="s">
        <v>1696</v>
      </c>
      <c r="D1058" s="2">
        <v>45897</v>
      </c>
      <c r="E1058">
        <v>28</v>
      </c>
      <c r="F1058">
        <v>5</v>
      </c>
    </row>
    <row r="1059" spans="1:6" x14ac:dyDescent="0.25">
      <c r="A1059" t="s">
        <v>1701</v>
      </c>
      <c r="B1059" t="s">
        <v>1695</v>
      </c>
      <c r="C1059" t="s">
        <v>1696</v>
      </c>
      <c r="D1059" s="2">
        <v>45928</v>
      </c>
      <c r="E1059">
        <v>28</v>
      </c>
      <c r="F1059">
        <v>6</v>
      </c>
    </row>
    <row r="1060" spans="1:6" x14ac:dyDescent="0.25">
      <c r="A1060" t="s">
        <v>1702</v>
      </c>
      <c r="B1060" t="s">
        <v>1695</v>
      </c>
      <c r="C1060" t="s">
        <v>1696</v>
      </c>
      <c r="D1060" s="2">
        <v>45954</v>
      </c>
      <c r="E1060">
        <v>28</v>
      </c>
      <c r="F1060">
        <v>7</v>
      </c>
    </row>
    <row r="1061" spans="1:6" x14ac:dyDescent="0.25">
      <c r="A1061" t="s">
        <v>1703</v>
      </c>
      <c r="B1061" t="s">
        <v>1704</v>
      </c>
      <c r="C1061" t="s">
        <v>1705</v>
      </c>
      <c r="D1061" s="2">
        <v>45957</v>
      </c>
      <c r="E1061">
        <v>28</v>
      </c>
      <c r="F1061">
        <v>1</v>
      </c>
    </row>
    <row r="1062" spans="1:6" x14ac:dyDescent="0.25">
      <c r="A1062" t="s">
        <v>1706</v>
      </c>
      <c r="B1062" t="s">
        <v>1707</v>
      </c>
      <c r="C1062" t="s">
        <v>1708</v>
      </c>
      <c r="D1062" s="2">
        <v>45826</v>
      </c>
      <c r="E1062">
        <v>28</v>
      </c>
      <c r="F1062">
        <v>1</v>
      </c>
    </row>
    <row r="1063" spans="1:6" x14ac:dyDescent="0.25">
      <c r="A1063" t="s">
        <v>1709</v>
      </c>
      <c r="B1063" t="s">
        <v>1707</v>
      </c>
      <c r="C1063" t="s">
        <v>1708</v>
      </c>
      <c r="D1063" s="2">
        <v>45857</v>
      </c>
      <c r="E1063">
        <v>28</v>
      </c>
      <c r="F1063">
        <v>2</v>
      </c>
    </row>
    <row r="1064" spans="1:6" x14ac:dyDescent="0.25">
      <c r="A1064" t="s">
        <v>1710</v>
      </c>
      <c r="B1064" t="s">
        <v>1707</v>
      </c>
      <c r="C1064" t="s">
        <v>1708</v>
      </c>
      <c r="D1064" s="2">
        <v>45888</v>
      </c>
      <c r="E1064">
        <v>28</v>
      </c>
      <c r="F1064">
        <v>3</v>
      </c>
    </row>
    <row r="1065" spans="1:6" x14ac:dyDescent="0.25">
      <c r="A1065" t="s">
        <v>1711</v>
      </c>
      <c r="B1065" t="s">
        <v>1707</v>
      </c>
      <c r="C1065" t="s">
        <v>1708</v>
      </c>
      <c r="D1065" s="2">
        <v>45917</v>
      </c>
      <c r="E1065">
        <v>28</v>
      </c>
      <c r="F1065">
        <v>4</v>
      </c>
    </row>
    <row r="1066" spans="1:6" x14ac:dyDescent="0.25">
      <c r="A1066" t="s">
        <v>1712</v>
      </c>
      <c r="B1066" t="s">
        <v>1707</v>
      </c>
      <c r="C1066" t="s">
        <v>1708</v>
      </c>
      <c r="D1066" s="2">
        <v>45947</v>
      </c>
      <c r="E1066">
        <v>28</v>
      </c>
      <c r="F1066">
        <v>5</v>
      </c>
    </row>
    <row r="1067" spans="1:6" x14ac:dyDescent="0.25">
      <c r="A1067" t="s">
        <v>1713</v>
      </c>
      <c r="B1067" t="s">
        <v>1714</v>
      </c>
      <c r="C1067" t="s">
        <v>1715</v>
      </c>
      <c r="D1067" s="2">
        <v>45890</v>
      </c>
      <c r="E1067">
        <v>30</v>
      </c>
      <c r="F1067">
        <v>1</v>
      </c>
    </row>
    <row r="1068" spans="1:6" x14ac:dyDescent="0.25">
      <c r="A1068" t="s">
        <v>1716</v>
      </c>
      <c r="B1068" t="s">
        <v>1714</v>
      </c>
      <c r="C1068" t="s">
        <v>1715</v>
      </c>
      <c r="D1068" s="2">
        <v>45922</v>
      </c>
      <c r="E1068">
        <v>30</v>
      </c>
      <c r="F1068">
        <v>2</v>
      </c>
    </row>
    <row r="1069" spans="1:6" x14ac:dyDescent="0.25">
      <c r="A1069" t="s">
        <v>1717</v>
      </c>
      <c r="B1069" t="s">
        <v>1714</v>
      </c>
      <c r="C1069" t="s">
        <v>1715</v>
      </c>
      <c r="D1069" s="2">
        <v>45951</v>
      </c>
      <c r="E1069">
        <v>30</v>
      </c>
      <c r="F1069">
        <v>3</v>
      </c>
    </row>
    <row r="1070" spans="1:6" x14ac:dyDescent="0.25">
      <c r="A1070" t="s">
        <v>1718</v>
      </c>
      <c r="B1070" t="s">
        <v>1719</v>
      </c>
      <c r="C1070" t="s">
        <v>1720</v>
      </c>
      <c r="D1070" s="2">
        <v>45885</v>
      </c>
      <c r="E1070">
        <v>30</v>
      </c>
      <c r="F1070">
        <v>1</v>
      </c>
    </row>
    <row r="1071" spans="1:6" x14ac:dyDescent="0.25">
      <c r="A1071" t="s">
        <v>1721</v>
      </c>
      <c r="B1071" t="s">
        <v>1719</v>
      </c>
      <c r="C1071" t="s">
        <v>1720</v>
      </c>
      <c r="D1071" s="2">
        <v>45916</v>
      </c>
      <c r="E1071">
        <v>30</v>
      </c>
      <c r="F1071">
        <v>2</v>
      </c>
    </row>
    <row r="1072" spans="1:6" x14ac:dyDescent="0.25">
      <c r="A1072" t="s">
        <v>1722</v>
      </c>
      <c r="B1072" t="s">
        <v>1719</v>
      </c>
      <c r="C1072" t="s">
        <v>1720</v>
      </c>
      <c r="D1072" s="2">
        <v>45945</v>
      </c>
      <c r="E1072">
        <v>30</v>
      </c>
      <c r="F1072">
        <v>3</v>
      </c>
    </row>
    <row r="1073" spans="1:6" x14ac:dyDescent="0.25">
      <c r="A1073" t="s">
        <v>1723</v>
      </c>
      <c r="B1073" t="s">
        <v>1724</v>
      </c>
      <c r="C1073" t="s">
        <v>1725</v>
      </c>
      <c r="D1073" s="2">
        <v>45883</v>
      </c>
      <c r="E1073">
        <v>28</v>
      </c>
      <c r="F1073">
        <v>1</v>
      </c>
    </row>
    <row r="1074" spans="1:6" x14ac:dyDescent="0.25">
      <c r="A1074" t="s">
        <v>1726</v>
      </c>
      <c r="B1074" t="s">
        <v>1724</v>
      </c>
      <c r="C1074" t="s">
        <v>1725</v>
      </c>
      <c r="D1074" s="2">
        <v>45913</v>
      </c>
      <c r="E1074">
        <v>28</v>
      </c>
      <c r="F1074">
        <v>2</v>
      </c>
    </row>
    <row r="1075" spans="1:6" x14ac:dyDescent="0.25">
      <c r="A1075" t="s">
        <v>1727</v>
      </c>
      <c r="B1075" t="s">
        <v>1724</v>
      </c>
      <c r="C1075" t="s">
        <v>1725</v>
      </c>
      <c r="D1075" s="2">
        <v>45938</v>
      </c>
      <c r="E1075">
        <v>28</v>
      </c>
      <c r="F1075">
        <v>3</v>
      </c>
    </row>
    <row r="1076" spans="1:6" x14ac:dyDescent="0.25">
      <c r="A1076" t="s">
        <v>1728</v>
      </c>
      <c r="B1076" t="s">
        <v>1729</v>
      </c>
      <c r="C1076" t="s">
        <v>1730</v>
      </c>
      <c r="D1076" s="2">
        <v>45830</v>
      </c>
      <c r="E1076">
        <v>30</v>
      </c>
      <c r="F1076">
        <v>1</v>
      </c>
    </row>
    <row r="1077" spans="1:6" x14ac:dyDescent="0.25">
      <c r="A1077" t="s">
        <v>1731</v>
      </c>
      <c r="B1077" t="s">
        <v>1729</v>
      </c>
      <c r="C1077" t="s">
        <v>1730</v>
      </c>
      <c r="D1077" s="2">
        <v>45858</v>
      </c>
      <c r="E1077">
        <v>30</v>
      </c>
      <c r="F1077">
        <v>2</v>
      </c>
    </row>
    <row r="1078" spans="1:6" x14ac:dyDescent="0.25">
      <c r="A1078" t="s">
        <v>1732</v>
      </c>
      <c r="B1078" t="s">
        <v>1729</v>
      </c>
      <c r="C1078" t="s">
        <v>1730</v>
      </c>
      <c r="D1078" s="2">
        <v>45888</v>
      </c>
      <c r="E1078">
        <v>30</v>
      </c>
      <c r="F1078">
        <v>3</v>
      </c>
    </row>
    <row r="1079" spans="1:6" x14ac:dyDescent="0.25">
      <c r="A1079" t="s">
        <v>1733</v>
      </c>
      <c r="B1079" t="s">
        <v>1729</v>
      </c>
      <c r="C1079" t="s">
        <v>1730</v>
      </c>
      <c r="D1079" s="2">
        <v>45917</v>
      </c>
      <c r="E1079">
        <v>30</v>
      </c>
      <c r="F1079">
        <v>4</v>
      </c>
    </row>
    <row r="1080" spans="1:6" x14ac:dyDescent="0.25">
      <c r="A1080" t="s">
        <v>1734</v>
      </c>
      <c r="B1080" t="s">
        <v>1729</v>
      </c>
      <c r="C1080" t="s">
        <v>1730</v>
      </c>
      <c r="D1080" s="2">
        <v>45949</v>
      </c>
      <c r="E1080">
        <v>30</v>
      </c>
      <c r="F1080">
        <v>5</v>
      </c>
    </row>
    <row r="1081" spans="1:6" x14ac:dyDescent="0.25">
      <c r="A1081" t="s">
        <v>1735</v>
      </c>
      <c r="B1081" t="s">
        <v>1736</v>
      </c>
      <c r="C1081" t="s">
        <v>1737</v>
      </c>
      <c r="D1081" s="2">
        <v>45906</v>
      </c>
      <c r="E1081">
        <v>28</v>
      </c>
      <c r="F1081">
        <v>1</v>
      </c>
    </row>
    <row r="1082" spans="1:6" x14ac:dyDescent="0.25">
      <c r="A1082" t="s">
        <v>1738</v>
      </c>
      <c r="B1082" t="s">
        <v>1736</v>
      </c>
      <c r="C1082" t="s">
        <v>1737</v>
      </c>
      <c r="D1082" s="2">
        <v>45932</v>
      </c>
      <c r="E1082">
        <v>28</v>
      </c>
      <c r="F1082">
        <v>2</v>
      </c>
    </row>
    <row r="1083" spans="1:6" x14ac:dyDescent="0.25">
      <c r="A1083" t="s">
        <v>1739</v>
      </c>
      <c r="B1083" t="s">
        <v>1736</v>
      </c>
      <c r="C1083" t="s">
        <v>1737</v>
      </c>
      <c r="D1083" s="2">
        <v>45961</v>
      </c>
      <c r="E1083">
        <v>28</v>
      </c>
      <c r="F1083">
        <v>3</v>
      </c>
    </row>
    <row r="1084" spans="1:6" x14ac:dyDescent="0.25">
      <c r="A1084" t="s">
        <v>1740</v>
      </c>
      <c r="B1084" t="s">
        <v>1741</v>
      </c>
      <c r="C1084" t="s">
        <v>1742</v>
      </c>
      <c r="D1084" s="2">
        <v>45934</v>
      </c>
      <c r="E1084">
        <v>28</v>
      </c>
      <c r="F1084">
        <v>1</v>
      </c>
    </row>
    <row r="1085" spans="1:6" x14ac:dyDescent="0.25">
      <c r="A1085" t="s">
        <v>1743</v>
      </c>
      <c r="B1085" t="s">
        <v>1741</v>
      </c>
      <c r="C1085" t="s">
        <v>1742</v>
      </c>
      <c r="D1085" s="2">
        <v>45960</v>
      </c>
      <c r="E1085">
        <v>28</v>
      </c>
      <c r="F1085">
        <v>2</v>
      </c>
    </row>
    <row r="1086" spans="1:6" x14ac:dyDescent="0.25">
      <c r="A1086" t="s">
        <v>1744</v>
      </c>
      <c r="B1086" t="s">
        <v>1745</v>
      </c>
      <c r="C1086" t="s">
        <v>1746</v>
      </c>
      <c r="D1086" s="2">
        <v>45793</v>
      </c>
      <c r="E1086">
        <v>30</v>
      </c>
      <c r="F1086">
        <v>1</v>
      </c>
    </row>
    <row r="1087" spans="1:6" x14ac:dyDescent="0.25">
      <c r="A1087" t="s">
        <v>1747</v>
      </c>
      <c r="B1087" t="s">
        <v>1745</v>
      </c>
      <c r="C1087" t="s">
        <v>1746</v>
      </c>
      <c r="D1087" s="2">
        <v>45826</v>
      </c>
      <c r="E1087">
        <v>30</v>
      </c>
      <c r="F1087">
        <v>2</v>
      </c>
    </row>
    <row r="1088" spans="1:6" x14ac:dyDescent="0.25">
      <c r="A1088" t="s">
        <v>1748</v>
      </c>
      <c r="B1088" t="s">
        <v>1745</v>
      </c>
      <c r="C1088" t="s">
        <v>1746</v>
      </c>
      <c r="D1088" s="2">
        <v>45858</v>
      </c>
      <c r="E1088">
        <v>30</v>
      </c>
      <c r="F1088">
        <v>3</v>
      </c>
    </row>
    <row r="1089" spans="1:6" x14ac:dyDescent="0.25">
      <c r="A1089" t="s">
        <v>1749</v>
      </c>
      <c r="B1089" t="s">
        <v>1745</v>
      </c>
      <c r="C1089" t="s">
        <v>1746</v>
      </c>
      <c r="D1089" s="2">
        <v>45890</v>
      </c>
      <c r="E1089">
        <v>30</v>
      </c>
      <c r="F1089">
        <v>4</v>
      </c>
    </row>
    <row r="1090" spans="1:6" x14ac:dyDescent="0.25">
      <c r="A1090" t="s">
        <v>1750</v>
      </c>
      <c r="B1090" t="s">
        <v>1745</v>
      </c>
      <c r="C1090" t="s">
        <v>1746</v>
      </c>
      <c r="D1090" s="2">
        <v>45919</v>
      </c>
      <c r="E1090">
        <v>30</v>
      </c>
      <c r="F1090">
        <v>5</v>
      </c>
    </row>
    <row r="1091" spans="1:6" x14ac:dyDescent="0.25">
      <c r="A1091" t="s">
        <v>1751</v>
      </c>
      <c r="B1091" t="s">
        <v>1745</v>
      </c>
      <c r="C1091" t="s">
        <v>1746</v>
      </c>
      <c r="D1091" s="2">
        <v>45948</v>
      </c>
      <c r="E1091">
        <v>30</v>
      </c>
      <c r="F1091">
        <v>6</v>
      </c>
    </row>
    <row r="1092" spans="1:6" x14ac:dyDescent="0.25">
      <c r="A1092" t="s">
        <v>1752</v>
      </c>
      <c r="B1092" t="s">
        <v>1753</v>
      </c>
      <c r="C1092" t="s">
        <v>1754</v>
      </c>
      <c r="D1092" s="2">
        <v>45813</v>
      </c>
      <c r="E1092">
        <v>28</v>
      </c>
      <c r="F1092">
        <v>1</v>
      </c>
    </row>
    <row r="1093" spans="1:6" x14ac:dyDescent="0.25">
      <c r="A1093" t="s">
        <v>1755</v>
      </c>
      <c r="B1093" t="s">
        <v>1753</v>
      </c>
      <c r="C1093" t="s">
        <v>1754</v>
      </c>
      <c r="D1093" s="2">
        <v>45841</v>
      </c>
      <c r="E1093">
        <v>28</v>
      </c>
      <c r="F1093">
        <v>2</v>
      </c>
    </row>
    <row r="1094" spans="1:6" x14ac:dyDescent="0.25">
      <c r="A1094" t="s">
        <v>1756</v>
      </c>
      <c r="B1094" t="s">
        <v>1757</v>
      </c>
      <c r="C1094" t="s">
        <v>1758</v>
      </c>
      <c r="D1094" s="2">
        <v>45831</v>
      </c>
      <c r="E1094">
        <v>28</v>
      </c>
      <c r="F1094">
        <v>1</v>
      </c>
    </row>
    <row r="1095" spans="1:6" x14ac:dyDescent="0.25">
      <c r="A1095" t="s">
        <v>1759</v>
      </c>
      <c r="B1095" t="s">
        <v>1757</v>
      </c>
      <c r="C1095" t="s">
        <v>1758</v>
      </c>
      <c r="D1095" s="2">
        <v>45862</v>
      </c>
      <c r="E1095">
        <v>28</v>
      </c>
      <c r="F1095">
        <v>2</v>
      </c>
    </row>
    <row r="1096" spans="1:6" x14ac:dyDescent="0.25">
      <c r="A1096" t="s">
        <v>1760</v>
      </c>
      <c r="B1096" t="s">
        <v>1757</v>
      </c>
      <c r="C1096" t="s">
        <v>1758</v>
      </c>
      <c r="D1096" s="2">
        <v>45890</v>
      </c>
      <c r="E1096">
        <v>28</v>
      </c>
      <c r="F1096">
        <v>3</v>
      </c>
    </row>
    <row r="1097" spans="1:6" x14ac:dyDescent="0.25">
      <c r="A1097" t="s">
        <v>1761</v>
      </c>
      <c r="B1097" t="s">
        <v>1757</v>
      </c>
      <c r="C1097" t="s">
        <v>1758</v>
      </c>
      <c r="D1097" s="2">
        <v>45915</v>
      </c>
      <c r="E1097">
        <v>28</v>
      </c>
      <c r="F1097">
        <v>4</v>
      </c>
    </row>
    <row r="1098" spans="1:6" x14ac:dyDescent="0.25">
      <c r="A1098" t="s">
        <v>1762</v>
      </c>
      <c r="B1098" t="s">
        <v>1757</v>
      </c>
      <c r="C1098" t="s">
        <v>1758</v>
      </c>
      <c r="D1098" s="2">
        <v>45945</v>
      </c>
      <c r="E1098">
        <v>28</v>
      </c>
      <c r="F1098">
        <v>5</v>
      </c>
    </row>
    <row r="1099" spans="1:6" x14ac:dyDescent="0.25">
      <c r="A1099" t="s">
        <v>1763</v>
      </c>
      <c r="B1099" t="s">
        <v>1764</v>
      </c>
      <c r="C1099" t="s">
        <v>1765</v>
      </c>
      <c r="D1099" s="2">
        <v>45861</v>
      </c>
      <c r="E1099">
        <v>28</v>
      </c>
      <c r="F1099">
        <v>1</v>
      </c>
    </row>
    <row r="1100" spans="1:6" x14ac:dyDescent="0.25">
      <c r="A1100" t="s">
        <v>1766</v>
      </c>
      <c r="B1100" t="s">
        <v>1764</v>
      </c>
      <c r="C1100" t="s">
        <v>1765</v>
      </c>
      <c r="D1100" s="2">
        <v>45888</v>
      </c>
      <c r="E1100">
        <v>28</v>
      </c>
      <c r="F1100">
        <v>2</v>
      </c>
    </row>
    <row r="1101" spans="1:6" x14ac:dyDescent="0.25">
      <c r="A1101" t="s">
        <v>1767</v>
      </c>
      <c r="B1101" t="s">
        <v>1764</v>
      </c>
      <c r="C1101" t="s">
        <v>1765</v>
      </c>
      <c r="D1101" s="2">
        <v>45919</v>
      </c>
      <c r="E1101">
        <v>28</v>
      </c>
      <c r="F1101">
        <v>3</v>
      </c>
    </row>
    <row r="1102" spans="1:6" x14ac:dyDescent="0.25">
      <c r="A1102" t="s">
        <v>1768</v>
      </c>
      <c r="B1102" t="s">
        <v>1764</v>
      </c>
      <c r="C1102" t="s">
        <v>1765</v>
      </c>
      <c r="D1102" s="2">
        <v>45948</v>
      </c>
      <c r="E1102">
        <v>28</v>
      </c>
      <c r="F1102">
        <v>4</v>
      </c>
    </row>
    <row r="1103" spans="1:6" x14ac:dyDescent="0.25">
      <c r="A1103" t="s">
        <v>1769</v>
      </c>
      <c r="B1103" t="s">
        <v>1770</v>
      </c>
      <c r="C1103" t="s">
        <v>1771</v>
      </c>
      <c r="D1103" s="2">
        <v>45900</v>
      </c>
      <c r="E1103">
        <v>28</v>
      </c>
      <c r="F1103">
        <v>1</v>
      </c>
    </row>
    <row r="1104" spans="1:6" x14ac:dyDescent="0.25">
      <c r="A1104" t="s">
        <v>1772</v>
      </c>
      <c r="B1104" t="s">
        <v>1770</v>
      </c>
      <c r="C1104" t="s">
        <v>1771</v>
      </c>
      <c r="D1104" s="2">
        <v>45930</v>
      </c>
      <c r="E1104">
        <v>28</v>
      </c>
      <c r="F1104">
        <v>2</v>
      </c>
    </row>
    <row r="1105" spans="1:6" x14ac:dyDescent="0.25">
      <c r="A1105" t="s">
        <v>1773</v>
      </c>
      <c r="B1105" t="s">
        <v>1770</v>
      </c>
      <c r="C1105" t="s">
        <v>1771</v>
      </c>
      <c r="D1105" s="2">
        <v>45960</v>
      </c>
      <c r="E1105">
        <v>28</v>
      </c>
      <c r="F1105">
        <v>3</v>
      </c>
    </row>
    <row r="1106" spans="1:6" x14ac:dyDescent="0.25">
      <c r="A1106" t="s">
        <v>1774</v>
      </c>
      <c r="B1106" t="s">
        <v>1775</v>
      </c>
      <c r="C1106" t="s">
        <v>1776</v>
      </c>
      <c r="D1106" s="2">
        <v>45874</v>
      </c>
      <c r="E1106">
        <v>14</v>
      </c>
      <c r="F1106">
        <v>1</v>
      </c>
    </row>
    <row r="1107" spans="1:6" x14ac:dyDescent="0.25">
      <c r="A1107" t="s">
        <v>1777</v>
      </c>
      <c r="B1107" t="s">
        <v>1775</v>
      </c>
      <c r="C1107" t="s">
        <v>1776</v>
      </c>
      <c r="D1107" s="2">
        <v>45889</v>
      </c>
      <c r="E1107">
        <v>14</v>
      </c>
      <c r="F1107">
        <v>2</v>
      </c>
    </row>
    <row r="1108" spans="1:6" x14ac:dyDescent="0.25">
      <c r="A1108" t="s">
        <v>1778</v>
      </c>
      <c r="B1108" t="s">
        <v>1775</v>
      </c>
      <c r="C1108" t="s">
        <v>1776</v>
      </c>
      <c r="D1108" s="2">
        <v>45900</v>
      </c>
      <c r="E1108">
        <v>14</v>
      </c>
      <c r="F1108">
        <v>3</v>
      </c>
    </row>
    <row r="1109" spans="1:6" x14ac:dyDescent="0.25">
      <c r="A1109" t="s">
        <v>1779</v>
      </c>
      <c r="B1109" t="s">
        <v>1775</v>
      </c>
      <c r="C1109" t="s">
        <v>1776</v>
      </c>
      <c r="D1109" s="2">
        <v>45915</v>
      </c>
      <c r="E1109">
        <v>14</v>
      </c>
      <c r="F1109">
        <v>4</v>
      </c>
    </row>
    <row r="1110" spans="1:6" x14ac:dyDescent="0.25">
      <c r="A1110" t="s">
        <v>1780</v>
      </c>
      <c r="B1110" t="s">
        <v>1775</v>
      </c>
      <c r="C1110" t="s">
        <v>1776</v>
      </c>
      <c r="D1110" s="2">
        <v>45929</v>
      </c>
      <c r="E1110">
        <v>14</v>
      </c>
      <c r="F1110">
        <v>5</v>
      </c>
    </row>
    <row r="1111" spans="1:6" x14ac:dyDescent="0.25">
      <c r="A1111" t="s">
        <v>1781</v>
      </c>
      <c r="B1111" t="s">
        <v>1775</v>
      </c>
      <c r="C1111" t="s">
        <v>1776</v>
      </c>
      <c r="D1111" s="2">
        <v>45944</v>
      </c>
      <c r="E1111">
        <v>14</v>
      </c>
      <c r="F1111">
        <v>6</v>
      </c>
    </row>
    <row r="1112" spans="1:6" x14ac:dyDescent="0.25">
      <c r="A1112" t="s">
        <v>1782</v>
      </c>
      <c r="B1112" t="s">
        <v>1775</v>
      </c>
      <c r="C1112" t="s">
        <v>1776</v>
      </c>
      <c r="D1112" s="2">
        <v>45955</v>
      </c>
      <c r="E1112">
        <v>14</v>
      </c>
      <c r="F1112">
        <v>7</v>
      </c>
    </row>
    <row r="1113" spans="1:6" x14ac:dyDescent="0.25">
      <c r="A1113" t="s">
        <v>1783</v>
      </c>
      <c r="B1113" t="s">
        <v>1784</v>
      </c>
      <c r="C1113" t="s">
        <v>1785</v>
      </c>
      <c r="D1113" s="2">
        <v>45822</v>
      </c>
      <c r="E1113">
        <v>30</v>
      </c>
      <c r="F1113">
        <v>1</v>
      </c>
    </row>
    <row r="1114" spans="1:6" x14ac:dyDescent="0.25">
      <c r="A1114" t="s">
        <v>1786</v>
      </c>
      <c r="B1114" t="s">
        <v>1784</v>
      </c>
      <c r="C1114" t="s">
        <v>1785</v>
      </c>
      <c r="D1114" s="2">
        <v>45853</v>
      </c>
      <c r="E1114">
        <v>30</v>
      </c>
      <c r="F1114">
        <v>2</v>
      </c>
    </row>
    <row r="1115" spans="1:6" x14ac:dyDescent="0.25">
      <c r="A1115" t="s">
        <v>1787</v>
      </c>
      <c r="B1115" t="s">
        <v>1784</v>
      </c>
      <c r="C1115" t="s">
        <v>1785</v>
      </c>
      <c r="D1115" s="2">
        <v>45885</v>
      </c>
      <c r="E1115">
        <v>30</v>
      </c>
      <c r="F1115">
        <v>3</v>
      </c>
    </row>
    <row r="1116" spans="1:6" x14ac:dyDescent="0.25">
      <c r="A1116" t="s">
        <v>1788</v>
      </c>
      <c r="B1116" t="s">
        <v>1784</v>
      </c>
      <c r="C1116" t="s">
        <v>1785</v>
      </c>
      <c r="D1116" s="2">
        <v>45913</v>
      </c>
      <c r="E1116">
        <v>30</v>
      </c>
      <c r="F1116">
        <v>4</v>
      </c>
    </row>
    <row r="1117" spans="1:6" x14ac:dyDescent="0.25">
      <c r="A1117" t="s">
        <v>1789</v>
      </c>
      <c r="B1117" t="s">
        <v>1784</v>
      </c>
      <c r="C1117" t="s">
        <v>1785</v>
      </c>
      <c r="D1117" s="2">
        <v>45943</v>
      </c>
      <c r="E1117">
        <v>30</v>
      </c>
      <c r="F1117">
        <v>5</v>
      </c>
    </row>
    <row r="1118" spans="1:6" x14ac:dyDescent="0.25">
      <c r="A1118" t="s">
        <v>1790</v>
      </c>
      <c r="B1118" t="s">
        <v>1791</v>
      </c>
      <c r="C1118" t="s">
        <v>1792</v>
      </c>
      <c r="D1118" s="2">
        <v>45914</v>
      </c>
      <c r="E1118">
        <v>28</v>
      </c>
      <c r="F1118">
        <v>1</v>
      </c>
    </row>
    <row r="1119" spans="1:6" x14ac:dyDescent="0.25">
      <c r="A1119" t="s">
        <v>1793</v>
      </c>
      <c r="B1119" t="s">
        <v>1791</v>
      </c>
      <c r="C1119" t="s">
        <v>1792</v>
      </c>
      <c r="D1119" s="2">
        <v>45944</v>
      </c>
      <c r="E1119">
        <v>28</v>
      </c>
      <c r="F1119">
        <v>2</v>
      </c>
    </row>
    <row r="1120" spans="1:6" x14ac:dyDescent="0.25">
      <c r="A1120" t="s">
        <v>1794</v>
      </c>
      <c r="B1120" t="s">
        <v>1795</v>
      </c>
      <c r="C1120" t="s">
        <v>1796</v>
      </c>
      <c r="D1120" s="2">
        <v>45917</v>
      </c>
      <c r="E1120">
        <v>28</v>
      </c>
      <c r="F1120">
        <v>1</v>
      </c>
    </row>
    <row r="1121" spans="1:6" x14ac:dyDescent="0.25">
      <c r="A1121" t="s">
        <v>1797</v>
      </c>
      <c r="B1121" t="s">
        <v>1795</v>
      </c>
      <c r="C1121" t="s">
        <v>1796</v>
      </c>
      <c r="D1121" s="2">
        <v>45946</v>
      </c>
      <c r="E1121">
        <v>28</v>
      </c>
      <c r="F1121">
        <v>2</v>
      </c>
    </row>
    <row r="1122" spans="1:6" x14ac:dyDescent="0.25">
      <c r="A1122" t="s">
        <v>1798</v>
      </c>
      <c r="B1122" t="s">
        <v>1799</v>
      </c>
      <c r="C1122" t="s">
        <v>1800</v>
      </c>
      <c r="D1122" s="2">
        <v>45951</v>
      </c>
      <c r="E1122">
        <v>28</v>
      </c>
      <c r="F1122">
        <v>1</v>
      </c>
    </row>
    <row r="1123" spans="1:6" x14ac:dyDescent="0.25">
      <c r="A1123" t="s">
        <v>1801</v>
      </c>
      <c r="B1123" t="s">
        <v>1802</v>
      </c>
      <c r="C1123" t="s">
        <v>1803</v>
      </c>
      <c r="D1123" s="2">
        <v>45952</v>
      </c>
      <c r="E1123">
        <v>21</v>
      </c>
      <c r="F1123">
        <v>1</v>
      </c>
    </row>
    <row r="1124" spans="1:6" x14ac:dyDescent="0.25">
      <c r="A1124" t="s">
        <v>1804</v>
      </c>
      <c r="B1124" t="s">
        <v>1805</v>
      </c>
      <c r="C1124" t="s">
        <v>1806</v>
      </c>
      <c r="D1124" s="2">
        <v>45955</v>
      </c>
      <c r="E1124">
        <v>28</v>
      </c>
      <c r="F1124">
        <v>1</v>
      </c>
    </row>
    <row r="1125" spans="1:6" x14ac:dyDescent="0.25">
      <c r="A1125" t="s">
        <v>1807</v>
      </c>
      <c r="B1125" t="s">
        <v>1808</v>
      </c>
      <c r="C1125" t="s">
        <v>1809</v>
      </c>
      <c r="D1125" s="2">
        <v>45934</v>
      </c>
      <c r="E1125">
        <v>30</v>
      </c>
      <c r="F1125">
        <v>1</v>
      </c>
    </row>
    <row r="1126" spans="1:6" x14ac:dyDescent="0.25">
      <c r="A1126" t="s">
        <v>1810</v>
      </c>
      <c r="B1126" t="s">
        <v>1811</v>
      </c>
      <c r="C1126" t="s">
        <v>1812</v>
      </c>
      <c r="D1126" s="2">
        <v>45827</v>
      </c>
      <c r="E1126">
        <v>28</v>
      </c>
      <c r="F1126">
        <v>1</v>
      </c>
    </row>
    <row r="1127" spans="1:6" x14ac:dyDescent="0.25">
      <c r="A1127" t="s">
        <v>1813</v>
      </c>
      <c r="B1127" t="s">
        <v>1811</v>
      </c>
      <c r="C1127" t="s">
        <v>1812</v>
      </c>
      <c r="D1127" s="2">
        <v>45857</v>
      </c>
      <c r="E1127">
        <v>28</v>
      </c>
      <c r="F1127">
        <v>2</v>
      </c>
    </row>
    <row r="1128" spans="1:6" x14ac:dyDescent="0.25">
      <c r="A1128" t="s">
        <v>1814</v>
      </c>
      <c r="B1128" t="s">
        <v>1811</v>
      </c>
      <c r="C1128" t="s">
        <v>1812</v>
      </c>
      <c r="D1128" s="2">
        <v>45888</v>
      </c>
      <c r="E1128">
        <v>28</v>
      </c>
      <c r="F1128">
        <v>3</v>
      </c>
    </row>
    <row r="1129" spans="1:6" x14ac:dyDescent="0.25">
      <c r="A1129" t="s">
        <v>1815</v>
      </c>
      <c r="B1129" t="s">
        <v>1811</v>
      </c>
      <c r="C1129" t="s">
        <v>1812</v>
      </c>
      <c r="D1129" s="2">
        <v>45914</v>
      </c>
      <c r="E1129">
        <v>28</v>
      </c>
      <c r="F1129">
        <v>4</v>
      </c>
    </row>
    <row r="1130" spans="1:6" x14ac:dyDescent="0.25">
      <c r="A1130" t="s">
        <v>1816</v>
      </c>
      <c r="B1130" t="s">
        <v>1811</v>
      </c>
      <c r="C1130" t="s">
        <v>1812</v>
      </c>
      <c r="D1130" s="2">
        <v>45940</v>
      </c>
      <c r="E1130">
        <v>28</v>
      </c>
      <c r="F1130">
        <v>5</v>
      </c>
    </row>
    <row r="1131" spans="1:6" x14ac:dyDescent="0.25">
      <c r="A1131" t="s">
        <v>1817</v>
      </c>
      <c r="B1131" t="s">
        <v>1818</v>
      </c>
      <c r="C1131" t="s">
        <v>1819</v>
      </c>
      <c r="D1131" s="2">
        <v>45849</v>
      </c>
      <c r="E1131">
        <v>30</v>
      </c>
      <c r="F1131">
        <v>1</v>
      </c>
    </row>
    <row r="1132" spans="1:6" x14ac:dyDescent="0.25">
      <c r="A1132" t="s">
        <v>1820</v>
      </c>
      <c r="B1132" t="s">
        <v>1818</v>
      </c>
      <c r="C1132" t="s">
        <v>1819</v>
      </c>
      <c r="D1132" s="2">
        <v>45880</v>
      </c>
      <c r="E1132">
        <v>30</v>
      </c>
      <c r="F1132">
        <v>2</v>
      </c>
    </row>
    <row r="1133" spans="1:6" x14ac:dyDescent="0.25">
      <c r="A1133" t="s">
        <v>1821</v>
      </c>
      <c r="B1133" t="s">
        <v>1818</v>
      </c>
      <c r="C1133" t="s">
        <v>1819</v>
      </c>
      <c r="D1133" s="2">
        <v>45913</v>
      </c>
      <c r="E1133">
        <v>30</v>
      </c>
      <c r="F1133">
        <v>3</v>
      </c>
    </row>
    <row r="1134" spans="1:6" x14ac:dyDescent="0.25">
      <c r="A1134" t="s">
        <v>1822</v>
      </c>
      <c r="B1134" t="s">
        <v>1818</v>
      </c>
      <c r="C1134" t="s">
        <v>1819</v>
      </c>
      <c r="D1134" s="2">
        <v>45945</v>
      </c>
      <c r="E1134">
        <v>30</v>
      </c>
      <c r="F1134">
        <v>4</v>
      </c>
    </row>
    <row r="1135" spans="1:6" x14ac:dyDescent="0.25">
      <c r="A1135" t="s">
        <v>1823</v>
      </c>
      <c r="B1135" t="s">
        <v>1824</v>
      </c>
      <c r="C1135" t="s">
        <v>1825</v>
      </c>
      <c r="D1135" s="2">
        <v>45854</v>
      </c>
      <c r="E1135">
        <v>30</v>
      </c>
      <c r="F1135">
        <v>1</v>
      </c>
    </row>
    <row r="1136" spans="1:6" x14ac:dyDescent="0.25">
      <c r="A1136" t="s">
        <v>1826</v>
      </c>
      <c r="B1136" t="s">
        <v>1824</v>
      </c>
      <c r="C1136" t="s">
        <v>1825</v>
      </c>
      <c r="D1136" s="2">
        <v>45881</v>
      </c>
      <c r="E1136">
        <v>30</v>
      </c>
      <c r="F1136">
        <v>2</v>
      </c>
    </row>
    <row r="1137" spans="1:6" x14ac:dyDescent="0.25">
      <c r="A1137" t="s">
        <v>1827</v>
      </c>
      <c r="B1137" t="s">
        <v>1828</v>
      </c>
      <c r="C1137" t="s">
        <v>1829</v>
      </c>
      <c r="D1137" s="2">
        <v>45854</v>
      </c>
      <c r="E1137">
        <v>28</v>
      </c>
      <c r="F1137">
        <v>1</v>
      </c>
    </row>
    <row r="1138" spans="1:6" x14ac:dyDescent="0.25">
      <c r="A1138" t="s">
        <v>1830</v>
      </c>
      <c r="B1138" t="s">
        <v>1831</v>
      </c>
      <c r="C1138" t="s">
        <v>1832</v>
      </c>
      <c r="D1138" s="2">
        <v>45851</v>
      </c>
      <c r="E1138">
        <v>28</v>
      </c>
      <c r="F1138">
        <v>1</v>
      </c>
    </row>
    <row r="1139" spans="1:6" x14ac:dyDescent="0.25">
      <c r="A1139" t="s">
        <v>1833</v>
      </c>
      <c r="B1139" t="s">
        <v>1831</v>
      </c>
      <c r="C1139" t="s">
        <v>1832</v>
      </c>
      <c r="D1139" s="2">
        <v>45878</v>
      </c>
      <c r="E1139">
        <v>28</v>
      </c>
      <c r="F1139">
        <v>2</v>
      </c>
    </row>
    <row r="1140" spans="1:6" x14ac:dyDescent="0.25">
      <c r="A1140" t="s">
        <v>1834</v>
      </c>
      <c r="B1140" t="s">
        <v>1831</v>
      </c>
      <c r="C1140" t="s">
        <v>1832</v>
      </c>
      <c r="D1140" s="2">
        <v>45903</v>
      </c>
      <c r="E1140">
        <v>28</v>
      </c>
      <c r="F1140">
        <v>3</v>
      </c>
    </row>
    <row r="1141" spans="1:6" x14ac:dyDescent="0.25">
      <c r="A1141" t="s">
        <v>1835</v>
      </c>
      <c r="B1141" t="s">
        <v>1831</v>
      </c>
      <c r="C1141" t="s">
        <v>1832</v>
      </c>
      <c r="D1141" s="2">
        <v>45929</v>
      </c>
      <c r="E1141">
        <v>28</v>
      </c>
      <c r="F1141">
        <v>4</v>
      </c>
    </row>
    <row r="1142" spans="1:6" x14ac:dyDescent="0.25">
      <c r="A1142" t="s">
        <v>1836</v>
      </c>
      <c r="B1142" t="s">
        <v>1831</v>
      </c>
      <c r="C1142" t="s">
        <v>1832</v>
      </c>
      <c r="D1142" s="2">
        <v>45960</v>
      </c>
      <c r="E1142">
        <v>28</v>
      </c>
      <c r="F1142">
        <v>5</v>
      </c>
    </row>
    <row r="1143" spans="1:6" x14ac:dyDescent="0.25">
      <c r="A1143" t="s">
        <v>1837</v>
      </c>
      <c r="B1143" t="s">
        <v>1838</v>
      </c>
      <c r="C1143" t="s">
        <v>1839</v>
      </c>
      <c r="D1143" s="2">
        <v>45831</v>
      </c>
      <c r="E1143">
        <v>28</v>
      </c>
      <c r="F1143">
        <v>1</v>
      </c>
    </row>
    <row r="1144" spans="1:6" x14ac:dyDescent="0.25">
      <c r="A1144" t="s">
        <v>1840</v>
      </c>
      <c r="B1144" t="s">
        <v>1838</v>
      </c>
      <c r="C1144" t="s">
        <v>1839</v>
      </c>
      <c r="D1144" s="2">
        <v>45856</v>
      </c>
      <c r="E1144">
        <v>28</v>
      </c>
      <c r="F1144">
        <v>2</v>
      </c>
    </row>
    <row r="1145" spans="1:6" x14ac:dyDescent="0.25">
      <c r="A1145" t="s">
        <v>1841</v>
      </c>
      <c r="B1145" t="s">
        <v>1838</v>
      </c>
      <c r="C1145" t="s">
        <v>1839</v>
      </c>
      <c r="D1145" s="2">
        <v>45883</v>
      </c>
      <c r="E1145">
        <v>28</v>
      </c>
      <c r="F1145">
        <v>3</v>
      </c>
    </row>
    <row r="1146" spans="1:6" x14ac:dyDescent="0.25">
      <c r="A1146" t="s">
        <v>1842</v>
      </c>
      <c r="B1146" t="s">
        <v>1843</v>
      </c>
      <c r="C1146" t="s">
        <v>1844</v>
      </c>
      <c r="D1146" s="2">
        <v>45958</v>
      </c>
      <c r="E1146">
        <v>56</v>
      </c>
      <c r="F1146">
        <v>1</v>
      </c>
    </row>
    <row r="1147" spans="1:6" x14ac:dyDescent="0.25">
      <c r="A1147" t="s">
        <v>1845</v>
      </c>
      <c r="B1147" t="s">
        <v>1846</v>
      </c>
      <c r="C1147" t="s">
        <v>1847</v>
      </c>
      <c r="D1147" s="2">
        <v>45859</v>
      </c>
      <c r="E1147">
        <v>30</v>
      </c>
      <c r="F1147">
        <v>1</v>
      </c>
    </row>
    <row r="1148" spans="1:6" x14ac:dyDescent="0.25">
      <c r="A1148" t="s">
        <v>1848</v>
      </c>
      <c r="B1148" t="s">
        <v>1846</v>
      </c>
      <c r="C1148" t="s">
        <v>1847</v>
      </c>
      <c r="D1148" s="2">
        <v>45892</v>
      </c>
      <c r="E1148">
        <v>30</v>
      </c>
      <c r="F1148">
        <v>2</v>
      </c>
    </row>
    <row r="1149" spans="1:6" x14ac:dyDescent="0.25">
      <c r="A1149" t="s">
        <v>1849</v>
      </c>
      <c r="B1149" t="s">
        <v>1846</v>
      </c>
      <c r="C1149" t="s">
        <v>1847</v>
      </c>
      <c r="D1149" s="2">
        <v>45921</v>
      </c>
      <c r="E1149">
        <v>30</v>
      </c>
      <c r="F1149">
        <v>3</v>
      </c>
    </row>
    <row r="1150" spans="1:6" x14ac:dyDescent="0.25">
      <c r="A1150" t="s">
        <v>1850</v>
      </c>
      <c r="B1150" t="s">
        <v>1846</v>
      </c>
      <c r="C1150" t="s">
        <v>1847</v>
      </c>
      <c r="D1150" s="2">
        <v>45952</v>
      </c>
      <c r="E1150">
        <v>30</v>
      </c>
      <c r="F1150">
        <v>4</v>
      </c>
    </row>
    <row r="1151" spans="1:6" x14ac:dyDescent="0.25">
      <c r="A1151" t="s">
        <v>1851</v>
      </c>
      <c r="B1151" t="s">
        <v>1852</v>
      </c>
      <c r="C1151" t="s">
        <v>1853</v>
      </c>
      <c r="D1151" s="2">
        <v>45867</v>
      </c>
      <c r="E1151">
        <v>21</v>
      </c>
      <c r="F1151">
        <v>1</v>
      </c>
    </row>
    <row r="1152" spans="1:6" x14ac:dyDescent="0.25">
      <c r="A1152" t="s">
        <v>1854</v>
      </c>
      <c r="B1152" t="s">
        <v>1852</v>
      </c>
      <c r="C1152" t="s">
        <v>1853</v>
      </c>
      <c r="D1152" s="2">
        <v>45888</v>
      </c>
      <c r="E1152">
        <v>21</v>
      </c>
      <c r="F1152">
        <v>2</v>
      </c>
    </row>
    <row r="1153" spans="1:6" x14ac:dyDescent="0.25">
      <c r="A1153" t="s">
        <v>1855</v>
      </c>
      <c r="B1153" t="s">
        <v>1852</v>
      </c>
      <c r="C1153" t="s">
        <v>1853</v>
      </c>
      <c r="D1153" s="2">
        <v>45911</v>
      </c>
      <c r="E1153">
        <v>21</v>
      </c>
      <c r="F1153">
        <v>3</v>
      </c>
    </row>
    <row r="1154" spans="1:6" x14ac:dyDescent="0.25">
      <c r="A1154" t="s">
        <v>1856</v>
      </c>
      <c r="B1154" t="s">
        <v>1857</v>
      </c>
      <c r="C1154" t="s">
        <v>1858</v>
      </c>
      <c r="D1154" s="2">
        <v>45848</v>
      </c>
      <c r="E1154">
        <v>28</v>
      </c>
      <c r="F1154">
        <v>1</v>
      </c>
    </row>
    <row r="1155" spans="1:6" x14ac:dyDescent="0.25">
      <c r="A1155" t="s">
        <v>1859</v>
      </c>
      <c r="B1155" t="s">
        <v>1857</v>
      </c>
      <c r="C1155" t="s">
        <v>1858</v>
      </c>
      <c r="D1155" s="2">
        <v>45875</v>
      </c>
      <c r="E1155">
        <v>28</v>
      </c>
      <c r="F1155">
        <v>2</v>
      </c>
    </row>
    <row r="1156" spans="1:6" x14ac:dyDescent="0.25">
      <c r="A1156" t="s">
        <v>1860</v>
      </c>
      <c r="B1156" t="s">
        <v>1857</v>
      </c>
      <c r="C1156" t="s">
        <v>1858</v>
      </c>
      <c r="D1156" s="2">
        <v>45901</v>
      </c>
      <c r="E1156">
        <v>28</v>
      </c>
      <c r="F1156">
        <v>3</v>
      </c>
    </row>
    <row r="1157" spans="1:6" x14ac:dyDescent="0.25">
      <c r="A1157" t="s">
        <v>1861</v>
      </c>
      <c r="B1157" t="s">
        <v>1857</v>
      </c>
      <c r="C1157" t="s">
        <v>1858</v>
      </c>
      <c r="D1157" s="2">
        <v>45929</v>
      </c>
      <c r="E1157">
        <v>28</v>
      </c>
      <c r="F1157">
        <v>4</v>
      </c>
    </row>
    <row r="1158" spans="1:6" x14ac:dyDescent="0.25">
      <c r="A1158" t="s">
        <v>1862</v>
      </c>
      <c r="B1158" t="s">
        <v>1857</v>
      </c>
      <c r="C1158" t="s">
        <v>1858</v>
      </c>
      <c r="D1158" s="2">
        <v>45960</v>
      </c>
      <c r="E1158">
        <v>28</v>
      </c>
      <c r="F1158">
        <v>5</v>
      </c>
    </row>
    <row r="1159" spans="1:6" x14ac:dyDescent="0.25">
      <c r="A1159" t="s">
        <v>1863</v>
      </c>
      <c r="B1159" t="s">
        <v>1864</v>
      </c>
      <c r="C1159" t="s">
        <v>1865</v>
      </c>
      <c r="D1159" s="2">
        <v>45809</v>
      </c>
      <c r="E1159">
        <v>28</v>
      </c>
      <c r="F1159">
        <v>1</v>
      </c>
    </row>
    <row r="1160" spans="1:6" x14ac:dyDescent="0.25">
      <c r="A1160" t="s">
        <v>1866</v>
      </c>
      <c r="B1160" t="s">
        <v>1864</v>
      </c>
      <c r="C1160" t="s">
        <v>1865</v>
      </c>
      <c r="D1160" s="2">
        <v>45840</v>
      </c>
      <c r="E1160">
        <v>28</v>
      </c>
      <c r="F1160">
        <v>2</v>
      </c>
    </row>
    <row r="1161" spans="1:6" x14ac:dyDescent="0.25">
      <c r="A1161" t="s">
        <v>1867</v>
      </c>
      <c r="B1161" t="s">
        <v>1864</v>
      </c>
      <c r="C1161" t="s">
        <v>1865</v>
      </c>
      <c r="D1161" s="2">
        <v>45869</v>
      </c>
      <c r="E1161">
        <v>28</v>
      </c>
      <c r="F1161">
        <v>3</v>
      </c>
    </row>
    <row r="1162" spans="1:6" x14ac:dyDescent="0.25">
      <c r="A1162" t="s">
        <v>1868</v>
      </c>
      <c r="B1162" t="s">
        <v>1864</v>
      </c>
      <c r="C1162" t="s">
        <v>1865</v>
      </c>
      <c r="D1162" s="2">
        <v>45898</v>
      </c>
      <c r="E1162">
        <v>28</v>
      </c>
      <c r="F1162">
        <v>4</v>
      </c>
    </row>
    <row r="1163" spans="1:6" x14ac:dyDescent="0.25">
      <c r="A1163" t="s">
        <v>1869</v>
      </c>
      <c r="B1163" t="s">
        <v>1864</v>
      </c>
      <c r="C1163" t="s">
        <v>1865</v>
      </c>
      <c r="D1163" s="2">
        <v>45924</v>
      </c>
      <c r="E1163">
        <v>28</v>
      </c>
      <c r="F1163">
        <v>5</v>
      </c>
    </row>
    <row r="1164" spans="1:6" x14ac:dyDescent="0.25">
      <c r="A1164" t="s">
        <v>1870</v>
      </c>
      <c r="B1164" t="s">
        <v>1864</v>
      </c>
      <c r="C1164" t="s">
        <v>1865</v>
      </c>
      <c r="D1164" s="2">
        <v>45950</v>
      </c>
      <c r="E1164">
        <v>28</v>
      </c>
      <c r="F1164">
        <v>6</v>
      </c>
    </row>
    <row r="1165" spans="1:6" x14ac:dyDescent="0.25">
      <c r="A1165" t="s">
        <v>1871</v>
      </c>
      <c r="B1165" t="s">
        <v>1872</v>
      </c>
      <c r="C1165" t="s">
        <v>1873</v>
      </c>
      <c r="D1165" s="2">
        <v>45951</v>
      </c>
      <c r="E1165">
        <v>28</v>
      </c>
      <c r="F1165">
        <v>1</v>
      </c>
    </row>
    <row r="1166" spans="1:6" x14ac:dyDescent="0.25">
      <c r="A1166" t="s">
        <v>1874</v>
      </c>
      <c r="B1166" t="s">
        <v>1875</v>
      </c>
      <c r="C1166" t="s">
        <v>1876</v>
      </c>
      <c r="D1166" s="2">
        <v>45875</v>
      </c>
      <c r="E1166">
        <v>28</v>
      </c>
      <c r="F1166">
        <v>1</v>
      </c>
    </row>
    <row r="1167" spans="1:6" x14ac:dyDescent="0.25">
      <c r="A1167" t="s">
        <v>1877</v>
      </c>
      <c r="B1167" t="s">
        <v>1878</v>
      </c>
      <c r="C1167" t="s">
        <v>1879</v>
      </c>
      <c r="D1167" s="2">
        <v>45866</v>
      </c>
      <c r="E1167">
        <v>30</v>
      </c>
      <c r="F1167">
        <v>1</v>
      </c>
    </row>
    <row r="1168" spans="1:6" x14ac:dyDescent="0.25">
      <c r="A1168" t="s">
        <v>1880</v>
      </c>
      <c r="B1168" t="s">
        <v>1878</v>
      </c>
      <c r="C1168" t="s">
        <v>1879</v>
      </c>
      <c r="D1168" s="2">
        <v>45894</v>
      </c>
      <c r="E1168">
        <v>30</v>
      </c>
      <c r="F1168">
        <v>2</v>
      </c>
    </row>
    <row r="1169" spans="1:6" x14ac:dyDescent="0.25">
      <c r="A1169" t="s">
        <v>1881</v>
      </c>
      <c r="B1169" t="s">
        <v>1878</v>
      </c>
      <c r="C1169" t="s">
        <v>1879</v>
      </c>
      <c r="D1169" s="2">
        <v>45925</v>
      </c>
      <c r="E1169">
        <v>30</v>
      </c>
      <c r="F1169">
        <v>3</v>
      </c>
    </row>
    <row r="1170" spans="1:6" x14ac:dyDescent="0.25">
      <c r="A1170" t="s">
        <v>1882</v>
      </c>
      <c r="B1170" t="s">
        <v>1878</v>
      </c>
      <c r="C1170" t="s">
        <v>1879</v>
      </c>
      <c r="D1170" s="2">
        <v>45958</v>
      </c>
      <c r="E1170">
        <v>30</v>
      </c>
      <c r="F1170">
        <v>4</v>
      </c>
    </row>
    <row r="1171" spans="1:6" x14ac:dyDescent="0.25">
      <c r="A1171" t="s">
        <v>1883</v>
      </c>
      <c r="B1171" t="s">
        <v>1884</v>
      </c>
      <c r="C1171" t="s">
        <v>1885</v>
      </c>
      <c r="D1171" s="2">
        <v>45815</v>
      </c>
      <c r="E1171">
        <v>21</v>
      </c>
      <c r="F1171">
        <v>1</v>
      </c>
    </row>
    <row r="1172" spans="1:6" x14ac:dyDescent="0.25">
      <c r="A1172" t="s">
        <v>1886</v>
      </c>
      <c r="B1172" t="s">
        <v>1884</v>
      </c>
      <c r="C1172" t="s">
        <v>1885</v>
      </c>
      <c r="D1172" s="2">
        <v>45836</v>
      </c>
      <c r="E1172">
        <v>21</v>
      </c>
      <c r="F1172">
        <v>2</v>
      </c>
    </row>
    <row r="1173" spans="1:6" x14ac:dyDescent="0.25">
      <c r="A1173" t="s">
        <v>1887</v>
      </c>
      <c r="B1173" t="s">
        <v>1884</v>
      </c>
      <c r="C1173" t="s">
        <v>1885</v>
      </c>
      <c r="D1173" s="2">
        <v>45856</v>
      </c>
      <c r="E1173">
        <v>21</v>
      </c>
      <c r="F1173">
        <v>3</v>
      </c>
    </row>
    <row r="1174" spans="1:6" x14ac:dyDescent="0.25">
      <c r="A1174" t="s">
        <v>1888</v>
      </c>
      <c r="B1174" t="s">
        <v>1884</v>
      </c>
      <c r="C1174" t="s">
        <v>1885</v>
      </c>
      <c r="D1174" s="2">
        <v>45874</v>
      </c>
      <c r="E1174">
        <v>21</v>
      </c>
      <c r="F1174">
        <v>4</v>
      </c>
    </row>
    <row r="1175" spans="1:6" x14ac:dyDescent="0.25">
      <c r="A1175" t="s">
        <v>1889</v>
      </c>
      <c r="B1175" t="s">
        <v>1884</v>
      </c>
      <c r="C1175" t="s">
        <v>1885</v>
      </c>
      <c r="D1175" s="2">
        <v>45897</v>
      </c>
      <c r="E1175">
        <v>21</v>
      </c>
      <c r="F1175">
        <v>5</v>
      </c>
    </row>
    <row r="1176" spans="1:6" x14ac:dyDescent="0.25">
      <c r="A1176" t="s">
        <v>1890</v>
      </c>
      <c r="B1176" t="s">
        <v>1884</v>
      </c>
      <c r="C1176" t="s">
        <v>1885</v>
      </c>
      <c r="D1176" s="2">
        <v>45918</v>
      </c>
      <c r="E1176">
        <v>21</v>
      </c>
      <c r="F1176">
        <v>6</v>
      </c>
    </row>
    <row r="1177" spans="1:6" x14ac:dyDescent="0.25">
      <c r="A1177" t="s">
        <v>1891</v>
      </c>
      <c r="B1177" t="s">
        <v>1884</v>
      </c>
      <c r="C1177" t="s">
        <v>1885</v>
      </c>
      <c r="D1177" s="2">
        <v>45940</v>
      </c>
      <c r="E1177">
        <v>21</v>
      </c>
      <c r="F1177">
        <v>7</v>
      </c>
    </row>
    <row r="1178" spans="1:6" x14ac:dyDescent="0.25">
      <c r="A1178" t="s">
        <v>1892</v>
      </c>
      <c r="B1178" t="s">
        <v>1893</v>
      </c>
      <c r="C1178" t="s">
        <v>1894</v>
      </c>
      <c r="D1178" s="2">
        <v>45788</v>
      </c>
      <c r="E1178">
        <v>28</v>
      </c>
      <c r="F1178">
        <v>1</v>
      </c>
    </row>
    <row r="1179" spans="1:6" x14ac:dyDescent="0.25">
      <c r="A1179" t="s">
        <v>1895</v>
      </c>
      <c r="B1179" t="s">
        <v>1893</v>
      </c>
      <c r="C1179" t="s">
        <v>1894</v>
      </c>
      <c r="D1179" s="2">
        <v>45816</v>
      </c>
      <c r="E1179">
        <v>28</v>
      </c>
      <c r="F1179">
        <v>2</v>
      </c>
    </row>
    <row r="1180" spans="1:6" x14ac:dyDescent="0.25">
      <c r="A1180" t="s">
        <v>1896</v>
      </c>
      <c r="B1180" t="s">
        <v>1893</v>
      </c>
      <c r="C1180" t="s">
        <v>1894</v>
      </c>
      <c r="D1180" s="2">
        <v>45842</v>
      </c>
      <c r="E1180">
        <v>28</v>
      </c>
      <c r="F1180">
        <v>3</v>
      </c>
    </row>
    <row r="1181" spans="1:6" x14ac:dyDescent="0.25">
      <c r="A1181" t="s">
        <v>1897</v>
      </c>
      <c r="B1181" t="s">
        <v>1893</v>
      </c>
      <c r="C1181" t="s">
        <v>1894</v>
      </c>
      <c r="D1181" s="2">
        <v>45868</v>
      </c>
      <c r="E1181">
        <v>28</v>
      </c>
      <c r="F1181">
        <v>4</v>
      </c>
    </row>
    <row r="1182" spans="1:6" x14ac:dyDescent="0.25">
      <c r="A1182" t="s">
        <v>1898</v>
      </c>
      <c r="B1182" t="s">
        <v>1893</v>
      </c>
      <c r="C1182" t="s">
        <v>1894</v>
      </c>
      <c r="D1182" s="2">
        <v>45897</v>
      </c>
      <c r="E1182">
        <v>28</v>
      </c>
      <c r="F1182">
        <v>5</v>
      </c>
    </row>
    <row r="1183" spans="1:6" x14ac:dyDescent="0.25">
      <c r="A1183" t="s">
        <v>1899</v>
      </c>
      <c r="B1183" t="s">
        <v>1893</v>
      </c>
      <c r="C1183" t="s">
        <v>1894</v>
      </c>
      <c r="D1183" s="2">
        <v>45923</v>
      </c>
      <c r="E1183">
        <v>28</v>
      </c>
      <c r="F1183">
        <v>6</v>
      </c>
    </row>
    <row r="1184" spans="1:6" x14ac:dyDescent="0.25">
      <c r="A1184" t="s">
        <v>1900</v>
      </c>
      <c r="B1184" t="s">
        <v>1893</v>
      </c>
      <c r="C1184" t="s">
        <v>1894</v>
      </c>
      <c r="D1184" s="2">
        <v>45952</v>
      </c>
      <c r="E1184">
        <v>28</v>
      </c>
      <c r="F1184">
        <v>7</v>
      </c>
    </row>
    <row r="1185" spans="1:6" x14ac:dyDescent="0.25">
      <c r="A1185" t="s">
        <v>1901</v>
      </c>
      <c r="B1185" t="s">
        <v>1902</v>
      </c>
      <c r="C1185" t="s">
        <v>1903</v>
      </c>
      <c r="D1185" s="2">
        <v>45960</v>
      </c>
      <c r="E1185">
        <v>30</v>
      </c>
      <c r="F1185">
        <v>1</v>
      </c>
    </row>
    <row r="1186" spans="1:6" x14ac:dyDescent="0.25">
      <c r="A1186" t="s">
        <v>1904</v>
      </c>
      <c r="B1186" t="s">
        <v>1905</v>
      </c>
      <c r="C1186" t="s">
        <v>1906</v>
      </c>
      <c r="D1186" s="2">
        <v>45866</v>
      </c>
      <c r="E1186">
        <v>14</v>
      </c>
      <c r="F1186">
        <v>1</v>
      </c>
    </row>
    <row r="1187" spans="1:6" x14ac:dyDescent="0.25">
      <c r="A1187" t="s">
        <v>1907</v>
      </c>
      <c r="B1187" t="s">
        <v>1905</v>
      </c>
      <c r="C1187" t="s">
        <v>1906</v>
      </c>
      <c r="D1187" s="2">
        <v>45879</v>
      </c>
      <c r="E1187">
        <v>14</v>
      </c>
      <c r="F1187">
        <v>2</v>
      </c>
    </row>
    <row r="1188" spans="1:6" x14ac:dyDescent="0.25">
      <c r="A1188" t="s">
        <v>1908</v>
      </c>
      <c r="B1188" t="s">
        <v>1905</v>
      </c>
      <c r="C1188" t="s">
        <v>1906</v>
      </c>
      <c r="D1188" s="2">
        <v>45891</v>
      </c>
      <c r="E1188">
        <v>14</v>
      </c>
      <c r="F1188">
        <v>3</v>
      </c>
    </row>
    <row r="1189" spans="1:6" x14ac:dyDescent="0.25">
      <c r="A1189" t="s">
        <v>1909</v>
      </c>
      <c r="B1189" t="s">
        <v>1905</v>
      </c>
      <c r="C1189" t="s">
        <v>1906</v>
      </c>
      <c r="D1189" s="2">
        <v>45905</v>
      </c>
      <c r="E1189">
        <v>14</v>
      </c>
      <c r="F1189">
        <v>4</v>
      </c>
    </row>
    <row r="1190" spans="1:6" x14ac:dyDescent="0.25">
      <c r="A1190" t="s">
        <v>1910</v>
      </c>
      <c r="B1190" t="s">
        <v>1905</v>
      </c>
      <c r="C1190" t="s">
        <v>1906</v>
      </c>
      <c r="D1190" s="2">
        <v>45920</v>
      </c>
      <c r="E1190">
        <v>14</v>
      </c>
      <c r="F1190">
        <v>5</v>
      </c>
    </row>
    <row r="1191" spans="1:6" x14ac:dyDescent="0.25">
      <c r="A1191" t="s">
        <v>1911</v>
      </c>
      <c r="B1191" t="s">
        <v>1905</v>
      </c>
      <c r="C1191" t="s">
        <v>1906</v>
      </c>
      <c r="D1191" s="2">
        <v>45931</v>
      </c>
      <c r="E1191">
        <v>14</v>
      </c>
      <c r="F1191">
        <v>6</v>
      </c>
    </row>
    <row r="1192" spans="1:6" x14ac:dyDescent="0.25">
      <c r="A1192" t="s">
        <v>1912</v>
      </c>
      <c r="B1192" t="s">
        <v>1905</v>
      </c>
      <c r="C1192" t="s">
        <v>1906</v>
      </c>
      <c r="D1192" s="2">
        <v>45947</v>
      </c>
      <c r="E1192">
        <v>14</v>
      </c>
      <c r="F1192">
        <v>7</v>
      </c>
    </row>
    <row r="1193" spans="1:6" x14ac:dyDescent="0.25">
      <c r="A1193" t="s">
        <v>1913</v>
      </c>
      <c r="B1193" t="s">
        <v>1914</v>
      </c>
      <c r="C1193" t="s">
        <v>1915</v>
      </c>
      <c r="D1193" s="2">
        <v>45945</v>
      </c>
      <c r="E1193">
        <v>30</v>
      </c>
      <c r="F1193">
        <v>1</v>
      </c>
    </row>
    <row r="1194" spans="1:6" x14ac:dyDescent="0.25">
      <c r="A1194" t="s">
        <v>1916</v>
      </c>
      <c r="B1194" t="s">
        <v>1917</v>
      </c>
      <c r="C1194" t="s">
        <v>1918</v>
      </c>
      <c r="D1194" s="2">
        <v>45900</v>
      </c>
      <c r="E1194">
        <v>28</v>
      </c>
      <c r="F1194">
        <v>1</v>
      </c>
    </row>
    <row r="1195" spans="1:6" x14ac:dyDescent="0.25">
      <c r="A1195" t="s">
        <v>1919</v>
      </c>
      <c r="B1195" t="s">
        <v>1917</v>
      </c>
      <c r="C1195" t="s">
        <v>1918</v>
      </c>
      <c r="D1195" s="2">
        <v>45925</v>
      </c>
      <c r="E1195">
        <v>28</v>
      </c>
      <c r="F1195">
        <v>2</v>
      </c>
    </row>
    <row r="1196" spans="1:6" x14ac:dyDescent="0.25">
      <c r="A1196" t="s">
        <v>1920</v>
      </c>
      <c r="B1196" t="s">
        <v>1917</v>
      </c>
      <c r="C1196" t="s">
        <v>1918</v>
      </c>
      <c r="D1196" s="2">
        <v>45953</v>
      </c>
      <c r="E1196">
        <v>28</v>
      </c>
      <c r="F1196">
        <v>3</v>
      </c>
    </row>
    <row r="1197" spans="1:6" x14ac:dyDescent="0.25">
      <c r="A1197" t="s">
        <v>1921</v>
      </c>
      <c r="B1197" t="s">
        <v>1922</v>
      </c>
      <c r="C1197" t="s">
        <v>1923</v>
      </c>
      <c r="D1197" s="2">
        <v>45829</v>
      </c>
      <c r="E1197">
        <v>30</v>
      </c>
      <c r="F1197">
        <v>1</v>
      </c>
    </row>
    <row r="1198" spans="1:6" x14ac:dyDescent="0.25">
      <c r="A1198" t="s">
        <v>1924</v>
      </c>
      <c r="B1198" t="s">
        <v>1922</v>
      </c>
      <c r="C1198" t="s">
        <v>1923</v>
      </c>
      <c r="D1198" s="2">
        <v>45857</v>
      </c>
      <c r="E1198">
        <v>30</v>
      </c>
      <c r="F1198">
        <v>2</v>
      </c>
    </row>
    <row r="1199" spans="1:6" x14ac:dyDescent="0.25">
      <c r="A1199" t="s">
        <v>1925</v>
      </c>
      <c r="B1199" t="s">
        <v>1926</v>
      </c>
      <c r="C1199" t="s">
        <v>1927</v>
      </c>
      <c r="D1199" s="2">
        <v>45915</v>
      </c>
      <c r="E1199">
        <v>28</v>
      </c>
      <c r="F1199">
        <v>1</v>
      </c>
    </row>
    <row r="1200" spans="1:6" x14ac:dyDescent="0.25">
      <c r="A1200" t="s">
        <v>1928</v>
      </c>
      <c r="B1200" t="s">
        <v>1926</v>
      </c>
      <c r="C1200" t="s">
        <v>1927</v>
      </c>
      <c r="D1200" s="2">
        <v>45941</v>
      </c>
      <c r="E1200">
        <v>28</v>
      </c>
      <c r="F1200">
        <v>2</v>
      </c>
    </row>
    <row r="1201" spans="1:6" x14ac:dyDescent="0.25">
      <c r="A1201" t="s">
        <v>1929</v>
      </c>
      <c r="B1201" t="s">
        <v>1930</v>
      </c>
      <c r="C1201" t="s">
        <v>1931</v>
      </c>
      <c r="D1201" s="2">
        <v>45921</v>
      </c>
      <c r="E1201">
        <v>21</v>
      </c>
      <c r="F1201">
        <v>1</v>
      </c>
    </row>
    <row r="1202" spans="1:6" x14ac:dyDescent="0.25">
      <c r="A1202" t="s">
        <v>1932</v>
      </c>
      <c r="B1202" t="s">
        <v>1930</v>
      </c>
      <c r="C1202" t="s">
        <v>1931</v>
      </c>
      <c r="D1202" s="2">
        <v>45945</v>
      </c>
      <c r="E1202">
        <v>21</v>
      </c>
      <c r="F1202">
        <v>2</v>
      </c>
    </row>
    <row r="1203" spans="1:6" x14ac:dyDescent="0.25">
      <c r="A1203" t="s">
        <v>1933</v>
      </c>
      <c r="B1203" t="s">
        <v>1934</v>
      </c>
      <c r="C1203" t="s">
        <v>1935</v>
      </c>
      <c r="D1203" s="2">
        <v>45847</v>
      </c>
      <c r="E1203">
        <v>21</v>
      </c>
      <c r="F1203">
        <v>1</v>
      </c>
    </row>
    <row r="1204" spans="1:6" x14ac:dyDescent="0.25">
      <c r="A1204" t="s">
        <v>1936</v>
      </c>
      <c r="B1204" t="s">
        <v>1934</v>
      </c>
      <c r="C1204" t="s">
        <v>1935</v>
      </c>
      <c r="D1204" s="2">
        <v>45869</v>
      </c>
      <c r="E1204">
        <v>21</v>
      </c>
      <c r="F1204">
        <v>2</v>
      </c>
    </row>
    <row r="1205" spans="1:6" x14ac:dyDescent="0.25">
      <c r="A1205" t="s">
        <v>1937</v>
      </c>
      <c r="B1205" t="s">
        <v>1934</v>
      </c>
      <c r="C1205" t="s">
        <v>1935</v>
      </c>
      <c r="D1205" s="2">
        <v>45888</v>
      </c>
      <c r="E1205">
        <v>21</v>
      </c>
      <c r="F1205">
        <v>3</v>
      </c>
    </row>
    <row r="1206" spans="1:6" x14ac:dyDescent="0.25">
      <c r="A1206" t="s">
        <v>1938</v>
      </c>
      <c r="B1206" t="s">
        <v>1934</v>
      </c>
      <c r="C1206" t="s">
        <v>1935</v>
      </c>
      <c r="D1206" s="2">
        <v>45911</v>
      </c>
      <c r="E1206">
        <v>21</v>
      </c>
      <c r="F1206">
        <v>4</v>
      </c>
    </row>
    <row r="1207" spans="1:6" x14ac:dyDescent="0.25">
      <c r="A1207" t="s">
        <v>1939</v>
      </c>
      <c r="B1207" t="s">
        <v>1934</v>
      </c>
      <c r="C1207" t="s">
        <v>1935</v>
      </c>
      <c r="D1207" s="2">
        <v>45932</v>
      </c>
      <c r="E1207">
        <v>21</v>
      </c>
      <c r="F1207">
        <v>5</v>
      </c>
    </row>
    <row r="1208" spans="1:6" x14ac:dyDescent="0.25">
      <c r="A1208" t="s">
        <v>1940</v>
      </c>
      <c r="B1208" t="s">
        <v>1934</v>
      </c>
      <c r="C1208" t="s">
        <v>1935</v>
      </c>
      <c r="D1208" s="2">
        <v>45954</v>
      </c>
      <c r="E1208">
        <v>21</v>
      </c>
      <c r="F1208">
        <v>6</v>
      </c>
    </row>
    <row r="1209" spans="1:6" x14ac:dyDescent="0.25">
      <c r="A1209" t="s">
        <v>1941</v>
      </c>
      <c r="B1209" t="s">
        <v>1942</v>
      </c>
      <c r="C1209" t="s">
        <v>1943</v>
      </c>
      <c r="D1209" s="2">
        <v>45805</v>
      </c>
      <c r="E1209">
        <v>28</v>
      </c>
      <c r="F1209">
        <v>1</v>
      </c>
    </row>
    <row r="1210" spans="1:6" x14ac:dyDescent="0.25">
      <c r="A1210" t="s">
        <v>1944</v>
      </c>
      <c r="B1210" t="s">
        <v>1942</v>
      </c>
      <c r="C1210" t="s">
        <v>1943</v>
      </c>
      <c r="D1210" s="2">
        <v>45831</v>
      </c>
      <c r="E1210">
        <v>28</v>
      </c>
      <c r="F1210">
        <v>2</v>
      </c>
    </row>
    <row r="1211" spans="1:6" x14ac:dyDescent="0.25">
      <c r="A1211" t="s">
        <v>1945</v>
      </c>
      <c r="B1211" t="s">
        <v>1946</v>
      </c>
      <c r="C1211" t="s">
        <v>1947</v>
      </c>
      <c r="D1211" s="2">
        <v>45928</v>
      </c>
      <c r="E1211">
        <v>30</v>
      </c>
      <c r="F1211">
        <v>1</v>
      </c>
    </row>
    <row r="1212" spans="1:6" x14ac:dyDescent="0.25">
      <c r="A1212" t="s">
        <v>1948</v>
      </c>
      <c r="B1212" t="s">
        <v>1946</v>
      </c>
      <c r="C1212" t="s">
        <v>1947</v>
      </c>
      <c r="D1212" s="2">
        <v>45961</v>
      </c>
      <c r="E1212">
        <v>30</v>
      </c>
      <c r="F1212">
        <v>2</v>
      </c>
    </row>
    <row r="1213" spans="1:6" x14ac:dyDescent="0.25">
      <c r="A1213" t="s">
        <v>1949</v>
      </c>
      <c r="B1213" t="s">
        <v>1950</v>
      </c>
      <c r="C1213" t="s">
        <v>1951</v>
      </c>
      <c r="D1213" s="2">
        <v>45840</v>
      </c>
      <c r="E1213">
        <v>30</v>
      </c>
      <c r="F1213">
        <v>1</v>
      </c>
    </row>
    <row r="1214" spans="1:6" x14ac:dyDescent="0.25">
      <c r="A1214" t="s">
        <v>1952</v>
      </c>
      <c r="B1214" t="s">
        <v>1950</v>
      </c>
      <c r="C1214" t="s">
        <v>1951</v>
      </c>
      <c r="D1214" s="2">
        <v>45873</v>
      </c>
      <c r="E1214">
        <v>30</v>
      </c>
      <c r="F1214">
        <v>2</v>
      </c>
    </row>
    <row r="1215" spans="1:6" x14ac:dyDescent="0.25">
      <c r="A1215" t="s">
        <v>1953</v>
      </c>
      <c r="B1215" t="s">
        <v>1950</v>
      </c>
      <c r="C1215" t="s">
        <v>1951</v>
      </c>
      <c r="D1215" s="2">
        <v>45904</v>
      </c>
      <c r="E1215">
        <v>30</v>
      </c>
      <c r="F1215">
        <v>3</v>
      </c>
    </row>
    <row r="1216" spans="1:6" x14ac:dyDescent="0.25">
      <c r="A1216" t="s">
        <v>1954</v>
      </c>
      <c r="B1216" t="s">
        <v>1950</v>
      </c>
      <c r="C1216" t="s">
        <v>1951</v>
      </c>
      <c r="D1216" s="2">
        <v>45932</v>
      </c>
      <c r="E1216">
        <v>30</v>
      </c>
      <c r="F1216">
        <v>4</v>
      </c>
    </row>
    <row r="1217" spans="1:6" x14ac:dyDescent="0.25">
      <c r="A1217" t="s">
        <v>1955</v>
      </c>
      <c r="B1217" t="s">
        <v>1956</v>
      </c>
      <c r="C1217" t="s">
        <v>1957</v>
      </c>
      <c r="D1217" s="2">
        <v>45949</v>
      </c>
      <c r="E1217">
        <v>28</v>
      </c>
      <c r="F1217">
        <v>1</v>
      </c>
    </row>
    <row r="1218" spans="1:6" x14ac:dyDescent="0.25">
      <c r="A1218" t="s">
        <v>1958</v>
      </c>
      <c r="B1218" t="s">
        <v>1959</v>
      </c>
      <c r="C1218" t="s">
        <v>1960</v>
      </c>
      <c r="D1218" s="2">
        <v>45835</v>
      </c>
      <c r="E1218">
        <v>14</v>
      </c>
      <c r="F1218">
        <v>1</v>
      </c>
    </row>
    <row r="1219" spans="1:6" x14ac:dyDescent="0.25">
      <c r="A1219" t="s">
        <v>1961</v>
      </c>
      <c r="B1219" t="s">
        <v>1959</v>
      </c>
      <c r="C1219" t="s">
        <v>1960</v>
      </c>
      <c r="D1219" s="2">
        <v>45852</v>
      </c>
      <c r="E1219">
        <v>14</v>
      </c>
      <c r="F1219">
        <v>2</v>
      </c>
    </row>
    <row r="1220" spans="1:6" x14ac:dyDescent="0.25">
      <c r="A1220" t="s">
        <v>1962</v>
      </c>
      <c r="B1220" t="s">
        <v>1959</v>
      </c>
      <c r="C1220" t="s">
        <v>1960</v>
      </c>
      <c r="D1220" s="2">
        <v>45867</v>
      </c>
      <c r="E1220">
        <v>14</v>
      </c>
      <c r="F1220">
        <v>3</v>
      </c>
    </row>
    <row r="1221" spans="1:6" x14ac:dyDescent="0.25">
      <c r="A1221" t="s">
        <v>1963</v>
      </c>
      <c r="B1221" t="s">
        <v>1959</v>
      </c>
      <c r="C1221" t="s">
        <v>1960</v>
      </c>
      <c r="D1221" s="2">
        <v>45878</v>
      </c>
      <c r="E1221">
        <v>14</v>
      </c>
      <c r="F1221">
        <v>4</v>
      </c>
    </row>
    <row r="1222" spans="1:6" x14ac:dyDescent="0.25">
      <c r="A1222" t="s">
        <v>1964</v>
      </c>
      <c r="B1222" t="s">
        <v>1959</v>
      </c>
      <c r="C1222" t="s">
        <v>1960</v>
      </c>
      <c r="D1222" s="2">
        <v>45892</v>
      </c>
      <c r="E1222">
        <v>14</v>
      </c>
      <c r="F1222">
        <v>5</v>
      </c>
    </row>
    <row r="1223" spans="1:6" x14ac:dyDescent="0.25">
      <c r="A1223" t="s">
        <v>1965</v>
      </c>
      <c r="B1223" t="s">
        <v>1959</v>
      </c>
      <c r="C1223" t="s">
        <v>1960</v>
      </c>
      <c r="D1223" s="2">
        <v>45904</v>
      </c>
      <c r="E1223">
        <v>14</v>
      </c>
      <c r="F1223">
        <v>6</v>
      </c>
    </row>
    <row r="1224" spans="1:6" x14ac:dyDescent="0.25">
      <c r="A1224" t="s">
        <v>1966</v>
      </c>
      <c r="B1224" t="s">
        <v>1959</v>
      </c>
      <c r="C1224" t="s">
        <v>1960</v>
      </c>
      <c r="D1224" s="2">
        <v>45919</v>
      </c>
      <c r="E1224">
        <v>14</v>
      </c>
      <c r="F1224">
        <v>7</v>
      </c>
    </row>
    <row r="1225" spans="1:6" x14ac:dyDescent="0.25">
      <c r="A1225" t="s">
        <v>1967</v>
      </c>
      <c r="B1225" t="s">
        <v>1959</v>
      </c>
      <c r="C1225" t="s">
        <v>1960</v>
      </c>
      <c r="D1225" s="2">
        <v>45936</v>
      </c>
      <c r="E1225">
        <v>14</v>
      </c>
      <c r="F1225">
        <v>8</v>
      </c>
    </row>
    <row r="1226" spans="1:6" x14ac:dyDescent="0.25">
      <c r="A1226" t="s">
        <v>1968</v>
      </c>
      <c r="B1226" t="s">
        <v>1959</v>
      </c>
      <c r="C1226" t="s">
        <v>1960</v>
      </c>
      <c r="D1226" s="2">
        <v>45953</v>
      </c>
      <c r="E1226">
        <v>14</v>
      </c>
      <c r="F1226">
        <v>9</v>
      </c>
    </row>
    <row r="1227" spans="1:6" x14ac:dyDescent="0.25">
      <c r="A1227" t="s">
        <v>1969</v>
      </c>
      <c r="B1227" t="s">
        <v>1970</v>
      </c>
      <c r="C1227" t="s">
        <v>1971</v>
      </c>
      <c r="D1227" s="2">
        <v>45837</v>
      </c>
      <c r="E1227">
        <v>28</v>
      </c>
      <c r="F1227">
        <v>1</v>
      </c>
    </row>
    <row r="1228" spans="1:6" x14ac:dyDescent="0.25">
      <c r="A1228" t="s">
        <v>1972</v>
      </c>
      <c r="B1228" t="s">
        <v>1970</v>
      </c>
      <c r="C1228" t="s">
        <v>1971</v>
      </c>
      <c r="D1228" s="2">
        <v>45865</v>
      </c>
      <c r="E1228">
        <v>28</v>
      </c>
      <c r="F1228">
        <v>2</v>
      </c>
    </row>
    <row r="1229" spans="1:6" x14ac:dyDescent="0.25">
      <c r="A1229" t="s">
        <v>1973</v>
      </c>
      <c r="B1229" t="s">
        <v>1974</v>
      </c>
      <c r="C1229" t="s">
        <v>1975</v>
      </c>
      <c r="D1229" s="2">
        <v>45803</v>
      </c>
      <c r="E1229">
        <v>56</v>
      </c>
      <c r="F1229">
        <v>1</v>
      </c>
    </row>
    <row r="1230" spans="1:6" x14ac:dyDescent="0.25">
      <c r="A1230" t="s">
        <v>1976</v>
      </c>
      <c r="B1230" t="s">
        <v>1974</v>
      </c>
      <c r="C1230" t="s">
        <v>1975</v>
      </c>
      <c r="D1230" s="2">
        <v>45860</v>
      </c>
      <c r="E1230">
        <v>56</v>
      </c>
      <c r="F1230">
        <v>2</v>
      </c>
    </row>
    <row r="1231" spans="1:6" x14ac:dyDescent="0.25">
      <c r="A1231" t="s">
        <v>1977</v>
      </c>
      <c r="B1231" t="s">
        <v>1974</v>
      </c>
      <c r="C1231" t="s">
        <v>1975</v>
      </c>
      <c r="D1231" s="2">
        <v>45914</v>
      </c>
      <c r="E1231">
        <v>56</v>
      </c>
      <c r="F1231">
        <v>3</v>
      </c>
    </row>
    <row r="1232" spans="1:6" x14ac:dyDescent="0.25">
      <c r="A1232" t="s">
        <v>1978</v>
      </c>
      <c r="B1232" t="s">
        <v>1979</v>
      </c>
      <c r="C1232" t="s">
        <v>1980</v>
      </c>
      <c r="D1232" s="2">
        <v>45862</v>
      </c>
      <c r="E1232">
        <v>28</v>
      </c>
      <c r="F1232">
        <v>1</v>
      </c>
    </row>
    <row r="1233" spans="1:6" x14ac:dyDescent="0.25">
      <c r="A1233" t="s">
        <v>1981</v>
      </c>
      <c r="B1233" t="s">
        <v>1979</v>
      </c>
      <c r="C1233" t="s">
        <v>1980</v>
      </c>
      <c r="D1233" s="2">
        <v>45893</v>
      </c>
      <c r="E1233">
        <v>28</v>
      </c>
      <c r="F1233">
        <v>2</v>
      </c>
    </row>
    <row r="1234" spans="1:6" x14ac:dyDescent="0.25">
      <c r="A1234" t="s">
        <v>1982</v>
      </c>
      <c r="B1234" t="s">
        <v>1979</v>
      </c>
      <c r="C1234" t="s">
        <v>1980</v>
      </c>
      <c r="D1234" s="2">
        <v>45921</v>
      </c>
      <c r="E1234">
        <v>28</v>
      </c>
      <c r="F1234">
        <v>3</v>
      </c>
    </row>
    <row r="1235" spans="1:6" x14ac:dyDescent="0.25">
      <c r="A1235" t="s">
        <v>1983</v>
      </c>
      <c r="B1235" t="s">
        <v>1979</v>
      </c>
      <c r="C1235" t="s">
        <v>1980</v>
      </c>
      <c r="D1235" s="2">
        <v>45950</v>
      </c>
      <c r="E1235">
        <v>28</v>
      </c>
      <c r="F1235">
        <v>4</v>
      </c>
    </row>
    <row r="1236" spans="1:6" x14ac:dyDescent="0.25">
      <c r="A1236" t="s">
        <v>1984</v>
      </c>
      <c r="B1236" t="s">
        <v>1985</v>
      </c>
      <c r="C1236" t="s">
        <v>1986</v>
      </c>
      <c r="D1236" s="2">
        <v>45898</v>
      </c>
      <c r="E1236">
        <v>28</v>
      </c>
      <c r="F1236">
        <v>1</v>
      </c>
    </row>
    <row r="1237" spans="1:6" x14ac:dyDescent="0.25">
      <c r="A1237" t="s">
        <v>1987</v>
      </c>
      <c r="B1237" t="s">
        <v>1985</v>
      </c>
      <c r="C1237" t="s">
        <v>1986</v>
      </c>
      <c r="D1237" s="2">
        <v>45929</v>
      </c>
      <c r="E1237">
        <v>28</v>
      </c>
      <c r="F1237">
        <v>2</v>
      </c>
    </row>
    <row r="1238" spans="1:6" x14ac:dyDescent="0.25">
      <c r="A1238" t="s">
        <v>1988</v>
      </c>
      <c r="B1238" t="s">
        <v>1985</v>
      </c>
      <c r="C1238" t="s">
        <v>1986</v>
      </c>
      <c r="D1238" s="2">
        <v>45959</v>
      </c>
      <c r="E1238">
        <v>28</v>
      </c>
      <c r="F1238">
        <v>3</v>
      </c>
    </row>
    <row r="1239" spans="1:6" x14ac:dyDescent="0.25">
      <c r="A1239" t="s">
        <v>1989</v>
      </c>
      <c r="B1239" t="s">
        <v>1990</v>
      </c>
      <c r="C1239" t="s">
        <v>1991</v>
      </c>
      <c r="D1239" s="2">
        <v>45952</v>
      </c>
      <c r="E1239">
        <v>28</v>
      </c>
      <c r="F1239">
        <v>1</v>
      </c>
    </row>
    <row r="1240" spans="1:6" x14ac:dyDescent="0.25">
      <c r="A1240" t="s">
        <v>1992</v>
      </c>
      <c r="B1240" t="s">
        <v>1993</v>
      </c>
      <c r="C1240" t="s">
        <v>1994</v>
      </c>
      <c r="D1240" s="2">
        <v>45813</v>
      </c>
      <c r="E1240">
        <v>14</v>
      </c>
      <c r="F1240">
        <v>1</v>
      </c>
    </row>
    <row r="1241" spans="1:6" x14ac:dyDescent="0.25">
      <c r="A1241" t="s">
        <v>1995</v>
      </c>
      <c r="B1241" t="s">
        <v>1993</v>
      </c>
      <c r="C1241" t="s">
        <v>1994</v>
      </c>
      <c r="D1241" s="2">
        <v>45827</v>
      </c>
      <c r="E1241">
        <v>14</v>
      </c>
      <c r="F1241">
        <v>2</v>
      </c>
    </row>
    <row r="1242" spans="1:6" x14ac:dyDescent="0.25">
      <c r="A1242" t="s">
        <v>1996</v>
      </c>
      <c r="B1242" t="s">
        <v>1993</v>
      </c>
      <c r="C1242" t="s">
        <v>1994</v>
      </c>
      <c r="D1242" s="2">
        <v>45839</v>
      </c>
      <c r="E1242">
        <v>14</v>
      </c>
      <c r="F1242">
        <v>3</v>
      </c>
    </row>
    <row r="1243" spans="1:6" x14ac:dyDescent="0.25">
      <c r="A1243" t="s">
        <v>1997</v>
      </c>
      <c r="B1243" t="s">
        <v>1993</v>
      </c>
      <c r="C1243" t="s">
        <v>1994</v>
      </c>
      <c r="D1243" s="2">
        <v>45856</v>
      </c>
      <c r="E1243">
        <v>14</v>
      </c>
      <c r="F1243">
        <v>4</v>
      </c>
    </row>
    <row r="1244" spans="1:6" x14ac:dyDescent="0.25">
      <c r="A1244" t="s">
        <v>1998</v>
      </c>
      <c r="B1244" t="s">
        <v>1993</v>
      </c>
      <c r="C1244" t="s">
        <v>1994</v>
      </c>
      <c r="D1244" s="2">
        <v>45869</v>
      </c>
      <c r="E1244">
        <v>14</v>
      </c>
      <c r="F1244">
        <v>5</v>
      </c>
    </row>
    <row r="1245" spans="1:6" x14ac:dyDescent="0.25">
      <c r="A1245" t="s">
        <v>1999</v>
      </c>
      <c r="B1245" t="s">
        <v>1993</v>
      </c>
      <c r="C1245" t="s">
        <v>1994</v>
      </c>
      <c r="D1245" s="2">
        <v>45884</v>
      </c>
      <c r="E1245">
        <v>14</v>
      </c>
      <c r="F1245">
        <v>6</v>
      </c>
    </row>
    <row r="1246" spans="1:6" x14ac:dyDescent="0.25">
      <c r="A1246" t="s">
        <v>2000</v>
      </c>
      <c r="B1246" t="s">
        <v>1993</v>
      </c>
      <c r="C1246" t="s">
        <v>1994</v>
      </c>
      <c r="D1246" s="2">
        <v>45897</v>
      </c>
      <c r="E1246">
        <v>14</v>
      </c>
      <c r="F1246">
        <v>7</v>
      </c>
    </row>
    <row r="1247" spans="1:6" x14ac:dyDescent="0.25">
      <c r="A1247" t="s">
        <v>2001</v>
      </c>
      <c r="B1247" t="s">
        <v>1993</v>
      </c>
      <c r="C1247" t="s">
        <v>1994</v>
      </c>
      <c r="D1247" s="2">
        <v>45908</v>
      </c>
      <c r="E1247">
        <v>14</v>
      </c>
      <c r="F1247">
        <v>8</v>
      </c>
    </row>
    <row r="1248" spans="1:6" x14ac:dyDescent="0.25">
      <c r="A1248" t="s">
        <v>2002</v>
      </c>
      <c r="B1248" t="s">
        <v>1993</v>
      </c>
      <c r="C1248" t="s">
        <v>1994</v>
      </c>
      <c r="D1248" s="2">
        <v>45924</v>
      </c>
      <c r="E1248">
        <v>14</v>
      </c>
      <c r="F1248">
        <v>9</v>
      </c>
    </row>
    <row r="1249" spans="1:6" x14ac:dyDescent="0.25">
      <c r="A1249" t="s">
        <v>2003</v>
      </c>
      <c r="B1249" t="s">
        <v>1993</v>
      </c>
      <c r="C1249" t="s">
        <v>1994</v>
      </c>
      <c r="D1249" s="2">
        <v>45935</v>
      </c>
      <c r="E1249">
        <v>14</v>
      </c>
      <c r="F1249">
        <v>10</v>
      </c>
    </row>
    <row r="1250" spans="1:6" x14ac:dyDescent="0.25">
      <c r="A1250" t="s">
        <v>2004</v>
      </c>
      <c r="B1250" t="s">
        <v>1993</v>
      </c>
      <c r="C1250" t="s">
        <v>1994</v>
      </c>
      <c r="D1250" s="2">
        <v>45950</v>
      </c>
      <c r="E1250">
        <v>14</v>
      </c>
      <c r="F1250">
        <v>11</v>
      </c>
    </row>
    <row r="1251" spans="1:6" x14ac:dyDescent="0.25">
      <c r="A1251" t="s">
        <v>2005</v>
      </c>
      <c r="B1251" t="s">
        <v>2006</v>
      </c>
      <c r="C1251" t="s">
        <v>2007</v>
      </c>
      <c r="D1251" s="2">
        <v>45918</v>
      </c>
      <c r="E1251">
        <v>28</v>
      </c>
      <c r="F1251">
        <v>1</v>
      </c>
    </row>
    <row r="1252" spans="1:6" x14ac:dyDescent="0.25">
      <c r="A1252" t="s">
        <v>2008</v>
      </c>
      <c r="B1252" t="s">
        <v>2006</v>
      </c>
      <c r="C1252" t="s">
        <v>2007</v>
      </c>
      <c r="D1252" s="2">
        <v>45946</v>
      </c>
      <c r="E1252">
        <v>28</v>
      </c>
      <c r="F1252">
        <v>2</v>
      </c>
    </row>
    <row r="1253" spans="1:6" x14ac:dyDescent="0.25">
      <c r="A1253" t="s">
        <v>2009</v>
      </c>
      <c r="B1253" t="s">
        <v>2010</v>
      </c>
      <c r="C1253" t="s">
        <v>2011</v>
      </c>
      <c r="D1253" s="2">
        <v>45882</v>
      </c>
      <c r="E1253">
        <v>28</v>
      </c>
      <c r="F1253">
        <v>1</v>
      </c>
    </row>
    <row r="1254" spans="1:6" x14ac:dyDescent="0.25">
      <c r="A1254" t="s">
        <v>2012</v>
      </c>
      <c r="B1254" t="s">
        <v>2010</v>
      </c>
      <c r="C1254" t="s">
        <v>2011</v>
      </c>
      <c r="D1254" s="2">
        <v>45913</v>
      </c>
      <c r="E1254">
        <v>28</v>
      </c>
      <c r="F1254">
        <v>2</v>
      </c>
    </row>
    <row r="1255" spans="1:6" x14ac:dyDescent="0.25">
      <c r="A1255" t="s">
        <v>2013</v>
      </c>
      <c r="B1255" t="s">
        <v>2010</v>
      </c>
      <c r="C1255" t="s">
        <v>2011</v>
      </c>
      <c r="D1255" s="2">
        <v>45941</v>
      </c>
      <c r="E1255">
        <v>28</v>
      </c>
      <c r="F1255">
        <v>3</v>
      </c>
    </row>
    <row r="1256" spans="1:6" x14ac:dyDescent="0.25">
      <c r="A1256" t="s">
        <v>2014</v>
      </c>
      <c r="B1256" t="s">
        <v>2015</v>
      </c>
      <c r="C1256" t="s">
        <v>2016</v>
      </c>
      <c r="D1256" s="2">
        <v>45899</v>
      </c>
      <c r="E1256">
        <v>28</v>
      </c>
      <c r="F1256">
        <v>1</v>
      </c>
    </row>
    <row r="1257" spans="1:6" x14ac:dyDescent="0.25">
      <c r="A1257" t="s">
        <v>2017</v>
      </c>
      <c r="B1257" t="s">
        <v>2015</v>
      </c>
      <c r="C1257" t="s">
        <v>2016</v>
      </c>
      <c r="D1257" s="2">
        <v>45927</v>
      </c>
      <c r="E1257">
        <v>28</v>
      </c>
      <c r="F1257">
        <v>2</v>
      </c>
    </row>
    <row r="1258" spans="1:6" x14ac:dyDescent="0.25">
      <c r="A1258" t="s">
        <v>2018</v>
      </c>
      <c r="B1258" t="s">
        <v>2015</v>
      </c>
      <c r="C1258" t="s">
        <v>2016</v>
      </c>
      <c r="D1258" s="2">
        <v>45956</v>
      </c>
      <c r="E1258">
        <v>28</v>
      </c>
      <c r="F1258">
        <v>3</v>
      </c>
    </row>
    <row r="1259" spans="1:6" x14ac:dyDescent="0.25">
      <c r="A1259" t="s">
        <v>2019</v>
      </c>
      <c r="B1259" t="s">
        <v>2020</v>
      </c>
      <c r="C1259" t="s">
        <v>2021</v>
      </c>
      <c r="D1259" s="2">
        <v>45944</v>
      </c>
      <c r="E1259">
        <v>14</v>
      </c>
      <c r="F1259">
        <v>1</v>
      </c>
    </row>
    <row r="1260" spans="1:6" x14ac:dyDescent="0.25">
      <c r="A1260" t="s">
        <v>2022</v>
      </c>
      <c r="B1260" t="s">
        <v>2020</v>
      </c>
      <c r="C1260" t="s">
        <v>2021</v>
      </c>
      <c r="D1260" s="2">
        <v>45959</v>
      </c>
      <c r="E1260">
        <v>14</v>
      </c>
      <c r="F1260">
        <v>2</v>
      </c>
    </row>
    <row r="1261" spans="1:6" x14ac:dyDescent="0.25">
      <c r="A1261" t="s">
        <v>2023</v>
      </c>
      <c r="B1261" t="s">
        <v>2024</v>
      </c>
      <c r="C1261" t="s">
        <v>2025</v>
      </c>
      <c r="D1261" s="2">
        <v>45851</v>
      </c>
      <c r="E1261">
        <v>28</v>
      </c>
      <c r="F1261">
        <v>1</v>
      </c>
    </row>
    <row r="1262" spans="1:6" x14ac:dyDescent="0.25">
      <c r="A1262" t="s">
        <v>2026</v>
      </c>
      <c r="B1262" t="s">
        <v>2024</v>
      </c>
      <c r="C1262" t="s">
        <v>2025</v>
      </c>
      <c r="D1262" s="2">
        <v>45880</v>
      </c>
      <c r="E1262">
        <v>28</v>
      </c>
      <c r="F1262">
        <v>2</v>
      </c>
    </row>
    <row r="1263" spans="1:6" x14ac:dyDescent="0.25">
      <c r="A1263" t="s">
        <v>2027</v>
      </c>
      <c r="B1263" t="s">
        <v>2024</v>
      </c>
      <c r="C1263" t="s">
        <v>2025</v>
      </c>
      <c r="D1263" s="2">
        <v>45910</v>
      </c>
      <c r="E1263">
        <v>28</v>
      </c>
      <c r="F1263">
        <v>3</v>
      </c>
    </row>
    <row r="1264" spans="1:6" x14ac:dyDescent="0.25">
      <c r="A1264" t="s">
        <v>2028</v>
      </c>
      <c r="B1264" t="s">
        <v>2024</v>
      </c>
      <c r="C1264" t="s">
        <v>2025</v>
      </c>
      <c r="D1264" s="2">
        <v>45941</v>
      </c>
      <c r="E1264">
        <v>28</v>
      </c>
      <c r="F1264">
        <v>4</v>
      </c>
    </row>
    <row r="1265" spans="1:6" x14ac:dyDescent="0.25">
      <c r="A1265" t="s">
        <v>2029</v>
      </c>
      <c r="B1265" t="s">
        <v>2030</v>
      </c>
      <c r="C1265" t="s">
        <v>2031</v>
      </c>
      <c r="D1265" s="2">
        <v>45851</v>
      </c>
      <c r="E1265">
        <v>28</v>
      </c>
      <c r="F1265">
        <v>1</v>
      </c>
    </row>
    <row r="1266" spans="1:6" x14ac:dyDescent="0.25">
      <c r="A1266" t="s">
        <v>2032</v>
      </c>
      <c r="B1266" t="s">
        <v>2030</v>
      </c>
      <c r="C1266" t="s">
        <v>2031</v>
      </c>
      <c r="D1266" s="2">
        <v>45882</v>
      </c>
      <c r="E1266">
        <v>28</v>
      </c>
      <c r="F1266">
        <v>2</v>
      </c>
    </row>
    <row r="1267" spans="1:6" x14ac:dyDescent="0.25">
      <c r="A1267" t="s">
        <v>2033</v>
      </c>
      <c r="B1267" t="s">
        <v>2030</v>
      </c>
      <c r="C1267" t="s">
        <v>2031</v>
      </c>
      <c r="D1267" s="2">
        <v>45910</v>
      </c>
      <c r="E1267">
        <v>28</v>
      </c>
      <c r="F1267">
        <v>3</v>
      </c>
    </row>
    <row r="1268" spans="1:6" x14ac:dyDescent="0.25">
      <c r="A1268" t="s">
        <v>2034</v>
      </c>
      <c r="B1268" t="s">
        <v>2030</v>
      </c>
      <c r="C1268" t="s">
        <v>2031</v>
      </c>
      <c r="D1268" s="2">
        <v>45937</v>
      </c>
      <c r="E1268">
        <v>28</v>
      </c>
      <c r="F1268">
        <v>4</v>
      </c>
    </row>
    <row r="1269" spans="1:6" x14ac:dyDescent="0.25">
      <c r="A1269" t="s">
        <v>2035</v>
      </c>
      <c r="B1269" t="s">
        <v>2036</v>
      </c>
      <c r="C1269" t="s">
        <v>2037</v>
      </c>
      <c r="D1269" s="2">
        <v>45793</v>
      </c>
      <c r="E1269">
        <v>28</v>
      </c>
      <c r="F1269">
        <v>1</v>
      </c>
    </row>
    <row r="1270" spans="1:6" x14ac:dyDescent="0.25">
      <c r="A1270" t="s">
        <v>2038</v>
      </c>
      <c r="B1270" t="s">
        <v>2036</v>
      </c>
      <c r="C1270" t="s">
        <v>2037</v>
      </c>
      <c r="D1270" s="2">
        <v>45820</v>
      </c>
      <c r="E1270">
        <v>28</v>
      </c>
      <c r="F1270">
        <v>2</v>
      </c>
    </row>
    <row r="1271" spans="1:6" x14ac:dyDescent="0.25">
      <c r="A1271" t="s">
        <v>2039</v>
      </c>
      <c r="B1271" t="s">
        <v>2036</v>
      </c>
      <c r="C1271" t="s">
        <v>2037</v>
      </c>
      <c r="D1271" s="2">
        <v>45849</v>
      </c>
      <c r="E1271">
        <v>28</v>
      </c>
      <c r="F1271">
        <v>3</v>
      </c>
    </row>
    <row r="1272" spans="1:6" x14ac:dyDescent="0.25">
      <c r="A1272" t="s">
        <v>2040</v>
      </c>
      <c r="B1272" t="s">
        <v>2036</v>
      </c>
      <c r="C1272" t="s">
        <v>2037</v>
      </c>
      <c r="D1272" s="2">
        <v>45880</v>
      </c>
      <c r="E1272">
        <v>28</v>
      </c>
      <c r="F1272">
        <v>4</v>
      </c>
    </row>
    <row r="1273" spans="1:6" x14ac:dyDescent="0.25">
      <c r="A1273" t="s">
        <v>2041</v>
      </c>
      <c r="B1273" t="s">
        <v>2036</v>
      </c>
      <c r="C1273" t="s">
        <v>2037</v>
      </c>
      <c r="D1273" s="2">
        <v>45908</v>
      </c>
      <c r="E1273">
        <v>28</v>
      </c>
      <c r="F1273">
        <v>5</v>
      </c>
    </row>
    <row r="1274" spans="1:6" x14ac:dyDescent="0.25">
      <c r="A1274" t="s">
        <v>2042</v>
      </c>
      <c r="B1274" t="s">
        <v>2036</v>
      </c>
      <c r="C1274" t="s">
        <v>2037</v>
      </c>
      <c r="D1274" s="2">
        <v>45934</v>
      </c>
      <c r="E1274">
        <v>28</v>
      </c>
      <c r="F1274">
        <v>6</v>
      </c>
    </row>
    <row r="1275" spans="1:6" x14ac:dyDescent="0.25">
      <c r="A1275" t="s">
        <v>2043</v>
      </c>
      <c r="B1275" t="s">
        <v>2044</v>
      </c>
      <c r="C1275" t="s">
        <v>2045</v>
      </c>
      <c r="D1275" s="2">
        <v>45800</v>
      </c>
      <c r="E1275">
        <v>28</v>
      </c>
      <c r="F1275">
        <v>1</v>
      </c>
    </row>
    <row r="1276" spans="1:6" x14ac:dyDescent="0.25">
      <c r="A1276" t="s">
        <v>2046</v>
      </c>
      <c r="B1276" t="s">
        <v>2044</v>
      </c>
      <c r="C1276" t="s">
        <v>2045</v>
      </c>
      <c r="D1276" s="2">
        <v>45825</v>
      </c>
      <c r="E1276">
        <v>28</v>
      </c>
      <c r="F1276">
        <v>2</v>
      </c>
    </row>
    <row r="1277" spans="1:6" x14ac:dyDescent="0.25">
      <c r="A1277" t="s">
        <v>2047</v>
      </c>
      <c r="B1277" t="s">
        <v>2044</v>
      </c>
      <c r="C1277" t="s">
        <v>2045</v>
      </c>
      <c r="D1277" s="2">
        <v>45851</v>
      </c>
      <c r="E1277">
        <v>28</v>
      </c>
      <c r="F1277">
        <v>3</v>
      </c>
    </row>
    <row r="1278" spans="1:6" x14ac:dyDescent="0.25">
      <c r="A1278" t="s">
        <v>2048</v>
      </c>
      <c r="B1278" t="s">
        <v>2044</v>
      </c>
      <c r="C1278" t="s">
        <v>2045</v>
      </c>
      <c r="D1278" s="2">
        <v>45882</v>
      </c>
      <c r="E1278">
        <v>28</v>
      </c>
      <c r="F1278">
        <v>4</v>
      </c>
    </row>
    <row r="1279" spans="1:6" x14ac:dyDescent="0.25">
      <c r="A1279" t="s">
        <v>2049</v>
      </c>
      <c r="B1279" t="s">
        <v>2044</v>
      </c>
      <c r="C1279" t="s">
        <v>2045</v>
      </c>
      <c r="D1279" s="2">
        <v>45908</v>
      </c>
      <c r="E1279">
        <v>28</v>
      </c>
      <c r="F1279">
        <v>5</v>
      </c>
    </row>
    <row r="1280" spans="1:6" x14ac:dyDescent="0.25">
      <c r="A1280" t="s">
        <v>2050</v>
      </c>
      <c r="B1280" t="s">
        <v>2044</v>
      </c>
      <c r="C1280" t="s">
        <v>2045</v>
      </c>
      <c r="D1280" s="2">
        <v>45934</v>
      </c>
      <c r="E1280">
        <v>28</v>
      </c>
      <c r="F1280">
        <v>6</v>
      </c>
    </row>
    <row r="1281" spans="1:6" x14ac:dyDescent="0.25">
      <c r="A1281" t="s">
        <v>2051</v>
      </c>
      <c r="B1281" t="s">
        <v>2052</v>
      </c>
      <c r="C1281" t="s">
        <v>2053</v>
      </c>
      <c r="D1281" s="2">
        <v>45924</v>
      </c>
      <c r="E1281">
        <v>28</v>
      </c>
      <c r="F1281">
        <v>1</v>
      </c>
    </row>
    <row r="1282" spans="1:6" x14ac:dyDescent="0.25">
      <c r="A1282" t="s">
        <v>2054</v>
      </c>
      <c r="B1282" t="s">
        <v>2052</v>
      </c>
      <c r="C1282" t="s">
        <v>2053</v>
      </c>
      <c r="D1282" s="2">
        <v>45955</v>
      </c>
      <c r="E1282">
        <v>28</v>
      </c>
      <c r="F1282">
        <v>2</v>
      </c>
    </row>
    <row r="1283" spans="1:6" x14ac:dyDescent="0.25">
      <c r="A1283" t="s">
        <v>2055</v>
      </c>
      <c r="B1283" t="s">
        <v>2056</v>
      </c>
      <c r="C1283" t="s">
        <v>2057</v>
      </c>
      <c r="D1283" s="2">
        <v>45914</v>
      </c>
      <c r="E1283">
        <v>30</v>
      </c>
      <c r="F1283">
        <v>1</v>
      </c>
    </row>
    <row r="1284" spans="1:6" x14ac:dyDescent="0.25">
      <c r="A1284" t="s">
        <v>2058</v>
      </c>
      <c r="B1284" t="s">
        <v>2056</v>
      </c>
      <c r="C1284" t="s">
        <v>2057</v>
      </c>
      <c r="D1284" s="2">
        <v>45946</v>
      </c>
      <c r="E1284">
        <v>30</v>
      </c>
      <c r="F1284">
        <v>2</v>
      </c>
    </row>
    <row r="1285" spans="1:6" x14ac:dyDescent="0.25">
      <c r="A1285" t="s">
        <v>2059</v>
      </c>
      <c r="B1285" t="s">
        <v>2060</v>
      </c>
      <c r="C1285" t="s">
        <v>2061</v>
      </c>
      <c r="D1285" s="2">
        <v>45787</v>
      </c>
      <c r="E1285">
        <v>28</v>
      </c>
      <c r="F1285">
        <v>1</v>
      </c>
    </row>
    <row r="1286" spans="1:6" x14ac:dyDescent="0.25">
      <c r="A1286" t="s">
        <v>2062</v>
      </c>
      <c r="B1286" t="s">
        <v>2060</v>
      </c>
      <c r="C1286" t="s">
        <v>2061</v>
      </c>
      <c r="D1286" s="2">
        <v>45817</v>
      </c>
      <c r="E1286">
        <v>28</v>
      </c>
      <c r="F1286">
        <v>2</v>
      </c>
    </row>
    <row r="1287" spans="1:6" x14ac:dyDescent="0.25">
      <c r="A1287" t="s">
        <v>2063</v>
      </c>
      <c r="B1287" t="s">
        <v>2060</v>
      </c>
      <c r="C1287" t="s">
        <v>2061</v>
      </c>
      <c r="D1287" s="2">
        <v>45848</v>
      </c>
      <c r="E1287">
        <v>28</v>
      </c>
      <c r="F1287">
        <v>3</v>
      </c>
    </row>
    <row r="1288" spans="1:6" x14ac:dyDescent="0.25">
      <c r="A1288" t="s">
        <v>2064</v>
      </c>
      <c r="B1288" t="s">
        <v>2060</v>
      </c>
      <c r="C1288" t="s">
        <v>2061</v>
      </c>
      <c r="D1288" s="2">
        <v>45879</v>
      </c>
      <c r="E1288">
        <v>28</v>
      </c>
      <c r="F1288">
        <v>4</v>
      </c>
    </row>
    <row r="1289" spans="1:6" x14ac:dyDescent="0.25">
      <c r="A1289" t="s">
        <v>2065</v>
      </c>
      <c r="B1289" t="s">
        <v>2060</v>
      </c>
      <c r="C1289" t="s">
        <v>2061</v>
      </c>
      <c r="D1289" s="2">
        <v>45907</v>
      </c>
      <c r="E1289">
        <v>28</v>
      </c>
      <c r="F1289">
        <v>5</v>
      </c>
    </row>
    <row r="1290" spans="1:6" x14ac:dyDescent="0.25">
      <c r="A1290" t="s">
        <v>2066</v>
      </c>
      <c r="B1290" t="s">
        <v>2060</v>
      </c>
      <c r="C1290" t="s">
        <v>2061</v>
      </c>
      <c r="D1290" s="2">
        <v>45936</v>
      </c>
      <c r="E1290">
        <v>28</v>
      </c>
      <c r="F1290">
        <v>6</v>
      </c>
    </row>
    <row r="1291" spans="1:6" x14ac:dyDescent="0.25">
      <c r="A1291" t="s">
        <v>2067</v>
      </c>
      <c r="B1291" t="s">
        <v>2060</v>
      </c>
      <c r="C1291" t="s">
        <v>2061</v>
      </c>
      <c r="D1291" s="2">
        <v>45961</v>
      </c>
      <c r="E1291">
        <v>28</v>
      </c>
      <c r="F1291">
        <v>7</v>
      </c>
    </row>
    <row r="1292" spans="1:6" x14ac:dyDescent="0.25">
      <c r="A1292" t="s">
        <v>2068</v>
      </c>
      <c r="B1292" t="s">
        <v>2069</v>
      </c>
      <c r="C1292" t="s">
        <v>2070</v>
      </c>
      <c r="D1292" s="2">
        <v>45884</v>
      </c>
      <c r="E1292">
        <v>30</v>
      </c>
      <c r="F1292">
        <v>1</v>
      </c>
    </row>
    <row r="1293" spans="1:6" x14ac:dyDescent="0.25">
      <c r="A1293" t="s">
        <v>2071</v>
      </c>
      <c r="B1293" t="s">
        <v>2069</v>
      </c>
      <c r="C1293" t="s">
        <v>2070</v>
      </c>
      <c r="D1293" s="2">
        <v>45913</v>
      </c>
      <c r="E1293">
        <v>30</v>
      </c>
      <c r="F1293">
        <v>2</v>
      </c>
    </row>
    <row r="1294" spans="1:6" x14ac:dyDescent="0.25">
      <c r="A1294" t="s">
        <v>2072</v>
      </c>
      <c r="B1294" t="s">
        <v>2069</v>
      </c>
      <c r="C1294" t="s">
        <v>2070</v>
      </c>
      <c r="D1294" s="2">
        <v>45944</v>
      </c>
      <c r="E1294">
        <v>30</v>
      </c>
      <c r="F1294">
        <v>3</v>
      </c>
    </row>
    <row r="1295" spans="1:6" x14ac:dyDescent="0.25">
      <c r="A1295" t="s">
        <v>2073</v>
      </c>
      <c r="B1295" t="s">
        <v>2074</v>
      </c>
      <c r="C1295" t="s">
        <v>2075</v>
      </c>
      <c r="D1295" s="2">
        <v>45823</v>
      </c>
      <c r="E1295">
        <v>28</v>
      </c>
      <c r="F1295">
        <v>1</v>
      </c>
    </row>
    <row r="1296" spans="1:6" x14ac:dyDescent="0.25">
      <c r="A1296" t="s">
        <v>2076</v>
      </c>
      <c r="B1296" t="s">
        <v>2074</v>
      </c>
      <c r="C1296" t="s">
        <v>2075</v>
      </c>
      <c r="D1296" s="2">
        <v>45851</v>
      </c>
      <c r="E1296">
        <v>28</v>
      </c>
      <c r="F1296">
        <v>2</v>
      </c>
    </row>
    <row r="1297" spans="1:6" x14ac:dyDescent="0.25">
      <c r="A1297" t="s">
        <v>2077</v>
      </c>
      <c r="B1297" t="s">
        <v>2074</v>
      </c>
      <c r="C1297" t="s">
        <v>2075</v>
      </c>
      <c r="D1297" s="2">
        <v>45881</v>
      </c>
      <c r="E1297">
        <v>28</v>
      </c>
      <c r="F1297">
        <v>3</v>
      </c>
    </row>
    <row r="1298" spans="1:6" x14ac:dyDescent="0.25">
      <c r="A1298" t="s">
        <v>2078</v>
      </c>
      <c r="B1298" t="s">
        <v>2074</v>
      </c>
      <c r="C1298" t="s">
        <v>2075</v>
      </c>
      <c r="D1298" s="2">
        <v>45908</v>
      </c>
      <c r="E1298">
        <v>28</v>
      </c>
      <c r="F1298">
        <v>4</v>
      </c>
    </row>
    <row r="1299" spans="1:6" x14ac:dyDescent="0.25">
      <c r="A1299" t="s">
        <v>2079</v>
      </c>
      <c r="B1299" t="s">
        <v>2074</v>
      </c>
      <c r="C1299" t="s">
        <v>2075</v>
      </c>
      <c r="D1299" s="2">
        <v>45937</v>
      </c>
      <c r="E1299">
        <v>28</v>
      </c>
      <c r="F1299">
        <v>5</v>
      </c>
    </row>
    <row r="1300" spans="1:6" x14ac:dyDescent="0.25">
      <c r="A1300" t="s">
        <v>2080</v>
      </c>
      <c r="B1300" t="s">
        <v>2081</v>
      </c>
      <c r="C1300" t="s">
        <v>2082</v>
      </c>
      <c r="D1300" s="2">
        <v>45879</v>
      </c>
      <c r="E1300">
        <v>14</v>
      </c>
      <c r="F1300">
        <v>1</v>
      </c>
    </row>
    <row r="1301" spans="1:6" x14ac:dyDescent="0.25">
      <c r="A1301" t="s">
        <v>2083</v>
      </c>
      <c r="B1301" t="s">
        <v>2084</v>
      </c>
      <c r="C1301" t="s">
        <v>2085</v>
      </c>
      <c r="D1301" s="2">
        <v>45904</v>
      </c>
      <c r="E1301">
        <v>30</v>
      </c>
      <c r="F1301">
        <v>1</v>
      </c>
    </row>
    <row r="1302" spans="1:6" x14ac:dyDescent="0.25">
      <c r="A1302" t="s">
        <v>2086</v>
      </c>
      <c r="B1302" t="s">
        <v>2084</v>
      </c>
      <c r="C1302" t="s">
        <v>2085</v>
      </c>
      <c r="D1302" s="2">
        <v>45934</v>
      </c>
      <c r="E1302">
        <v>30</v>
      </c>
      <c r="F1302">
        <v>2</v>
      </c>
    </row>
    <row r="1303" spans="1:6" x14ac:dyDescent="0.25">
      <c r="A1303" t="s">
        <v>2087</v>
      </c>
      <c r="B1303" t="s">
        <v>2084</v>
      </c>
      <c r="C1303" t="s">
        <v>2085</v>
      </c>
      <c r="D1303" s="2">
        <v>45961</v>
      </c>
      <c r="E1303">
        <v>30</v>
      </c>
      <c r="F1303">
        <v>3</v>
      </c>
    </row>
    <row r="1304" spans="1:6" x14ac:dyDescent="0.25">
      <c r="A1304" t="s">
        <v>2088</v>
      </c>
      <c r="B1304" t="s">
        <v>2089</v>
      </c>
      <c r="C1304" t="s">
        <v>2090</v>
      </c>
      <c r="D1304" s="2">
        <v>45852</v>
      </c>
      <c r="E1304">
        <v>28</v>
      </c>
      <c r="F1304">
        <v>1</v>
      </c>
    </row>
    <row r="1305" spans="1:6" x14ac:dyDescent="0.25">
      <c r="A1305" t="s">
        <v>2091</v>
      </c>
      <c r="B1305" t="s">
        <v>2089</v>
      </c>
      <c r="C1305" t="s">
        <v>2090</v>
      </c>
      <c r="D1305" s="2">
        <v>45883</v>
      </c>
      <c r="E1305">
        <v>28</v>
      </c>
      <c r="F1305">
        <v>2</v>
      </c>
    </row>
    <row r="1306" spans="1:6" x14ac:dyDescent="0.25">
      <c r="A1306" t="s">
        <v>2092</v>
      </c>
      <c r="B1306" t="s">
        <v>2089</v>
      </c>
      <c r="C1306" t="s">
        <v>2090</v>
      </c>
      <c r="D1306" s="2">
        <v>45910</v>
      </c>
      <c r="E1306">
        <v>28</v>
      </c>
      <c r="F1306">
        <v>3</v>
      </c>
    </row>
    <row r="1307" spans="1:6" x14ac:dyDescent="0.25">
      <c r="A1307" t="s">
        <v>2093</v>
      </c>
      <c r="B1307" t="s">
        <v>2089</v>
      </c>
      <c r="C1307" t="s">
        <v>2090</v>
      </c>
      <c r="D1307" s="2">
        <v>45935</v>
      </c>
      <c r="E1307">
        <v>28</v>
      </c>
      <c r="F1307">
        <v>4</v>
      </c>
    </row>
    <row r="1308" spans="1:6" x14ac:dyDescent="0.25">
      <c r="A1308" t="s">
        <v>2094</v>
      </c>
      <c r="B1308" t="s">
        <v>2095</v>
      </c>
      <c r="C1308" t="s">
        <v>2096</v>
      </c>
      <c r="D1308" s="2">
        <v>45780</v>
      </c>
      <c r="E1308">
        <v>21</v>
      </c>
      <c r="F1308">
        <v>1</v>
      </c>
    </row>
    <row r="1309" spans="1:6" x14ac:dyDescent="0.25">
      <c r="A1309" t="s">
        <v>2097</v>
      </c>
      <c r="B1309" t="s">
        <v>2095</v>
      </c>
      <c r="C1309" t="s">
        <v>2096</v>
      </c>
      <c r="D1309" s="2">
        <v>45802</v>
      </c>
      <c r="E1309">
        <v>21</v>
      </c>
      <c r="F1309">
        <v>2</v>
      </c>
    </row>
    <row r="1310" spans="1:6" x14ac:dyDescent="0.25">
      <c r="A1310" t="s">
        <v>2098</v>
      </c>
      <c r="B1310" t="s">
        <v>2095</v>
      </c>
      <c r="C1310" t="s">
        <v>2096</v>
      </c>
      <c r="D1310" s="2">
        <v>45821</v>
      </c>
      <c r="E1310">
        <v>21</v>
      </c>
      <c r="F1310">
        <v>3</v>
      </c>
    </row>
    <row r="1311" spans="1:6" x14ac:dyDescent="0.25">
      <c r="A1311" t="s">
        <v>2099</v>
      </c>
      <c r="B1311" t="s">
        <v>2095</v>
      </c>
      <c r="C1311" t="s">
        <v>2096</v>
      </c>
      <c r="D1311" s="2">
        <v>45840</v>
      </c>
      <c r="E1311">
        <v>21</v>
      </c>
      <c r="F1311">
        <v>4</v>
      </c>
    </row>
    <row r="1312" spans="1:6" x14ac:dyDescent="0.25">
      <c r="A1312" t="s">
        <v>2100</v>
      </c>
      <c r="B1312" t="s">
        <v>2095</v>
      </c>
      <c r="C1312" t="s">
        <v>2096</v>
      </c>
      <c r="D1312" s="2">
        <v>45858</v>
      </c>
      <c r="E1312">
        <v>21</v>
      </c>
      <c r="F1312">
        <v>5</v>
      </c>
    </row>
    <row r="1313" spans="1:6" x14ac:dyDescent="0.25">
      <c r="A1313" t="s">
        <v>2101</v>
      </c>
      <c r="B1313" t="s">
        <v>2095</v>
      </c>
      <c r="C1313" t="s">
        <v>2096</v>
      </c>
      <c r="D1313" s="2">
        <v>45877</v>
      </c>
      <c r="E1313">
        <v>21</v>
      </c>
      <c r="F1313">
        <v>6</v>
      </c>
    </row>
    <row r="1314" spans="1:6" x14ac:dyDescent="0.25">
      <c r="A1314" t="s">
        <v>2102</v>
      </c>
      <c r="B1314" t="s">
        <v>2095</v>
      </c>
      <c r="C1314" t="s">
        <v>2096</v>
      </c>
      <c r="D1314" s="2">
        <v>45895</v>
      </c>
      <c r="E1314">
        <v>21</v>
      </c>
      <c r="F1314">
        <v>7</v>
      </c>
    </row>
    <row r="1315" spans="1:6" x14ac:dyDescent="0.25">
      <c r="A1315" t="s">
        <v>2103</v>
      </c>
      <c r="B1315" t="s">
        <v>2095</v>
      </c>
      <c r="C1315" t="s">
        <v>2096</v>
      </c>
      <c r="D1315" s="2">
        <v>45913</v>
      </c>
      <c r="E1315">
        <v>21</v>
      </c>
      <c r="F1315">
        <v>8</v>
      </c>
    </row>
    <row r="1316" spans="1:6" x14ac:dyDescent="0.25">
      <c r="A1316" t="s">
        <v>2104</v>
      </c>
      <c r="B1316" t="s">
        <v>2095</v>
      </c>
      <c r="C1316" t="s">
        <v>2096</v>
      </c>
      <c r="D1316" s="2">
        <v>45937</v>
      </c>
      <c r="E1316">
        <v>21</v>
      </c>
      <c r="F1316">
        <v>9</v>
      </c>
    </row>
    <row r="1317" spans="1:6" x14ac:dyDescent="0.25">
      <c r="A1317" t="s">
        <v>2105</v>
      </c>
      <c r="B1317" t="s">
        <v>2095</v>
      </c>
      <c r="C1317" t="s">
        <v>2096</v>
      </c>
      <c r="D1317" s="2">
        <v>45957</v>
      </c>
      <c r="E1317">
        <v>21</v>
      </c>
      <c r="F1317">
        <v>10</v>
      </c>
    </row>
    <row r="1318" spans="1:6" x14ac:dyDescent="0.25">
      <c r="A1318" t="s">
        <v>2106</v>
      </c>
      <c r="B1318" t="s">
        <v>2107</v>
      </c>
      <c r="C1318" t="s">
        <v>2108</v>
      </c>
      <c r="D1318" s="2">
        <v>45923</v>
      </c>
      <c r="E1318">
        <v>21</v>
      </c>
      <c r="F1318">
        <v>1</v>
      </c>
    </row>
    <row r="1319" spans="1:6" x14ac:dyDescent="0.25">
      <c r="A1319" t="s">
        <v>2109</v>
      </c>
      <c r="B1319" t="s">
        <v>2107</v>
      </c>
      <c r="C1319" t="s">
        <v>2108</v>
      </c>
      <c r="D1319" s="2">
        <v>45942</v>
      </c>
      <c r="E1319">
        <v>21</v>
      </c>
      <c r="F1319">
        <v>2</v>
      </c>
    </row>
    <row r="1320" spans="1:6" x14ac:dyDescent="0.25">
      <c r="A1320" t="s">
        <v>2110</v>
      </c>
      <c r="B1320" t="s">
        <v>2111</v>
      </c>
      <c r="C1320" t="s">
        <v>2112</v>
      </c>
      <c r="D1320" s="2">
        <v>45805</v>
      </c>
      <c r="E1320">
        <v>28</v>
      </c>
      <c r="F1320">
        <v>1</v>
      </c>
    </row>
    <row r="1321" spans="1:6" x14ac:dyDescent="0.25">
      <c r="A1321" t="s">
        <v>2113</v>
      </c>
      <c r="B1321" t="s">
        <v>2111</v>
      </c>
      <c r="C1321" t="s">
        <v>2112</v>
      </c>
      <c r="D1321" s="2">
        <v>45830</v>
      </c>
      <c r="E1321">
        <v>28</v>
      </c>
      <c r="F1321">
        <v>2</v>
      </c>
    </row>
    <row r="1322" spans="1:6" x14ac:dyDescent="0.25">
      <c r="A1322" t="s">
        <v>2114</v>
      </c>
      <c r="B1322" t="s">
        <v>2115</v>
      </c>
      <c r="C1322" t="s">
        <v>2116</v>
      </c>
      <c r="D1322" s="2">
        <v>45850</v>
      </c>
      <c r="E1322">
        <v>30</v>
      </c>
      <c r="F1322">
        <v>1</v>
      </c>
    </row>
    <row r="1323" spans="1:6" x14ac:dyDescent="0.25">
      <c r="A1323" t="s">
        <v>2117</v>
      </c>
      <c r="B1323" t="s">
        <v>2115</v>
      </c>
      <c r="C1323" t="s">
        <v>2116</v>
      </c>
      <c r="D1323" s="2">
        <v>45879</v>
      </c>
      <c r="E1323">
        <v>30</v>
      </c>
      <c r="F1323">
        <v>2</v>
      </c>
    </row>
    <row r="1324" spans="1:6" x14ac:dyDescent="0.25">
      <c r="A1324" t="s">
        <v>2118</v>
      </c>
      <c r="B1324" t="s">
        <v>2115</v>
      </c>
      <c r="C1324" t="s">
        <v>2116</v>
      </c>
      <c r="D1324" s="2">
        <v>45912</v>
      </c>
      <c r="E1324">
        <v>30</v>
      </c>
      <c r="F1324">
        <v>3</v>
      </c>
    </row>
    <row r="1325" spans="1:6" x14ac:dyDescent="0.25">
      <c r="A1325" t="s">
        <v>2119</v>
      </c>
      <c r="B1325" t="s">
        <v>2115</v>
      </c>
      <c r="C1325" t="s">
        <v>2116</v>
      </c>
      <c r="D1325" s="2">
        <v>45943</v>
      </c>
      <c r="E1325">
        <v>30</v>
      </c>
      <c r="F1325">
        <v>4</v>
      </c>
    </row>
    <row r="1326" spans="1:6" x14ac:dyDescent="0.25">
      <c r="A1326" t="s">
        <v>2120</v>
      </c>
      <c r="B1326" t="s">
        <v>2121</v>
      </c>
      <c r="C1326" t="s">
        <v>2122</v>
      </c>
      <c r="D1326" s="2">
        <v>45942</v>
      </c>
      <c r="E1326">
        <v>28</v>
      </c>
      <c r="F1326">
        <v>1</v>
      </c>
    </row>
    <row r="1327" spans="1:6" x14ac:dyDescent="0.25">
      <c r="A1327" t="s">
        <v>2123</v>
      </c>
      <c r="B1327" t="s">
        <v>2124</v>
      </c>
      <c r="C1327" t="s">
        <v>2125</v>
      </c>
      <c r="D1327" s="2">
        <v>45912</v>
      </c>
      <c r="E1327">
        <v>28</v>
      </c>
      <c r="F1327">
        <v>1</v>
      </c>
    </row>
    <row r="1328" spans="1:6" x14ac:dyDescent="0.25">
      <c r="A1328" t="s">
        <v>2126</v>
      </c>
      <c r="B1328" t="s">
        <v>2124</v>
      </c>
      <c r="C1328" t="s">
        <v>2125</v>
      </c>
      <c r="D1328" s="2">
        <v>45941</v>
      </c>
      <c r="E1328">
        <v>28</v>
      </c>
      <c r="F1328">
        <v>2</v>
      </c>
    </row>
    <row r="1329" spans="1:6" x14ac:dyDescent="0.25">
      <c r="A1329" t="s">
        <v>2127</v>
      </c>
      <c r="B1329" t="s">
        <v>2128</v>
      </c>
      <c r="C1329" t="s">
        <v>2129</v>
      </c>
      <c r="D1329" s="2">
        <v>45812</v>
      </c>
      <c r="E1329">
        <v>28</v>
      </c>
      <c r="F1329">
        <v>1</v>
      </c>
    </row>
    <row r="1330" spans="1:6" x14ac:dyDescent="0.25">
      <c r="A1330" t="s">
        <v>2130</v>
      </c>
      <c r="B1330" t="s">
        <v>2128</v>
      </c>
      <c r="C1330" t="s">
        <v>2129</v>
      </c>
      <c r="D1330" s="2">
        <v>45841</v>
      </c>
      <c r="E1330">
        <v>28</v>
      </c>
      <c r="F1330">
        <v>2</v>
      </c>
    </row>
    <row r="1331" spans="1:6" x14ac:dyDescent="0.25">
      <c r="A1331" t="s">
        <v>2131</v>
      </c>
      <c r="B1331" t="s">
        <v>2132</v>
      </c>
      <c r="C1331" t="s">
        <v>2133</v>
      </c>
      <c r="D1331" s="2">
        <v>45907</v>
      </c>
      <c r="E1331">
        <v>28</v>
      </c>
      <c r="F1331">
        <v>1</v>
      </c>
    </row>
    <row r="1332" spans="1:6" x14ac:dyDescent="0.25">
      <c r="A1332" t="s">
        <v>2134</v>
      </c>
      <c r="B1332" t="s">
        <v>2132</v>
      </c>
      <c r="C1332" t="s">
        <v>2133</v>
      </c>
      <c r="D1332" s="2">
        <v>45935</v>
      </c>
      <c r="E1332">
        <v>28</v>
      </c>
      <c r="F1332">
        <v>2</v>
      </c>
    </row>
    <row r="1333" spans="1:6" x14ac:dyDescent="0.25">
      <c r="A1333" t="s">
        <v>2135</v>
      </c>
      <c r="B1333" t="s">
        <v>2132</v>
      </c>
      <c r="C1333" t="s">
        <v>2133</v>
      </c>
      <c r="D1333" s="2">
        <v>45960</v>
      </c>
      <c r="E1333">
        <v>28</v>
      </c>
      <c r="F1333">
        <v>3</v>
      </c>
    </row>
    <row r="1334" spans="1:6" x14ac:dyDescent="0.25">
      <c r="A1334" t="s">
        <v>2136</v>
      </c>
      <c r="B1334" t="s">
        <v>2137</v>
      </c>
      <c r="C1334" t="s">
        <v>2138</v>
      </c>
      <c r="D1334" s="2">
        <v>45847</v>
      </c>
      <c r="E1334">
        <v>28</v>
      </c>
      <c r="F1334">
        <v>1</v>
      </c>
    </row>
    <row r="1335" spans="1:6" x14ac:dyDescent="0.25">
      <c r="A1335" t="s">
        <v>2139</v>
      </c>
      <c r="B1335" t="s">
        <v>2137</v>
      </c>
      <c r="C1335" t="s">
        <v>2138</v>
      </c>
      <c r="D1335" s="2">
        <v>45874</v>
      </c>
      <c r="E1335">
        <v>28</v>
      </c>
      <c r="F1335">
        <v>2</v>
      </c>
    </row>
    <row r="1336" spans="1:6" x14ac:dyDescent="0.25">
      <c r="A1336" t="s">
        <v>2140</v>
      </c>
      <c r="B1336" t="s">
        <v>2137</v>
      </c>
      <c r="C1336" t="s">
        <v>2138</v>
      </c>
      <c r="D1336" s="2">
        <v>45899</v>
      </c>
      <c r="E1336">
        <v>28</v>
      </c>
      <c r="F1336">
        <v>3</v>
      </c>
    </row>
    <row r="1337" spans="1:6" x14ac:dyDescent="0.25">
      <c r="A1337" t="s">
        <v>2141</v>
      </c>
      <c r="B1337" t="s">
        <v>2137</v>
      </c>
      <c r="C1337" t="s">
        <v>2138</v>
      </c>
      <c r="D1337" s="2">
        <v>45928</v>
      </c>
      <c r="E1337">
        <v>28</v>
      </c>
      <c r="F1337">
        <v>4</v>
      </c>
    </row>
    <row r="1338" spans="1:6" x14ac:dyDescent="0.25">
      <c r="A1338" t="s">
        <v>2142</v>
      </c>
      <c r="B1338" t="s">
        <v>2137</v>
      </c>
      <c r="C1338" t="s">
        <v>2138</v>
      </c>
      <c r="D1338" s="2">
        <v>45957</v>
      </c>
      <c r="E1338">
        <v>28</v>
      </c>
      <c r="F1338">
        <v>5</v>
      </c>
    </row>
    <row r="1339" spans="1:6" x14ac:dyDescent="0.25">
      <c r="A1339" t="s">
        <v>2143</v>
      </c>
      <c r="B1339" t="s">
        <v>2144</v>
      </c>
      <c r="C1339" t="s">
        <v>2145</v>
      </c>
      <c r="D1339" s="2">
        <v>45806</v>
      </c>
      <c r="E1339">
        <v>28</v>
      </c>
      <c r="F1339">
        <v>1</v>
      </c>
    </row>
    <row r="1340" spans="1:6" x14ac:dyDescent="0.25">
      <c r="A1340" t="s">
        <v>2146</v>
      </c>
      <c r="B1340" t="s">
        <v>2144</v>
      </c>
      <c r="C1340" t="s">
        <v>2145</v>
      </c>
      <c r="D1340" s="2">
        <v>45833</v>
      </c>
      <c r="E1340">
        <v>28</v>
      </c>
      <c r="F1340">
        <v>2</v>
      </c>
    </row>
    <row r="1341" spans="1:6" x14ac:dyDescent="0.25">
      <c r="A1341" t="s">
        <v>2147</v>
      </c>
      <c r="B1341" t="s">
        <v>2144</v>
      </c>
      <c r="C1341" t="s">
        <v>2145</v>
      </c>
      <c r="D1341" s="2">
        <v>45861</v>
      </c>
      <c r="E1341">
        <v>28</v>
      </c>
      <c r="F1341">
        <v>3</v>
      </c>
    </row>
    <row r="1342" spans="1:6" x14ac:dyDescent="0.25">
      <c r="A1342" t="s">
        <v>2148</v>
      </c>
      <c r="B1342" t="s">
        <v>2144</v>
      </c>
      <c r="C1342" t="s">
        <v>2145</v>
      </c>
      <c r="D1342" s="2">
        <v>45890</v>
      </c>
      <c r="E1342">
        <v>28</v>
      </c>
      <c r="F1342">
        <v>4</v>
      </c>
    </row>
    <row r="1343" spans="1:6" x14ac:dyDescent="0.25">
      <c r="A1343" t="s">
        <v>2149</v>
      </c>
      <c r="B1343" t="s">
        <v>2144</v>
      </c>
      <c r="C1343" t="s">
        <v>2145</v>
      </c>
      <c r="D1343" s="2">
        <v>45921</v>
      </c>
      <c r="E1343">
        <v>28</v>
      </c>
      <c r="F1343">
        <v>5</v>
      </c>
    </row>
    <row r="1344" spans="1:6" x14ac:dyDescent="0.25">
      <c r="A1344" t="s">
        <v>2150</v>
      </c>
      <c r="B1344" t="s">
        <v>2144</v>
      </c>
      <c r="C1344" t="s">
        <v>2145</v>
      </c>
      <c r="D1344" s="2">
        <v>45952</v>
      </c>
      <c r="E1344">
        <v>28</v>
      </c>
      <c r="F1344">
        <v>6</v>
      </c>
    </row>
    <row r="1345" spans="1:6" x14ac:dyDescent="0.25">
      <c r="A1345" t="s">
        <v>2151</v>
      </c>
      <c r="B1345" t="s">
        <v>2152</v>
      </c>
      <c r="C1345" t="s">
        <v>2153</v>
      </c>
      <c r="D1345" s="2">
        <v>45819</v>
      </c>
      <c r="E1345">
        <v>21</v>
      </c>
      <c r="F1345">
        <v>1</v>
      </c>
    </row>
    <row r="1346" spans="1:6" x14ac:dyDescent="0.25">
      <c r="A1346" t="s">
        <v>2154</v>
      </c>
      <c r="B1346" t="s">
        <v>2152</v>
      </c>
      <c r="C1346" t="s">
        <v>2153</v>
      </c>
      <c r="D1346" s="2">
        <v>45842</v>
      </c>
      <c r="E1346">
        <v>21</v>
      </c>
      <c r="F1346">
        <v>2</v>
      </c>
    </row>
    <row r="1347" spans="1:6" x14ac:dyDescent="0.25">
      <c r="A1347" t="s">
        <v>2155</v>
      </c>
      <c r="B1347" t="s">
        <v>2152</v>
      </c>
      <c r="C1347" t="s">
        <v>2153</v>
      </c>
      <c r="D1347" s="2">
        <v>45864</v>
      </c>
      <c r="E1347">
        <v>21</v>
      </c>
      <c r="F1347">
        <v>3</v>
      </c>
    </row>
    <row r="1348" spans="1:6" x14ac:dyDescent="0.25">
      <c r="A1348" t="s">
        <v>2156</v>
      </c>
      <c r="B1348" t="s">
        <v>2152</v>
      </c>
      <c r="C1348" t="s">
        <v>2153</v>
      </c>
      <c r="D1348" s="2">
        <v>45882</v>
      </c>
      <c r="E1348">
        <v>21</v>
      </c>
      <c r="F1348">
        <v>4</v>
      </c>
    </row>
    <row r="1349" spans="1:6" x14ac:dyDescent="0.25">
      <c r="A1349" t="s">
        <v>2157</v>
      </c>
      <c r="B1349" t="s">
        <v>2152</v>
      </c>
      <c r="C1349" t="s">
        <v>2153</v>
      </c>
      <c r="D1349" s="2">
        <v>45900</v>
      </c>
      <c r="E1349">
        <v>21</v>
      </c>
      <c r="F1349">
        <v>5</v>
      </c>
    </row>
    <row r="1350" spans="1:6" x14ac:dyDescent="0.25">
      <c r="A1350" t="s">
        <v>2158</v>
      </c>
      <c r="B1350" t="s">
        <v>2152</v>
      </c>
      <c r="C1350" t="s">
        <v>2153</v>
      </c>
      <c r="D1350" s="2">
        <v>45918</v>
      </c>
      <c r="E1350">
        <v>21</v>
      </c>
      <c r="F1350">
        <v>6</v>
      </c>
    </row>
    <row r="1351" spans="1:6" x14ac:dyDescent="0.25">
      <c r="A1351" t="s">
        <v>2159</v>
      </c>
      <c r="B1351" t="s">
        <v>2152</v>
      </c>
      <c r="C1351" t="s">
        <v>2153</v>
      </c>
      <c r="D1351" s="2">
        <v>45941</v>
      </c>
      <c r="E1351">
        <v>21</v>
      </c>
      <c r="F1351">
        <v>7</v>
      </c>
    </row>
    <row r="1352" spans="1:6" x14ac:dyDescent="0.25">
      <c r="A1352" t="s">
        <v>2160</v>
      </c>
      <c r="B1352" t="s">
        <v>2152</v>
      </c>
      <c r="C1352" t="s">
        <v>2153</v>
      </c>
      <c r="D1352" s="2">
        <v>45960</v>
      </c>
      <c r="E1352">
        <v>21</v>
      </c>
      <c r="F1352">
        <v>8</v>
      </c>
    </row>
    <row r="1353" spans="1:6" x14ac:dyDescent="0.25">
      <c r="A1353" t="s">
        <v>2161</v>
      </c>
      <c r="B1353" t="s">
        <v>2162</v>
      </c>
      <c r="C1353" t="s">
        <v>2163</v>
      </c>
      <c r="D1353" s="2">
        <v>45895</v>
      </c>
      <c r="E1353">
        <v>28</v>
      </c>
      <c r="F1353">
        <v>1</v>
      </c>
    </row>
    <row r="1354" spans="1:6" x14ac:dyDescent="0.25">
      <c r="A1354" t="s">
        <v>2164</v>
      </c>
      <c r="B1354" t="s">
        <v>2162</v>
      </c>
      <c r="C1354" t="s">
        <v>2163</v>
      </c>
      <c r="D1354" s="2">
        <v>45926</v>
      </c>
      <c r="E1354">
        <v>28</v>
      </c>
      <c r="F1354">
        <v>2</v>
      </c>
    </row>
    <row r="1355" spans="1:6" x14ac:dyDescent="0.25">
      <c r="A1355" t="s">
        <v>2165</v>
      </c>
      <c r="B1355" t="s">
        <v>2162</v>
      </c>
      <c r="C1355" t="s">
        <v>2163</v>
      </c>
      <c r="D1355" s="2">
        <v>45954</v>
      </c>
      <c r="E1355">
        <v>28</v>
      </c>
      <c r="F1355">
        <v>3</v>
      </c>
    </row>
    <row r="1356" spans="1:6" x14ac:dyDescent="0.25">
      <c r="A1356" t="s">
        <v>2166</v>
      </c>
      <c r="B1356" t="s">
        <v>2167</v>
      </c>
      <c r="C1356" t="s">
        <v>2168</v>
      </c>
      <c r="D1356" s="2">
        <v>45843</v>
      </c>
      <c r="E1356">
        <v>28</v>
      </c>
      <c r="F1356">
        <v>1</v>
      </c>
    </row>
    <row r="1357" spans="1:6" x14ac:dyDescent="0.25">
      <c r="A1357" t="s">
        <v>2169</v>
      </c>
      <c r="B1357" t="s">
        <v>2167</v>
      </c>
      <c r="C1357" t="s">
        <v>2168</v>
      </c>
      <c r="D1357" s="2">
        <v>45868</v>
      </c>
      <c r="E1357">
        <v>28</v>
      </c>
      <c r="F1357">
        <v>2</v>
      </c>
    </row>
    <row r="1358" spans="1:6" x14ac:dyDescent="0.25">
      <c r="A1358" t="s">
        <v>2170</v>
      </c>
      <c r="B1358" t="s">
        <v>2167</v>
      </c>
      <c r="C1358" t="s">
        <v>2168</v>
      </c>
      <c r="D1358" s="2">
        <v>45899</v>
      </c>
      <c r="E1358">
        <v>28</v>
      </c>
      <c r="F1358">
        <v>3</v>
      </c>
    </row>
    <row r="1359" spans="1:6" x14ac:dyDescent="0.25">
      <c r="A1359" t="s">
        <v>2171</v>
      </c>
      <c r="B1359" t="s">
        <v>2167</v>
      </c>
      <c r="C1359" t="s">
        <v>2168</v>
      </c>
      <c r="D1359" s="2">
        <v>45925</v>
      </c>
      <c r="E1359">
        <v>28</v>
      </c>
      <c r="F1359">
        <v>4</v>
      </c>
    </row>
    <row r="1360" spans="1:6" x14ac:dyDescent="0.25">
      <c r="A1360" t="s">
        <v>2172</v>
      </c>
      <c r="B1360" t="s">
        <v>2167</v>
      </c>
      <c r="C1360" t="s">
        <v>2168</v>
      </c>
      <c r="D1360" s="2">
        <v>45950</v>
      </c>
      <c r="E1360">
        <v>28</v>
      </c>
      <c r="F1360">
        <v>5</v>
      </c>
    </row>
    <row r="1361" spans="1:6" x14ac:dyDescent="0.25">
      <c r="A1361" t="s">
        <v>2173</v>
      </c>
      <c r="B1361" t="s">
        <v>2174</v>
      </c>
      <c r="C1361" t="s">
        <v>2175</v>
      </c>
      <c r="D1361" s="2">
        <v>45825</v>
      </c>
      <c r="E1361">
        <v>28</v>
      </c>
      <c r="F1361">
        <v>1</v>
      </c>
    </row>
    <row r="1362" spans="1:6" x14ac:dyDescent="0.25">
      <c r="A1362" t="s">
        <v>2176</v>
      </c>
      <c r="B1362" t="s">
        <v>2174</v>
      </c>
      <c r="C1362" t="s">
        <v>2175</v>
      </c>
      <c r="D1362" s="2">
        <v>45850</v>
      </c>
      <c r="E1362">
        <v>28</v>
      </c>
      <c r="F1362">
        <v>2</v>
      </c>
    </row>
    <row r="1363" spans="1:6" x14ac:dyDescent="0.25">
      <c r="A1363" t="s">
        <v>2177</v>
      </c>
      <c r="B1363" t="s">
        <v>2178</v>
      </c>
      <c r="C1363" t="s">
        <v>2179</v>
      </c>
      <c r="D1363" s="2">
        <v>45864</v>
      </c>
      <c r="E1363">
        <v>30</v>
      </c>
      <c r="F1363">
        <v>1</v>
      </c>
    </row>
    <row r="1364" spans="1:6" x14ac:dyDescent="0.25">
      <c r="A1364" t="s">
        <v>2180</v>
      </c>
      <c r="B1364" t="s">
        <v>2178</v>
      </c>
      <c r="C1364" t="s">
        <v>2179</v>
      </c>
      <c r="D1364" s="2">
        <v>45893</v>
      </c>
      <c r="E1364">
        <v>30</v>
      </c>
      <c r="F1364">
        <v>2</v>
      </c>
    </row>
    <row r="1365" spans="1:6" x14ac:dyDescent="0.25">
      <c r="A1365" t="s">
        <v>2181</v>
      </c>
      <c r="B1365" t="s">
        <v>2178</v>
      </c>
      <c r="C1365" t="s">
        <v>2179</v>
      </c>
      <c r="D1365" s="2">
        <v>45921</v>
      </c>
      <c r="E1365">
        <v>30</v>
      </c>
      <c r="F1365">
        <v>3</v>
      </c>
    </row>
    <row r="1366" spans="1:6" x14ac:dyDescent="0.25">
      <c r="A1366" t="s">
        <v>2182</v>
      </c>
      <c r="B1366" t="s">
        <v>2178</v>
      </c>
      <c r="C1366" t="s">
        <v>2179</v>
      </c>
      <c r="D1366" s="2">
        <v>45952</v>
      </c>
      <c r="E1366">
        <v>30</v>
      </c>
      <c r="F1366">
        <v>4</v>
      </c>
    </row>
    <row r="1367" spans="1:6" x14ac:dyDescent="0.25">
      <c r="A1367" t="s">
        <v>2183</v>
      </c>
      <c r="B1367" t="s">
        <v>2184</v>
      </c>
      <c r="C1367" t="s">
        <v>2185</v>
      </c>
      <c r="D1367" s="2">
        <v>45853</v>
      </c>
      <c r="E1367">
        <v>14</v>
      </c>
      <c r="F1367">
        <v>1</v>
      </c>
    </row>
    <row r="1368" spans="1:6" x14ac:dyDescent="0.25">
      <c r="A1368" t="s">
        <v>2186</v>
      </c>
      <c r="B1368" t="s">
        <v>2184</v>
      </c>
      <c r="C1368" t="s">
        <v>2185</v>
      </c>
      <c r="D1368" s="2">
        <v>45869</v>
      </c>
      <c r="E1368">
        <v>14</v>
      </c>
      <c r="F1368">
        <v>2</v>
      </c>
    </row>
    <row r="1369" spans="1:6" x14ac:dyDescent="0.25">
      <c r="A1369" t="s">
        <v>2187</v>
      </c>
      <c r="B1369" t="s">
        <v>2188</v>
      </c>
      <c r="C1369" t="s">
        <v>2189</v>
      </c>
      <c r="D1369" s="2">
        <v>45950</v>
      </c>
      <c r="E1369">
        <v>14</v>
      </c>
      <c r="F1369">
        <v>1</v>
      </c>
    </row>
    <row r="1370" spans="1:6" x14ac:dyDescent="0.25">
      <c r="A1370" t="s">
        <v>2190</v>
      </c>
      <c r="B1370" t="s">
        <v>2191</v>
      </c>
      <c r="C1370" t="s">
        <v>2192</v>
      </c>
      <c r="D1370" s="2">
        <v>45827</v>
      </c>
      <c r="E1370">
        <v>21</v>
      </c>
      <c r="F1370">
        <v>1</v>
      </c>
    </row>
    <row r="1371" spans="1:6" x14ac:dyDescent="0.25">
      <c r="A1371" t="s">
        <v>2193</v>
      </c>
      <c r="B1371" t="s">
        <v>2194</v>
      </c>
      <c r="C1371" t="s">
        <v>2195</v>
      </c>
      <c r="D1371" s="2">
        <v>45934</v>
      </c>
      <c r="E1371">
        <v>28</v>
      </c>
      <c r="F1371">
        <v>1</v>
      </c>
    </row>
    <row r="1372" spans="1:6" x14ac:dyDescent="0.25">
      <c r="A1372" t="s">
        <v>2196</v>
      </c>
      <c r="B1372" t="s">
        <v>2197</v>
      </c>
      <c r="C1372" t="s">
        <v>2198</v>
      </c>
      <c r="D1372" s="2">
        <v>45941</v>
      </c>
      <c r="E1372">
        <v>14</v>
      </c>
      <c r="F1372">
        <v>1</v>
      </c>
    </row>
    <row r="1373" spans="1:6" x14ac:dyDescent="0.25">
      <c r="A1373" t="s">
        <v>2199</v>
      </c>
      <c r="B1373" t="s">
        <v>2197</v>
      </c>
      <c r="C1373" t="s">
        <v>2198</v>
      </c>
      <c r="D1373" s="2">
        <v>45954</v>
      </c>
      <c r="E1373">
        <v>14</v>
      </c>
      <c r="F1373">
        <v>2</v>
      </c>
    </row>
    <row r="1374" spans="1:6" x14ac:dyDescent="0.25">
      <c r="A1374" t="s">
        <v>2200</v>
      </c>
      <c r="B1374" t="s">
        <v>2201</v>
      </c>
      <c r="C1374" t="s">
        <v>2202</v>
      </c>
      <c r="D1374" s="2">
        <v>45887</v>
      </c>
      <c r="E1374">
        <v>28</v>
      </c>
      <c r="F1374">
        <v>1</v>
      </c>
    </row>
    <row r="1375" spans="1:6" x14ac:dyDescent="0.25">
      <c r="A1375" t="s">
        <v>2203</v>
      </c>
      <c r="B1375" t="s">
        <v>2201</v>
      </c>
      <c r="C1375" t="s">
        <v>2202</v>
      </c>
      <c r="D1375" s="2">
        <v>45918</v>
      </c>
      <c r="E1375">
        <v>28</v>
      </c>
      <c r="F1375">
        <v>2</v>
      </c>
    </row>
    <row r="1376" spans="1:6" x14ac:dyDescent="0.25">
      <c r="A1376" t="s">
        <v>2204</v>
      </c>
      <c r="B1376" t="s">
        <v>2201</v>
      </c>
      <c r="C1376" t="s">
        <v>2202</v>
      </c>
      <c r="D1376" s="2">
        <v>45949</v>
      </c>
      <c r="E1376">
        <v>28</v>
      </c>
      <c r="F1376">
        <v>3</v>
      </c>
    </row>
    <row r="1377" spans="1:6" x14ac:dyDescent="0.25">
      <c r="A1377" t="s">
        <v>2205</v>
      </c>
      <c r="B1377" t="s">
        <v>2206</v>
      </c>
      <c r="C1377" t="s">
        <v>2207</v>
      </c>
      <c r="D1377" s="2">
        <v>45861</v>
      </c>
      <c r="E1377">
        <v>28</v>
      </c>
      <c r="F1377">
        <v>1</v>
      </c>
    </row>
    <row r="1378" spans="1:6" x14ac:dyDescent="0.25">
      <c r="A1378" t="s">
        <v>2208</v>
      </c>
      <c r="B1378" t="s">
        <v>2206</v>
      </c>
      <c r="C1378" t="s">
        <v>2207</v>
      </c>
      <c r="D1378" s="2">
        <v>45892</v>
      </c>
      <c r="E1378">
        <v>28</v>
      </c>
      <c r="F1378">
        <v>2</v>
      </c>
    </row>
    <row r="1379" spans="1:6" x14ac:dyDescent="0.25">
      <c r="A1379" t="s">
        <v>2209</v>
      </c>
      <c r="B1379" t="s">
        <v>2206</v>
      </c>
      <c r="C1379" t="s">
        <v>2207</v>
      </c>
      <c r="D1379" s="2">
        <v>45917</v>
      </c>
      <c r="E1379">
        <v>28</v>
      </c>
      <c r="F1379">
        <v>3</v>
      </c>
    </row>
    <row r="1380" spans="1:6" x14ac:dyDescent="0.25">
      <c r="A1380" t="s">
        <v>2210</v>
      </c>
      <c r="B1380" t="s">
        <v>2206</v>
      </c>
      <c r="C1380" t="s">
        <v>2207</v>
      </c>
      <c r="D1380" s="2">
        <v>45942</v>
      </c>
      <c r="E1380">
        <v>28</v>
      </c>
      <c r="F1380">
        <v>4</v>
      </c>
    </row>
    <row r="1381" spans="1:6" x14ac:dyDescent="0.25">
      <c r="A1381" t="s">
        <v>2211</v>
      </c>
      <c r="B1381" t="s">
        <v>2212</v>
      </c>
      <c r="C1381" t="s">
        <v>2213</v>
      </c>
      <c r="D1381" s="2">
        <v>45880</v>
      </c>
      <c r="E1381">
        <v>28</v>
      </c>
      <c r="F1381">
        <v>1</v>
      </c>
    </row>
    <row r="1382" spans="1:6" x14ac:dyDescent="0.25">
      <c r="A1382" t="s">
        <v>2214</v>
      </c>
      <c r="B1382" t="s">
        <v>2212</v>
      </c>
      <c r="C1382" t="s">
        <v>2213</v>
      </c>
      <c r="D1382" s="2">
        <v>45909</v>
      </c>
      <c r="E1382">
        <v>28</v>
      </c>
      <c r="F1382">
        <v>2</v>
      </c>
    </row>
    <row r="1383" spans="1:6" x14ac:dyDescent="0.25">
      <c r="A1383" t="s">
        <v>2215</v>
      </c>
      <c r="B1383" t="s">
        <v>2212</v>
      </c>
      <c r="C1383" t="s">
        <v>2213</v>
      </c>
      <c r="D1383" s="2">
        <v>45940</v>
      </c>
      <c r="E1383">
        <v>28</v>
      </c>
      <c r="F1383">
        <v>3</v>
      </c>
    </row>
    <row r="1384" spans="1:6" x14ac:dyDescent="0.25">
      <c r="A1384" t="s">
        <v>2216</v>
      </c>
      <c r="B1384" t="s">
        <v>2217</v>
      </c>
      <c r="C1384" t="s">
        <v>2218</v>
      </c>
      <c r="D1384" s="2">
        <v>45802</v>
      </c>
      <c r="E1384">
        <v>28</v>
      </c>
      <c r="F1384">
        <v>1</v>
      </c>
    </row>
    <row r="1385" spans="1:6" x14ac:dyDescent="0.25">
      <c r="A1385" t="s">
        <v>2219</v>
      </c>
      <c r="B1385" t="s">
        <v>2217</v>
      </c>
      <c r="C1385" t="s">
        <v>2218</v>
      </c>
      <c r="D1385" s="2">
        <v>45833</v>
      </c>
      <c r="E1385">
        <v>28</v>
      </c>
      <c r="F1385">
        <v>2</v>
      </c>
    </row>
    <row r="1386" spans="1:6" x14ac:dyDescent="0.25">
      <c r="A1386" t="s">
        <v>2220</v>
      </c>
      <c r="B1386" t="s">
        <v>2217</v>
      </c>
      <c r="C1386" t="s">
        <v>2218</v>
      </c>
      <c r="D1386" s="2">
        <v>45860</v>
      </c>
      <c r="E1386">
        <v>28</v>
      </c>
      <c r="F1386">
        <v>3</v>
      </c>
    </row>
    <row r="1387" spans="1:6" x14ac:dyDescent="0.25">
      <c r="A1387" t="s">
        <v>2221</v>
      </c>
      <c r="B1387" t="s">
        <v>2217</v>
      </c>
      <c r="C1387" t="s">
        <v>2218</v>
      </c>
      <c r="D1387" s="2">
        <v>45887</v>
      </c>
      <c r="E1387">
        <v>28</v>
      </c>
      <c r="F1387">
        <v>4</v>
      </c>
    </row>
    <row r="1388" spans="1:6" x14ac:dyDescent="0.25">
      <c r="A1388" t="s">
        <v>2222</v>
      </c>
      <c r="B1388" t="s">
        <v>2217</v>
      </c>
      <c r="C1388" t="s">
        <v>2218</v>
      </c>
      <c r="D1388" s="2">
        <v>45916</v>
      </c>
      <c r="E1388">
        <v>28</v>
      </c>
      <c r="F1388">
        <v>5</v>
      </c>
    </row>
    <row r="1389" spans="1:6" x14ac:dyDescent="0.25">
      <c r="A1389" t="s">
        <v>2223</v>
      </c>
      <c r="B1389" t="s">
        <v>2217</v>
      </c>
      <c r="C1389" t="s">
        <v>2218</v>
      </c>
      <c r="D1389" s="2">
        <v>45943</v>
      </c>
      <c r="E1389">
        <v>28</v>
      </c>
      <c r="F1389">
        <v>6</v>
      </c>
    </row>
    <row r="1390" spans="1:6" x14ac:dyDescent="0.25">
      <c r="A1390" t="s">
        <v>2224</v>
      </c>
      <c r="B1390" t="s">
        <v>2225</v>
      </c>
      <c r="C1390" t="s">
        <v>2226</v>
      </c>
      <c r="D1390" s="2">
        <v>45813</v>
      </c>
      <c r="E1390">
        <v>28</v>
      </c>
      <c r="F1390">
        <v>1</v>
      </c>
    </row>
    <row r="1391" spans="1:6" x14ac:dyDescent="0.25">
      <c r="A1391" t="s">
        <v>2227</v>
      </c>
      <c r="B1391" t="s">
        <v>2225</v>
      </c>
      <c r="C1391" t="s">
        <v>2226</v>
      </c>
      <c r="D1391" s="2">
        <v>45840</v>
      </c>
      <c r="E1391">
        <v>28</v>
      </c>
      <c r="F1391">
        <v>2</v>
      </c>
    </row>
    <row r="1392" spans="1:6" x14ac:dyDescent="0.25">
      <c r="A1392" t="s">
        <v>2228</v>
      </c>
      <c r="B1392" t="s">
        <v>2229</v>
      </c>
      <c r="C1392" t="s">
        <v>2230</v>
      </c>
      <c r="D1392" s="2">
        <v>45860</v>
      </c>
      <c r="E1392">
        <v>28</v>
      </c>
      <c r="F1392">
        <v>1</v>
      </c>
    </row>
    <row r="1393" spans="1:6" x14ac:dyDescent="0.25">
      <c r="A1393" t="s">
        <v>2231</v>
      </c>
      <c r="B1393" t="s">
        <v>2229</v>
      </c>
      <c r="C1393" t="s">
        <v>2230</v>
      </c>
      <c r="D1393" s="2">
        <v>45889</v>
      </c>
      <c r="E1393">
        <v>28</v>
      </c>
      <c r="F1393">
        <v>2</v>
      </c>
    </row>
    <row r="1394" spans="1:6" x14ac:dyDescent="0.25">
      <c r="A1394" t="s">
        <v>2232</v>
      </c>
      <c r="B1394" t="s">
        <v>2229</v>
      </c>
      <c r="C1394" t="s">
        <v>2230</v>
      </c>
      <c r="D1394" s="2">
        <v>45914</v>
      </c>
      <c r="E1394">
        <v>28</v>
      </c>
      <c r="F1394">
        <v>3</v>
      </c>
    </row>
    <row r="1395" spans="1:6" x14ac:dyDescent="0.25">
      <c r="A1395" t="s">
        <v>2233</v>
      </c>
      <c r="B1395" t="s">
        <v>2229</v>
      </c>
      <c r="C1395" t="s">
        <v>2230</v>
      </c>
      <c r="D1395" s="2">
        <v>45945</v>
      </c>
      <c r="E1395">
        <v>28</v>
      </c>
      <c r="F1395">
        <v>4</v>
      </c>
    </row>
    <row r="1396" spans="1:6" x14ac:dyDescent="0.25">
      <c r="A1396" t="s">
        <v>2234</v>
      </c>
      <c r="B1396" t="s">
        <v>2235</v>
      </c>
      <c r="C1396" t="s">
        <v>2236</v>
      </c>
      <c r="D1396" s="2">
        <v>45779</v>
      </c>
      <c r="E1396">
        <v>28</v>
      </c>
      <c r="F1396">
        <v>1</v>
      </c>
    </row>
    <row r="1397" spans="1:6" x14ac:dyDescent="0.25">
      <c r="A1397" t="s">
        <v>2237</v>
      </c>
      <c r="B1397" t="s">
        <v>2235</v>
      </c>
      <c r="C1397" t="s">
        <v>2236</v>
      </c>
      <c r="D1397" s="2">
        <v>45808</v>
      </c>
      <c r="E1397">
        <v>28</v>
      </c>
      <c r="F1397">
        <v>2</v>
      </c>
    </row>
    <row r="1398" spans="1:6" x14ac:dyDescent="0.25">
      <c r="A1398" t="s">
        <v>2238</v>
      </c>
      <c r="B1398" t="s">
        <v>2235</v>
      </c>
      <c r="C1398" t="s">
        <v>2236</v>
      </c>
      <c r="D1398" s="2">
        <v>45837</v>
      </c>
      <c r="E1398">
        <v>28</v>
      </c>
      <c r="F1398">
        <v>3</v>
      </c>
    </row>
    <row r="1399" spans="1:6" x14ac:dyDescent="0.25">
      <c r="A1399" t="s">
        <v>2239</v>
      </c>
      <c r="B1399" t="s">
        <v>2235</v>
      </c>
      <c r="C1399" t="s">
        <v>2236</v>
      </c>
      <c r="D1399" s="2">
        <v>45865</v>
      </c>
      <c r="E1399">
        <v>28</v>
      </c>
      <c r="F1399">
        <v>4</v>
      </c>
    </row>
    <row r="1400" spans="1:6" x14ac:dyDescent="0.25">
      <c r="A1400" t="s">
        <v>2240</v>
      </c>
      <c r="B1400" t="s">
        <v>2235</v>
      </c>
      <c r="C1400" t="s">
        <v>2236</v>
      </c>
      <c r="D1400" s="2">
        <v>45895</v>
      </c>
      <c r="E1400">
        <v>28</v>
      </c>
      <c r="F1400">
        <v>5</v>
      </c>
    </row>
    <row r="1401" spans="1:6" x14ac:dyDescent="0.25">
      <c r="A1401" t="s">
        <v>2241</v>
      </c>
      <c r="B1401" t="s">
        <v>2235</v>
      </c>
      <c r="C1401" t="s">
        <v>2236</v>
      </c>
      <c r="D1401" s="2">
        <v>45921</v>
      </c>
      <c r="E1401">
        <v>28</v>
      </c>
      <c r="F1401">
        <v>6</v>
      </c>
    </row>
    <row r="1402" spans="1:6" x14ac:dyDescent="0.25">
      <c r="A1402" t="s">
        <v>2242</v>
      </c>
      <c r="B1402" t="s">
        <v>2235</v>
      </c>
      <c r="C1402" t="s">
        <v>2236</v>
      </c>
      <c r="D1402" s="2">
        <v>45946</v>
      </c>
      <c r="E1402">
        <v>28</v>
      </c>
      <c r="F1402">
        <v>7</v>
      </c>
    </row>
    <row r="1403" spans="1:6" x14ac:dyDescent="0.25">
      <c r="A1403" t="s">
        <v>2243</v>
      </c>
      <c r="B1403" t="s">
        <v>2244</v>
      </c>
      <c r="C1403" t="s">
        <v>2245</v>
      </c>
      <c r="D1403" s="2">
        <v>45876</v>
      </c>
      <c r="E1403">
        <v>28</v>
      </c>
      <c r="F1403">
        <v>1</v>
      </c>
    </row>
    <row r="1404" spans="1:6" x14ac:dyDescent="0.25">
      <c r="A1404" t="s">
        <v>2246</v>
      </c>
      <c r="B1404" t="s">
        <v>2244</v>
      </c>
      <c r="C1404" t="s">
        <v>2245</v>
      </c>
      <c r="D1404" s="2">
        <v>45903</v>
      </c>
      <c r="E1404">
        <v>28</v>
      </c>
      <c r="F1404">
        <v>2</v>
      </c>
    </row>
    <row r="1405" spans="1:6" x14ac:dyDescent="0.25">
      <c r="A1405" t="s">
        <v>2247</v>
      </c>
      <c r="B1405" t="s">
        <v>2244</v>
      </c>
      <c r="C1405" t="s">
        <v>2245</v>
      </c>
      <c r="D1405" s="2">
        <v>45928</v>
      </c>
      <c r="E1405">
        <v>28</v>
      </c>
      <c r="F1405">
        <v>3</v>
      </c>
    </row>
    <row r="1406" spans="1:6" x14ac:dyDescent="0.25">
      <c r="A1406" t="s">
        <v>2248</v>
      </c>
      <c r="B1406" t="s">
        <v>2244</v>
      </c>
      <c r="C1406" t="s">
        <v>2245</v>
      </c>
      <c r="D1406" s="2">
        <v>45958</v>
      </c>
      <c r="E1406">
        <v>28</v>
      </c>
      <c r="F1406">
        <v>4</v>
      </c>
    </row>
    <row r="1407" spans="1:6" x14ac:dyDescent="0.25">
      <c r="A1407" t="s">
        <v>2249</v>
      </c>
      <c r="B1407" t="s">
        <v>2250</v>
      </c>
      <c r="C1407" t="s">
        <v>2251</v>
      </c>
      <c r="D1407" s="2">
        <v>45892</v>
      </c>
      <c r="E1407">
        <v>28</v>
      </c>
      <c r="F1407">
        <v>1</v>
      </c>
    </row>
    <row r="1408" spans="1:6" x14ac:dyDescent="0.25">
      <c r="A1408" t="s">
        <v>2252</v>
      </c>
      <c r="B1408" t="s">
        <v>2253</v>
      </c>
      <c r="C1408" t="s">
        <v>2254</v>
      </c>
      <c r="D1408" s="2">
        <v>45846</v>
      </c>
      <c r="E1408">
        <v>28</v>
      </c>
      <c r="F1408">
        <v>1</v>
      </c>
    </row>
    <row r="1409" spans="1:6" x14ac:dyDescent="0.25">
      <c r="A1409" t="s">
        <v>2255</v>
      </c>
      <c r="B1409" t="s">
        <v>2253</v>
      </c>
      <c r="C1409" t="s">
        <v>2254</v>
      </c>
      <c r="D1409" s="2">
        <v>45875</v>
      </c>
      <c r="E1409">
        <v>28</v>
      </c>
      <c r="F1409">
        <v>2</v>
      </c>
    </row>
    <row r="1410" spans="1:6" x14ac:dyDescent="0.25">
      <c r="A1410" t="s">
        <v>2256</v>
      </c>
      <c r="B1410" t="s">
        <v>2257</v>
      </c>
      <c r="C1410" t="s">
        <v>2258</v>
      </c>
      <c r="D1410" s="2">
        <v>45855</v>
      </c>
      <c r="E1410">
        <v>28</v>
      </c>
      <c r="F1410">
        <v>1</v>
      </c>
    </row>
    <row r="1411" spans="1:6" x14ac:dyDescent="0.25">
      <c r="A1411" t="s">
        <v>2259</v>
      </c>
      <c r="B1411" t="s">
        <v>2257</v>
      </c>
      <c r="C1411" t="s">
        <v>2258</v>
      </c>
      <c r="D1411" s="2">
        <v>45884</v>
      </c>
      <c r="E1411">
        <v>28</v>
      </c>
      <c r="F1411">
        <v>2</v>
      </c>
    </row>
    <row r="1412" spans="1:6" x14ac:dyDescent="0.25">
      <c r="A1412" t="s">
        <v>2260</v>
      </c>
      <c r="B1412" t="s">
        <v>2257</v>
      </c>
      <c r="C1412" t="s">
        <v>2258</v>
      </c>
      <c r="D1412" s="2">
        <v>45910</v>
      </c>
      <c r="E1412">
        <v>28</v>
      </c>
      <c r="F1412">
        <v>3</v>
      </c>
    </row>
    <row r="1413" spans="1:6" x14ac:dyDescent="0.25">
      <c r="A1413" t="s">
        <v>2261</v>
      </c>
      <c r="B1413" t="s">
        <v>2257</v>
      </c>
      <c r="C1413" t="s">
        <v>2258</v>
      </c>
      <c r="D1413" s="2">
        <v>45938</v>
      </c>
      <c r="E1413">
        <v>28</v>
      </c>
      <c r="F1413">
        <v>4</v>
      </c>
    </row>
    <row r="1414" spans="1:6" x14ac:dyDescent="0.25">
      <c r="A1414" t="s">
        <v>2262</v>
      </c>
      <c r="B1414" t="s">
        <v>2263</v>
      </c>
      <c r="C1414" t="s">
        <v>2264</v>
      </c>
      <c r="D1414" s="2">
        <v>45924</v>
      </c>
      <c r="E1414">
        <v>21</v>
      </c>
      <c r="F1414">
        <v>1</v>
      </c>
    </row>
    <row r="1415" spans="1:6" x14ac:dyDescent="0.25">
      <c r="A1415" t="s">
        <v>2265</v>
      </c>
      <c r="B1415" t="s">
        <v>2263</v>
      </c>
      <c r="C1415" t="s">
        <v>2264</v>
      </c>
      <c r="D1415" s="2">
        <v>45943</v>
      </c>
      <c r="E1415">
        <v>21</v>
      </c>
      <c r="F1415">
        <v>2</v>
      </c>
    </row>
    <row r="1416" spans="1:6" x14ac:dyDescent="0.25">
      <c r="A1416" t="s">
        <v>2266</v>
      </c>
      <c r="B1416" t="s">
        <v>2267</v>
      </c>
      <c r="C1416" t="s">
        <v>2268</v>
      </c>
      <c r="D1416" s="2">
        <v>45844</v>
      </c>
      <c r="E1416">
        <v>30</v>
      </c>
      <c r="F1416">
        <v>1</v>
      </c>
    </row>
    <row r="1417" spans="1:6" x14ac:dyDescent="0.25">
      <c r="A1417" t="s">
        <v>2269</v>
      </c>
      <c r="B1417" t="s">
        <v>2267</v>
      </c>
      <c r="C1417" t="s">
        <v>2268</v>
      </c>
      <c r="D1417" s="2">
        <v>45874</v>
      </c>
      <c r="E1417">
        <v>30</v>
      </c>
      <c r="F1417">
        <v>2</v>
      </c>
    </row>
    <row r="1418" spans="1:6" x14ac:dyDescent="0.25">
      <c r="A1418" t="s">
        <v>2270</v>
      </c>
      <c r="B1418" t="s">
        <v>2267</v>
      </c>
      <c r="C1418" t="s">
        <v>2268</v>
      </c>
      <c r="D1418" s="2">
        <v>45907</v>
      </c>
      <c r="E1418">
        <v>30</v>
      </c>
      <c r="F1418">
        <v>3</v>
      </c>
    </row>
    <row r="1419" spans="1:6" x14ac:dyDescent="0.25">
      <c r="A1419" t="s">
        <v>2271</v>
      </c>
      <c r="B1419" t="s">
        <v>2267</v>
      </c>
      <c r="C1419" t="s">
        <v>2268</v>
      </c>
      <c r="D1419" s="2">
        <v>45936</v>
      </c>
      <c r="E1419">
        <v>30</v>
      </c>
      <c r="F1419">
        <v>4</v>
      </c>
    </row>
    <row r="1420" spans="1:6" x14ac:dyDescent="0.25">
      <c r="A1420" t="s">
        <v>2272</v>
      </c>
      <c r="B1420" t="s">
        <v>2273</v>
      </c>
      <c r="C1420" t="s">
        <v>2274</v>
      </c>
      <c r="D1420" s="2">
        <v>45870</v>
      </c>
      <c r="E1420">
        <v>14</v>
      </c>
      <c r="F1420">
        <v>1</v>
      </c>
    </row>
    <row r="1421" spans="1:6" x14ac:dyDescent="0.25">
      <c r="A1421" t="s">
        <v>2275</v>
      </c>
      <c r="B1421" t="s">
        <v>2273</v>
      </c>
      <c r="C1421" t="s">
        <v>2274</v>
      </c>
      <c r="D1421" s="2">
        <v>45884</v>
      </c>
      <c r="E1421">
        <v>14</v>
      </c>
      <c r="F1421">
        <v>2</v>
      </c>
    </row>
    <row r="1422" spans="1:6" x14ac:dyDescent="0.25">
      <c r="A1422" t="s">
        <v>2276</v>
      </c>
      <c r="B1422" t="s">
        <v>2273</v>
      </c>
      <c r="C1422" t="s">
        <v>2274</v>
      </c>
      <c r="D1422" s="2">
        <v>45899</v>
      </c>
      <c r="E1422">
        <v>14</v>
      </c>
      <c r="F1422">
        <v>3</v>
      </c>
    </row>
    <row r="1423" spans="1:6" x14ac:dyDescent="0.25">
      <c r="A1423" t="s">
        <v>2277</v>
      </c>
      <c r="B1423" t="s">
        <v>2273</v>
      </c>
      <c r="C1423" t="s">
        <v>2274</v>
      </c>
      <c r="D1423" s="2">
        <v>45914</v>
      </c>
      <c r="E1423">
        <v>14</v>
      </c>
      <c r="F1423">
        <v>4</v>
      </c>
    </row>
    <row r="1424" spans="1:6" x14ac:dyDescent="0.25">
      <c r="A1424" t="s">
        <v>2278</v>
      </c>
      <c r="B1424" t="s">
        <v>2273</v>
      </c>
      <c r="C1424" t="s">
        <v>2274</v>
      </c>
      <c r="D1424" s="2">
        <v>45926</v>
      </c>
      <c r="E1424">
        <v>14</v>
      </c>
      <c r="F1424">
        <v>5</v>
      </c>
    </row>
    <row r="1425" spans="1:6" x14ac:dyDescent="0.25">
      <c r="A1425" t="s">
        <v>2279</v>
      </c>
      <c r="B1425" t="s">
        <v>2273</v>
      </c>
      <c r="C1425" t="s">
        <v>2274</v>
      </c>
      <c r="D1425" s="2">
        <v>45937</v>
      </c>
      <c r="E1425">
        <v>14</v>
      </c>
      <c r="F1425">
        <v>6</v>
      </c>
    </row>
    <row r="1426" spans="1:6" x14ac:dyDescent="0.25">
      <c r="A1426" t="s">
        <v>2280</v>
      </c>
      <c r="B1426" t="s">
        <v>2273</v>
      </c>
      <c r="C1426" t="s">
        <v>2274</v>
      </c>
      <c r="D1426" s="2">
        <v>45950</v>
      </c>
      <c r="E1426">
        <v>14</v>
      </c>
      <c r="F1426">
        <v>7</v>
      </c>
    </row>
    <row r="1427" spans="1:6" x14ac:dyDescent="0.25">
      <c r="A1427" t="s">
        <v>2281</v>
      </c>
      <c r="B1427" t="s">
        <v>2282</v>
      </c>
      <c r="C1427" t="s">
        <v>2283</v>
      </c>
      <c r="D1427" s="2">
        <v>45838</v>
      </c>
      <c r="E1427">
        <v>30</v>
      </c>
      <c r="F1427">
        <v>1</v>
      </c>
    </row>
    <row r="1428" spans="1:6" x14ac:dyDescent="0.25">
      <c r="A1428" t="s">
        <v>2284</v>
      </c>
      <c r="B1428" t="s">
        <v>2282</v>
      </c>
      <c r="C1428" t="s">
        <v>2283</v>
      </c>
      <c r="D1428" s="2">
        <v>45868</v>
      </c>
      <c r="E1428">
        <v>30</v>
      </c>
      <c r="F1428">
        <v>2</v>
      </c>
    </row>
    <row r="1429" spans="1:6" x14ac:dyDescent="0.25">
      <c r="A1429" t="s">
        <v>2285</v>
      </c>
      <c r="B1429" t="s">
        <v>2282</v>
      </c>
      <c r="C1429" t="s">
        <v>2283</v>
      </c>
      <c r="D1429" s="2">
        <v>45898</v>
      </c>
      <c r="E1429">
        <v>30</v>
      </c>
      <c r="F1429">
        <v>3</v>
      </c>
    </row>
    <row r="1430" spans="1:6" x14ac:dyDescent="0.25">
      <c r="A1430" t="s">
        <v>2286</v>
      </c>
      <c r="B1430" t="s">
        <v>2282</v>
      </c>
      <c r="C1430" t="s">
        <v>2283</v>
      </c>
      <c r="D1430" s="2">
        <v>45926</v>
      </c>
      <c r="E1430">
        <v>30</v>
      </c>
      <c r="F1430">
        <v>4</v>
      </c>
    </row>
    <row r="1431" spans="1:6" x14ac:dyDescent="0.25">
      <c r="A1431" t="s">
        <v>2287</v>
      </c>
      <c r="B1431" t="s">
        <v>2282</v>
      </c>
      <c r="C1431" t="s">
        <v>2283</v>
      </c>
      <c r="D1431" s="2">
        <v>45958</v>
      </c>
      <c r="E1431">
        <v>30</v>
      </c>
      <c r="F1431">
        <v>5</v>
      </c>
    </row>
    <row r="1432" spans="1:6" x14ac:dyDescent="0.25">
      <c r="A1432" t="s">
        <v>2288</v>
      </c>
      <c r="B1432" t="s">
        <v>2289</v>
      </c>
      <c r="C1432" t="s">
        <v>2290</v>
      </c>
      <c r="D1432" s="2">
        <v>45948</v>
      </c>
      <c r="E1432">
        <v>30</v>
      </c>
      <c r="F1432">
        <v>1</v>
      </c>
    </row>
    <row r="1433" spans="1:6" x14ac:dyDescent="0.25">
      <c r="A1433" t="s">
        <v>2291</v>
      </c>
      <c r="B1433" t="s">
        <v>2292</v>
      </c>
      <c r="C1433" t="s">
        <v>2293</v>
      </c>
      <c r="D1433" s="2">
        <v>45897</v>
      </c>
      <c r="E1433">
        <v>28</v>
      </c>
      <c r="F1433">
        <v>1</v>
      </c>
    </row>
    <row r="1434" spans="1:6" x14ac:dyDescent="0.25">
      <c r="A1434" t="s">
        <v>2294</v>
      </c>
      <c r="B1434" t="s">
        <v>2292</v>
      </c>
      <c r="C1434" t="s">
        <v>2293</v>
      </c>
      <c r="D1434" s="2">
        <v>45925</v>
      </c>
      <c r="E1434">
        <v>28</v>
      </c>
      <c r="F1434">
        <v>2</v>
      </c>
    </row>
    <row r="1435" spans="1:6" x14ac:dyDescent="0.25">
      <c r="A1435" t="s">
        <v>2295</v>
      </c>
      <c r="B1435" t="s">
        <v>2292</v>
      </c>
      <c r="C1435" t="s">
        <v>2293</v>
      </c>
      <c r="D1435" s="2">
        <v>45951</v>
      </c>
      <c r="E1435">
        <v>28</v>
      </c>
      <c r="F1435">
        <v>3</v>
      </c>
    </row>
    <row r="1436" spans="1:6" x14ac:dyDescent="0.25">
      <c r="A1436" t="s">
        <v>2296</v>
      </c>
      <c r="B1436" t="s">
        <v>2297</v>
      </c>
      <c r="C1436" t="s">
        <v>2298</v>
      </c>
      <c r="D1436" s="2">
        <v>45818</v>
      </c>
      <c r="E1436">
        <v>21</v>
      </c>
      <c r="F1436">
        <v>1</v>
      </c>
    </row>
    <row r="1437" spans="1:6" x14ac:dyDescent="0.25">
      <c r="A1437" t="s">
        <v>2299</v>
      </c>
      <c r="B1437" t="s">
        <v>2297</v>
      </c>
      <c r="C1437" t="s">
        <v>2298</v>
      </c>
      <c r="D1437" s="2">
        <v>45840</v>
      </c>
      <c r="E1437">
        <v>21</v>
      </c>
      <c r="F1437">
        <v>2</v>
      </c>
    </row>
    <row r="1438" spans="1:6" x14ac:dyDescent="0.25">
      <c r="A1438" t="s">
        <v>2300</v>
      </c>
      <c r="B1438" t="s">
        <v>2297</v>
      </c>
      <c r="C1438" t="s">
        <v>2298</v>
      </c>
      <c r="D1438" s="2">
        <v>45863</v>
      </c>
      <c r="E1438">
        <v>21</v>
      </c>
      <c r="F1438">
        <v>3</v>
      </c>
    </row>
    <row r="1439" spans="1:6" x14ac:dyDescent="0.25">
      <c r="A1439" t="s">
        <v>2301</v>
      </c>
      <c r="B1439" t="s">
        <v>2297</v>
      </c>
      <c r="C1439" t="s">
        <v>2298</v>
      </c>
      <c r="D1439" s="2">
        <v>45887</v>
      </c>
      <c r="E1439">
        <v>21</v>
      </c>
      <c r="F1439">
        <v>4</v>
      </c>
    </row>
    <row r="1440" spans="1:6" x14ac:dyDescent="0.25">
      <c r="A1440" t="s">
        <v>2302</v>
      </c>
      <c r="B1440" t="s">
        <v>2297</v>
      </c>
      <c r="C1440" t="s">
        <v>2298</v>
      </c>
      <c r="D1440" s="2">
        <v>45907</v>
      </c>
      <c r="E1440">
        <v>21</v>
      </c>
      <c r="F1440">
        <v>5</v>
      </c>
    </row>
    <row r="1441" spans="1:6" x14ac:dyDescent="0.25">
      <c r="A1441" t="s">
        <v>2303</v>
      </c>
      <c r="B1441" t="s">
        <v>2297</v>
      </c>
      <c r="C1441" t="s">
        <v>2298</v>
      </c>
      <c r="D1441" s="2">
        <v>45929</v>
      </c>
      <c r="E1441">
        <v>21</v>
      </c>
      <c r="F1441">
        <v>6</v>
      </c>
    </row>
    <row r="1442" spans="1:6" x14ac:dyDescent="0.25">
      <c r="A1442" t="s">
        <v>2304</v>
      </c>
      <c r="B1442" t="s">
        <v>2297</v>
      </c>
      <c r="C1442" t="s">
        <v>2298</v>
      </c>
      <c r="D1442" s="2">
        <v>45951</v>
      </c>
      <c r="E1442">
        <v>21</v>
      </c>
      <c r="F1442">
        <v>7</v>
      </c>
    </row>
    <row r="1443" spans="1:6" x14ac:dyDescent="0.25">
      <c r="A1443" t="s">
        <v>2305</v>
      </c>
      <c r="B1443" t="s">
        <v>2306</v>
      </c>
      <c r="C1443" t="s">
        <v>2307</v>
      </c>
      <c r="D1443" s="2">
        <v>45953</v>
      </c>
      <c r="E1443">
        <v>28</v>
      </c>
      <c r="F1443">
        <v>1</v>
      </c>
    </row>
    <row r="1444" spans="1:6" x14ac:dyDescent="0.25">
      <c r="A1444" t="s">
        <v>2308</v>
      </c>
      <c r="B1444" t="s">
        <v>2309</v>
      </c>
      <c r="C1444" t="s">
        <v>2310</v>
      </c>
      <c r="D1444" s="2">
        <v>45958</v>
      </c>
      <c r="E1444">
        <v>21</v>
      </c>
      <c r="F1444">
        <v>1</v>
      </c>
    </row>
    <row r="1445" spans="1:6" x14ac:dyDescent="0.25">
      <c r="A1445" t="s">
        <v>2311</v>
      </c>
      <c r="B1445" t="s">
        <v>2312</v>
      </c>
      <c r="C1445" t="s">
        <v>2313</v>
      </c>
      <c r="D1445" s="2">
        <v>45857</v>
      </c>
      <c r="E1445">
        <v>14</v>
      </c>
      <c r="F1445">
        <v>1</v>
      </c>
    </row>
    <row r="1446" spans="1:6" x14ac:dyDescent="0.25">
      <c r="A1446" t="s">
        <v>2314</v>
      </c>
      <c r="B1446" t="s">
        <v>2312</v>
      </c>
      <c r="C1446" t="s">
        <v>2313</v>
      </c>
      <c r="D1446" s="2">
        <v>45874</v>
      </c>
      <c r="E1446">
        <v>14</v>
      </c>
      <c r="F1446">
        <v>2</v>
      </c>
    </row>
    <row r="1447" spans="1:6" x14ac:dyDescent="0.25">
      <c r="A1447" t="s">
        <v>2315</v>
      </c>
      <c r="B1447" t="s">
        <v>2312</v>
      </c>
      <c r="C1447" t="s">
        <v>2313</v>
      </c>
      <c r="D1447" s="2">
        <v>45888</v>
      </c>
      <c r="E1447">
        <v>14</v>
      </c>
      <c r="F1447">
        <v>3</v>
      </c>
    </row>
    <row r="1448" spans="1:6" x14ac:dyDescent="0.25">
      <c r="A1448" t="s">
        <v>2316</v>
      </c>
      <c r="B1448" t="s">
        <v>2312</v>
      </c>
      <c r="C1448" t="s">
        <v>2313</v>
      </c>
      <c r="D1448" s="2">
        <v>45904</v>
      </c>
      <c r="E1448">
        <v>14</v>
      </c>
      <c r="F1448">
        <v>4</v>
      </c>
    </row>
    <row r="1449" spans="1:6" x14ac:dyDescent="0.25">
      <c r="A1449" t="s">
        <v>2317</v>
      </c>
      <c r="B1449" t="s">
        <v>2312</v>
      </c>
      <c r="C1449" t="s">
        <v>2313</v>
      </c>
      <c r="D1449" s="2">
        <v>45918</v>
      </c>
      <c r="E1449">
        <v>14</v>
      </c>
      <c r="F1449">
        <v>5</v>
      </c>
    </row>
    <row r="1450" spans="1:6" x14ac:dyDescent="0.25">
      <c r="A1450" t="s">
        <v>2318</v>
      </c>
      <c r="B1450" t="s">
        <v>2312</v>
      </c>
      <c r="C1450" t="s">
        <v>2313</v>
      </c>
      <c r="D1450" s="2">
        <v>45931</v>
      </c>
      <c r="E1450">
        <v>14</v>
      </c>
      <c r="F1450">
        <v>6</v>
      </c>
    </row>
    <row r="1451" spans="1:6" x14ac:dyDescent="0.25">
      <c r="A1451" t="s">
        <v>2319</v>
      </c>
      <c r="B1451" t="s">
        <v>2312</v>
      </c>
      <c r="C1451" t="s">
        <v>2313</v>
      </c>
      <c r="D1451" s="2">
        <v>45944</v>
      </c>
      <c r="E1451">
        <v>14</v>
      </c>
      <c r="F1451">
        <v>7</v>
      </c>
    </row>
    <row r="1452" spans="1:6" x14ac:dyDescent="0.25">
      <c r="A1452" t="s">
        <v>2320</v>
      </c>
      <c r="B1452" t="s">
        <v>2312</v>
      </c>
      <c r="C1452" t="s">
        <v>2313</v>
      </c>
      <c r="D1452" s="2">
        <v>45959</v>
      </c>
      <c r="E1452">
        <v>14</v>
      </c>
      <c r="F1452">
        <v>8</v>
      </c>
    </row>
    <row r="1453" spans="1:6" x14ac:dyDescent="0.25">
      <c r="A1453" t="s">
        <v>2321</v>
      </c>
      <c r="B1453" t="s">
        <v>2322</v>
      </c>
      <c r="C1453" t="s">
        <v>2323</v>
      </c>
      <c r="D1453" s="2">
        <v>45808</v>
      </c>
      <c r="E1453">
        <v>28</v>
      </c>
      <c r="F1453">
        <v>1</v>
      </c>
    </row>
    <row r="1454" spans="1:6" x14ac:dyDescent="0.25">
      <c r="A1454" t="s">
        <v>2324</v>
      </c>
      <c r="B1454" t="s">
        <v>2322</v>
      </c>
      <c r="C1454" t="s">
        <v>2323</v>
      </c>
      <c r="D1454" s="2">
        <v>45835</v>
      </c>
      <c r="E1454">
        <v>28</v>
      </c>
      <c r="F1454">
        <v>2</v>
      </c>
    </row>
    <row r="1455" spans="1:6" x14ac:dyDescent="0.25">
      <c r="A1455" t="s">
        <v>2325</v>
      </c>
      <c r="B1455" t="s">
        <v>2322</v>
      </c>
      <c r="C1455" t="s">
        <v>2323</v>
      </c>
      <c r="D1455" s="2">
        <v>45863</v>
      </c>
      <c r="E1455">
        <v>28</v>
      </c>
      <c r="F1455">
        <v>3</v>
      </c>
    </row>
    <row r="1456" spans="1:6" x14ac:dyDescent="0.25">
      <c r="A1456" t="s">
        <v>2326</v>
      </c>
      <c r="B1456" t="s">
        <v>2322</v>
      </c>
      <c r="C1456" t="s">
        <v>2323</v>
      </c>
      <c r="D1456" s="2">
        <v>45890</v>
      </c>
      <c r="E1456">
        <v>28</v>
      </c>
      <c r="F1456">
        <v>4</v>
      </c>
    </row>
    <row r="1457" spans="1:6" x14ac:dyDescent="0.25">
      <c r="A1457" t="s">
        <v>2327</v>
      </c>
      <c r="B1457" t="s">
        <v>2322</v>
      </c>
      <c r="C1457" t="s">
        <v>2323</v>
      </c>
      <c r="D1457" s="2">
        <v>45920</v>
      </c>
      <c r="E1457">
        <v>28</v>
      </c>
      <c r="F1457">
        <v>5</v>
      </c>
    </row>
    <row r="1458" spans="1:6" x14ac:dyDescent="0.25">
      <c r="A1458" t="s">
        <v>2328</v>
      </c>
      <c r="B1458" t="s">
        <v>2322</v>
      </c>
      <c r="C1458" t="s">
        <v>2323</v>
      </c>
      <c r="D1458" s="2">
        <v>45946</v>
      </c>
      <c r="E1458">
        <v>28</v>
      </c>
      <c r="F1458">
        <v>6</v>
      </c>
    </row>
    <row r="1459" spans="1:6" x14ac:dyDescent="0.25">
      <c r="A1459" t="s">
        <v>2329</v>
      </c>
      <c r="B1459" t="s">
        <v>2330</v>
      </c>
      <c r="C1459" t="s">
        <v>2331</v>
      </c>
      <c r="D1459" s="2">
        <v>45853</v>
      </c>
      <c r="E1459">
        <v>14</v>
      </c>
      <c r="F1459">
        <v>1</v>
      </c>
    </row>
    <row r="1460" spans="1:6" x14ac:dyDescent="0.25">
      <c r="A1460" t="s">
        <v>2332</v>
      </c>
      <c r="B1460" t="s">
        <v>2330</v>
      </c>
      <c r="C1460" t="s">
        <v>2331</v>
      </c>
      <c r="D1460" s="2">
        <v>45869</v>
      </c>
      <c r="E1460">
        <v>14</v>
      </c>
      <c r="F1460">
        <v>2</v>
      </c>
    </row>
    <row r="1461" spans="1:6" x14ac:dyDescent="0.25">
      <c r="A1461" t="s">
        <v>2333</v>
      </c>
      <c r="B1461" t="s">
        <v>2330</v>
      </c>
      <c r="C1461" t="s">
        <v>2331</v>
      </c>
      <c r="D1461" s="2">
        <v>45881</v>
      </c>
      <c r="E1461">
        <v>14</v>
      </c>
      <c r="F1461">
        <v>3</v>
      </c>
    </row>
    <row r="1462" spans="1:6" x14ac:dyDescent="0.25">
      <c r="A1462" t="s">
        <v>2334</v>
      </c>
      <c r="B1462" t="s">
        <v>2330</v>
      </c>
      <c r="C1462" t="s">
        <v>2331</v>
      </c>
      <c r="D1462" s="2">
        <v>45894</v>
      </c>
      <c r="E1462">
        <v>14</v>
      </c>
      <c r="F1462">
        <v>4</v>
      </c>
    </row>
    <row r="1463" spans="1:6" x14ac:dyDescent="0.25">
      <c r="A1463" t="s">
        <v>2335</v>
      </c>
      <c r="B1463" t="s">
        <v>2330</v>
      </c>
      <c r="C1463" t="s">
        <v>2331</v>
      </c>
      <c r="D1463" s="2">
        <v>45907</v>
      </c>
      <c r="E1463">
        <v>14</v>
      </c>
      <c r="F1463">
        <v>5</v>
      </c>
    </row>
    <row r="1464" spans="1:6" x14ac:dyDescent="0.25">
      <c r="A1464" t="s">
        <v>2336</v>
      </c>
      <c r="B1464" t="s">
        <v>2330</v>
      </c>
      <c r="C1464" t="s">
        <v>2331</v>
      </c>
      <c r="D1464" s="2">
        <v>45922</v>
      </c>
      <c r="E1464">
        <v>14</v>
      </c>
      <c r="F1464">
        <v>6</v>
      </c>
    </row>
    <row r="1465" spans="1:6" x14ac:dyDescent="0.25">
      <c r="A1465" t="s">
        <v>2337</v>
      </c>
      <c r="B1465" t="s">
        <v>2330</v>
      </c>
      <c r="C1465" t="s">
        <v>2331</v>
      </c>
      <c r="D1465" s="2">
        <v>45939</v>
      </c>
      <c r="E1465">
        <v>14</v>
      </c>
      <c r="F1465">
        <v>7</v>
      </c>
    </row>
    <row r="1466" spans="1:6" x14ac:dyDescent="0.25">
      <c r="A1466" t="s">
        <v>2338</v>
      </c>
      <c r="B1466" t="s">
        <v>2330</v>
      </c>
      <c r="C1466" t="s">
        <v>2331</v>
      </c>
      <c r="D1466" s="2">
        <v>45953</v>
      </c>
      <c r="E1466">
        <v>14</v>
      </c>
      <c r="F1466">
        <v>8</v>
      </c>
    </row>
    <row r="1467" spans="1:6" x14ac:dyDescent="0.25">
      <c r="A1467" t="s">
        <v>2339</v>
      </c>
      <c r="B1467" t="s">
        <v>2340</v>
      </c>
      <c r="C1467" t="s">
        <v>2341</v>
      </c>
      <c r="D1467" s="2">
        <v>45935</v>
      </c>
      <c r="E1467">
        <v>28</v>
      </c>
      <c r="F1467">
        <v>1</v>
      </c>
    </row>
    <row r="1468" spans="1:6" x14ac:dyDescent="0.25">
      <c r="A1468" t="s">
        <v>2342</v>
      </c>
      <c r="B1468" t="s">
        <v>2343</v>
      </c>
      <c r="C1468" t="s">
        <v>2344</v>
      </c>
      <c r="D1468" s="2">
        <v>45834</v>
      </c>
      <c r="E1468">
        <v>56</v>
      </c>
      <c r="F1468">
        <v>1</v>
      </c>
    </row>
    <row r="1469" spans="1:6" x14ac:dyDescent="0.25">
      <c r="A1469" t="s">
        <v>2345</v>
      </c>
      <c r="B1469" t="s">
        <v>2343</v>
      </c>
      <c r="C1469" t="s">
        <v>2344</v>
      </c>
      <c r="D1469" s="2">
        <v>45890</v>
      </c>
      <c r="E1469">
        <v>56</v>
      </c>
      <c r="F1469">
        <v>2</v>
      </c>
    </row>
    <row r="1470" spans="1:6" x14ac:dyDescent="0.25">
      <c r="A1470" t="s">
        <v>2346</v>
      </c>
      <c r="B1470" t="s">
        <v>2343</v>
      </c>
      <c r="C1470" t="s">
        <v>2344</v>
      </c>
      <c r="D1470" s="2">
        <v>45944</v>
      </c>
      <c r="E1470">
        <v>56</v>
      </c>
      <c r="F1470">
        <v>3</v>
      </c>
    </row>
    <row r="1471" spans="1:6" x14ac:dyDescent="0.25">
      <c r="A1471" t="s">
        <v>2347</v>
      </c>
      <c r="B1471" t="s">
        <v>2348</v>
      </c>
      <c r="C1471" t="s">
        <v>2349</v>
      </c>
      <c r="D1471" s="2">
        <v>45900</v>
      </c>
      <c r="E1471">
        <v>28</v>
      </c>
      <c r="F1471">
        <v>1</v>
      </c>
    </row>
    <row r="1472" spans="1:6" x14ac:dyDescent="0.25">
      <c r="A1472" t="s">
        <v>2350</v>
      </c>
      <c r="B1472" t="s">
        <v>2348</v>
      </c>
      <c r="C1472" t="s">
        <v>2349</v>
      </c>
      <c r="D1472" s="2">
        <v>45931</v>
      </c>
      <c r="E1472">
        <v>28</v>
      </c>
      <c r="F1472">
        <v>2</v>
      </c>
    </row>
    <row r="1473" spans="1:6" x14ac:dyDescent="0.25">
      <c r="A1473" t="s">
        <v>2351</v>
      </c>
      <c r="B1473" t="s">
        <v>2348</v>
      </c>
      <c r="C1473" t="s">
        <v>2349</v>
      </c>
      <c r="D1473" s="2">
        <v>45958</v>
      </c>
      <c r="E1473">
        <v>28</v>
      </c>
      <c r="F1473">
        <v>3</v>
      </c>
    </row>
    <row r="1474" spans="1:6" x14ac:dyDescent="0.25">
      <c r="A1474" t="s">
        <v>2352</v>
      </c>
      <c r="B1474" t="s">
        <v>2353</v>
      </c>
      <c r="C1474" t="s">
        <v>2354</v>
      </c>
      <c r="D1474" s="2">
        <v>45894</v>
      </c>
      <c r="E1474">
        <v>28</v>
      </c>
      <c r="F1474">
        <v>1</v>
      </c>
    </row>
    <row r="1475" spans="1:6" x14ac:dyDescent="0.25">
      <c r="A1475" t="s">
        <v>2355</v>
      </c>
      <c r="B1475" t="s">
        <v>2353</v>
      </c>
      <c r="C1475" t="s">
        <v>2354</v>
      </c>
      <c r="D1475" s="2">
        <v>45923</v>
      </c>
      <c r="E1475">
        <v>28</v>
      </c>
      <c r="F1475">
        <v>2</v>
      </c>
    </row>
    <row r="1476" spans="1:6" x14ac:dyDescent="0.25">
      <c r="A1476" t="s">
        <v>2356</v>
      </c>
      <c r="B1476" t="s">
        <v>2353</v>
      </c>
      <c r="C1476" t="s">
        <v>2354</v>
      </c>
      <c r="D1476" s="2">
        <v>45954</v>
      </c>
      <c r="E1476">
        <v>28</v>
      </c>
      <c r="F1476">
        <v>3</v>
      </c>
    </row>
    <row r="1477" spans="1:6" x14ac:dyDescent="0.25">
      <c r="A1477" t="s">
        <v>2357</v>
      </c>
      <c r="B1477" t="s">
        <v>2358</v>
      </c>
      <c r="C1477" t="s">
        <v>2359</v>
      </c>
      <c r="D1477" s="2">
        <v>45933</v>
      </c>
      <c r="E1477">
        <v>28</v>
      </c>
      <c r="F1477">
        <v>1</v>
      </c>
    </row>
    <row r="1478" spans="1:6" x14ac:dyDescent="0.25">
      <c r="A1478" t="s">
        <v>2360</v>
      </c>
      <c r="B1478" t="s">
        <v>2361</v>
      </c>
      <c r="C1478" t="s">
        <v>2362</v>
      </c>
      <c r="D1478" s="2">
        <v>45884</v>
      </c>
      <c r="E1478">
        <v>28</v>
      </c>
      <c r="F1478">
        <v>1</v>
      </c>
    </row>
    <row r="1479" spans="1:6" x14ac:dyDescent="0.25">
      <c r="A1479" t="s">
        <v>2363</v>
      </c>
      <c r="B1479" t="s">
        <v>2361</v>
      </c>
      <c r="C1479" t="s">
        <v>2362</v>
      </c>
      <c r="D1479" s="2">
        <v>45910</v>
      </c>
      <c r="E1479">
        <v>28</v>
      </c>
      <c r="F1479">
        <v>2</v>
      </c>
    </row>
    <row r="1480" spans="1:6" x14ac:dyDescent="0.25">
      <c r="A1480" t="s">
        <v>2364</v>
      </c>
      <c r="B1480" t="s">
        <v>2361</v>
      </c>
      <c r="C1480" t="s">
        <v>2362</v>
      </c>
      <c r="D1480" s="2">
        <v>45937</v>
      </c>
      <c r="E1480">
        <v>28</v>
      </c>
      <c r="F1480">
        <v>3</v>
      </c>
    </row>
    <row r="1481" spans="1:6" x14ac:dyDescent="0.25">
      <c r="A1481" t="s">
        <v>2365</v>
      </c>
      <c r="B1481" t="s">
        <v>2366</v>
      </c>
      <c r="C1481" t="s">
        <v>2367</v>
      </c>
      <c r="D1481" s="2">
        <v>45918</v>
      </c>
      <c r="E1481">
        <v>56</v>
      </c>
      <c r="F1481">
        <v>1</v>
      </c>
    </row>
    <row r="1482" spans="1:6" x14ac:dyDescent="0.25">
      <c r="A1482" t="s">
        <v>2368</v>
      </c>
      <c r="B1482" t="s">
        <v>2369</v>
      </c>
      <c r="C1482" t="s">
        <v>2370</v>
      </c>
      <c r="D1482" s="2">
        <v>45915</v>
      </c>
      <c r="E1482">
        <v>30</v>
      </c>
      <c r="F1482">
        <v>1</v>
      </c>
    </row>
    <row r="1483" spans="1:6" x14ac:dyDescent="0.25">
      <c r="A1483" t="s">
        <v>2371</v>
      </c>
      <c r="B1483" t="s">
        <v>2369</v>
      </c>
      <c r="C1483" t="s">
        <v>2370</v>
      </c>
      <c r="D1483" s="2">
        <v>45947</v>
      </c>
      <c r="E1483">
        <v>30</v>
      </c>
      <c r="F1483">
        <v>2</v>
      </c>
    </row>
    <row r="1484" spans="1:6" x14ac:dyDescent="0.25">
      <c r="A1484" t="s">
        <v>2372</v>
      </c>
      <c r="B1484" t="s">
        <v>2373</v>
      </c>
      <c r="C1484" t="s">
        <v>2374</v>
      </c>
      <c r="D1484" s="2">
        <v>45948</v>
      </c>
      <c r="E1484">
        <v>28</v>
      </c>
      <c r="F1484">
        <v>1</v>
      </c>
    </row>
    <row r="1485" spans="1:6" x14ac:dyDescent="0.25">
      <c r="A1485" t="s">
        <v>2375</v>
      </c>
      <c r="B1485" t="s">
        <v>2376</v>
      </c>
      <c r="C1485" t="s">
        <v>2377</v>
      </c>
      <c r="D1485" s="2">
        <v>45833</v>
      </c>
      <c r="E1485">
        <v>21</v>
      </c>
      <c r="F1485">
        <v>1</v>
      </c>
    </row>
    <row r="1486" spans="1:6" x14ac:dyDescent="0.25">
      <c r="A1486" t="s">
        <v>2378</v>
      </c>
      <c r="B1486" t="s">
        <v>2376</v>
      </c>
      <c r="C1486" t="s">
        <v>2377</v>
      </c>
      <c r="D1486" s="2">
        <v>45857</v>
      </c>
      <c r="E1486">
        <v>21</v>
      </c>
      <c r="F1486">
        <v>2</v>
      </c>
    </row>
    <row r="1487" spans="1:6" x14ac:dyDescent="0.25">
      <c r="A1487" t="s">
        <v>2379</v>
      </c>
      <c r="B1487" t="s">
        <v>2376</v>
      </c>
      <c r="C1487" t="s">
        <v>2377</v>
      </c>
      <c r="D1487" s="2">
        <v>45877</v>
      </c>
      <c r="E1487">
        <v>21</v>
      </c>
      <c r="F1487">
        <v>3</v>
      </c>
    </row>
    <row r="1488" spans="1:6" x14ac:dyDescent="0.25">
      <c r="A1488" t="s">
        <v>2380</v>
      </c>
      <c r="B1488" t="s">
        <v>2376</v>
      </c>
      <c r="C1488" t="s">
        <v>2377</v>
      </c>
      <c r="D1488" s="2">
        <v>45899</v>
      </c>
      <c r="E1488">
        <v>21</v>
      </c>
      <c r="F1488">
        <v>4</v>
      </c>
    </row>
    <row r="1489" spans="1:6" x14ac:dyDescent="0.25">
      <c r="A1489" t="s">
        <v>2381</v>
      </c>
      <c r="B1489" t="s">
        <v>2376</v>
      </c>
      <c r="C1489" t="s">
        <v>2377</v>
      </c>
      <c r="D1489" s="2">
        <v>45920</v>
      </c>
      <c r="E1489">
        <v>21</v>
      </c>
      <c r="F1489">
        <v>5</v>
      </c>
    </row>
    <row r="1490" spans="1:6" x14ac:dyDescent="0.25">
      <c r="A1490" t="s">
        <v>2382</v>
      </c>
      <c r="B1490" t="s">
        <v>2376</v>
      </c>
      <c r="C1490" t="s">
        <v>2377</v>
      </c>
      <c r="D1490" s="2">
        <v>45939</v>
      </c>
      <c r="E1490">
        <v>21</v>
      </c>
      <c r="F1490">
        <v>6</v>
      </c>
    </row>
    <row r="1491" spans="1:6" x14ac:dyDescent="0.25">
      <c r="A1491" t="s">
        <v>2383</v>
      </c>
      <c r="B1491" t="s">
        <v>2384</v>
      </c>
      <c r="C1491" t="s">
        <v>2385</v>
      </c>
      <c r="D1491" s="2">
        <v>45841</v>
      </c>
      <c r="E1491">
        <v>21</v>
      </c>
      <c r="F1491">
        <v>1</v>
      </c>
    </row>
    <row r="1492" spans="1:6" x14ac:dyDescent="0.25">
      <c r="A1492" t="s">
        <v>2386</v>
      </c>
      <c r="B1492" t="s">
        <v>2384</v>
      </c>
      <c r="C1492" t="s">
        <v>2385</v>
      </c>
      <c r="D1492" s="2">
        <v>45860</v>
      </c>
      <c r="E1492">
        <v>21</v>
      </c>
      <c r="F1492">
        <v>2</v>
      </c>
    </row>
    <row r="1493" spans="1:6" x14ac:dyDescent="0.25">
      <c r="A1493" t="s">
        <v>2387</v>
      </c>
      <c r="B1493" t="s">
        <v>2384</v>
      </c>
      <c r="C1493" t="s">
        <v>2385</v>
      </c>
      <c r="D1493" s="2">
        <v>45879</v>
      </c>
      <c r="E1493">
        <v>21</v>
      </c>
      <c r="F1493">
        <v>3</v>
      </c>
    </row>
    <row r="1494" spans="1:6" x14ac:dyDescent="0.25">
      <c r="A1494" t="s">
        <v>2388</v>
      </c>
      <c r="B1494" t="s">
        <v>2384</v>
      </c>
      <c r="C1494" t="s">
        <v>2385</v>
      </c>
      <c r="D1494" s="2">
        <v>45899</v>
      </c>
      <c r="E1494">
        <v>21</v>
      </c>
      <c r="F1494">
        <v>4</v>
      </c>
    </row>
    <row r="1495" spans="1:6" x14ac:dyDescent="0.25">
      <c r="A1495" t="s">
        <v>2389</v>
      </c>
      <c r="B1495" t="s">
        <v>2384</v>
      </c>
      <c r="C1495" t="s">
        <v>2385</v>
      </c>
      <c r="D1495" s="2">
        <v>45922</v>
      </c>
      <c r="E1495">
        <v>21</v>
      </c>
      <c r="F1495">
        <v>5</v>
      </c>
    </row>
    <row r="1496" spans="1:6" x14ac:dyDescent="0.25">
      <c r="A1496" t="s">
        <v>2390</v>
      </c>
      <c r="B1496" t="s">
        <v>2384</v>
      </c>
      <c r="C1496" t="s">
        <v>2385</v>
      </c>
      <c r="D1496" s="2">
        <v>45945</v>
      </c>
      <c r="E1496">
        <v>21</v>
      </c>
      <c r="F1496">
        <v>6</v>
      </c>
    </row>
    <row r="1497" spans="1:6" x14ac:dyDescent="0.25">
      <c r="A1497" t="s">
        <v>2391</v>
      </c>
      <c r="B1497" t="s">
        <v>2392</v>
      </c>
      <c r="C1497" t="s">
        <v>2393</v>
      </c>
      <c r="D1497" s="2">
        <v>45930</v>
      </c>
      <c r="E1497">
        <v>28</v>
      </c>
      <c r="F1497">
        <v>1</v>
      </c>
    </row>
    <row r="1498" spans="1:6" x14ac:dyDescent="0.25">
      <c r="A1498" t="s">
        <v>2394</v>
      </c>
      <c r="B1498" t="s">
        <v>2392</v>
      </c>
      <c r="C1498" t="s">
        <v>2393</v>
      </c>
      <c r="D1498" s="2">
        <v>45958</v>
      </c>
      <c r="E1498">
        <v>28</v>
      </c>
      <c r="F1498">
        <v>2</v>
      </c>
    </row>
    <row r="1499" spans="1:6" x14ac:dyDescent="0.25">
      <c r="A1499" t="s">
        <v>2395</v>
      </c>
      <c r="B1499" t="s">
        <v>2396</v>
      </c>
      <c r="C1499" t="s">
        <v>2397</v>
      </c>
      <c r="D1499" s="2">
        <v>45798</v>
      </c>
      <c r="E1499">
        <v>28</v>
      </c>
      <c r="F1499">
        <v>1</v>
      </c>
    </row>
    <row r="1500" spans="1:6" x14ac:dyDescent="0.25">
      <c r="A1500" t="s">
        <v>2398</v>
      </c>
      <c r="B1500" t="s">
        <v>2396</v>
      </c>
      <c r="C1500" t="s">
        <v>2397</v>
      </c>
      <c r="D1500" s="2">
        <v>45826</v>
      </c>
      <c r="E1500">
        <v>28</v>
      </c>
      <c r="F1500">
        <v>2</v>
      </c>
    </row>
    <row r="1501" spans="1:6" x14ac:dyDescent="0.25">
      <c r="A1501" t="s">
        <v>2399</v>
      </c>
      <c r="B1501" t="s">
        <v>2396</v>
      </c>
      <c r="C1501" t="s">
        <v>2397</v>
      </c>
      <c r="D1501" s="2">
        <v>45851</v>
      </c>
      <c r="E1501">
        <v>28</v>
      </c>
      <c r="F1501">
        <v>3</v>
      </c>
    </row>
    <row r="1502" spans="1:6" x14ac:dyDescent="0.25">
      <c r="A1502" t="s">
        <v>2400</v>
      </c>
      <c r="B1502" t="s">
        <v>2396</v>
      </c>
      <c r="C1502" t="s">
        <v>2397</v>
      </c>
      <c r="D1502" s="2">
        <v>45882</v>
      </c>
      <c r="E1502">
        <v>28</v>
      </c>
      <c r="F1502">
        <v>4</v>
      </c>
    </row>
    <row r="1503" spans="1:6" x14ac:dyDescent="0.25">
      <c r="A1503" t="s">
        <v>2401</v>
      </c>
      <c r="B1503" t="s">
        <v>2396</v>
      </c>
      <c r="C1503" t="s">
        <v>2397</v>
      </c>
      <c r="D1503" s="2">
        <v>45911</v>
      </c>
      <c r="E1503">
        <v>28</v>
      </c>
      <c r="F1503">
        <v>5</v>
      </c>
    </row>
    <row r="1504" spans="1:6" x14ac:dyDescent="0.25">
      <c r="A1504" t="s">
        <v>2402</v>
      </c>
      <c r="B1504" t="s">
        <v>2396</v>
      </c>
      <c r="C1504" t="s">
        <v>2397</v>
      </c>
      <c r="D1504" s="2">
        <v>45936</v>
      </c>
      <c r="E1504">
        <v>28</v>
      </c>
      <c r="F1504">
        <v>6</v>
      </c>
    </row>
    <row r="1505" spans="1:6" x14ac:dyDescent="0.25">
      <c r="A1505" t="s">
        <v>2403</v>
      </c>
      <c r="B1505" t="s">
        <v>2404</v>
      </c>
      <c r="C1505" t="s">
        <v>2405</v>
      </c>
      <c r="D1505" s="2">
        <v>45892</v>
      </c>
      <c r="E1505">
        <v>14</v>
      </c>
      <c r="F1505">
        <v>1</v>
      </c>
    </row>
    <row r="1506" spans="1:6" x14ac:dyDescent="0.25">
      <c r="A1506" t="s">
        <v>2406</v>
      </c>
      <c r="B1506" t="s">
        <v>2404</v>
      </c>
      <c r="C1506" t="s">
        <v>2405</v>
      </c>
      <c r="D1506" s="2">
        <v>45904</v>
      </c>
      <c r="E1506">
        <v>14</v>
      </c>
      <c r="F1506">
        <v>2</v>
      </c>
    </row>
    <row r="1507" spans="1:6" x14ac:dyDescent="0.25">
      <c r="A1507" t="s">
        <v>2407</v>
      </c>
      <c r="B1507" t="s">
        <v>2404</v>
      </c>
      <c r="C1507" t="s">
        <v>2405</v>
      </c>
      <c r="D1507" s="2">
        <v>45920</v>
      </c>
      <c r="E1507">
        <v>14</v>
      </c>
      <c r="F1507">
        <v>3</v>
      </c>
    </row>
    <row r="1508" spans="1:6" x14ac:dyDescent="0.25">
      <c r="A1508" t="s">
        <v>2408</v>
      </c>
      <c r="B1508" t="s">
        <v>2404</v>
      </c>
      <c r="C1508" t="s">
        <v>2405</v>
      </c>
      <c r="D1508" s="2">
        <v>45934</v>
      </c>
      <c r="E1508">
        <v>14</v>
      </c>
      <c r="F1508">
        <v>4</v>
      </c>
    </row>
    <row r="1509" spans="1:6" x14ac:dyDescent="0.25">
      <c r="A1509" t="s">
        <v>2409</v>
      </c>
      <c r="B1509" t="s">
        <v>2404</v>
      </c>
      <c r="C1509" t="s">
        <v>2405</v>
      </c>
      <c r="D1509" s="2">
        <v>45946</v>
      </c>
      <c r="E1509">
        <v>14</v>
      </c>
      <c r="F1509">
        <v>5</v>
      </c>
    </row>
    <row r="1510" spans="1:6" x14ac:dyDescent="0.25">
      <c r="A1510" t="s">
        <v>2410</v>
      </c>
      <c r="B1510" t="s">
        <v>2411</v>
      </c>
      <c r="C1510" t="s">
        <v>2412</v>
      </c>
      <c r="D1510" s="2">
        <v>45958</v>
      </c>
      <c r="E1510">
        <v>21</v>
      </c>
      <c r="F1510">
        <v>1</v>
      </c>
    </row>
    <row r="1511" spans="1:6" x14ac:dyDescent="0.25">
      <c r="A1511" t="s">
        <v>2413</v>
      </c>
      <c r="B1511" t="s">
        <v>2414</v>
      </c>
      <c r="C1511" t="s">
        <v>2415</v>
      </c>
      <c r="D1511" s="2">
        <v>45797</v>
      </c>
      <c r="E1511">
        <v>56</v>
      </c>
      <c r="F1511">
        <v>1</v>
      </c>
    </row>
    <row r="1512" spans="1:6" x14ac:dyDescent="0.25">
      <c r="A1512" t="s">
        <v>2416</v>
      </c>
      <c r="B1512" t="s">
        <v>2414</v>
      </c>
      <c r="C1512" t="s">
        <v>2415</v>
      </c>
      <c r="D1512" s="2">
        <v>45851</v>
      </c>
      <c r="E1512">
        <v>56</v>
      </c>
      <c r="F1512">
        <v>2</v>
      </c>
    </row>
    <row r="1513" spans="1:6" x14ac:dyDescent="0.25">
      <c r="A1513" t="s">
        <v>2417</v>
      </c>
      <c r="B1513" t="s">
        <v>2414</v>
      </c>
      <c r="C1513" t="s">
        <v>2415</v>
      </c>
      <c r="D1513" s="2">
        <v>45908</v>
      </c>
      <c r="E1513">
        <v>56</v>
      </c>
      <c r="F1513">
        <v>3</v>
      </c>
    </row>
    <row r="1514" spans="1:6" x14ac:dyDescent="0.25">
      <c r="A1514" t="s">
        <v>2418</v>
      </c>
      <c r="B1514" t="s">
        <v>2419</v>
      </c>
      <c r="C1514" t="s">
        <v>2420</v>
      </c>
      <c r="D1514" s="2">
        <v>45806</v>
      </c>
      <c r="E1514">
        <v>28</v>
      </c>
      <c r="F1514">
        <v>1</v>
      </c>
    </row>
    <row r="1515" spans="1:6" x14ac:dyDescent="0.25">
      <c r="A1515" t="s">
        <v>2421</v>
      </c>
      <c r="B1515" t="s">
        <v>2419</v>
      </c>
      <c r="C1515" t="s">
        <v>2420</v>
      </c>
      <c r="D1515" s="2">
        <v>45831</v>
      </c>
      <c r="E1515">
        <v>28</v>
      </c>
      <c r="F1515">
        <v>2</v>
      </c>
    </row>
    <row r="1516" spans="1:6" x14ac:dyDescent="0.25">
      <c r="A1516" t="s">
        <v>2422</v>
      </c>
      <c r="B1516" t="s">
        <v>2419</v>
      </c>
      <c r="C1516" t="s">
        <v>2420</v>
      </c>
      <c r="D1516" s="2">
        <v>45858</v>
      </c>
      <c r="E1516">
        <v>28</v>
      </c>
      <c r="F1516">
        <v>3</v>
      </c>
    </row>
    <row r="1517" spans="1:6" x14ac:dyDescent="0.25">
      <c r="A1517" t="s">
        <v>2423</v>
      </c>
      <c r="B1517" t="s">
        <v>2419</v>
      </c>
      <c r="C1517" t="s">
        <v>2420</v>
      </c>
      <c r="D1517" s="2">
        <v>45885</v>
      </c>
      <c r="E1517">
        <v>28</v>
      </c>
      <c r="F1517">
        <v>4</v>
      </c>
    </row>
    <row r="1518" spans="1:6" x14ac:dyDescent="0.25">
      <c r="A1518" t="s">
        <v>2424</v>
      </c>
      <c r="B1518" t="s">
        <v>2419</v>
      </c>
      <c r="C1518" t="s">
        <v>2420</v>
      </c>
      <c r="D1518" s="2">
        <v>45913</v>
      </c>
      <c r="E1518">
        <v>28</v>
      </c>
      <c r="F1518">
        <v>5</v>
      </c>
    </row>
    <row r="1519" spans="1:6" x14ac:dyDescent="0.25">
      <c r="A1519" t="s">
        <v>2425</v>
      </c>
      <c r="B1519" t="s">
        <v>2419</v>
      </c>
      <c r="C1519" t="s">
        <v>2420</v>
      </c>
      <c r="D1519" s="2">
        <v>45944</v>
      </c>
      <c r="E1519">
        <v>28</v>
      </c>
      <c r="F1519">
        <v>6</v>
      </c>
    </row>
    <row r="1520" spans="1:6" x14ac:dyDescent="0.25">
      <c r="A1520" t="s">
        <v>2426</v>
      </c>
      <c r="B1520" t="s">
        <v>2427</v>
      </c>
      <c r="C1520" t="s">
        <v>2428</v>
      </c>
      <c r="D1520" s="2">
        <v>45918</v>
      </c>
      <c r="E1520">
        <v>28</v>
      </c>
      <c r="F1520">
        <v>1</v>
      </c>
    </row>
    <row r="1521" spans="1:6" x14ac:dyDescent="0.25">
      <c r="A1521" t="s">
        <v>2429</v>
      </c>
      <c r="B1521" t="s">
        <v>2427</v>
      </c>
      <c r="C1521" t="s">
        <v>2428</v>
      </c>
      <c r="D1521" s="2">
        <v>45946</v>
      </c>
      <c r="E1521">
        <v>28</v>
      </c>
      <c r="F1521">
        <v>2</v>
      </c>
    </row>
    <row r="1522" spans="1:6" x14ac:dyDescent="0.25">
      <c r="A1522" t="s">
        <v>2430</v>
      </c>
      <c r="B1522" t="s">
        <v>2431</v>
      </c>
      <c r="C1522" t="s">
        <v>2432</v>
      </c>
      <c r="D1522" s="2">
        <v>45829</v>
      </c>
      <c r="E1522">
        <v>28</v>
      </c>
      <c r="F1522">
        <v>1</v>
      </c>
    </row>
    <row r="1523" spans="1:6" x14ac:dyDescent="0.25">
      <c r="A1523" t="s">
        <v>2433</v>
      </c>
      <c r="B1523" t="s">
        <v>2431</v>
      </c>
      <c r="C1523" t="s">
        <v>2432</v>
      </c>
      <c r="D1523" s="2">
        <v>45855</v>
      </c>
      <c r="E1523">
        <v>28</v>
      </c>
      <c r="F1523">
        <v>2</v>
      </c>
    </row>
    <row r="1524" spans="1:6" x14ac:dyDescent="0.25">
      <c r="A1524" t="s">
        <v>2434</v>
      </c>
      <c r="B1524" t="s">
        <v>2431</v>
      </c>
      <c r="C1524" t="s">
        <v>2432</v>
      </c>
      <c r="D1524" s="2">
        <v>45884</v>
      </c>
      <c r="E1524">
        <v>28</v>
      </c>
      <c r="F1524">
        <v>3</v>
      </c>
    </row>
    <row r="1525" spans="1:6" x14ac:dyDescent="0.25">
      <c r="A1525" t="s">
        <v>2435</v>
      </c>
      <c r="B1525" t="s">
        <v>2431</v>
      </c>
      <c r="C1525" t="s">
        <v>2432</v>
      </c>
      <c r="D1525" s="2">
        <v>45914</v>
      </c>
      <c r="E1525">
        <v>28</v>
      </c>
      <c r="F1525">
        <v>4</v>
      </c>
    </row>
    <row r="1526" spans="1:6" x14ac:dyDescent="0.25">
      <c r="A1526" t="s">
        <v>2436</v>
      </c>
      <c r="B1526" t="s">
        <v>2431</v>
      </c>
      <c r="C1526" t="s">
        <v>2432</v>
      </c>
      <c r="D1526" s="2">
        <v>45944</v>
      </c>
      <c r="E1526">
        <v>28</v>
      </c>
      <c r="F1526">
        <v>5</v>
      </c>
    </row>
    <row r="1527" spans="1:6" x14ac:dyDescent="0.25">
      <c r="A1527" t="s">
        <v>2437</v>
      </c>
      <c r="B1527" t="s">
        <v>2438</v>
      </c>
      <c r="C1527" t="s">
        <v>2439</v>
      </c>
      <c r="D1527" s="2">
        <v>45915</v>
      </c>
      <c r="E1527">
        <v>28</v>
      </c>
      <c r="F1527">
        <v>1</v>
      </c>
    </row>
    <row r="1528" spans="1:6" x14ac:dyDescent="0.25">
      <c r="A1528" t="s">
        <v>2440</v>
      </c>
      <c r="B1528" t="s">
        <v>2438</v>
      </c>
      <c r="C1528" t="s">
        <v>2439</v>
      </c>
      <c r="D1528" s="2">
        <v>45944</v>
      </c>
      <c r="E1528">
        <v>28</v>
      </c>
      <c r="F1528">
        <v>2</v>
      </c>
    </row>
    <row r="1529" spans="1:6" x14ac:dyDescent="0.25">
      <c r="A1529" t="s">
        <v>2441</v>
      </c>
      <c r="B1529" t="s">
        <v>2442</v>
      </c>
      <c r="C1529" t="s">
        <v>2443</v>
      </c>
      <c r="D1529" s="2">
        <v>45820</v>
      </c>
      <c r="E1529">
        <v>28</v>
      </c>
      <c r="F1529">
        <v>1</v>
      </c>
    </row>
    <row r="1530" spans="1:6" x14ac:dyDescent="0.25">
      <c r="A1530" t="s">
        <v>2444</v>
      </c>
      <c r="B1530" t="s">
        <v>2442</v>
      </c>
      <c r="C1530" t="s">
        <v>2443</v>
      </c>
      <c r="D1530" s="2">
        <v>45847</v>
      </c>
      <c r="E1530">
        <v>28</v>
      </c>
      <c r="F1530">
        <v>2</v>
      </c>
    </row>
    <row r="1531" spans="1:6" x14ac:dyDescent="0.25">
      <c r="A1531" t="s">
        <v>2445</v>
      </c>
      <c r="B1531" t="s">
        <v>2442</v>
      </c>
      <c r="C1531" t="s">
        <v>2443</v>
      </c>
      <c r="D1531" s="2">
        <v>45874</v>
      </c>
      <c r="E1531">
        <v>28</v>
      </c>
      <c r="F1531">
        <v>3</v>
      </c>
    </row>
    <row r="1532" spans="1:6" x14ac:dyDescent="0.25">
      <c r="A1532" t="s">
        <v>2446</v>
      </c>
      <c r="B1532" t="s">
        <v>2442</v>
      </c>
      <c r="C1532" t="s">
        <v>2443</v>
      </c>
      <c r="D1532" s="2">
        <v>45903</v>
      </c>
      <c r="E1532">
        <v>28</v>
      </c>
      <c r="F1532">
        <v>4</v>
      </c>
    </row>
    <row r="1533" spans="1:6" x14ac:dyDescent="0.25">
      <c r="A1533" t="s">
        <v>2447</v>
      </c>
      <c r="B1533" t="s">
        <v>2442</v>
      </c>
      <c r="C1533" t="s">
        <v>2443</v>
      </c>
      <c r="D1533" s="2">
        <v>45934</v>
      </c>
      <c r="E1533">
        <v>28</v>
      </c>
      <c r="F1533">
        <v>5</v>
      </c>
    </row>
    <row r="1534" spans="1:6" x14ac:dyDescent="0.25">
      <c r="A1534" t="s">
        <v>2448</v>
      </c>
      <c r="B1534" t="s">
        <v>2449</v>
      </c>
      <c r="C1534" t="s">
        <v>2450</v>
      </c>
      <c r="D1534" s="2">
        <v>45911</v>
      </c>
      <c r="E1534">
        <v>21</v>
      </c>
      <c r="F1534">
        <v>1</v>
      </c>
    </row>
    <row r="1535" spans="1:6" x14ac:dyDescent="0.25">
      <c r="A1535" t="s">
        <v>2451</v>
      </c>
      <c r="B1535" t="s">
        <v>2449</v>
      </c>
      <c r="C1535" t="s">
        <v>2450</v>
      </c>
      <c r="D1535" s="2">
        <v>45932</v>
      </c>
      <c r="E1535">
        <v>21</v>
      </c>
      <c r="F1535">
        <v>2</v>
      </c>
    </row>
    <row r="1536" spans="1:6" x14ac:dyDescent="0.25">
      <c r="A1536" t="s">
        <v>2452</v>
      </c>
      <c r="B1536" t="s">
        <v>2453</v>
      </c>
      <c r="C1536" t="s">
        <v>2454</v>
      </c>
      <c r="D1536" s="2">
        <v>45807</v>
      </c>
      <c r="E1536">
        <v>28</v>
      </c>
      <c r="F1536">
        <v>1</v>
      </c>
    </row>
    <row r="1537" spans="1:6" x14ac:dyDescent="0.25">
      <c r="A1537" t="s">
        <v>2455</v>
      </c>
      <c r="B1537" t="s">
        <v>2453</v>
      </c>
      <c r="C1537" t="s">
        <v>2454</v>
      </c>
      <c r="D1537" s="2">
        <v>45832</v>
      </c>
      <c r="E1537">
        <v>28</v>
      </c>
      <c r="F1537">
        <v>2</v>
      </c>
    </row>
    <row r="1538" spans="1:6" x14ac:dyDescent="0.25">
      <c r="A1538" t="s">
        <v>2456</v>
      </c>
      <c r="B1538" t="s">
        <v>2453</v>
      </c>
      <c r="C1538" t="s">
        <v>2454</v>
      </c>
      <c r="D1538" s="2">
        <v>45861</v>
      </c>
      <c r="E1538">
        <v>28</v>
      </c>
      <c r="F1538">
        <v>3</v>
      </c>
    </row>
    <row r="1539" spans="1:6" x14ac:dyDescent="0.25">
      <c r="A1539" t="s">
        <v>2457</v>
      </c>
      <c r="B1539" t="s">
        <v>2453</v>
      </c>
      <c r="C1539" t="s">
        <v>2454</v>
      </c>
      <c r="D1539" s="2">
        <v>45892</v>
      </c>
      <c r="E1539">
        <v>28</v>
      </c>
      <c r="F1539">
        <v>4</v>
      </c>
    </row>
    <row r="1540" spans="1:6" x14ac:dyDescent="0.25">
      <c r="A1540" t="s">
        <v>2458</v>
      </c>
      <c r="B1540" t="s">
        <v>2453</v>
      </c>
      <c r="C1540" t="s">
        <v>2454</v>
      </c>
      <c r="D1540" s="2">
        <v>45918</v>
      </c>
      <c r="E1540">
        <v>28</v>
      </c>
      <c r="F1540">
        <v>5</v>
      </c>
    </row>
    <row r="1541" spans="1:6" x14ac:dyDescent="0.25">
      <c r="A1541" t="s">
        <v>2459</v>
      </c>
      <c r="B1541" t="s">
        <v>2453</v>
      </c>
      <c r="C1541" t="s">
        <v>2454</v>
      </c>
      <c r="D1541" s="2">
        <v>45945</v>
      </c>
      <c r="E1541">
        <v>28</v>
      </c>
      <c r="F1541">
        <v>6</v>
      </c>
    </row>
    <row r="1542" spans="1:6" x14ac:dyDescent="0.25">
      <c r="A1542" t="s">
        <v>2460</v>
      </c>
      <c r="B1542" t="s">
        <v>2461</v>
      </c>
      <c r="C1542" t="s">
        <v>2462</v>
      </c>
      <c r="D1542" s="2">
        <v>45830</v>
      </c>
      <c r="E1542">
        <v>28</v>
      </c>
      <c r="F1542">
        <v>1</v>
      </c>
    </row>
    <row r="1543" spans="1:6" x14ac:dyDescent="0.25">
      <c r="A1543" t="s">
        <v>2463</v>
      </c>
      <c r="B1543" t="s">
        <v>2461</v>
      </c>
      <c r="C1543" t="s">
        <v>2462</v>
      </c>
      <c r="D1543" s="2">
        <v>45860</v>
      </c>
      <c r="E1543">
        <v>28</v>
      </c>
      <c r="F1543">
        <v>2</v>
      </c>
    </row>
    <row r="1544" spans="1:6" x14ac:dyDescent="0.25">
      <c r="A1544" t="s">
        <v>2464</v>
      </c>
      <c r="B1544" t="s">
        <v>2461</v>
      </c>
      <c r="C1544" t="s">
        <v>2462</v>
      </c>
      <c r="D1544" s="2">
        <v>45888</v>
      </c>
      <c r="E1544">
        <v>28</v>
      </c>
      <c r="F1544">
        <v>3</v>
      </c>
    </row>
    <row r="1545" spans="1:6" x14ac:dyDescent="0.25">
      <c r="A1545" t="s">
        <v>2465</v>
      </c>
      <c r="B1545" t="s">
        <v>2461</v>
      </c>
      <c r="C1545" t="s">
        <v>2462</v>
      </c>
      <c r="D1545" s="2">
        <v>45919</v>
      </c>
      <c r="E1545">
        <v>28</v>
      </c>
      <c r="F1545">
        <v>4</v>
      </c>
    </row>
    <row r="1546" spans="1:6" x14ac:dyDescent="0.25">
      <c r="A1546" t="s">
        <v>2466</v>
      </c>
      <c r="B1546" t="s">
        <v>2461</v>
      </c>
      <c r="C1546" t="s">
        <v>2462</v>
      </c>
      <c r="D1546" s="2">
        <v>45946</v>
      </c>
      <c r="E1546">
        <v>28</v>
      </c>
      <c r="F1546">
        <v>5</v>
      </c>
    </row>
    <row r="1547" spans="1:6" x14ac:dyDescent="0.25">
      <c r="A1547" t="s">
        <v>2467</v>
      </c>
      <c r="B1547" t="s">
        <v>2468</v>
      </c>
      <c r="C1547" t="s">
        <v>2469</v>
      </c>
      <c r="D1547" s="2">
        <v>45927</v>
      </c>
      <c r="E1547">
        <v>30</v>
      </c>
      <c r="F1547">
        <v>1</v>
      </c>
    </row>
    <row r="1548" spans="1:6" x14ac:dyDescent="0.25">
      <c r="A1548" t="s">
        <v>2470</v>
      </c>
      <c r="B1548" t="s">
        <v>2468</v>
      </c>
      <c r="C1548" t="s">
        <v>2469</v>
      </c>
      <c r="D1548" s="2">
        <v>45960</v>
      </c>
      <c r="E1548">
        <v>30</v>
      </c>
      <c r="F1548">
        <v>2</v>
      </c>
    </row>
    <row r="1549" spans="1:6" x14ac:dyDescent="0.25">
      <c r="A1549" t="s">
        <v>2471</v>
      </c>
      <c r="B1549" t="s">
        <v>2472</v>
      </c>
      <c r="C1549" t="s">
        <v>2473</v>
      </c>
      <c r="D1549" s="2">
        <v>45801</v>
      </c>
      <c r="E1549">
        <v>28</v>
      </c>
      <c r="F1549">
        <v>1</v>
      </c>
    </row>
    <row r="1550" spans="1:6" x14ac:dyDescent="0.25">
      <c r="A1550" t="s">
        <v>2474</v>
      </c>
      <c r="B1550" t="s">
        <v>2475</v>
      </c>
      <c r="C1550" t="s">
        <v>2476</v>
      </c>
      <c r="D1550" s="2">
        <v>45892</v>
      </c>
      <c r="E1550">
        <v>21</v>
      </c>
      <c r="F1550">
        <v>1</v>
      </c>
    </row>
    <row r="1551" spans="1:6" x14ac:dyDescent="0.25">
      <c r="A1551" t="s">
        <v>2477</v>
      </c>
      <c r="B1551" t="s">
        <v>2475</v>
      </c>
      <c r="C1551" t="s">
        <v>2476</v>
      </c>
      <c r="D1551" s="2">
        <v>45911</v>
      </c>
      <c r="E1551">
        <v>21</v>
      </c>
      <c r="F1551">
        <v>2</v>
      </c>
    </row>
    <row r="1552" spans="1:6" x14ac:dyDescent="0.25">
      <c r="A1552" t="s">
        <v>2478</v>
      </c>
      <c r="B1552" t="s">
        <v>2475</v>
      </c>
      <c r="C1552" t="s">
        <v>2476</v>
      </c>
      <c r="D1552" s="2">
        <v>45932</v>
      </c>
      <c r="E1552">
        <v>21</v>
      </c>
      <c r="F1552">
        <v>3</v>
      </c>
    </row>
    <row r="1553" spans="1:6" x14ac:dyDescent="0.25">
      <c r="A1553" t="s">
        <v>2479</v>
      </c>
      <c r="B1553" t="s">
        <v>2480</v>
      </c>
      <c r="C1553" t="s">
        <v>2481</v>
      </c>
      <c r="D1553" s="2">
        <v>45792</v>
      </c>
      <c r="E1553">
        <v>30</v>
      </c>
      <c r="F1553">
        <v>1</v>
      </c>
    </row>
    <row r="1554" spans="1:6" x14ac:dyDescent="0.25">
      <c r="A1554" t="s">
        <v>2482</v>
      </c>
      <c r="B1554" t="s">
        <v>2480</v>
      </c>
      <c r="C1554" t="s">
        <v>2481</v>
      </c>
      <c r="D1554" s="2">
        <v>45824</v>
      </c>
      <c r="E1554">
        <v>30</v>
      </c>
      <c r="F1554">
        <v>2</v>
      </c>
    </row>
    <row r="1555" spans="1:6" x14ac:dyDescent="0.25">
      <c r="A1555" t="s">
        <v>2483</v>
      </c>
      <c r="B1555" t="s">
        <v>2480</v>
      </c>
      <c r="C1555" t="s">
        <v>2481</v>
      </c>
      <c r="D1555" s="2">
        <v>45856</v>
      </c>
      <c r="E1555">
        <v>30</v>
      </c>
      <c r="F1555">
        <v>3</v>
      </c>
    </row>
    <row r="1556" spans="1:6" x14ac:dyDescent="0.25">
      <c r="A1556" t="s">
        <v>2484</v>
      </c>
      <c r="B1556" t="s">
        <v>2480</v>
      </c>
      <c r="C1556" t="s">
        <v>2481</v>
      </c>
      <c r="D1556" s="2">
        <v>45889</v>
      </c>
      <c r="E1556">
        <v>30</v>
      </c>
      <c r="F1556">
        <v>4</v>
      </c>
    </row>
    <row r="1557" spans="1:6" x14ac:dyDescent="0.25">
      <c r="A1557" t="s">
        <v>2485</v>
      </c>
      <c r="B1557" t="s">
        <v>2480</v>
      </c>
      <c r="C1557" t="s">
        <v>2481</v>
      </c>
      <c r="D1557" s="2">
        <v>45917</v>
      </c>
      <c r="E1557">
        <v>30</v>
      </c>
      <c r="F1557">
        <v>5</v>
      </c>
    </row>
    <row r="1558" spans="1:6" x14ac:dyDescent="0.25">
      <c r="A1558" t="s">
        <v>2486</v>
      </c>
      <c r="B1558" t="s">
        <v>2480</v>
      </c>
      <c r="C1558" t="s">
        <v>2481</v>
      </c>
      <c r="D1558" s="2">
        <v>45944</v>
      </c>
      <c r="E1558">
        <v>30</v>
      </c>
      <c r="F1558">
        <v>6</v>
      </c>
    </row>
    <row r="1559" spans="1:6" x14ac:dyDescent="0.25">
      <c r="A1559" t="s">
        <v>2487</v>
      </c>
      <c r="B1559" t="s">
        <v>2488</v>
      </c>
      <c r="C1559" t="s">
        <v>2489</v>
      </c>
      <c r="D1559" s="2">
        <v>45811</v>
      </c>
      <c r="E1559">
        <v>28</v>
      </c>
      <c r="F1559">
        <v>1</v>
      </c>
    </row>
    <row r="1560" spans="1:6" x14ac:dyDescent="0.25">
      <c r="A1560" t="s">
        <v>2490</v>
      </c>
      <c r="B1560" t="s">
        <v>2488</v>
      </c>
      <c r="C1560" t="s">
        <v>2489</v>
      </c>
      <c r="D1560" s="2">
        <v>45840</v>
      </c>
      <c r="E1560">
        <v>28</v>
      </c>
      <c r="F1560">
        <v>2</v>
      </c>
    </row>
    <row r="1561" spans="1:6" x14ac:dyDescent="0.25">
      <c r="A1561" t="s">
        <v>2491</v>
      </c>
      <c r="B1561" t="s">
        <v>2488</v>
      </c>
      <c r="C1561" t="s">
        <v>2489</v>
      </c>
      <c r="D1561" s="2">
        <v>45871</v>
      </c>
      <c r="E1561">
        <v>28</v>
      </c>
      <c r="F1561">
        <v>3</v>
      </c>
    </row>
    <row r="1562" spans="1:6" x14ac:dyDescent="0.25">
      <c r="A1562" t="s">
        <v>2492</v>
      </c>
      <c r="B1562" t="s">
        <v>2488</v>
      </c>
      <c r="C1562" t="s">
        <v>2489</v>
      </c>
      <c r="D1562" s="2">
        <v>45900</v>
      </c>
      <c r="E1562">
        <v>28</v>
      </c>
      <c r="F1562">
        <v>4</v>
      </c>
    </row>
    <row r="1563" spans="1:6" x14ac:dyDescent="0.25">
      <c r="A1563" t="s">
        <v>2493</v>
      </c>
      <c r="B1563" t="s">
        <v>2488</v>
      </c>
      <c r="C1563" t="s">
        <v>2489</v>
      </c>
      <c r="D1563" s="2">
        <v>45930</v>
      </c>
      <c r="E1563">
        <v>28</v>
      </c>
      <c r="F1563">
        <v>5</v>
      </c>
    </row>
    <row r="1564" spans="1:6" x14ac:dyDescent="0.25">
      <c r="A1564" t="s">
        <v>2494</v>
      </c>
      <c r="B1564" t="s">
        <v>2488</v>
      </c>
      <c r="C1564" t="s">
        <v>2489</v>
      </c>
      <c r="D1564" s="2">
        <v>45957</v>
      </c>
      <c r="E1564">
        <v>28</v>
      </c>
      <c r="F1564">
        <v>6</v>
      </c>
    </row>
    <row r="1565" spans="1:6" x14ac:dyDescent="0.25">
      <c r="A1565" t="s">
        <v>2495</v>
      </c>
      <c r="B1565" t="s">
        <v>2496</v>
      </c>
      <c r="C1565" t="s">
        <v>2497</v>
      </c>
      <c r="D1565" s="2">
        <v>45884</v>
      </c>
      <c r="E1565">
        <v>21</v>
      </c>
      <c r="F1565">
        <v>1</v>
      </c>
    </row>
    <row r="1566" spans="1:6" x14ac:dyDescent="0.25">
      <c r="A1566" t="s">
        <v>2498</v>
      </c>
      <c r="B1566" t="s">
        <v>2496</v>
      </c>
      <c r="C1566" t="s">
        <v>2497</v>
      </c>
      <c r="D1566" s="2">
        <v>45906</v>
      </c>
      <c r="E1566">
        <v>21</v>
      </c>
      <c r="F1566">
        <v>2</v>
      </c>
    </row>
    <row r="1567" spans="1:6" x14ac:dyDescent="0.25">
      <c r="A1567" t="s">
        <v>2499</v>
      </c>
      <c r="B1567" t="s">
        <v>2496</v>
      </c>
      <c r="C1567" t="s">
        <v>2497</v>
      </c>
      <c r="D1567" s="2">
        <v>45926</v>
      </c>
      <c r="E1567">
        <v>21</v>
      </c>
      <c r="F1567">
        <v>3</v>
      </c>
    </row>
    <row r="1568" spans="1:6" x14ac:dyDescent="0.25">
      <c r="A1568" t="s">
        <v>2500</v>
      </c>
      <c r="B1568" t="s">
        <v>2496</v>
      </c>
      <c r="C1568" t="s">
        <v>2497</v>
      </c>
      <c r="D1568" s="2">
        <v>45945</v>
      </c>
      <c r="E1568">
        <v>21</v>
      </c>
      <c r="F1568">
        <v>4</v>
      </c>
    </row>
    <row r="1569" spans="1:6" x14ac:dyDescent="0.25">
      <c r="A1569" t="s">
        <v>2501</v>
      </c>
      <c r="B1569" t="s">
        <v>2502</v>
      </c>
      <c r="C1569" t="s">
        <v>2503</v>
      </c>
      <c r="D1569" s="2">
        <v>45922</v>
      </c>
      <c r="E1569">
        <v>28</v>
      </c>
      <c r="F1569">
        <v>1</v>
      </c>
    </row>
    <row r="1570" spans="1:6" x14ac:dyDescent="0.25">
      <c r="A1570" t="s">
        <v>2504</v>
      </c>
      <c r="B1570" t="s">
        <v>2505</v>
      </c>
      <c r="C1570" t="s">
        <v>2506</v>
      </c>
      <c r="D1570" s="2">
        <v>45921</v>
      </c>
      <c r="E1570">
        <v>28</v>
      </c>
      <c r="F1570">
        <v>1</v>
      </c>
    </row>
    <row r="1571" spans="1:6" x14ac:dyDescent="0.25">
      <c r="A1571" t="s">
        <v>2507</v>
      </c>
      <c r="B1571" t="s">
        <v>2505</v>
      </c>
      <c r="C1571" t="s">
        <v>2506</v>
      </c>
      <c r="D1571" s="2">
        <v>45946</v>
      </c>
      <c r="E1571">
        <v>28</v>
      </c>
      <c r="F1571">
        <v>2</v>
      </c>
    </row>
    <row r="1572" spans="1:6" x14ac:dyDescent="0.25">
      <c r="A1572" t="s">
        <v>2508</v>
      </c>
      <c r="B1572" t="s">
        <v>2509</v>
      </c>
      <c r="C1572" t="s">
        <v>2510</v>
      </c>
      <c r="D1572" s="2">
        <v>45950</v>
      </c>
      <c r="E1572">
        <v>56</v>
      </c>
      <c r="F1572">
        <v>1</v>
      </c>
    </row>
    <row r="1573" spans="1:6" x14ac:dyDescent="0.25">
      <c r="A1573" t="s">
        <v>2511</v>
      </c>
      <c r="B1573" t="s">
        <v>2512</v>
      </c>
      <c r="C1573" t="s">
        <v>2513</v>
      </c>
      <c r="D1573" s="2">
        <v>45856</v>
      </c>
      <c r="E1573">
        <v>28</v>
      </c>
      <c r="F1573">
        <v>1</v>
      </c>
    </row>
    <row r="1574" spans="1:6" x14ac:dyDescent="0.25">
      <c r="A1574" t="s">
        <v>2514</v>
      </c>
      <c r="B1574" t="s">
        <v>2512</v>
      </c>
      <c r="C1574" t="s">
        <v>2513</v>
      </c>
      <c r="D1574" s="2">
        <v>45886</v>
      </c>
      <c r="E1574">
        <v>28</v>
      </c>
      <c r="F1574">
        <v>2</v>
      </c>
    </row>
    <row r="1575" spans="1:6" x14ac:dyDescent="0.25">
      <c r="A1575" t="s">
        <v>2515</v>
      </c>
      <c r="B1575" t="s">
        <v>2512</v>
      </c>
      <c r="C1575" t="s">
        <v>2513</v>
      </c>
      <c r="D1575" s="2">
        <v>45914</v>
      </c>
      <c r="E1575">
        <v>28</v>
      </c>
      <c r="F1575">
        <v>3</v>
      </c>
    </row>
    <row r="1576" spans="1:6" x14ac:dyDescent="0.25">
      <c r="A1576" t="s">
        <v>2516</v>
      </c>
      <c r="B1576" t="s">
        <v>2512</v>
      </c>
      <c r="C1576" t="s">
        <v>2513</v>
      </c>
      <c r="D1576" s="2">
        <v>45941</v>
      </c>
      <c r="E1576">
        <v>28</v>
      </c>
      <c r="F1576">
        <v>4</v>
      </c>
    </row>
    <row r="1577" spans="1:6" x14ac:dyDescent="0.25">
      <c r="A1577" t="s">
        <v>2517</v>
      </c>
      <c r="B1577" t="s">
        <v>2518</v>
      </c>
      <c r="C1577" t="s">
        <v>2519</v>
      </c>
      <c r="D1577" s="2">
        <v>45783</v>
      </c>
      <c r="E1577">
        <v>30</v>
      </c>
      <c r="F1577">
        <v>1</v>
      </c>
    </row>
    <row r="1578" spans="1:6" x14ac:dyDescent="0.25">
      <c r="A1578" t="s">
        <v>2520</v>
      </c>
      <c r="B1578" t="s">
        <v>2518</v>
      </c>
      <c r="C1578" t="s">
        <v>2519</v>
      </c>
      <c r="D1578" s="2">
        <v>45814</v>
      </c>
      <c r="E1578">
        <v>30</v>
      </c>
      <c r="F1578">
        <v>2</v>
      </c>
    </row>
    <row r="1579" spans="1:6" x14ac:dyDescent="0.25">
      <c r="A1579" t="s">
        <v>2521</v>
      </c>
      <c r="B1579" t="s">
        <v>2518</v>
      </c>
      <c r="C1579" t="s">
        <v>2519</v>
      </c>
      <c r="D1579" s="2">
        <v>45842</v>
      </c>
      <c r="E1579">
        <v>30</v>
      </c>
      <c r="F1579">
        <v>3</v>
      </c>
    </row>
    <row r="1580" spans="1:6" x14ac:dyDescent="0.25">
      <c r="A1580" t="s">
        <v>2522</v>
      </c>
      <c r="B1580" t="s">
        <v>2518</v>
      </c>
      <c r="C1580" t="s">
        <v>2519</v>
      </c>
      <c r="D1580" s="2">
        <v>45871</v>
      </c>
      <c r="E1580">
        <v>30</v>
      </c>
      <c r="F1580">
        <v>4</v>
      </c>
    </row>
    <row r="1581" spans="1:6" x14ac:dyDescent="0.25">
      <c r="A1581" t="s">
        <v>2523</v>
      </c>
      <c r="B1581" t="s">
        <v>2518</v>
      </c>
      <c r="C1581" t="s">
        <v>2519</v>
      </c>
      <c r="D1581" s="2">
        <v>45899</v>
      </c>
      <c r="E1581">
        <v>30</v>
      </c>
      <c r="F1581">
        <v>5</v>
      </c>
    </row>
    <row r="1582" spans="1:6" x14ac:dyDescent="0.25">
      <c r="A1582" t="s">
        <v>2524</v>
      </c>
      <c r="B1582" t="s">
        <v>2518</v>
      </c>
      <c r="C1582" t="s">
        <v>2519</v>
      </c>
      <c r="D1582" s="2">
        <v>45929</v>
      </c>
      <c r="E1582">
        <v>30</v>
      </c>
      <c r="F1582">
        <v>6</v>
      </c>
    </row>
    <row r="1583" spans="1:6" x14ac:dyDescent="0.25">
      <c r="A1583" t="s">
        <v>2525</v>
      </c>
      <c r="B1583" t="s">
        <v>2518</v>
      </c>
      <c r="C1583" t="s">
        <v>2519</v>
      </c>
      <c r="D1583" s="2">
        <v>45956</v>
      </c>
      <c r="E1583">
        <v>30</v>
      </c>
      <c r="F1583">
        <v>7</v>
      </c>
    </row>
    <row r="1584" spans="1:6" x14ac:dyDescent="0.25">
      <c r="A1584" t="s">
        <v>2526</v>
      </c>
      <c r="B1584" t="s">
        <v>2527</v>
      </c>
      <c r="C1584" t="s">
        <v>2528</v>
      </c>
      <c r="D1584" s="2">
        <v>45843</v>
      </c>
      <c r="E1584">
        <v>28</v>
      </c>
      <c r="F1584">
        <v>1</v>
      </c>
    </row>
    <row r="1585" spans="1:6" x14ac:dyDescent="0.25">
      <c r="A1585" t="s">
        <v>2529</v>
      </c>
      <c r="B1585" t="s">
        <v>2527</v>
      </c>
      <c r="C1585" t="s">
        <v>2528</v>
      </c>
      <c r="D1585" s="2">
        <v>45868</v>
      </c>
      <c r="E1585">
        <v>28</v>
      </c>
      <c r="F1585">
        <v>2</v>
      </c>
    </row>
    <row r="1586" spans="1:6" x14ac:dyDescent="0.25">
      <c r="A1586" t="s">
        <v>2530</v>
      </c>
      <c r="B1586" t="s">
        <v>2527</v>
      </c>
      <c r="C1586" t="s">
        <v>2528</v>
      </c>
      <c r="D1586" s="2">
        <v>45894</v>
      </c>
      <c r="E1586">
        <v>28</v>
      </c>
      <c r="F1586">
        <v>3</v>
      </c>
    </row>
    <row r="1587" spans="1:6" x14ac:dyDescent="0.25">
      <c r="A1587" t="s">
        <v>2531</v>
      </c>
      <c r="B1587" t="s">
        <v>2527</v>
      </c>
      <c r="C1587" t="s">
        <v>2528</v>
      </c>
      <c r="D1587" s="2">
        <v>45922</v>
      </c>
      <c r="E1587">
        <v>28</v>
      </c>
      <c r="F1587">
        <v>4</v>
      </c>
    </row>
    <row r="1588" spans="1:6" x14ac:dyDescent="0.25">
      <c r="A1588" t="s">
        <v>2532</v>
      </c>
      <c r="B1588" t="s">
        <v>2527</v>
      </c>
      <c r="C1588" t="s">
        <v>2528</v>
      </c>
      <c r="D1588" s="2">
        <v>45953</v>
      </c>
      <c r="E1588">
        <v>28</v>
      </c>
      <c r="F1588">
        <v>5</v>
      </c>
    </row>
    <row r="1589" spans="1:6" x14ac:dyDescent="0.25">
      <c r="A1589" t="s">
        <v>2533</v>
      </c>
      <c r="B1589" t="s">
        <v>2534</v>
      </c>
      <c r="C1589" t="s">
        <v>2535</v>
      </c>
      <c r="D1589" s="2">
        <v>45778</v>
      </c>
      <c r="E1589">
        <v>28</v>
      </c>
      <c r="F1589">
        <v>1</v>
      </c>
    </row>
    <row r="1590" spans="1:6" x14ac:dyDescent="0.25">
      <c r="A1590" t="s">
        <v>2536</v>
      </c>
      <c r="B1590" t="s">
        <v>2534</v>
      </c>
      <c r="C1590" t="s">
        <v>2535</v>
      </c>
      <c r="D1590" s="2">
        <v>45808</v>
      </c>
      <c r="E1590">
        <v>28</v>
      </c>
      <c r="F1590">
        <v>2</v>
      </c>
    </row>
    <row r="1591" spans="1:6" x14ac:dyDescent="0.25">
      <c r="A1591" t="s">
        <v>2537</v>
      </c>
      <c r="B1591" t="s">
        <v>2538</v>
      </c>
      <c r="C1591" t="s">
        <v>2539</v>
      </c>
      <c r="D1591" s="2">
        <v>45833</v>
      </c>
      <c r="E1591">
        <v>28</v>
      </c>
      <c r="F1591">
        <v>1</v>
      </c>
    </row>
    <row r="1592" spans="1:6" x14ac:dyDescent="0.25">
      <c r="A1592" t="s">
        <v>2540</v>
      </c>
      <c r="B1592" t="s">
        <v>2538</v>
      </c>
      <c r="C1592" t="s">
        <v>2539</v>
      </c>
      <c r="D1592" s="2">
        <v>45858</v>
      </c>
      <c r="E1592">
        <v>28</v>
      </c>
      <c r="F1592">
        <v>2</v>
      </c>
    </row>
    <row r="1593" spans="1:6" x14ac:dyDescent="0.25">
      <c r="A1593" t="s">
        <v>2541</v>
      </c>
      <c r="B1593" t="s">
        <v>2538</v>
      </c>
      <c r="C1593" t="s">
        <v>2539</v>
      </c>
      <c r="D1593" s="2">
        <v>45889</v>
      </c>
      <c r="E1593">
        <v>28</v>
      </c>
      <c r="F1593">
        <v>3</v>
      </c>
    </row>
    <row r="1594" spans="1:6" x14ac:dyDescent="0.25">
      <c r="A1594" t="s">
        <v>2542</v>
      </c>
      <c r="B1594" t="s">
        <v>2538</v>
      </c>
      <c r="C1594" t="s">
        <v>2539</v>
      </c>
      <c r="D1594" s="2">
        <v>45915</v>
      </c>
      <c r="E1594">
        <v>28</v>
      </c>
      <c r="F1594">
        <v>4</v>
      </c>
    </row>
    <row r="1595" spans="1:6" x14ac:dyDescent="0.25">
      <c r="A1595" t="s">
        <v>2543</v>
      </c>
      <c r="B1595" t="s">
        <v>2538</v>
      </c>
      <c r="C1595" t="s">
        <v>2539</v>
      </c>
      <c r="D1595" s="2">
        <v>45942</v>
      </c>
      <c r="E1595">
        <v>28</v>
      </c>
      <c r="F1595">
        <v>5</v>
      </c>
    </row>
    <row r="1596" spans="1:6" x14ac:dyDescent="0.25">
      <c r="A1596" t="s">
        <v>2544</v>
      </c>
      <c r="B1596" t="s">
        <v>2545</v>
      </c>
      <c r="C1596" t="s">
        <v>2546</v>
      </c>
      <c r="D1596" s="2">
        <v>45796</v>
      </c>
      <c r="E1596">
        <v>14</v>
      </c>
      <c r="F1596">
        <v>1</v>
      </c>
    </row>
    <row r="1597" spans="1:6" x14ac:dyDescent="0.25">
      <c r="A1597" t="s">
        <v>2547</v>
      </c>
      <c r="B1597" t="s">
        <v>2545</v>
      </c>
      <c r="C1597" t="s">
        <v>2546</v>
      </c>
      <c r="D1597" s="2">
        <v>45811</v>
      </c>
      <c r="E1597">
        <v>14</v>
      </c>
      <c r="F1597">
        <v>2</v>
      </c>
    </row>
    <row r="1598" spans="1:6" x14ac:dyDescent="0.25">
      <c r="A1598" t="s">
        <v>2548</v>
      </c>
      <c r="B1598" t="s">
        <v>2545</v>
      </c>
      <c r="C1598" t="s">
        <v>2546</v>
      </c>
      <c r="D1598" s="2">
        <v>45823</v>
      </c>
      <c r="E1598">
        <v>14</v>
      </c>
      <c r="F1598">
        <v>3</v>
      </c>
    </row>
    <row r="1599" spans="1:6" x14ac:dyDescent="0.25">
      <c r="A1599" t="s">
        <v>2549</v>
      </c>
      <c r="B1599" t="s">
        <v>2545</v>
      </c>
      <c r="C1599" t="s">
        <v>2546</v>
      </c>
      <c r="D1599" s="2">
        <v>45840</v>
      </c>
      <c r="E1599">
        <v>14</v>
      </c>
      <c r="F1599">
        <v>4</v>
      </c>
    </row>
    <row r="1600" spans="1:6" x14ac:dyDescent="0.25">
      <c r="A1600" t="s">
        <v>2550</v>
      </c>
      <c r="B1600" t="s">
        <v>2545</v>
      </c>
      <c r="C1600" t="s">
        <v>2546</v>
      </c>
      <c r="D1600" s="2">
        <v>45857</v>
      </c>
      <c r="E1600">
        <v>14</v>
      </c>
      <c r="F1600">
        <v>5</v>
      </c>
    </row>
    <row r="1601" spans="1:6" x14ac:dyDescent="0.25">
      <c r="A1601" t="s">
        <v>2551</v>
      </c>
      <c r="B1601" t="s">
        <v>2545</v>
      </c>
      <c r="C1601" t="s">
        <v>2546</v>
      </c>
      <c r="D1601" s="2">
        <v>45874</v>
      </c>
      <c r="E1601">
        <v>14</v>
      </c>
      <c r="F1601">
        <v>6</v>
      </c>
    </row>
    <row r="1602" spans="1:6" x14ac:dyDescent="0.25">
      <c r="A1602" t="s">
        <v>2552</v>
      </c>
      <c r="B1602" t="s">
        <v>2545</v>
      </c>
      <c r="C1602" t="s">
        <v>2546</v>
      </c>
      <c r="D1602" s="2">
        <v>45885</v>
      </c>
      <c r="E1602">
        <v>14</v>
      </c>
      <c r="F1602">
        <v>7</v>
      </c>
    </row>
    <row r="1603" spans="1:6" x14ac:dyDescent="0.25">
      <c r="A1603" t="s">
        <v>2553</v>
      </c>
      <c r="B1603" t="s">
        <v>2545</v>
      </c>
      <c r="C1603" t="s">
        <v>2546</v>
      </c>
      <c r="D1603" s="2">
        <v>45901</v>
      </c>
      <c r="E1603">
        <v>14</v>
      </c>
      <c r="F1603">
        <v>8</v>
      </c>
    </row>
    <row r="1604" spans="1:6" x14ac:dyDescent="0.25">
      <c r="A1604" t="s">
        <v>2554</v>
      </c>
      <c r="B1604" t="s">
        <v>2545</v>
      </c>
      <c r="C1604" t="s">
        <v>2546</v>
      </c>
      <c r="D1604" s="2">
        <v>45915</v>
      </c>
      <c r="E1604">
        <v>14</v>
      </c>
      <c r="F1604">
        <v>9</v>
      </c>
    </row>
    <row r="1605" spans="1:6" x14ac:dyDescent="0.25">
      <c r="A1605" t="s">
        <v>2555</v>
      </c>
      <c r="B1605" t="s">
        <v>2545</v>
      </c>
      <c r="C1605" t="s">
        <v>2546</v>
      </c>
      <c r="D1605" s="2">
        <v>45929</v>
      </c>
      <c r="E1605">
        <v>14</v>
      </c>
      <c r="F1605">
        <v>10</v>
      </c>
    </row>
    <row r="1606" spans="1:6" x14ac:dyDescent="0.25">
      <c r="A1606" t="s">
        <v>2556</v>
      </c>
      <c r="B1606" t="s">
        <v>2545</v>
      </c>
      <c r="C1606" t="s">
        <v>2546</v>
      </c>
      <c r="D1606" s="2">
        <v>45945</v>
      </c>
      <c r="E1606">
        <v>14</v>
      </c>
      <c r="F1606">
        <v>11</v>
      </c>
    </row>
    <row r="1607" spans="1:6" x14ac:dyDescent="0.25">
      <c r="A1607" t="s">
        <v>2557</v>
      </c>
      <c r="B1607" t="s">
        <v>2545</v>
      </c>
      <c r="C1607" t="s">
        <v>2546</v>
      </c>
      <c r="D1607" s="2">
        <v>45957</v>
      </c>
      <c r="E1607">
        <v>14</v>
      </c>
      <c r="F1607">
        <v>12</v>
      </c>
    </row>
    <row r="1608" spans="1:6" x14ac:dyDescent="0.25">
      <c r="A1608" t="s">
        <v>2558</v>
      </c>
      <c r="B1608" t="s">
        <v>2559</v>
      </c>
      <c r="C1608" t="s">
        <v>2560</v>
      </c>
      <c r="D1608" s="2">
        <v>45886</v>
      </c>
      <c r="E1608">
        <v>28</v>
      </c>
      <c r="F1608">
        <v>1</v>
      </c>
    </row>
    <row r="1609" spans="1:6" x14ac:dyDescent="0.25">
      <c r="A1609" t="s">
        <v>2561</v>
      </c>
      <c r="B1609" t="s">
        <v>2559</v>
      </c>
      <c r="C1609" t="s">
        <v>2560</v>
      </c>
      <c r="D1609" s="2">
        <v>45911</v>
      </c>
      <c r="E1609">
        <v>28</v>
      </c>
      <c r="F1609">
        <v>2</v>
      </c>
    </row>
    <row r="1610" spans="1:6" x14ac:dyDescent="0.25">
      <c r="A1610" t="s">
        <v>2562</v>
      </c>
      <c r="B1610" t="s">
        <v>2559</v>
      </c>
      <c r="C1610" t="s">
        <v>2560</v>
      </c>
      <c r="D1610" s="2">
        <v>45941</v>
      </c>
      <c r="E1610">
        <v>28</v>
      </c>
      <c r="F1610">
        <v>3</v>
      </c>
    </row>
    <row r="1611" spans="1:6" x14ac:dyDescent="0.25">
      <c r="A1611" t="s">
        <v>2563</v>
      </c>
      <c r="B1611" t="s">
        <v>2564</v>
      </c>
      <c r="C1611" t="s">
        <v>2565</v>
      </c>
      <c r="D1611" s="2">
        <v>45957</v>
      </c>
      <c r="E1611">
        <v>28</v>
      </c>
      <c r="F1611">
        <v>1</v>
      </c>
    </row>
    <row r="1612" spans="1:6" x14ac:dyDescent="0.25">
      <c r="A1612" t="s">
        <v>2566</v>
      </c>
      <c r="B1612" t="s">
        <v>2567</v>
      </c>
      <c r="C1612" t="s">
        <v>2568</v>
      </c>
      <c r="D1612" s="2">
        <v>45916</v>
      </c>
      <c r="E1612">
        <v>30</v>
      </c>
      <c r="F1612">
        <v>1</v>
      </c>
    </row>
    <row r="1613" spans="1:6" x14ac:dyDescent="0.25">
      <c r="A1613" t="s">
        <v>2569</v>
      </c>
      <c r="B1613" t="s">
        <v>2567</v>
      </c>
      <c r="C1613" t="s">
        <v>2568</v>
      </c>
      <c r="D1613" s="2">
        <v>45945</v>
      </c>
      <c r="E1613">
        <v>30</v>
      </c>
      <c r="F1613">
        <v>2</v>
      </c>
    </row>
    <row r="1614" spans="1:6" x14ac:dyDescent="0.25">
      <c r="A1614" t="s">
        <v>2570</v>
      </c>
      <c r="B1614" t="s">
        <v>2571</v>
      </c>
      <c r="C1614" t="s">
        <v>2572</v>
      </c>
      <c r="D1614" s="2">
        <v>45795</v>
      </c>
      <c r="E1614">
        <v>28</v>
      </c>
      <c r="F1614">
        <v>1</v>
      </c>
    </row>
    <row r="1615" spans="1:6" x14ac:dyDescent="0.25">
      <c r="A1615" t="s">
        <v>2573</v>
      </c>
      <c r="B1615" t="s">
        <v>2571</v>
      </c>
      <c r="C1615" t="s">
        <v>2572</v>
      </c>
      <c r="D1615" s="2">
        <v>45820</v>
      </c>
      <c r="E1615">
        <v>28</v>
      </c>
      <c r="F1615">
        <v>2</v>
      </c>
    </row>
    <row r="1616" spans="1:6" x14ac:dyDescent="0.25">
      <c r="A1616" t="s">
        <v>2574</v>
      </c>
      <c r="B1616" t="s">
        <v>2571</v>
      </c>
      <c r="C1616" t="s">
        <v>2572</v>
      </c>
      <c r="D1616" s="2">
        <v>45849</v>
      </c>
      <c r="E1616">
        <v>28</v>
      </c>
      <c r="F1616">
        <v>3</v>
      </c>
    </row>
    <row r="1617" spans="1:6" x14ac:dyDescent="0.25">
      <c r="A1617" t="s">
        <v>2575</v>
      </c>
      <c r="B1617" t="s">
        <v>2571</v>
      </c>
      <c r="C1617" t="s">
        <v>2572</v>
      </c>
      <c r="D1617" s="2">
        <v>45874</v>
      </c>
      <c r="E1617">
        <v>28</v>
      </c>
      <c r="F1617">
        <v>4</v>
      </c>
    </row>
    <row r="1618" spans="1:6" x14ac:dyDescent="0.25">
      <c r="A1618" t="s">
        <v>2576</v>
      </c>
      <c r="B1618" t="s">
        <v>2571</v>
      </c>
      <c r="C1618" t="s">
        <v>2572</v>
      </c>
      <c r="D1618" s="2">
        <v>45902</v>
      </c>
      <c r="E1618">
        <v>28</v>
      </c>
      <c r="F1618">
        <v>5</v>
      </c>
    </row>
    <row r="1619" spans="1:6" x14ac:dyDescent="0.25">
      <c r="A1619" t="s">
        <v>2577</v>
      </c>
      <c r="B1619" t="s">
        <v>2571</v>
      </c>
      <c r="C1619" t="s">
        <v>2572</v>
      </c>
      <c r="D1619" s="2">
        <v>45929</v>
      </c>
      <c r="E1619">
        <v>28</v>
      </c>
      <c r="F1619">
        <v>6</v>
      </c>
    </row>
    <row r="1620" spans="1:6" x14ac:dyDescent="0.25">
      <c r="A1620" t="s">
        <v>2578</v>
      </c>
      <c r="B1620" t="s">
        <v>2571</v>
      </c>
      <c r="C1620" t="s">
        <v>2572</v>
      </c>
      <c r="D1620" s="2">
        <v>45956</v>
      </c>
      <c r="E1620">
        <v>28</v>
      </c>
      <c r="F1620">
        <v>7</v>
      </c>
    </row>
    <row r="1621" spans="1:6" x14ac:dyDescent="0.25">
      <c r="A1621" t="s">
        <v>2579</v>
      </c>
      <c r="B1621" t="s">
        <v>2580</v>
      </c>
      <c r="C1621" t="s">
        <v>2581</v>
      </c>
      <c r="D1621" s="2">
        <v>45786</v>
      </c>
      <c r="E1621">
        <v>30</v>
      </c>
      <c r="F1621">
        <v>1</v>
      </c>
    </row>
    <row r="1622" spans="1:6" x14ac:dyDescent="0.25">
      <c r="A1622" t="s">
        <v>2582</v>
      </c>
      <c r="B1622" t="s">
        <v>2580</v>
      </c>
      <c r="C1622" t="s">
        <v>2581</v>
      </c>
      <c r="D1622" s="2">
        <v>45814</v>
      </c>
      <c r="E1622">
        <v>30</v>
      </c>
      <c r="F1622">
        <v>2</v>
      </c>
    </row>
    <row r="1623" spans="1:6" x14ac:dyDescent="0.25">
      <c r="A1623" t="s">
        <v>2583</v>
      </c>
      <c r="B1623" t="s">
        <v>2584</v>
      </c>
      <c r="C1623" t="s">
        <v>2585</v>
      </c>
      <c r="D1623" s="2">
        <v>45882</v>
      </c>
      <c r="E1623">
        <v>28</v>
      </c>
      <c r="F1623">
        <v>1</v>
      </c>
    </row>
    <row r="1624" spans="1:6" x14ac:dyDescent="0.25">
      <c r="A1624" t="s">
        <v>2586</v>
      </c>
      <c r="B1624" t="s">
        <v>2584</v>
      </c>
      <c r="C1624" t="s">
        <v>2585</v>
      </c>
      <c r="D1624" s="2">
        <v>45910</v>
      </c>
      <c r="E1624">
        <v>28</v>
      </c>
      <c r="F1624">
        <v>2</v>
      </c>
    </row>
    <row r="1625" spans="1:6" x14ac:dyDescent="0.25">
      <c r="A1625" t="s">
        <v>2587</v>
      </c>
      <c r="B1625" t="s">
        <v>2584</v>
      </c>
      <c r="C1625" t="s">
        <v>2585</v>
      </c>
      <c r="D1625" s="2">
        <v>45935</v>
      </c>
      <c r="E1625">
        <v>28</v>
      </c>
      <c r="F1625">
        <v>3</v>
      </c>
    </row>
    <row r="1626" spans="1:6" x14ac:dyDescent="0.25">
      <c r="A1626" t="s">
        <v>2588</v>
      </c>
      <c r="B1626" t="s">
        <v>2589</v>
      </c>
      <c r="C1626" t="s">
        <v>2590</v>
      </c>
      <c r="D1626" s="2">
        <v>45812</v>
      </c>
      <c r="E1626">
        <v>28</v>
      </c>
      <c r="F1626">
        <v>1</v>
      </c>
    </row>
    <row r="1627" spans="1:6" x14ac:dyDescent="0.25">
      <c r="A1627" t="s">
        <v>2591</v>
      </c>
      <c r="B1627" t="s">
        <v>2589</v>
      </c>
      <c r="C1627" t="s">
        <v>2590</v>
      </c>
      <c r="D1627" s="2">
        <v>45837</v>
      </c>
      <c r="E1627">
        <v>28</v>
      </c>
      <c r="F1627">
        <v>2</v>
      </c>
    </row>
    <row r="1628" spans="1:6" x14ac:dyDescent="0.25">
      <c r="A1628" t="s">
        <v>2592</v>
      </c>
      <c r="B1628" t="s">
        <v>2593</v>
      </c>
      <c r="C1628" t="s">
        <v>2594</v>
      </c>
      <c r="D1628" s="2">
        <v>45942</v>
      </c>
      <c r="E1628">
        <v>28</v>
      </c>
      <c r="F1628">
        <v>1</v>
      </c>
    </row>
    <row r="1629" spans="1:6" x14ac:dyDescent="0.25">
      <c r="A1629" t="s">
        <v>2595</v>
      </c>
      <c r="B1629" t="s">
        <v>2596</v>
      </c>
      <c r="C1629" t="s">
        <v>2597</v>
      </c>
      <c r="D1629" s="2">
        <v>45943</v>
      </c>
      <c r="E1629">
        <v>30</v>
      </c>
      <c r="F1629">
        <v>1</v>
      </c>
    </row>
    <row r="1630" spans="1:6" x14ac:dyDescent="0.25">
      <c r="A1630" t="s">
        <v>2598</v>
      </c>
      <c r="B1630" t="s">
        <v>2599</v>
      </c>
      <c r="C1630" t="s">
        <v>2600</v>
      </c>
      <c r="D1630" s="2">
        <v>45873</v>
      </c>
      <c r="E1630">
        <v>30</v>
      </c>
      <c r="F1630">
        <v>1</v>
      </c>
    </row>
    <row r="1631" spans="1:6" x14ac:dyDescent="0.25">
      <c r="A1631" t="s">
        <v>2601</v>
      </c>
      <c r="B1631" t="s">
        <v>2599</v>
      </c>
      <c r="C1631" t="s">
        <v>2600</v>
      </c>
      <c r="D1631" s="2">
        <v>45905</v>
      </c>
      <c r="E1631">
        <v>30</v>
      </c>
      <c r="F1631">
        <v>2</v>
      </c>
    </row>
    <row r="1632" spans="1:6" x14ac:dyDescent="0.25">
      <c r="A1632" t="s">
        <v>2602</v>
      </c>
      <c r="B1632" t="s">
        <v>2603</v>
      </c>
      <c r="C1632" t="s">
        <v>2604</v>
      </c>
      <c r="D1632" s="2">
        <v>45892</v>
      </c>
      <c r="E1632">
        <v>30</v>
      </c>
      <c r="F1632">
        <v>1</v>
      </c>
    </row>
    <row r="1633" spans="1:6" x14ac:dyDescent="0.25">
      <c r="A1633" t="s">
        <v>2605</v>
      </c>
      <c r="B1633" t="s">
        <v>2606</v>
      </c>
      <c r="C1633" t="s">
        <v>2607</v>
      </c>
      <c r="D1633" s="2">
        <v>45874</v>
      </c>
      <c r="E1633">
        <v>28</v>
      </c>
      <c r="F1633">
        <v>1</v>
      </c>
    </row>
    <row r="1634" spans="1:6" x14ac:dyDescent="0.25">
      <c r="A1634" t="s">
        <v>2608</v>
      </c>
      <c r="B1634" t="s">
        <v>2606</v>
      </c>
      <c r="C1634" t="s">
        <v>2607</v>
      </c>
      <c r="D1634" s="2">
        <v>45900</v>
      </c>
      <c r="E1634">
        <v>28</v>
      </c>
      <c r="F1634">
        <v>2</v>
      </c>
    </row>
    <row r="1635" spans="1:6" x14ac:dyDescent="0.25">
      <c r="A1635" t="s">
        <v>2609</v>
      </c>
      <c r="B1635" t="s">
        <v>2606</v>
      </c>
      <c r="C1635" t="s">
        <v>2607</v>
      </c>
      <c r="D1635" s="2">
        <v>45925</v>
      </c>
      <c r="E1635">
        <v>28</v>
      </c>
      <c r="F1635">
        <v>3</v>
      </c>
    </row>
    <row r="1636" spans="1:6" x14ac:dyDescent="0.25">
      <c r="A1636" t="s">
        <v>2610</v>
      </c>
      <c r="B1636" t="s">
        <v>2606</v>
      </c>
      <c r="C1636" t="s">
        <v>2607</v>
      </c>
      <c r="D1636" s="2">
        <v>45954</v>
      </c>
      <c r="E1636">
        <v>28</v>
      </c>
      <c r="F1636">
        <v>4</v>
      </c>
    </row>
    <row r="1637" spans="1:6" x14ac:dyDescent="0.25">
      <c r="A1637" t="s">
        <v>2611</v>
      </c>
      <c r="B1637" t="s">
        <v>2612</v>
      </c>
      <c r="C1637" t="s">
        <v>2613</v>
      </c>
      <c r="D1637" s="2">
        <v>45952</v>
      </c>
      <c r="E1637">
        <v>14</v>
      </c>
      <c r="F1637">
        <v>1</v>
      </c>
    </row>
    <row r="1638" spans="1:6" x14ac:dyDescent="0.25">
      <c r="A1638" t="s">
        <v>2614</v>
      </c>
      <c r="B1638" t="s">
        <v>2615</v>
      </c>
      <c r="C1638" t="s">
        <v>2616</v>
      </c>
      <c r="D1638" s="2">
        <v>45916</v>
      </c>
      <c r="E1638">
        <v>21</v>
      </c>
      <c r="F1638">
        <v>1</v>
      </c>
    </row>
    <row r="1639" spans="1:6" x14ac:dyDescent="0.25">
      <c r="A1639" t="s">
        <v>2617</v>
      </c>
      <c r="B1639" t="s">
        <v>2615</v>
      </c>
      <c r="C1639" t="s">
        <v>2616</v>
      </c>
      <c r="D1639" s="2">
        <v>45939</v>
      </c>
      <c r="E1639">
        <v>21</v>
      </c>
      <c r="F1639">
        <v>2</v>
      </c>
    </row>
    <row r="1640" spans="1:6" x14ac:dyDescent="0.25">
      <c r="A1640" t="s">
        <v>2618</v>
      </c>
      <c r="B1640" t="s">
        <v>2615</v>
      </c>
      <c r="C1640" t="s">
        <v>2616</v>
      </c>
      <c r="D1640" s="2">
        <v>45961</v>
      </c>
      <c r="E1640">
        <v>21</v>
      </c>
      <c r="F1640">
        <v>3</v>
      </c>
    </row>
    <row r="1641" spans="1:6" x14ac:dyDescent="0.25">
      <c r="A1641" t="s">
        <v>2619</v>
      </c>
      <c r="B1641" t="s">
        <v>2620</v>
      </c>
      <c r="C1641" t="s">
        <v>2621</v>
      </c>
      <c r="D1641" s="2">
        <v>45945</v>
      </c>
      <c r="E1641">
        <v>21</v>
      </c>
      <c r="F1641">
        <v>1</v>
      </c>
    </row>
    <row r="1642" spans="1:6" x14ac:dyDescent="0.25">
      <c r="A1642" t="s">
        <v>2622</v>
      </c>
      <c r="B1642" t="s">
        <v>2623</v>
      </c>
      <c r="C1642" t="s">
        <v>2624</v>
      </c>
      <c r="D1642" s="2">
        <v>45808</v>
      </c>
      <c r="E1642">
        <v>28</v>
      </c>
      <c r="F1642">
        <v>1</v>
      </c>
    </row>
    <row r="1643" spans="1:6" x14ac:dyDescent="0.25">
      <c r="A1643" t="s">
        <v>2625</v>
      </c>
      <c r="B1643" t="s">
        <v>2623</v>
      </c>
      <c r="C1643" t="s">
        <v>2624</v>
      </c>
      <c r="D1643" s="2">
        <v>45835</v>
      </c>
      <c r="E1643">
        <v>28</v>
      </c>
      <c r="F1643">
        <v>2</v>
      </c>
    </row>
    <row r="1644" spans="1:6" x14ac:dyDescent="0.25">
      <c r="A1644" t="s">
        <v>2626</v>
      </c>
      <c r="B1644" t="s">
        <v>2623</v>
      </c>
      <c r="C1644" t="s">
        <v>2624</v>
      </c>
      <c r="D1644" s="2">
        <v>45866</v>
      </c>
      <c r="E1644">
        <v>28</v>
      </c>
      <c r="F1644">
        <v>3</v>
      </c>
    </row>
    <row r="1645" spans="1:6" x14ac:dyDescent="0.25">
      <c r="A1645" t="s">
        <v>2627</v>
      </c>
      <c r="B1645" t="s">
        <v>2623</v>
      </c>
      <c r="C1645" t="s">
        <v>2624</v>
      </c>
      <c r="D1645" s="2">
        <v>45897</v>
      </c>
      <c r="E1645">
        <v>28</v>
      </c>
      <c r="F1645">
        <v>4</v>
      </c>
    </row>
    <row r="1646" spans="1:6" x14ac:dyDescent="0.25">
      <c r="A1646" t="s">
        <v>2628</v>
      </c>
      <c r="B1646" t="s">
        <v>2623</v>
      </c>
      <c r="C1646" t="s">
        <v>2624</v>
      </c>
      <c r="D1646" s="2">
        <v>45928</v>
      </c>
      <c r="E1646">
        <v>28</v>
      </c>
      <c r="F1646">
        <v>5</v>
      </c>
    </row>
    <row r="1647" spans="1:6" x14ac:dyDescent="0.25">
      <c r="A1647" t="s">
        <v>2629</v>
      </c>
      <c r="B1647" t="s">
        <v>2623</v>
      </c>
      <c r="C1647" t="s">
        <v>2624</v>
      </c>
      <c r="D1647" s="2">
        <v>45956</v>
      </c>
      <c r="E1647">
        <v>28</v>
      </c>
      <c r="F1647">
        <v>6</v>
      </c>
    </row>
    <row r="1648" spans="1:6" x14ac:dyDescent="0.25">
      <c r="A1648" t="s">
        <v>2630</v>
      </c>
      <c r="B1648" t="s">
        <v>2631</v>
      </c>
      <c r="C1648" t="s">
        <v>2632</v>
      </c>
      <c r="D1648" s="2">
        <v>45915</v>
      </c>
      <c r="E1648">
        <v>30</v>
      </c>
      <c r="F1648">
        <v>1</v>
      </c>
    </row>
    <row r="1649" spans="1:6" x14ac:dyDescent="0.25">
      <c r="A1649" t="s">
        <v>2633</v>
      </c>
      <c r="B1649" t="s">
        <v>2631</v>
      </c>
      <c r="C1649" t="s">
        <v>2632</v>
      </c>
      <c r="D1649" s="2">
        <v>45947</v>
      </c>
      <c r="E1649">
        <v>30</v>
      </c>
      <c r="F1649">
        <v>2</v>
      </c>
    </row>
    <row r="1650" spans="1:6" x14ac:dyDescent="0.25">
      <c r="A1650" t="s">
        <v>2634</v>
      </c>
      <c r="B1650" t="s">
        <v>2635</v>
      </c>
      <c r="C1650" t="s">
        <v>2636</v>
      </c>
      <c r="D1650" s="2">
        <v>45913</v>
      </c>
      <c r="E1650">
        <v>14</v>
      </c>
      <c r="F1650">
        <v>1</v>
      </c>
    </row>
    <row r="1651" spans="1:6" x14ac:dyDescent="0.25">
      <c r="A1651" t="s">
        <v>2637</v>
      </c>
      <c r="B1651" t="s">
        <v>2635</v>
      </c>
      <c r="C1651" t="s">
        <v>2636</v>
      </c>
      <c r="D1651" s="2">
        <v>45925</v>
      </c>
      <c r="E1651">
        <v>14</v>
      </c>
      <c r="F1651">
        <v>2</v>
      </c>
    </row>
    <row r="1652" spans="1:6" x14ac:dyDescent="0.25">
      <c r="A1652" t="s">
        <v>2638</v>
      </c>
      <c r="B1652" t="s">
        <v>2635</v>
      </c>
      <c r="C1652" t="s">
        <v>2636</v>
      </c>
      <c r="D1652" s="2">
        <v>45936</v>
      </c>
      <c r="E1652">
        <v>14</v>
      </c>
      <c r="F1652">
        <v>3</v>
      </c>
    </row>
    <row r="1653" spans="1:6" x14ac:dyDescent="0.25">
      <c r="A1653" t="s">
        <v>2639</v>
      </c>
      <c r="B1653" t="s">
        <v>2635</v>
      </c>
      <c r="C1653" t="s">
        <v>2636</v>
      </c>
      <c r="D1653" s="2">
        <v>45952</v>
      </c>
      <c r="E1653">
        <v>14</v>
      </c>
      <c r="F1653">
        <v>4</v>
      </c>
    </row>
    <row r="1654" spans="1:6" x14ac:dyDescent="0.25">
      <c r="A1654" t="s">
        <v>2640</v>
      </c>
      <c r="B1654" t="s">
        <v>2641</v>
      </c>
      <c r="C1654" t="s">
        <v>2642</v>
      </c>
      <c r="D1654" s="2">
        <v>45835</v>
      </c>
      <c r="E1654">
        <v>28</v>
      </c>
      <c r="F1654">
        <v>1</v>
      </c>
    </row>
    <row r="1655" spans="1:6" x14ac:dyDescent="0.25">
      <c r="A1655" t="s">
        <v>2643</v>
      </c>
      <c r="B1655" t="s">
        <v>2641</v>
      </c>
      <c r="C1655" t="s">
        <v>2642</v>
      </c>
      <c r="D1655" s="2">
        <v>45864</v>
      </c>
      <c r="E1655">
        <v>28</v>
      </c>
      <c r="F1655">
        <v>2</v>
      </c>
    </row>
    <row r="1656" spans="1:6" x14ac:dyDescent="0.25">
      <c r="A1656" t="s">
        <v>2644</v>
      </c>
      <c r="B1656" t="s">
        <v>2641</v>
      </c>
      <c r="C1656" t="s">
        <v>2642</v>
      </c>
      <c r="D1656" s="2">
        <v>45892</v>
      </c>
      <c r="E1656">
        <v>28</v>
      </c>
      <c r="F1656">
        <v>3</v>
      </c>
    </row>
    <row r="1657" spans="1:6" x14ac:dyDescent="0.25">
      <c r="A1657" t="s">
        <v>2645</v>
      </c>
      <c r="B1657" t="s">
        <v>2641</v>
      </c>
      <c r="C1657" t="s">
        <v>2642</v>
      </c>
      <c r="D1657" s="2">
        <v>45921</v>
      </c>
      <c r="E1657">
        <v>28</v>
      </c>
      <c r="F1657">
        <v>4</v>
      </c>
    </row>
    <row r="1658" spans="1:6" x14ac:dyDescent="0.25">
      <c r="A1658" t="s">
        <v>2646</v>
      </c>
      <c r="B1658" t="s">
        <v>2641</v>
      </c>
      <c r="C1658" t="s">
        <v>2642</v>
      </c>
      <c r="D1658" s="2">
        <v>45950</v>
      </c>
      <c r="E1658">
        <v>28</v>
      </c>
      <c r="F1658">
        <v>5</v>
      </c>
    </row>
    <row r="1659" spans="1:6" x14ac:dyDescent="0.25">
      <c r="A1659" t="s">
        <v>2647</v>
      </c>
      <c r="B1659" t="s">
        <v>2648</v>
      </c>
      <c r="C1659" t="s">
        <v>2649</v>
      </c>
      <c r="D1659" s="2">
        <v>45778</v>
      </c>
      <c r="E1659">
        <v>28</v>
      </c>
      <c r="F1659">
        <v>1</v>
      </c>
    </row>
    <row r="1660" spans="1:6" x14ac:dyDescent="0.25">
      <c r="A1660" t="s">
        <v>2650</v>
      </c>
      <c r="B1660" t="s">
        <v>2648</v>
      </c>
      <c r="C1660" t="s">
        <v>2649</v>
      </c>
      <c r="D1660" s="2">
        <v>45805</v>
      </c>
      <c r="E1660">
        <v>28</v>
      </c>
      <c r="F1660">
        <v>2</v>
      </c>
    </row>
    <row r="1661" spans="1:6" x14ac:dyDescent="0.25">
      <c r="A1661" t="s">
        <v>2651</v>
      </c>
      <c r="B1661" t="s">
        <v>2648</v>
      </c>
      <c r="C1661" t="s">
        <v>2649</v>
      </c>
      <c r="D1661" s="2">
        <v>45836</v>
      </c>
      <c r="E1661">
        <v>28</v>
      </c>
      <c r="F1661">
        <v>3</v>
      </c>
    </row>
    <row r="1662" spans="1:6" x14ac:dyDescent="0.25">
      <c r="A1662" t="s">
        <v>2652</v>
      </c>
      <c r="B1662" t="s">
        <v>2653</v>
      </c>
      <c r="C1662" t="s">
        <v>2654</v>
      </c>
      <c r="D1662" s="2">
        <v>45783</v>
      </c>
      <c r="E1662">
        <v>28</v>
      </c>
      <c r="F1662">
        <v>1</v>
      </c>
    </row>
    <row r="1663" spans="1:6" x14ac:dyDescent="0.25">
      <c r="A1663" t="s">
        <v>2655</v>
      </c>
      <c r="B1663" t="s">
        <v>2653</v>
      </c>
      <c r="C1663" t="s">
        <v>2654</v>
      </c>
      <c r="D1663" s="2">
        <v>45812</v>
      </c>
      <c r="E1663">
        <v>28</v>
      </c>
      <c r="F1663">
        <v>2</v>
      </c>
    </row>
    <row r="1664" spans="1:6" x14ac:dyDescent="0.25">
      <c r="A1664" t="s">
        <v>2656</v>
      </c>
      <c r="B1664" t="s">
        <v>2653</v>
      </c>
      <c r="C1664" t="s">
        <v>2654</v>
      </c>
      <c r="D1664" s="2">
        <v>45840</v>
      </c>
      <c r="E1664">
        <v>28</v>
      </c>
      <c r="F1664">
        <v>3</v>
      </c>
    </row>
    <row r="1665" spans="1:6" x14ac:dyDescent="0.25">
      <c r="A1665" t="s">
        <v>2657</v>
      </c>
      <c r="B1665" t="s">
        <v>2653</v>
      </c>
      <c r="C1665" t="s">
        <v>2654</v>
      </c>
      <c r="D1665" s="2">
        <v>45871</v>
      </c>
      <c r="E1665">
        <v>28</v>
      </c>
      <c r="F1665">
        <v>4</v>
      </c>
    </row>
    <row r="1666" spans="1:6" x14ac:dyDescent="0.25">
      <c r="A1666" t="s">
        <v>2658</v>
      </c>
      <c r="B1666" t="s">
        <v>2653</v>
      </c>
      <c r="C1666" t="s">
        <v>2654</v>
      </c>
      <c r="D1666" s="2">
        <v>45900</v>
      </c>
      <c r="E1666">
        <v>28</v>
      </c>
      <c r="F1666">
        <v>5</v>
      </c>
    </row>
    <row r="1667" spans="1:6" x14ac:dyDescent="0.25">
      <c r="A1667" t="s">
        <v>2659</v>
      </c>
      <c r="B1667" t="s">
        <v>2653</v>
      </c>
      <c r="C1667" t="s">
        <v>2654</v>
      </c>
      <c r="D1667" s="2">
        <v>45928</v>
      </c>
      <c r="E1667">
        <v>28</v>
      </c>
      <c r="F1667">
        <v>6</v>
      </c>
    </row>
    <row r="1668" spans="1:6" x14ac:dyDescent="0.25">
      <c r="A1668" t="s">
        <v>2660</v>
      </c>
      <c r="B1668" t="s">
        <v>2653</v>
      </c>
      <c r="C1668" t="s">
        <v>2654</v>
      </c>
      <c r="D1668" s="2">
        <v>45959</v>
      </c>
      <c r="E1668">
        <v>28</v>
      </c>
      <c r="F1668">
        <v>7</v>
      </c>
    </row>
    <row r="1669" spans="1:6" x14ac:dyDescent="0.25">
      <c r="A1669" t="s">
        <v>2661</v>
      </c>
      <c r="B1669" t="s">
        <v>2662</v>
      </c>
      <c r="C1669" t="s">
        <v>2663</v>
      </c>
      <c r="D1669" s="2">
        <v>45896</v>
      </c>
      <c r="E1669">
        <v>28</v>
      </c>
      <c r="F1669">
        <v>1</v>
      </c>
    </row>
    <row r="1670" spans="1:6" x14ac:dyDescent="0.25">
      <c r="A1670" t="s">
        <v>2664</v>
      </c>
      <c r="B1670" t="s">
        <v>2662</v>
      </c>
      <c r="C1670" t="s">
        <v>2663</v>
      </c>
      <c r="D1670" s="2">
        <v>45926</v>
      </c>
      <c r="E1670">
        <v>28</v>
      </c>
      <c r="F1670">
        <v>2</v>
      </c>
    </row>
    <row r="1671" spans="1:6" x14ac:dyDescent="0.25">
      <c r="A1671" t="s">
        <v>2665</v>
      </c>
      <c r="B1671" t="s">
        <v>2662</v>
      </c>
      <c r="C1671" t="s">
        <v>2663</v>
      </c>
      <c r="D1671" s="2">
        <v>45951</v>
      </c>
      <c r="E1671">
        <v>28</v>
      </c>
      <c r="F1671">
        <v>3</v>
      </c>
    </row>
    <row r="1672" spans="1:6" x14ac:dyDescent="0.25">
      <c r="A1672" t="s">
        <v>2666</v>
      </c>
      <c r="B1672" t="s">
        <v>2667</v>
      </c>
      <c r="C1672" t="s">
        <v>2668</v>
      </c>
      <c r="D1672" s="2">
        <v>45917</v>
      </c>
      <c r="E1672">
        <v>56</v>
      </c>
      <c r="F1672">
        <v>1</v>
      </c>
    </row>
    <row r="1673" spans="1:6" x14ac:dyDescent="0.25">
      <c r="A1673" t="s">
        <v>2669</v>
      </c>
      <c r="B1673" t="s">
        <v>2670</v>
      </c>
      <c r="C1673" t="s">
        <v>2671</v>
      </c>
      <c r="D1673" s="2">
        <v>45914</v>
      </c>
      <c r="E1673">
        <v>28</v>
      </c>
      <c r="F1673">
        <v>1</v>
      </c>
    </row>
    <row r="1674" spans="1:6" x14ac:dyDescent="0.25">
      <c r="A1674" t="s">
        <v>2672</v>
      </c>
      <c r="B1674" t="s">
        <v>2670</v>
      </c>
      <c r="C1674" t="s">
        <v>2671</v>
      </c>
      <c r="D1674" s="2">
        <v>45940</v>
      </c>
      <c r="E1674">
        <v>28</v>
      </c>
      <c r="F1674">
        <v>2</v>
      </c>
    </row>
    <row r="1675" spans="1:6" x14ac:dyDescent="0.25">
      <c r="A1675" t="s">
        <v>2673</v>
      </c>
      <c r="B1675" t="s">
        <v>2674</v>
      </c>
      <c r="C1675" t="s">
        <v>2675</v>
      </c>
      <c r="D1675" s="2">
        <v>45836</v>
      </c>
      <c r="E1675">
        <v>28</v>
      </c>
      <c r="F1675">
        <v>1</v>
      </c>
    </row>
    <row r="1676" spans="1:6" x14ac:dyDescent="0.25">
      <c r="A1676" t="s">
        <v>2676</v>
      </c>
      <c r="B1676" t="s">
        <v>2674</v>
      </c>
      <c r="C1676" t="s">
        <v>2675</v>
      </c>
      <c r="D1676" s="2">
        <v>45866</v>
      </c>
      <c r="E1676">
        <v>28</v>
      </c>
      <c r="F1676">
        <v>2</v>
      </c>
    </row>
    <row r="1677" spans="1:6" x14ac:dyDescent="0.25">
      <c r="A1677" t="s">
        <v>2677</v>
      </c>
      <c r="B1677" t="s">
        <v>2674</v>
      </c>
      <c r="C1677" t="s">
        <v>2675</v>
      </c>
      <c r="D1677" s="2">
        <v>45897</v>
      </c>
      <c r="E1677">
        <v>28</v>
      </c>
      <c r="F1677">
        <v>3</v>
      </c>
    </row>
    <row r="1678" spans="1:6" x14ac:dyDescent="0.25">
      <c r="A1678" t="s">
        <v>2678</v>
      </c>
      <c r="B1678" t="s">
        <v>2674</v>
      </c>
      <c r="C1678" t="s">
        <v>2675</v>
      </c>
      <c r="D1678" s="2">
        <v>45923</v>
      </c>
      <c r="E1678">
        <v>28</v>
      </c>
      <c r="F1678">
        <v>4</v>
      </c>
    </row>
    <row r="1679" spans="1:6" x14ac:dyDescent="0.25">
      <c r="A1679" t="s">
        <v>2679</v>
      </c>
      <c r="B1679" t="s">
        <v>2674</v>
      </c>
      <c r="C1679" t="s">
        <v>2675</v>
      </c>
      <c r="D1679" s="2">
        <v>45953</v>
      </c>
      <c r="E1679">
        <v>28</v>
      </c>
      <c r="F1679">
        <v>5</v>
      </c>
    </row>
    <row r="1680" spans="1:6" x14ac:dyDescent="0.25">
      <c r="A1680" t="s">
        <v>2680</v>
      </c>
      <c r="B1680" t="s">
        <v>2681</v>
      </c>
      <c r="C1680" t="s">
        <v>2682</v>
      </c>
      <c r="D1680" s="2">
        <v>45895</v>
      </c>
      <c r="E1680">
        <v>30</v>
      </c>
      <c r="F1680">
        <v>1</v>
      </c>
    </row>
    <row r="1681" spans="1:6" x14ac:dyDescent="0.25">
      <c r="A1681" t="s">
        <v>2683</v>
      </c>
      <c r="B1681" t="s">
        <v>2681</v>
      </c>
      <c r="C1681" t="s">
        <v>2682</v>
      </c>
      <c r="D1681" s="2">
        <v>45923</v>
      </c>
      <c r="E1681">
        <v>30</v>
      </c>
      <c r="F1681">
        <v>2</v>
      </c>
    </row>
    <row r="1682" spans="1:6" x14ac:dyDescent="0.25">
      <c r="A1682" t="s">
        <v>2684</v>
      </c>
      <c r="B1682" t="s">
        <v>2681</v>
      </c>
      <c r="C1682" t="s">
        <v>2682</v>
      </c>
      <c r="D1682" s="2">
        <v>45952</v>
      </c>
      <c r="E1682">
        <v>30</v>
      </c>
      <c r="F1682">
        <v>3</v>
      </c>
    </row>
    <row r="1683" spans="1:6" x14ac:dyDescent="0.25">
      <c r="A1683" t="s">
        <v>2685</v>
      </c>
      <c r="B1683" t="s">
        <v>2686</v>
      </c>
      <c r="C1683" t="s">
        <v>2687</v>
      </c>
      <c r="D1683" s="2">
        <v>45817</v>
      </c>
      <c r="E1683">
        <v>28</v>
      </c>
      <c r="F1683">
        <v>1</v>
      </c>
    </row>
    <row r="1684" spans="1:6" x14ac:dyDescent="0.25">
      <c r="A1684" t="s">
        <v>2688</v>
      </c>
      <c r="B1684" t="s">
        <v>2686</v>
      </c>
      <c r="C1684" t="s">
        <v>2687</v>
      </c>
      <c r="D1684" s="2">
        <v>45842</v>
      </c>
      <c r="E1684">
        <v>28</v>
      </c>
      <c r="F1684">
        <v>2</v>
      </c>
    </row>
    <row r="1685" spans="1:6" x14ac:dyDescent="0.25">
      <c r="A1685" t="s">
        <v>2689</v>
      </c>
      <c r="B1685" t="s">
        <v>2686</v>
      </c>
      <c r="C1685" t="s">
        <v>2687</v>
      </c>
      <c r="D1685" s="2">
        <v>45872</v>
      </c>
      <c r="E1685">
        <v>28</v>
      </c>
      <c r="F1685">
        <v>3</v>
      </c>
    </row>
    <row r="1686" spans="1:6" x14ac:dyDescent="0.25">
      <c r="A1686" t="s">
        <v>2690</v>
      </c>
      <c r="B1686" t="s">
        <v>2691</v>
      </c>
      <c r="C1686" t="s">
        <v>2692</v>
      </c>
      <c r="D1686" s="2">
        <v>45826</v>
      </c>
      <c r="E1686">
        <v>28</v>
      </c>
      <c r="F1686">
        <v>1</v>
      </c>
    </row>
    <row r="1687" spans="1:6" x14ac:dyDescent="0.25">
      <c r="A1687" t="s">
        <v>2693</v>
      </c>
      <c r="B1687" t="s">
        <v>2691</v>
      </c>
      <c r="C1687" t="s">
        <v>2692</v>
      </c>
      <c r="D1687" s="2">
        <v>45852</v>
      </c>
      <c r="E1687">
        <v>28</v>
      </c>
      <c r="F1687">
        <v>2</v>
      </c>
    </row>
    <row r="1688" spans="1:6" x14ac:dyDescent="0.25">
      <c r="A1688" t="s">
        <v>2694</v>
      </c>
      <c r="B1688" t="s">
        <v>2691</v>
      </c>
      <c r="C1688" t="s">
        <v>2692</v>
      </c>
      <c r="D1688" s="2">
        <v>45883</v>
      </c>
      <c r="E1688">
        <v>28</v>
      </c>
      <c r="F1688">
        <v>3</v>
      </c>
    </row>
    <row r="1689" spans="1:6" x14ac:dyDescent="0.25">
      <c r="A1689" t="s">
        <v>2695</v>
      </c>
      <c r="B1689" t="s">
        <v>2691</v>
      </c>
      <c r="C1689" t="s">
        <v>2692</v>
      </c>
      <c r="D1689" s="2">
        <v>45909</v>
      </c>
      <c r="E1689">
        <v>28</v>
      </c>
      <c r="F1689">
        <v>4</v>
      </c>
    </row>
    <row r="1690" spans="1:6" x14ac:dyDescent="0.25">
      <c r="A1690" t="s">
        <v>2696</v>
      </c>
      <c r="B1690" t="s">
        <v>2691</v>
      </c>
      <c r="C1690" t="s">
        <v>2692</v>
      </c>
      <c r="D1690" s="2">
        <v>45937</v>
      </c>
      <c r="E1690">
        <v>28</v>
      </c>
      <c r="F1690">
        <v>5</v>
      </c>
    </row>
    <row r="1691" spans="1:6" x14ac:dyDescent="0.25">
      <c r="A1691" t="s">
        <v>2697</v>
      </c>
      <c r="B1691" t="s">
        <v>2698</v>
      </c>
      <c r="C1691" t="s">
        <v>2699</v>
      </c>
      <c r="D1691" s="2">
        <v>45806</v>
      </c>
      <c r="E1691">
        <v>21</v>
      </c>
      <c r="F1691">
        <v>1</v>
      </c>
    </row>
    <row r="1692" spans="1:6" x14ac:dyDescent="0.25">
      <c r="A1692" t="s">
        <v>2700</v>
      </c>
      <c r="B1692" t="s">
        <v>2698</v>
      </c>
      <c r="C1692" t="s">
        <v>2699</v>
      </c>
      <c r="D1692" s="2">
        <v>45828</v>
      </c>
      <c r="E1692">
        <v>21</v>
      </c>
      <c r="F1692">
        <v>2</v>
      </c>
    </row>
    <row r="1693" spans="1:6" x14ac:dyDescent="0.25">
      <c r="A1693" t="s">
        <v>2701</v>
      </c>
      <c r="B1693" t="s">
        <v>2698</v>
      </c>
      <c r="C1693" t="s">
        <v>2699</v>
      </c>
      <c r="D1693" s="2">
        <v>45852</v>
      </c>
      <c r="E1693">
        <v>21</v>
      </c>
      <c r="F1693">
        <v>3</v>
      </c>
    </row>
    <row r="1694" spans="1:6" x14ac:dyDescent="0.25">
      <c r="A1694" t="s">
        <v>2702</v>
      </c>
      <c r="B1694" t="s">
        <v>2698</v>
      </c>
      <c r="C1694" t="s">
        <v>2699</v>
      </c>
      <c r="D1694" s="2">
        <v>45875</v>
      </c>
      <c r="E1694">
        <v>21</v>
      </c>
      <c r="F1694">
        <v>4</v>
      </c>
    </row>
    <row r="1695" spans="1:6" x14ac:dyDescent="0.25">
      <c r="A1695" t="s">
        <v>2703</v>
      </c>
      <c r="B1695" t="s">
        <v>2698</v>
      </c>
      <c r="C1695" t="s">
        <v>2699</v>
      </c>
      <c r="D1695" s="2">
        <v>45897</v>
      </c>
      <c r="E1695">
        <v>21</v>
      </c>
      <c r="F1695">
        <v>5</v>
      </c>
    </row>
    <row r="1696" spans="1:6" x14ac:dyDescent="0.25">
      <c r="A1696" t="s">
        <v>2704</v>
      </c>
      <c r="B1696" t="s">
        <v>2698</v>
      </c>
      <c r="C1696" t="s">
        <v>2699</v>
      </c>
      <c r="D1696" s="2">
        <v>45920</v>
      </c>
      <c r="E1696">
        <v>21</v>
      </c>
      <c r="F1696">
        <v>6</v>
      </c>
    </row>
    <row r="1697" spans="1:6" x14ac:dyDescent="0.25">
      <c r="A1697" t="s">
        <v>2705</v>
      </c>
      <c r="B1697" t="s">
        <v>2698</v>
      </c>
      <c r="C1697" t="s">
        <v>2699</v>
      </c>
      <c r="D1697" s="2">
        <v>45940</v>
      </c>
      <c r="E1697">
        <v>21</v>
      </c>
      <c r="F1697">
        <v>7</v>
      </c>
    </row>
    <row r="1698" spans="1:6" x14ac:dyDescent="0.25">
      <c r="A1698" t="s">
        <v>2706</v>
      </c>
      <c r="B1698" t="s">
        <v>2698</v>
      </c>
      <c r="C1698" t="s">
        <v>2699</v>
      </c>
      <c r="D1698" s="2">
        <v>45960</v>
      </c>
      <c r="E1698">
        <v>21</v>
      </c>
      <c r="F1698">
        <v>8</v>
      </c>
    </row>
    <row r="1699" spans="1:6" x14ac:dyDescent="0.25">
      <c r="A1699" t="s">
        <v>2707</v>
      </c>
      <c r="B1699" t="s">
        <v>2708</v>
      </c>
      <c r="C1699" t="s">
        <v>2709</v>
      </c>
      <c r="D1699" s="2">
        <v>45947</v>
      </c>
      <c r="E1699">
        <v>14</v>
      </c>
      <c r="F1699">
        <v>1</v>
      </c>
    </row>
    <row r="1700" spans="1:6" x14ac:dyDescent="0.25">
      <c r="A1700" t="s">
        <v>2710</v>
      </c>
      <c r="B1700" t="s">
        <v>2711</v>
      </c>
      <c r="C1700" t="s">
        <v>2712</v>
      </c>
      <c r="D1700" s="2">
        <v>45935</v>
      </c>
      <c r="E1700">
        <v>28</v>
      </c>
      <c r="F1700">
        <v>1</v>
      </c>
    </row>
    <row r="1701" spans="1:6" x14ac:dyDescent="0.25">
      <c r="A1701" t="s">
        <v>2713</v>
      </c>
      <c r="B1701" t="s">
        <v>2711</v>
      </c>
      <c r="C1701" t="s">
        <v>2712</v>
      </c>
      <c r="D1701" s="2">
        <v>45961</v>
      </c>
      <c r="E1701">
        <v>28</v>
      </c>
      <c r="F1701">
        <v>2</v>
      </c>
    </row>
    <row r="1702" spans="1:6" x14ac:dyDescent="0.25">
      <c r="A1702" t="s">
        <v>2714</v>
      </c>
      <c r="B1702" t="s">
        <v>2715</v>
      </c>
      <c r="C1702" t="s">
        <v>2716</v>
      </c>
      <c r="D1702" s="2">
        <v>45782</v>
      </c>
      <c r="E1702">
        <v>28</v>
      </c>
      <c r="F1702">
        <v>1</v>
      </c>
    </row>
    <row r="1703" spans="1:6" x14ac:dyDescent="0.25">
      <c r="A1703" t="s">
        <v>2717</v>
      </c>
      <c r="B1703" t="s">
        <v>2715</v>
      </c>
      <c r="C1703" t="s">
        <v>2716</v>
      </c>
      <c r="D1703" s="2">
        <v>45813</v>
      </c>
      <c r="E1703">
        <v>28</v>
      </c>
      <c r="F1703">
        <v>2</v>
      </c>
    </row>
    <row r="1704" spans="1:6" x14ac:dyDescent="0.25">
      <c r="A1704" t="s">
        <v>2718</v>
      </c>
      <c r="B1704" t="s">
        <v>2715</v>
      </c>
      <c r="C1704" t="s">
        <v>2716</v>
      </c>
      <c r="D1704" s="2">
        <v>45841</v>
      </c>
      <c r="E1704">
        <v>28</v>
      </c>
      <c r="F1704">
        <v>3</v>
      </c>
    </row>
    <row r="1705" spans="1:6" x14ac:dyDescent="0.25">
      <c r="A1705" t="s">
        <v>2719</v>
      </c>
      <c r="B1705" t="s">
        <v>2715</v>
      </c>
      <c r="C1705" t="s">
        <v>2716</v>
      </c>
      <c r="D1705" s="2">
        <v>45871</v>
      </c>
      <c r="E1705">
        <v>28</v>
      </c>
      <c r="F1705">
        <v>4</v>
      </c>
    </row>
    <row r="1706" spans="1:6" x14ac:dyDescent="0.25">
      <c r="A1706" t="s">
        <v>2720</v>
      </c>
      <c r="B1706" t="s">
        <v>2715</v>
      </c>
      <c r="C1706" t="s">
        <v>2716</v>
      </c>
      <c r="D1706" s="2">
        <v>45898</v>
      </c>
      <c r="E1706">
        <v>28</v>
      </c>
      <c r="F1706">
        <v>5</v>
      </c>
    </row>
    <row r="1707" spans="1:6" x14ac:dyDescent="0.25">
      <c r="A1707" t="s">
        <v>2721</v>
      </c>
      <c r="B1707" t="s">
        <v>2715</v>
      </c>
      <c r="C1707" t="s">
        <v>2716</v>
      </c>
      <c r="D1707" s="2">
        <v>45928</v>
      </c>
      <c r="E1707">
        <v>28</v>
      </c>
      <c r="F1707">
        <v>6</v>
      </c>
    </row>
    <row r="1708" spans="1:6" x14ac:dyDescent="0.25">
      <c r="A1708" t="s">
        <v>2722</v>
      </c>
      <c r="B1708" t="s">
        <v>2715</v>
      </c>
      <c r="C1708" t="s">
        <v>2716</v>
      </c>
      <c r="D1708" s="2">
        <v>45956</v>
      </c>
      <c r="E1708">
        <v>28</v>
      </c>
      <c r="F1708">
        <v>7</v>
      </c>
    </row>
    <row r="1709" spans="1:6" x14ac:dyDescent="0.25">
      <c r="A1709" t="s">
        <v>2723</v>
      </c>
      <c r="B1709" t="s">
        <v>2724</v>
      </c>
      <c r="C1709" t="s">
        <v>2725</v>
      </c>
      <c r="D1709" s="2">
        <v>45830</v>
      </c>
      <c r="E1709">
        <v>30</v>
      </c>
      <c r="F1709">
        <v>1</v>
      </c>
    </row>
    <row r="1710" spans="1:6" x14ac:dyDescent="0.25">
      <c r="A1710" t="s">
        <v>2726</v>
      </c>
      <c r="B1710" t="s">
        <v>2724</v>
      </c>
      <c r="C1710" t="s">
        <v>2725</v>
      </c>
      <c r="D1710" s="2">
        <v>45862</v>
      </c>
      <c r="E1710">
        <v>30</v>
      </c>
      <c r="F1710">
        <v>2</v>
      </c>
    </row>
    <row r="1711" spans="1:6" x14ac:dyDescent="0.25">
      <c r="A1711" t="s">
        <v>2727</v>
      </c>
      <c r="B1711" t="s">
        <v>2724</v>
      </c>
      <c r="C1711" t="s">
        <v>2725</v>
      </c>
      <c r="D1711" s="2">
        <v>45895</v>
      </c>
      <c r="E1711">
        <v>30</v>
      </c>
      <c r="F1711">
        <v>3</v>
      </c>
    </row>
    <row r="1712" spans="1:6" x14ac:dyDescent="0.25">
      <c r="A1712" t="s">
        <v>2728</v>
      </c>
      <c r="B1712" t="s">
        <v>2724</v>
      </c>
      <c r="C1712" t="s">
        <v>2725</v>
      </c>
      <c r="D1712" s="2">
        <v>45924</v>
      </c>
      <c r="E1712">
        <v>30</v>
      </c>
      <c r="F1712">
        <v>4</v>
      </c>
    </row>
    <row r="1713" spans="1:6" x14ac:dyDescent="0.25">
      <c r="A1713" t="s">
        <v>2729</v>
      </c>
      <c r="B1713" t="s">
        <v>2724</v>
      </c>
      <c r="C1713" t="s">
        <v>2725</v>
      </c>
      <c r="D1713" s="2">
        <v>45951</v>
      </c>
      <c r="E1713">
        <v>30</v>
      </c>
      <c r="F1713">
        <v>5</v>
      </c>
    </row>
    <row r="1714" spans="1:6" x14ac:dyDescent="0.25">
      <c r="A1714" t="s">
        <v>2730</v>
      </c>
      <c r="B1714" t="s">
        <v>2731</v>
      </c>
      <c r="C1714" t="s">
        <v>2732</v>
      </c>
      <c r="D1714" s="2">
        <v>45803</v>
      </c>
      <c r="E1714">
        <v>28</v>
      </c>
      <c r="F1714">
        <v>1</v>
      </c>
    </row>
    <row r="1715" spans="1:6" x14ac:dyDescent="0.25">
      <c r="A1715" t="s">
        <v>2733</v>
      </c>
      <c r="B1715" t="s">
        <v>2731</v>
      </c>
      <c r="C1715" t="s">
        <v>2732</v>
      </c>
      <c r="D1715" s="2">
        <v>45830</v>
      </c>
      <c r="E1715">
        <v>28</v>
      </c>
      <c r="F1715">
        <v>2</v>
      </c>
    </row>
    <row r="1716" spans="1:6" x14ac:dyDescent="0.25">
      <c r="A1716" t="s">
        <v>2734</v>
      </c>
      <c r="B1716" t="s">
        <v>2731</v>
      </c>
      <c r="C1716" t="s">
        <v>2732</v>
      </c>
      <c r="D1716" s="2">
        <v>45856</v>
      </c>
      <c r="E1716">
        <v>28</v>
      </c>
      <c r="F1716">
        <v>3</v>
      </c>
    </row>
    <row r="1717" spans="1:6" x14ac:dyDescent="0.25">
      <c r="A1717" t="s">
        <v>2735</v>
      </c>
      <c r="B1717" t="s">
        <v>2731</v>
      </c>
      <c r="C1717" t="s">
        <v>2732</v>
      </c>
      <c r="D1717" s="2">
        <v>45881</v>
      </c>
      <c r="E1717">
        <v>28</v>
      </c>
      <c r="F1717">
        <v>4</v>
      </c>
    </row>
    <row r="1718" spans="1:6" x14ac:dyDescent="0.25">
      <c r="A1718" t="s">
        <v>2736</v>
      </c>
      <c r="B1718" t="s">
        <v>2731</v>
      </c>
      <c r="C1718" t="s">
        <v>2732</v>
      </c>
      <c r="D1718" s="2">
        <v>45911</v>
      </c>
      <c r="E1718">
        <v>28</v>
      </c>
      <c r="F1718">
        <v>5</v>
      </c>
    </row>
    <row r="1719" spans="1:6" x14ac:dyDescent="0.25">
      <c r="A1719" t="s">
        <v>2737</v>
      </c>
      <c r="B1719" t="s">
        <v>2731</v>
      </c>
      <c r="C1719" t="s">
        <v>2732</v>
      </c>
      <c r="D1719" s="2">
        <v>45940</v>
      </c>
      <c r="E1719">
        <v>28</v>
      </c>
      <c r="F1719">
        <v>6</v>
      </c>
    </row>
    <row r="1720" spans="1:6" x14ac:dyDescent="0.25">
      <c r="A1720" t="s">
        <v>2738</v>
      </c>
      <c r="B1720" t="s">
        <v>2739</v>
      </c>
      <c r="C1720" t="s">
        <v>2740</v>
      </c>
      <c r="D1720" s="2">
        <v>45786</v>
      </c>
      <c r="E1720">
        <v>30</v>
      </c>
      <c r="F1720">
        <v>1</v>
      </c>
    </row>
    <row r="1721" spans="1:6" x14ac:dyDescent="0.25">
      <c r="A1721" t="s">
        <v>2741</v>
      </c>
      <c r="B1721" t="s">
        <v>2739</v>
      </c>
      <c r="C1721" t="s">
        <v>2740</v>
      </c>
      <c r="D1721" s="2">
        <v>45817</v>
      </c>
      <c r="E1721">
        <v>30</v>
      </c>
      <c r="F1721">
        <v>2</v>
      </c>
    </row>
    <row r="1722" spans="1:6" x14ac:dyDescent="0.25">
      <c r="A1722" t="s">
        <v>2742</v>
      </c>
      <c r="B1722" t="s">
        <v>2739</v>
      </c>
      <c r="C1722" t="s">
        <v>2740</v>
      </c>
      <c r="D1722" s="2">
        <v>45845</v>
      </c>
      <c r="E1722">
        <v>30</v>
      </c>
      <c r="F1722">
        <v>3</v>
      </c>
    </row>
    <row r="1723" spans="1:6" x14ac:dyDescent="0.25">
      <c r="A1723" t="s">
        <v>2743</v>
      </c>
      <c r="B1723" t="s">
        <v>2739</v>
      </c>
      <c r="C1723" t="s">
        <v>2740</v>
      </c>
      <c r="D1723" s="2">
        <v>45877</v>
      </c>
      <c r="E1723">
        <v>30</v>
      </c>
      <c r="F1723">
        <v>4</v>
      </c>
    </row>
    <row r="1724" spans="1:6" x14ac:dyDescent="0.25">
      <c r="A1724" t="s">
        <v>2744</v>
      </c>
      <c r="B1724" t="s">
        <v>2739</v>
      </c>
      <c r="C1724" t="s">
        <v>2740</v>
      </c>
      <c r="D1724" s="2">
        <v>45905</v>
      </c>
      <c r="E1724">
        <v>30</v>
      </c>
      <c r="F1724">
        <v>5</v>
      </c>
    </row>
    <row r="1725" spans="1:6" x14ac:dyDescent="0.25">
      <c r="A1725" t="s">
        <v>2745</v>
      </c>
      <c r="B1725" t="s">
        <v>2739</v>
      </c>
      <c r="C1725" t="s">
        <v>2740</v>
      </c>
      <c r="D1725" s="2">
        <v>45937</v>
      </c>
      <c r="E1725">
        <v>30</v>
      </c>
      <c r="F1725">
        <v>6</v>
      </c>
    </row>
    <row r="1726" spans="1:6" x14ac:dyDescent="0.25">
      <c r="A1726" t="s">
        <v>2746</v>
      </c>
      <c r="B1726" t="s">
        <v>2747</v>
      </c>
      <c r="C1726" t="s">
        <v>2748</v>
      </c>
      <c r="D1726" s="2">
        <v>45931</v>
      </c>
      <c r="E1726">
        <v>28</v>
      </c>
      <c r="F1726">
        <v>1</v>
      </c>
    </row>
    <row r="1727" spans="1:6" x14ac:dyDescent="0.25">
      <c r="A1727" t="s">
        <v>2749</v>
      </c>
      <c r="B1727" t="s">
        <v>2747</v>
      </c>
      <c r="C1727" t="s">
        <v>2748</v>
      </c>
      <c r="D1727" s="2">
        <v>45956</v>
      </c>
      <c r="E1727">
        <v>28</v>
      </c>
      <c r="F1727">
        <v>2</v>
      </c>
    </row>
    <row r="1728" spans="1:6" x14ac:dyDescent="0.25">
      <c r="A1728" t="s">
        <v>2750</v>
      </c>
      <c r="B1728" t="s">
        <v>2751</v>
      </c>
      <c r="C1728" t="s">
        <v>2752</v>
      </c>
      <c r="D1728" s="2">
        <v>45958</v>
      </c>
      <c r="E1728">
        <v>28</v>
      </c>
      <c r="F1728">
        <v>1</v>
      </c>
    </row>
    <row r="1729" spans="1:6" x14ac:dyDescent="0.25">
      <c r="A1729" t="s">
        <v>2753</v>
      </c>
      <c r="B1729" t="s">
        <v>2754</v>
      </c>
      <c r="C1729" t="s">
        <v>2755</v>
      </c>
      <c r="D1729" s="2">
        <v>45840</v>
      </c>
      <c r="E1729">
        <v>28</v>
      </c>
      <c r="F1729">
        <v>1</v>
      </c>
    </row>
    <row r="1730" spans="1:6" x14ac:dyDescent="0.25">
      <c r="A1730" t="s">
        <v>2756</v>
      </c>
      <c r="B1730" t="s">
        <v>2754</v>
      </c>
      <c r="C1730" t="s">
        <v>2755</v>
      </c>
      <c r="D1730" s="2">
        <v>45870</v>
      </c>
      <c r="E1730">
        <v>28</v>
      </c>
      <c r="F1730">
        <v>2</v>
      </c>
    </row>
    <row r="1731" spans="1:6" x14ac:dyDescent="0.25">
      <c r="A1731" t="s">
        <v>2757</v>
      </c>
      <c r="B1731" t="s">
        <v>2758</v>
      </c>
      <c r="C1731" t="s">
        <v>2759</v>
      </c>
      <c r="D1731" s="2">
        <v>45789</v>
      </c>
      <c r="E1731">
        <v>30</v>
      </c>
      <c r="F1731">
        <v>1</v>
      </c>
    </row>
    <row r="1732" spans="1:6" x14ac:dyDescent="0.25">
      <c r="A1732" t="s">
        <v>2760</v>
      </c>
      <c r="B1732" t="s">
        <v>2761</v>
      </c>
      <c r="C1732" t="s">
        <v>2762</v>
      </c>
      <c r="D1732" s="2">
        <v>45890</v>
      </c>
      <c r="E1732">
        <v>28</v>
      </c>
      <c r="F1732">
        <v>1</v>
      </c>
    </row>
    <row r="1733" spans="1:6" x14ac:dyDescent="0.25">
      <c r="A1733" t="s">
        <v>2763</v>
      </c>
      <c r="B1733" t="s">
        <v>2761</v>
      </c>
      <c r="C1733" t="s">
        <v>2762</v>
      </c>
      <c r="D1733" s="2">
        <v>45921</v>
      </c>
      <c r="E1733">
        <v>28</v>
      </c>
      <c r="F1733">
        <v>2</v>
      </c>
    </row>
    <row r="1734" spans="1:6" x14ac:dyDescent="0.25">
      <c r="A1734" t="s">
        <v>2764</v>
      </c>
      <c r="B1734" t="s">
        <v>2761</v>
      </c>
      <c r="C1734" t="s">
        <v>2762</v>
      </c>
      <c r="D1734" s="2">
        <v>45950</v>
      </c>
      <c r="E1734">
        <v>28</v>
      </c>
      <c r="F1734">
        <v>3</v>
      </c>
    </row>
    <row r="1735" spans="1:6" x14ac:dyDescent="0.25">
      <c r="A1735" t="s">
        <v>2765</v>
      </c>
      <c r="B1735" t="s">
        <v>2766</v>
      </c>
      <c r="C1735" t="s">
        <v>2767</v>
      </c>
      <c r="D1735" s="2">
        <v>45916</v>
      </c>
      <c r="E1735">
        <v>14</v>
      </c>
      <c r="F1735">
        <v>1</v>
      </c>
    </row>
    <row r="1736" spans="1:6" x14ac:dyDescent="0.25">
      <c r="A1736" t="s">
        <v>2768</v>
      </c>
      <c r="B1736" t="s">
        <v>2766</v>
      </c>
      <c r="C1736" t="s">
        <v>2767</v>
      </c>
      <c r="D1736" s="2">
        <v>45932</v>
      </c>
      <c r="E1736">
        <v>14</v>
      </c>
      <c r="F1736">
        <v>2</v>
      </c>
    </row>
    <row r="1737" spans="1:6" x14ac:dyDescent="0.25">
      <c r="A1737" t="s">
        <v>2769</v>
      </c>
      <c r="B1737" t="s">
        <v>2766</v>
      </c>
      <c r="C1737" t="s">
        <v>2767</v>
      </c>
      <c r="D1737" s="2">
        <v>45947</v>
      </c>
      <c r="E1737">
        <v>14</v>
      </c>
      <c r="F1737">
        <v>3</v>
      </c>
    </row>
    <row r="1738" spans="1:6" x14ac:dyDescent="0.25">
      <c r="A1738" t="s">
        <v>2770</v>
      </c>
      <c r="B1738" t="s">
        <v>2766</v>
      </c>
      <c r="C1738" t="s">
        <v>2767</v>
      </c>
      <c r="D1738" s="2">
        <v>45961</v>
      </c>
      <c r="E1738">
        <v>14</v>
      </c>
      <c r="F1738">
        <v>4</v>
      </c>
    </row>
    <row r="1739" spans="1:6" x14ac:dyDescent="0.25">
      <c r="A1739" t="s">
        <v>2771</v>
      </c>
      <c r="B1739" t="s">
        <v>2772</v>
      </c>
      <c r="C1739" t="s">
        <v>2773</v>
      </c>
      <c r="D1739" s="2">
        <v>45792</v>
      </c>
      <c r="E1739">
        <v>21</v>
      </c>
      <c r="F1739">
        <v>1</v>
      </c>
    </row>
    <row r="1740" spans="1:6" x14ac:dyDescent="0.25">
      <c r="A1740" t="s">
        <v>2774</v>
      </c>
      <c r="B1740" t="s">
        <v>2772</v>
      </c>
      <c r="C1740" t="s">
        <v>2773</v>
      </c>
      <c r="D1740" s="2">
        <v>45812</v>
      </c>
      <c r="E1740">
        <v>21</v>
      </c>
      <c r="F1740">
        <v>2</v>
      </c>
    </row>
    <row r="1741" spans="1:6" x14ac:dyDescent="0.25">
      <c r="A1741" t="s">
        <v>2775</v>
      </c>
      <c r="B1741" t="s">
        <v>2772</v>
      </c>
      <c r="C1741" t="s">
        <v>2773</v>
      </c>
      <c r="D1741" s="2">
        <v>45832</v>
      </c>
      <c r="E1741">
        <v>21</v>
      </c>
      <c r="F1741">
        <v>3</v>
      </c>
    </row>
    <row r="1742" spans="1:6" x14ac:dyDescent="0.25">
      <c r="A1742" t="s">
        <v>2776</v>
      </c>
      <c r="B1742" t="s">
        <v>2772</v>
      </c>
      <c r="C1742" t="s">
        <v>2773</v>
      </c>
      <c r="D1742" s="2">
        <v>45852</v>
      </c>
      <c r="E1742">
        <v>21</v>
      </c>
      <c r="F1742">
        <v>4</v>
      </c>
    </row>
    <row r="1743" spans="1:6" x14ac:dyDescent="0.25">
      <c r="A1743" t="s">
        <v>2777</v>
      </c>
      <c r="B1743" t="s">
        <v>2772</v>
      </c>
      <c r="C1743" t="s">
        <v>2773</v>
      </c>
      <c r="D1743" s="2">
        <v>45876</v>
      </c>
      <c r="E1743">
        <v>21</v>
      </c>
      <c r="F1743">
        <v>5</v>
      </c>
    </row>
    <row r="1744" spans="1:6" x14ac:dyDescent="0.25">
      <c r="A1744" t="s">
        <v>2778</v>
      </c>
      <c r="B1744" t="s">
        <v>2772</v>
      </c>
      <c r="C1744" t="s">
        <v>2773</v>
      </c>
      <c r="D1744" s="2">
        <v>45897</v>
      </c>
      <c r="E1744">
        <v>21</v>
      </c>
      <c r="F1744">
        <v>6</v>
      </c>
    </row>
    <row r="1745" spans="1:6" x14ac:dyDescent="0.25">
      <c r="A1745" t="s">
        <v>2779</v>
      </c>
      <c r="B1745" t="s">
        <v>2772</v>
      </c>
      <c r="C1745" t="s">
        <v>2773</v>
      </c>
      <c r="D1745" s="2">
        <v>45920</v>
      </c>
      <c r="E1745">
        <v>21</v>
      </c>
      <c r="F1745">
        <v>7</v>
      </c>
    </row>
    <row r="1746" spans="1:6" x14ac:dyDescent="0.25">
      <c r="A1746" t="s">
        <v>2780</v>
      </c>
      <c r="B1746" t="s">
        <v>2772</v>
      </c>
      <c r="C1746" t="s">
        <v>2773</v>
      </c>
      <c r="D1746" s="2">
        <v>45942</v>
      </c>
      <c r="E1746">
        <v>21</v>
      </c>
      <c r="F1746">
        <v>8</v>
      </c>
    </row>
    <row r="1747" spans="1:6" x14ac:dyDescent="0.25">
      <c r="A1747" t="s">
        <v>2781</v>
      </c>
      <c r="B1747" t="s">
        <v>2782</v>
      </c>
      <c r="C1747" t="s">
        <v>2783</v>
      </c>
      <c r="D1747" s="2">
        <v>45906</v>
      </c>
      <c r="E1747">
        <v>28</v>
      </c>
      <c r="F1747">
        <v>1</v>
      </c>
    </row>
    <row r="1748" spans="1:6" x14ac:dyDescent="0.25">
      <c r="A1748" t="s">
        <v>2784</v>
      </c>
      <c r="B1748" t="s">
        <v>2785</v>
      </c>
      <c r="C1748" t="s">
        <v>2786</v>
      </c>
      <c r="D1748" s="2">
        <v>45837</v>
      </c>
      <c r="E1748">
        <v>28</v>
      </c>
      <c r="F1748">
        <v>1</v>
      </c>
    </row>
    <row r="1749" spans="1:6" x14ac:dyDescent="0.25">
      <c r="A1749" t="s">
        <v>2787</v>
      </c>
      <c r="B1749" t="s">
        <v>2785</v>
      </c>
      <c r="C1749" t="s">
        <v>2786</v>
      </c>
      <c r="D1749" s="2">
        <v>45868</v>
      </c>
      <c r="E1749">
        <v>28</v>
      </c>
      <c r="F1749">
        <v>2</v>
      </c>
    </row>
    <row r="1750" spans="1:6" x14ac:dyDescent="0.25">
      <c r="A1750" t="s">
        <v>2788</v>
      </c>
      <c r="B1750" t="s">
        <v>2785</v>
      </c>
      <c r="C1750" t="s">
        <v>2786</v>
      </c>
      <c r="D1750" s="2">
        <v>45898</v>
      </c>
      <c r="E1750">
        <v>28</v>
      </c>
      <c r="F1750">
        <v>3</v>
      </c>
    </row>
    <row r="1751" spans="1:6" x14ac:dyDescent="0.25">
      <c r="A1751" t="s">
        <v>2789</v>
      </c>
      <c r="B1751" t="s">
        <v>2785</v>
      </c>
      <c r="C1751" t="s">
        <v>2786</v>
      </c>
      <c r="D1751" s="2">
        <v>45925</v>
      </c>
      <c r="E1751">
        <v>28</v>
      </c>
      <c r="F1751">
        <v>4</v>
      </c>
    </row>
    <row r="1752" spans="1:6" x14ac:dyDescent="0.25">
      <c r="A1752" t="s">
        <v>2790</v>
      </c>
      <c r="B1752" t="s">
        <v>2785</v>
      </c>
      <c r="C1752" t="s">
        <v>2786</v>
      </c>
      <c r="D1752" s="2">
        <v>45953</v>
      </c>
      <c r="E1752">
        <v>28</v>
      </c>
      <c r="F1752">
        <v>5</v>
      </c>
    </row>
    <row r="1753" spans="1:6" x14ac:dyDescent="0.25">
      <c r="A1753" t="s">
        <v>2791</v>
      </c>
      <c r="B1753" t="s">
        <v>2792</v>
      </c>
      <c r="C1753" t="s">
        <v>2793</v>
      </c>
      <c r="D1753" s="2">
        <v>45925</v>
      </c>
      <c r="E1753">
        <v>28</v>
      </c>
      <c r="F1753">
        <v>1</v>
      </c>
    </row>
    <row r="1754" spans="1:6" x14ac:dyDescent="0.25">
      <c r="A1754" t="s">
        <v>2794</v>
      </c>
      <c r="B1754" t="s">
        <v>2792</v>
      </c>
      <c r="C1754" t="s">
        <v>2793</v>
      </c>
      <c r="D1754" s="2">
        <v>45950</v>
      </c>
      <c r="E1754">
        <v>28</v>
      </c>
      <c r="F1754">
        <v>2</v>
      </c>
    </row>
    <row r="1755" spans="1:6" x14ac:dyDescent="0.25">
      <c r="A1755" t="s">
        <v>2795</v>
      </c>
      <c r="B1755" t="s">
        <v>2796</v>
      </c>
      <c r="C1755" t="s">
        <v>2797</v>
      </c>
      <c r="D1755" s="2">
        <v>45925</v>
      </c>
      <c r="E1755">
        <v>14</v>
      </c>
      <c r="F1755">
        <v>1</v>
      </c>
    </row>
    <row r="1756" spans="1:6" x14ac:dyDescent="0.25">
      <c r="A1756" t="s">
        <v>2798</v>
      </c>
      <c r="B1756" t="s">
        <v>2796</v>
      </c>
      <c r="C1756" t="s">
        <v>2797</v>
      </c>
      <c r="D1756" s="2">
        <v>45940</v>
      </c>
      <c r="E1756">
        <v>14</v>
      </c>
      <c r="F1756">
        <v>2</v>
      </c>
    </row>
    <row r="1757" spans="1:6" x14ac:dyDescent="0.25">
      <c r="A1757" t="s">
        <v>2799</v>
      </c>
      <c r="B1757" t="s">
        <v>2796</v>
      </c>
      <c r="C1757" t="s">
        <v>2797</v>
      </c>
      <c r="D1757" s="2">
        <v>45953</v>
      </c>
      <c r="E1757">
        <v>14</v>
      </c>
      <c r="F1757">
        <v>3</v>
      </c>
    </row>
    <row r="1758" spans="1:6" x14ac:dyDescent="0.25">
      <c r="A1758" t="s">
        <v>2800</v>
      </c>
      <c r="B1758" t="s">
        <v>2801</v>
      </c>
      <c r="C1758" t="s">
        <v>2802</v>
      </c>
      <c r="D1758" s="2">
        <v>45950</v>
      </c>
      <c r="E1758">
        <v>28</v>
      </c>
      <c r="F1758">
        <v>1</v>
      </c>
    </row>
    <row r="1759" spans="1:6" x14ac:dyDescent="0.25">
      <c r="A1759" t="s">
        <v>2803</v>
      </c>
      <c r="B1759" t="s">
        <v>2804</v>
      </c>
      <c r="C1759" t="s">
        <v>2805</v>
      </c>
      <c r="D1759" s="2">
        <v>45860</v>
      </c>
      <c r="E1759">
        <v>30</v>
      </c>
      <c r="F1759">
        <v>1</v>
      </c>
    </row>
    <row r="1760" spans="1:6" x14ac:dyDescent="0.25">
      <c r="A1760" t="s">
        <v>2806</v>
      </c>
      <c r="B1760" t="s">
        <v>2804</v>
      </c>
      <c r="C1760" t="s">
        <v>2805</v>
      </c>
      <c r="D1760" s="2">
        <v>45889</v>
      </c>
      <c r="E1760">
        <v>30</v>
      </c>
      <c r="F1760">
        <v>2</v>
      </c>
    </row>
    <row r="1761" spans="1:6" x14ac:dyDescent="0.25">
      <c r="A1761" t="s">
        <v>2807</v>
      </c>
      <c r="B1761" t="s">
        <v>2804</v>
      </c>
      <c r="C1761" t="s">
        <v>2805</v>
      </c>
      <c r="D1761" s="2">
        <v>45922</v>
      </c>
      <c r="E1761">
        <v>30</v>
      </c>
      <c r="F1761">
        <v>3</v>
      </c>
    </row>
    <row r="1762" spans="1:6" x14ac:dyDescent="0.25">
      <c r="A1762" t="s">
        <v>2808</v>
      </c>
      <c r="B1762" t="s">
        <v>2804</v>
      </c>
      <c r="C1762" t="s">
        <v>2805</v>
      </c>
      <c r="D1762" s="2">
        <v>45954</v>
      </c>
      <c r="E1762">
        <v>30</v>
      </c>
      <c r="F1762">
        <v>4</v>
      </c>
    </row>
    <row r="1763" spans="1:6" x14ac:dyDescent="0.25">
      <c r="A1763" t="s">
        <v>2809</v>
      </c>
      <c r="B1763" t="s">
        <v>2810</v>
      </c>
      <c r="C1763" t="s">
        <v>2811</v>
      </c>
      <c r="D1763" s="2">
        <v>45855</v>
      </c>
      <c r="E1763">
        <v>30</v>
      </c>
      <c r="F1763">
        <v>1</v>
      </c>
    </row>
    <row r="1764" spans="1:6" x14ac:dyDescent="0.25">
      <c r="A1764" t="s">
        <v>2812</v>
      </c>
      <c r="B1764" t="s">
        <v>2810</v>
      </c>
      <c r="C1764" t="s">
        <v>2811</v>
      </c>
      <c r="D1764" s="2">
        <v>45886</v>
      </c>
      <c r="E1764">
        <v>30</v>
      </c>
      <c r="F1764">
        <v>2</v>
      </c>
    </row>
    <row r="1765" spans="1:6" x14ac:dyDescent="0.25">
      <c r="A1765" t="s">
        <v>2813</v>
      </c>
      <c r="B1765" t="s">
        <v>2810</v>
      </c>
      <c r="C1765" t="s">
        <v>2811</v>
      </c>
      <c r="D1765" s="2">
        <v>45917</v>
      </c>
      <c r="E1765">
        <v>30</v>
      </c>
      <c r="F1765">
        <v>3</v>
      </c>
    </row>
    <row r="1766" spans="1:6" x14ac:dyDescent="0.25">
      <c r="A1766" t="s">
        <v>2814</v>
      </c>
      <c r="B1766" t="s">
        <v>2810</v>
      </c>
      <c r="C1766" t="s">
        <v>2811</v>
      </c>
      <c r="D1766" s="2">
        <v>45948</v>
      </c>
      <c r="E1766">
        <v>30</v>
      </c>
      <c r="F1766">
        <v>4</v>
      </c>
    </row>
    <row r="1767" spans="1:6" x14ac:dyDescent="0.25">
      <c r="A1767" t="s">
        <v>2815</v>
      </c>
      <c r="B1767" t="s">
        <v>2816</v>
      </c>
      <c r="C1767" t="s">
        <v>2817</v>
      </c>
      <c r="D1767" s="2">
        <v>45947</v>
      </c>
      <c r="E1767">
        <v>56</v>
      </c>
      <c r="F1767">
        <v>1</v>
      </c>
    </row>
    <row r="1768" spans="1:6" x14ac:dyDescent="0.25">
      <c r="A1768" t="s">
        <v>2818</v>
      </c>
      <c r="B1768" t="s">
        <v>2819</v>
      </c>
      <c r="C1768" t="s">
        <v>2820</v>
      </c>
      <c r="D1768" s="2">
        <v>45834</v>
      </c>
      <c r="E1768">
        <v>28</v>
      </c>
      <c r="F1768">
        <v>1</v>
      </c>
    </row>
    <row r="1769" spans="1:6" x14ac:dyDescent="0.25">
      <c r="A1769" t="s">
        <v>2821</v>
      </c>
      <c r="B1769" t="s">
        <v>2819</v>
      </c>
      <c r="C1769" t="s">
        <v>2820</v>
      </c>
      <c r="D1769" s="2">
        <v>45860</v>
      </c>
      <c r="E1769">
        <v>28</v>
      </c>
      <c r="F1769">
        <v>2</v>
      </c>
    </row>
    <row r="1770" spans="1:6" x14ac:dyDescent="0.25">
      <c r="A1770" t="s">
        <v>2822</v>
      </c>
      <c r="B1770" t="s">
        <v>2819</v>
      </c>
      <c r="C1770" t="s">
        <v>2820</v>
      </c>
      <c r="D1770" s="2">
        <v>45887</v>
      </c>
      <c r="E1770">
        <v>28</v>
      </c>
      <c r="F1770">
        <v>3</v>
      </c>
    </row>
    <row r="1771" spans="1:6" x14ac:dyDescent="0.25">
      <c r="A1771" t="s">
        <v>2823</v>
      </c>
      <c r="B1771" t="s">
        <v>2819</v>
      </c>
      <c r="C1771" t="s">
        <v>2820</v>
      </c>
      <c r="D1771" s="2">
        <v>45916</v>
      </c>
      <c r="E1771">
        <v>28</v>
      </c>
      <c r="F1771">
        <v>4</v>
      </c>
    </row>
    <row r="1772" spans="1:6" x14ac:dyDescent="0.25">
      <c r="A1772" t="s">
        <v>2824</v>
      </c>
      <c r="B1772" t="s">
        <v>2819</v>
      </c>
      <c r="C1772" t="s">
        <v>2820</v>
      </c>
      <c r="D1772" s="2">
        <v>45942</v>
      </c>
      <c r="E1772">
        <v>28</v>
      </c>
      <c r="F1772">
        <v>5</v>
      </c>
    </row>
    <row r="1773" spans="1:6" x14ac:dyDescent="0.25">
      <c r="A1773" t="s">
        <v>2825</v>
      </c>
      <c r="B1773" t="s">
        <v>2826</v>
      </c>
      <c r="C1773" t="s">
        <v>2827</v>
      </c>
      <c r="D1773" s="2">
        <v>45854</v>
      </c>
      <c r="E1773">
        <v>28</v>
      </c>
      <c r="F1773">
        <v>1</v>
      </c>
    </row>
    <row r="1774" spans="1:6" x14ac:dyDescent="0.25">
      <c r="A1774" t="s">
        <v>2828</v>
      </c>
      <c r="B1774" t="s">
        <v>2826</v>
      </c>
      <c r="C1774" t="s">
        <v>2827</v>
      </c>
      <c r="D1774" s="2">
        <v>45879</v>
      </c>
      <c r="E1774">
        <v>28</v>
      </c>
      <c r="F1774">
        <v>2</v>
      </c>
    </row>
    <row r="1775" spans="1:6" x14ac:dyDescent="0.25">
      <c r="A1775" t="s">
        <v>2829</v>
      </c>
      <c r="B1775" t="s">
        <v>2826</v>
      </c>
      <c r="C1775" t="s">
        <v>2827</v>
      </c>
      <c r="D1775" s="2">
        <v>45907</v>
      </c>
      <c r="E1775">
        <v>28</v>
      </c>
      <c r="F1775">
        <v>3</v>
      </c>
    </row>
    <row r="1776" spans="1:6" x14ac:dyDescent="0.25">
      <c r="A1776" t="s">
        <v>2830</v>
      </c>
      <c r="B1776" t="s">
        <v>2826</v>
      </c>
      <c r="C1776" t="s">
        <v>2827</v>
      </c>
      <c r="D1776" s="2">
        <v>45933</v>
      </c>
      <c r="E1776">
        <v>28</v>
      </c>
      <c r="F1776">
        <v>4</v>
      </c>
    </row>
    <row r="1777" spans="1:6" x14ac:dyDescent="0.25">
      <c r="A1777" t="s">
        <v>2831</v>
      </c>
      <c r="B1777" t="s">
        <v>2826</v>
      </c>
      <c r="C1777" t="s">
        <v>2827</v>
      </c>
      <c r="D1777" s="2">
        <v>45958</v>
      </c>
      <c r="E1777">
        <v>28</v>
      </c>
      <c r="F1777">
        <v>5</v>
      </c>
    </row>
    <row r="1778" spans="1:6" x14ac:dyDescent="0.25">
      <c r="A1778" t="s">
        <v>2832</v>
      </c>
      <c r="B1778" t="s">
        <v>2833</v>
      </c>
      <c r="C1778" t="s">
        <v>2834</v>
      </c>
      <c r="D1778" s="2">
        <v>45793</v>
      </c>
      <c r="E1778">
        <v>30</v>
      </c>
      <c r="F1778">
        <v>1</v>
      </c>
    </row>
    <row r="1779" spans="1:6" x14ac:dyDescent="0.25">
      <c r="A1779" t="s">
        <v>2835</v>
      </c>
      <c r="B1779" t="s">
        <v>2833</v>
      </c>
      <c r="C1779" t="s">
        <v>2834</v>
      </c>
      <c r="D1779" s="2">
        <v>45823</v>
      </c>
      <c r="E1779">
        <v>30</v>
      </c>
      <c r="F1779">
        <v>2</v>
      </c>
    </row>
    <row r="1780" spans="1:6" x14ac:dyDescent="0.25">
      <c r="A1780" t="s">
        <v>2836</v>
      </c>
      <c r="B1780" t="s">
        <v>2833</v>
      </c>
      <c r="C1780" t="s">
        <v>2834</v>
      </c>
      <c r="D1780" s="2">
        <v>45853</v>
      </c>
      <c r="E1780">
        <v>30</v>
      </c>
      <c r="F1780">
        <v>3</v>
      </c>
    </row>
    <row r="1781" spans="1:6" x14ac:dyDescent="0.25">
      <c r="A1781" t="s">
        <v>2837</v>
      </c>
      <c r="B1781" t="s">
        <v>2833</v>
      </c>
      <c r="C1781" t="s">
        <v>2834</v>
      </c>
      <c r="D1781" s="2">
        <v>45885</v>
      </c>
      <c r="E1781">
        <v>30</v>
      </c>
      <c r="F1781">
        <v>4</v>
      </c>
    </row>
    <row r="1782" spans="1:6" x14ac:dyDescent="0.25">
      <c r="A1782" t="s">
        <v>2838</v>
      </c>
      <c r="B1782" t="s">
        <v>2833</v>
      </c>
      <c r="C1782" t="s">
        <v>2834</v>
      </c>
      <c r="D1782" s="2">
        <v>45916</v>
      </c>
      <c r="E1782">
        <v>30</v>
      </c>
      <c r="F1782">
        <v>5</v>
      </c>
    </row>
    <row r="1783" spans="1:6" x14ac:dyDescent="0.25">
      <c r="A1783" t="s">
        <v>2839</v>
      </c>
      <c r="B1783" t="s">
        <v>2833</v>
      </c>
      <c r="C1783" t="s">
        <v>2834</v>
      </c>
      <c r="D1783" s="2">
        <v>45943</v>
      </c>
      <c r="E1783">
        <v>30</v>
      </c>
      <c r="F1783">
        <v>6</v>
      </c>
    </row>
    <row r="1784" spans="1:6" x14ac:dyDescent="0.25">
      <c r="A1784" t="s">
        <v>2840</v>
      </c>
      <c r="B1784" t="s">
        <v>2841</v>
      </c>
      <c r="C1784" t="s">
        <v>2842</v>
      </c>
      <c r="D1784" s="2">
        <v>45929</v>
      </c>
      <c r="E1784">
        <v>30</v>
      </c>
      <c r="F1784">
        <v>1</v>
      </c>
    </row>
    <row r="1785" spans="1:6" x14ac:dyDescent="0.25">
      <c r="A1785" t="s">
        <v>2843</v>
      </c>
      <c r="B1785" t="s">
        <v>2841</v>
      </c>
      <c r="C1785" t="s">
        <v>2842</v>
      </c>
      <c r="D1785" s="2">
        <v>45956</v>
      </c>
      <c r="E1785">
        <v>30</v>
      </c>
      <c r="F1785">
        <v>2</v>
      </c>
    </row>
    <row r="1786" spans="1:6" x14ac:dyDescent="0.25">
      <c r="A1786" t="s">
        <v>2844</v>
      </c>
      <c r="B1786" t="s">
        <v>2845</v>
      </c>
      <c r="C1786" t="s">
        <v>2846</v>
      </c>
      <c r="D1786" s="2">
        <v>45822</v>
      </c>
      <c r="E1786">
        <v>28</v>
      </c>
      <c r="F1786">
        <v>1</v>
      </c>
    </row>
    <row r="1787" spans="1:6" x14ac:dyDescent="0.25">
      <c r="A1787" t="s">
        <v>2847</v>
      </c>
      <c r="B1787" t="s">
        <v>2845</v>
      </c>
      <c r="C1787" t="s">
        <v>2846</v>
      </c>
      <c r="D1787" s="2">
        <v>45850</v>
      </c>
      <c r="E1787">
        <v>28</v>
      </c>
      <c r="F1787">
        <v>2</v>
      </c>
    </row>
    <row r="1788" spans="1:6" x14ac:dyDescent="0.25">
      <c r="A1788" t="s">
        <v>2848</v>
      </c>
      <c r="B1788" t="s">
        <v>2845</v>
      </c>
      <c r="C1788" t="s">
        <v>2846</v>
      </c>
      <c r="D1788" s="2">
        <v>45881</v>
      </c>
      <c r="E1788">
        <v>28</v>
      </c>
      <c r="F1788">
        <v>3</v>
      </c>
    </row>
    <row r="1789" spans="1:6" x14ac:dyDescent="0.25">
      <c r="A1789" t="s">
        <v>2849</v>
      </c>
      <c r="B1789" t="s">
        <v>2845</v>
      </c>
      <c r="C1789" t="s">
        <v>2846</v>
      </c>
      <c r="D1789" s="2">
        <v>45912</v>
      </c>
      <c r="E1789">
        <v>28</v>
      </c>
      <c r="F1789">
        <v>4</v>
      </c>
    </row>
    <row r="1790" spans="1:6" x14ac:dyDescent="0.25">
      <c r="A1790" t="s">
        <v>2850</v>
      </c>
      <c r="B1790" t="s">
        <v>2845</v>
      </c>
      <c r="C1790" t="s">
        <v>2846</v>
      </c>
      <c r="D1790" s="2">
        <v>45939</v>
      </c>
      <c r="E1790">
        <v>28</v>
      </c>
      <c r="F1790">
        <v>5</v>
      </c>
    </row>
    <row r="1791" spans="1:6" x14ac:dyDescent="0.25">
      <c r="A1791" t="s">
        <v>2851</v>
      </c>
      <c r="B1791" t="s">
        <v>2852</v>
      </c>
      <c r="C1791" t="s">
        <v>2853</v>
      </c>
      <c r="D1791" s="2">
        <v>45951</v>
      </c>
      <c r="E1791">
        <v>30</v>
      </c>
      <c r="F1791">
        <v>1</v>
      </c>
    </row>
    <row r="1792" spans="1:6" x14ac:dyDescent="0.25">
      <c r="A1792" t="s">
        <v>2854</v>
      </c>
      <c r="B1792" t="s">
        <v>2855</v>
      </c>
      <c r="C1792" t="s">
        <v>2856</v>
      </c>
      <c r="D1792" s="2">
        <v>45920</v>
      </c>
      <c r="E1792">
        <v>30</v>
      </c>
      <c r="F1792">
        <v>1</v>
      </c>
    </row>
    <row r="1793" spans="1:6" x14ac:dyDescent="0.25">
      <c r="A1793" t="s">
        <v>2857</v>
      </c>
      <c r="B1793" t="s">
        <v>2855</v>
      </c>
      <c r="C1793" t="s">
        <v>2856</v>
      </c>
      <c r="D1793" s="2">
        <v>45953</v>
      </c>
      <c r="E1793">
        <v>30</v>
      </c>
      <c r="F1793">
        <v>2</v>
      </c>
    </row>
    <row r="1794" spans="1:6" x14ac:dyDescent="0.25">
      <c r="A1794" t="s">
        <v>2858</v>
      </c>
      <c r="B1794" t="s">
        <v>2859</v>
      </c>
      <c r="C1794" t="s">
        <v>2860</v>
      </c>
      <c r="D1794" s="2">
        <v>45790</v>
      </c>
      <c r="E1794">
        <v>28</v>
      </c>
      <c r="F1794">
        <v>1</v>
      </c>
    </row>
    <row r="1795" spans="1:6" x14ac:dyDescent="0.25">
      <c r="A1795" t="s">
        <v>2861</v>
      </c>
      <c r="B1795" t="s">
        <v>2859</v>
      </c>
      <c r="C1795" t="s">
        <v>2860</v>
      </c>
      <c r="D1795" s="2">
        <v>45816</v>
      </c>
      <c r="E1795">
        <v>28</v>
      </c>
      <c r="F1795">
        <v>2</v>
      </c>
    </row>
    <row r="1796" spans="1:6" x14ac:dyDescent="0.25">
      <c r="A1796" t="s">
        <v>2862</v>
      </c>
      <c r="B1796" t="s">
        <v>2859</v>
      </c>
      <c r="C1796" t="s">
        <v>2860</v>
      </c>
      <c r="D1796" s="2">
        <v>45846</v>
      </c>
      <c r="E1796">
        <v>28</v>
      </c>
      <c r="F1796">
        <v>3</v>
      </c>
    </row>
    <row r="1797" spans="1:6" x14ac:dyDescent="0.25">
      <c r="A1797" t="s">
        <v>2863</v>
      </c>
      <c r="B1797" t="s">
        <v>2859</v>
      </c>
      <c r="C1797" t="s">
        <v>2860</v>
      </c>
      <c r="D1797" s="2">
        <v>45875</v>
      </c>
      <c r="E1797">
        <v>28</v>
      </c>
      <c r="F1797">
        <v>4</v>
      </c>
    </row>
    <row r="1798" spans="1:6" x14ac:dyDescent="0.25">
      <c r="A1798" t="s">
        <v>2864</v>
      </c>
      <c r="B1798" t="s">
        <v>2859</v>
      </c>
      <c r="C1798" t="s">
        <v>2860</v>
      </c>
      <c r="D1798" s="2">
        <v>45900</v>
      </c>
      <c r="E1798">
        <v>28</v>
      </c>
      <c r="F1798">
        <v>5</v>
      </c>
    </row>
    <row r="1799" spans="1:6" x14ac:dyDescent="0.25">
      <c r="A1799" t="s">
        <v>2865</v>
      </c>
      <c r="B1799" t="s">
        <v>2859</v>
      </c>
      <c r="C1799" t="s">
        <v>2860</v>
      </c>
      <c r="D1799" s="2">
        <v>45931</v>
      </c>
      <c r="E1799">
        <v>28</v>
      </c>
      <c r="F1799">
        <v>6</v>
      </c>
    </row>
    <row r="1800" spans="1:6" x14ac:dyDescent="0.25">
      <c r="A1800" t="s">
        <v>2866</v>
      </c>
      <c r="B1800" t="s">
        <v>2859</v>
      </c>
      <c r="C1800" t="s">
        <v>2860</v>
      </c>
      <c r="D1800" s="2">
        <v>45959</v>
      </c>
      <c r="E1800">
        <v>28</v>
      </c>
      <c r="F1800">
        <v>7</v>
      </c>
    </row>
    <row r="1801" spans="1:6" x14ac:dyDescent="0.25">
      <c r="A1801" t="s">
        <v>2867</v>
      </c>
      <c r="B1801" t="s">
        <v>2868</v>
      </c>
      <c r="C1801" t="s">
        <v>2869</v>
      </c>
      <c r="D1801" s="2">
        <v>45942</v>
      </c>
      <c r="E1801">
        <v>28</v>
      </c>
      <c r="F1801">
        <v>1</v>
      </c>
    </row>
    <row r="1802" spans="1:6" x14ac:dyDescent="0.25">
      <c r="A1802" t="s">
        <v>2870</v>
      </c>
      <c r="B1802" t="s">
        <v>2871</v>
      </c>
      <c r="C1802" t="s">
        <v>2872</v>
      </c>
      <c r="D1802" s="2">
        <v>45875</v>
      </c>
      <c r="E1802">
        <v>28</v>
      </c>
      <c r="F1802">
        <v>1</v>
      </c>
    </row>
    <row r="1803" spans="1:6" x14ac:dyDescent="0.25">
      <c r="A1803" t="s">
        <v>2873</v>
      </c>
      <c r="B1803" t="s">
        <v>2871</v>
      </c>
      <c r="C1803" t="s">
        <v>2872</v>
      </c>
      <c r="D1803" s="2">
        <v>45904</v>
      </c>
      <c r="E1803">
        <v>28</v>
      </c>
      <c r="F1803">
        <v>2</v>
      </c>
    </row>
    <row r="1804" spans="1:6" x14ac:dyDescent="0.25">
      <c r="A1804" t="s">
        <v>2874</v>
      </c>
      <c r="B1804" t="s">
        <v>2875</v>
      </c>
      <c r="C1804" t="s">
        <v>2876</v>
      </c>
      <c r="D1804" s="2">
        <v>45912</v>
      </c>
      <c r="E1804">
        <v>28</v>
      </c>
      <c r="F1804">
        <v>1</v>
      </c>
    </row>
    <row r="1805" spans="1:6" x14ac:dyDescent="0.25">
      <c r="A1805" t="s">
        <v>2877</v>
      </c>
      <c r="B1805" t="s">
        <v>2875</v>
      </c>
      <c r="C1805" t="s">
        <v>2876</v>
      </c>
      <c r="D1805" s="2">
        <v>45938</v>
      </c>
      <c r="E1805">
        <v>28</v>
      </c>
      <c r="F1805">
        <v>2</v>
      </c>
    </row>
    <row r="1806" spans="1:6" x14ac:dyDescent="0.25">
      <c r="A1806" t="s">
        <v>2878</v>
      </c>
      <c r="B1806" t="s">
        <v>2879</v>
      </c>
      <c r="C1806" t="s">
        <v>2880</v>
      </c>
      <c r="D1806" s="2">
        <v>45956</v>
      </c>
      <c r="E1806">
        <v>28</v>
      </c>
      <c r="F1806">
        <v>1</v>
      </c>
    </row>
    <row r="1807" spans="1:6" x14ac:dyDescent="0.25">
      <c r="A1807" t="s">
        <v>2881</v>
      </c>
      <c r="B1807" t="s">
        <v>2882</v>
      </c>
      <c r="C1807" t="s">
        <v>2883</v>
      </c>
      <c r="D1807" s="2">
        <v>45882</v>
      </c>
      <c r="E1807">
        <v>14</v>
      </c>
      <c r="F1807">
        <v>1</v>
      </c>
    </row>
    <row r="1808" spans="1:6" x14ac:dyDescent="0.25">
      <c r="A1808" t="s">
        <v>2884</v>
      </c>
      <c r="B1808" t="s">
        <v>2882</v>
      </c>
      <c r="C1808" t="s">
        <v>2883</v>
      </c>
      <c r="D1808" s="2">
        <v>45896</v>
      </c>
      <c r="E1808">
        <v>14</v>
      </c>
      <c r="F1808">
        <v>2</v>
      </c>
    </row>
    <row r="1809" spans="1:6" x14ac:dyDescent="0.25">
      <c r="A1809" t="s">
        <v>2885</v>
      </c>
      <c r="B1809" t="s">
        <v>2882</v>
      </c>
      <c r="C1809" t="s">
        <v>2883</v>
      </c>
      <c r="D1809" s="2">
        <v>45911</v>
      </c>
      <c r="E1809">
        <v>14</v>
      </c>
      <c r="F1809">
        <v>3</v>
      </c>
    </row>
    <row r="1810" spans="1:6" x14ac:dyDescent="0.25">
      <c r="A1810" t="s">
        <v>2886</v>
      </c>
      <c r="B1810" t="s">
        <v>2882</v>
      </c>
      <c r="C1810" t="s">
        <v>2883</v>
      </c>
      <c r="D1810" s="2">
        <v>45926</v>
      </c>
      <c r="E1810">
        <v>14</v>
      </c>
      <c r="F1810">
        <v>4</v>
      </c>
    </row>
    <row r="1811" spans="1:6" x14ac:dyDescent="0.25">
      <c r="A1811" t="s">
        <v>2887</v>
      </c>
      <c r="B1811" t="s">
        <v>2882</v>
      </c>
      <c r="C1811" t="s">
        <v>2883</v>
      </c>
      <c r="D1811" s="2">
        <v>45938</v>
      </c>
      <c r="E1811">
        <v>14</v>
      </c>
      <c r="F1811">
        <v>5</v>
      </c>
    </row>
    <row r="1812" spans="1:6" x14ac:dyDescent="0.25">
      <c r="A1812" t="s">
        <v>2888</v>
      </c>
      <c r="B1812" t="s">
        <v>2882</v>
      </c>
      <c r="C1812" t="s">
        <v>2883</v>
      </c>
      <c r="D1812" s="2">
        <v>45951</v>
      </c>
      <c r="E1812">
        <v>14</v>
      </c>
      <c r="F1812">
        <v>6</v>
      </c>
    </row>
    <row r="1813" spans="1:6" x14ac:dyDescent="0.25">
      <c r="A1813" t="s">
        <v>2889</v>
      </c>
      <c r="B1813" t="s">
        <v>2890</v>
      </c>
      <c r="C1813" t="s">
        <v>2891</v>
      </c>
      <c r="D1813" s="2">
        <v>45854</v>
      </c>
      <c r="E1813">
        <v>21</v>
      </c>
      <c r="F1813">
        <v>1</v>
      </c>
    </row>
    <row r="1814" spans="1:6" x14ac:dyDescent="0.25">
      <c r="A1814" t="s">
        <v>2892</v>
      </c>
      <c r="B1814" t="s">
        <v>2890</v>
      </c>
      <c r="C1814" t="s">
        <v>2891</v>
      </c>
      <c r="D1814" s="2">
        <v>45873</v>
      </c>
      <c r="E1814">
        <v>21</v>
      </c>
      <c r="F1814">
        <v>2</v>
      </c>
    </row>
    <row r="1815" spans="1:6" x14ac:dyDescent="0.25">
      <c r="A1815" t="s">
        <v>2893</v>
      </c>
      <c r="B1815" t="s">
        <v>2890</v>
      </c>
      <c r="C1815" t="s">
        <v>2891</v>
      </c>
      <c r="D1815" s="2">
        <v>45891</v>
      </c>
      <c r="E1815">
        <v>21</v>
      </c>
      <c r="F1815">
        <v>3</v>
      </c>
    </row>
    <row r="1816" spans="1:6" x14ac:dyDescent="0.25">
      <c r="A1816" t="s">
        <v>2894</v>
      </c>
      <c r="B1816" t="s">
        <v>2890</v>
      </c>
      <c r="C1816" t="s">
        <v>2891</v>
      </c>
      <c r="D1816" s="2">
        <v>45913</v>
      </c>
      <c r="E1816">
        <v>21</v>
      </c>
      <c r="F1816">
        <v>4</v>
      </c>
    </row>
    <row r="1817" spans="1:6" x14ac:dyDescent="0.25">
      <c r="A1817" t="s">
        <v>2895</v>
      </c>
      <c r="B1817" t="s">
        <v>2890</v>
      </c>
      <c r="C1817" t="s">
        <v>2891</v>
      </c>
      <c r="D1817" s="2">
        <v>45931</v>
      </c>
      <c r="E1817">
        <v>21</v>
      </c>
      <c r="F1817">
        <v>5</v>
      </c>
    </row>
    <row r="1818" spans="1:6" x14ac:dyDescent="0.25">
      <c r="A1818" t="s">
        <v>2896</v>
      </c>
      <c r="B1818" t="s">
        <v>2890</v>
      </c>
      <c r="C1818" t="s">
        <v>2891</v>
      </c>
      <c r="D1818" s="2">
        <v>45952</v>
      </c>
      <c r="E1818">
        <v>21</v>
      </c>
      <c r="F1818">
        <v>6</v>
      </c>
    </row>
    <row r="1819" spans="1:6" x14ac:dyDescent="0.25">
      <c r="A1819" t="s">
        <v>2897</v>
      </c>
      <c r="B1819" t="s">
        <v>2898</v>
      </c>
      <c r="C1819" t="s">
        <v>2899</v>
      </c>
      <c r="D1819" s="2">
        <v>45825</v>
      </c>
      <c r="E1819">
        <v>28</v>
      </c>
      <c r="F1819">
        <v>1</v>
      </c>
    </row>
    <row r="1820" spans="1:6" x14ac:dyDescent="0.25">
      <c r="A1820" t="s">
        <v>2900</v>
      </c>
      <c r="B1820" t="s">
        <v>2898</v>
      </c>
      <c r="C1820" t="s">
        <v>2899</v>
      </c>
      <c r="D1820" s="2">
        <v>45854</v>
      </c>
      <c r="E1820">
        <v>28</v>
      </c>
      <c r="F1820">
        <v>2</v>
      </c>
    </row>
    <row r="1821" spans="1:6" x14ac:dyDescent="0.25">
      <c r="A1821" t="s">
        <v>2901</v>
      </c>
      <c r="B1821" t="s">
        <v>2898</v>
      </c>
      <c r="C1821" t="s">
        <v>2899</v>
      </c>
      <c r="D1821" s="2">
        <v>45885</v>
      </c>
      <c r="E1821">
        <v>28</v>
      </c>
      <c r="F1821">
        <v>3</v>
      </c>
    </row>
    <row r="1822" spans="1:6" x14ac:dyDescent="0.25">
      <c r="A1822" t="s">
        <v>2902</v>
      </c>
      <c r="B1822" t="s">
        <v>2898</v>
      </c>
      <c r="C1822" t="s">
        <v>2899</v>
      </c>
      <c r="D1822" s="2">
        <v>45911</v>
      </c>
      <c r="E1822">
        <v>28</v>
      </c>
      <c r="F1822">
        <v>4</v>
      </c>
    </row>
    <row r="1823" spans="1:6" x14ac:dyDescent="0.25">
      <c r="A1823" t="s">
        <v>2903</v>
      </c>
      <c r="B1823" t="s">
        <v>2898</v>
      </c>
      <c r="C1823" t="s">
        <v>2899</v>
      </c>
      <c r="D1823" s="2">
        <v>45937</v>
      </c>
      <c r="E1823">
        <v>28</v>
      </c>
      <c r="F1823">
        <v>5</v>
      </c>
    </row>
    <row r="1824" spans="1:6" x14ac:dyDescent="0.25">
      <c r="A1824" t="s">
        <v>2904</v>
      </c>
      <c r="B1824" t="s">
        <v>2905</v>
      </c>
      <c r="C1824" t="s">
        <v>2906</v>
      </c>
      <c r="D1824" s="2">
        <v>45915</v>
      </c>
      <c r="E1824">
        <v>28</v>
      </c>
      <c r="F1824">
        <v>1</v>
      </c>
    </row>
    <row r="1825" spans="1:6" x14ac:dyDescent="0.25">
      <c r="A1825" t="s">
        <v>2907</v>
      </c>
      <c r="B1825" t="s">
        <v>2905</v>
      </c>
      <c r="C1825" t="s">
        <v>2906</v>
      </c>
      <c r="D1825" s="2">
        <v>45943</v>
      </c>
      <c r="E1825">
        <v>28</v>
      </c>
      <c r="F1825">
        <v>2</v>
      </c>
    </row>
    <row r="1826" spans="1:6" x14ac:dyDescent="0.25">
      <c r="A1826" t="s">
        <v>2908</v>
      </c>
      <c r="B1826" t="s">
        <v>2909</v>
      </c>
      <c r="C1826" t="s">
        <v>2910</v>
      </c>
      <c r="D1826" s="2">
        <v>45839</v>
      </c>
      <c r="E1826">
        <v>28</v>
      </c>
      <c r="F1826">
        <v>1</v>
      </c>
    </row>
    <row r="1827" spans="1:6" x14ac:dyDescent="0.25">
      <c r="A1827" t="s">
        <v>2911</v>
      </c>
      <c r="B1827" t="s">
        <v>2909</v>
      </c>
      <c r="C1827" t="s">
        <v>2910</v>
      </c>
      <c r="D1827" s="2">
        <v>45868</v>
      </c>
      <c r="E1827">
        <v>28</v>
      </c>
      <c r="F1827">
        <v>2</v>
      </c>
    </row>
    <row r="1828" spans="1:6" x14ac:dyDescent="0.25">
      <c r="A1828" t="s">
        <v>2912</v>
      </c>
      <c r="B1828" t="s">
        <v>2909</v>
      </c>
      <c r="C1828" t="s">
        <v>2910</v>
      </c>
      <c r="D1828" s="2">
        <v>45897</v>
      </c>
      <c r="E1828">
        <v>28</v>
      </c>
      <c r="F1828">
        <v>3</v>
      </c>
    </row>
    <row r="1829" spans="1:6" x14ac:dyDescent="0.25">
      <c r="A1829" t="s">
        <v>2913</v>
      </c>
      <c r="B1829" t="s">
        <v>2909</v>
      </c>
      <c r="C1829" t="s">
        <v>2910</v>
      </c>
      <c r="D1829" s="2">
        <v>45923</v>
      </c>
      <c r="E1829">
        <v>28</v>
      </c>
      <c r="F1829">
        <v>4</v>
      </c>
    </row>
    <row r="1830" spans="1:6" x14ac:dyDescent="0.25">
      <c r="A1830" t="s">
        <v>2914</v>
      </c>
      <c r="B1830" t="s">
        <v>2909</v>
      </c>
      <c r="C1830" t="s">
        <v>2910</v>
      </c>
      <c r="D1830" s="2">
        <v>45950</v>
      </c>
      <c r="E1830">
        <v>28</v>
      </c>
      <c r="F1830">
        <v>5</v>
      </c>
    </row>
    <row r="1831" spans="1:6" x14ac:dyDescent="0.25">
      <c r="A1831" t="s">
        <v>2915</v>
      </c>
      <c r="B1831" t="s">
        <v>2916</v>
      </c>
      <c r="C1831" t="s">
        <v>2917</v>
      </c>
      <c r="D1831" s="2">
        <v>45835</v>
      </c>
      <c r="E1831">
        <v>28</v>
      </c>
      <c r="F1831">
        <v>1</v>
      </c>
    </row>
    <row r="1832" spans="1:6" x14ac:dyDescent="0.25">
      <c r="A1832" t="s">
        <v>2918</v>
      </c>
      <c r="B1832" t="s">
        <v>2916</v>
      </c>
      <c r="C1832" t="s">
        <v>2917</v>
      </c>
      <c r="D1832" s="2">
        <v>45865</v>
      </c>
      <c r="E1832">
        <v>28</v>
      </c>
      <c r="F1832">
        <v>2</v>
      </c>
    </row>
    <row r="1833" spans="1:6" x14ac:dyDescent="0.25">
      <c r="A1833" t="s">
        <v>2919</v>
      </c>
      <c r="B1833" t="s">
        <v>2916</v>
      </c>
      <c r="C1833" t="s">
        <v>2917</v>
      </c>
      <c r="D1833" s="2">
        <v>45894</v>
      </c>
      <c r="E1833">
        <v>28</v>
      </c>
      <c r="F1833">
        <v>3</v>
      </c>
    </row>
    <row r="1834" spans="1:6" x14ac:dyDescent="0.25">
      <c r="A1834" t="s">
        <v>2920</v>
      </c>
      <c r="B1834" t="s">
        <v>2916</v>
      </c>
      <c r="C1834" t="s">
        <v>2917</v>
      </c>
      <c r="D1834" s="2">
        <v>45919</v>
      </c>
      <c r="E1834">
        <v>28</v>
      </c>
      <c r="F1834">
        <v>4</v>
      </c>
    </row>
    <row r="1835" spans="1:6" x14ac:dyDescent="0.25">
      <c r="A1835" t="s">
        <v>2921</v>
      </c>
      <c r="B1835" t="s">
        <v>2916</v>
      </c>
      <c r="C1835" t="s">
        <v>2917</v>
      </c>
      <c r="D1835" s="2">
        <v>45947</v>
      </c>
      <c r="E1835">
        <v>28</v>
      </c>
      <c r="F1835">
        <v>5</v>
      </c>
    </row>
    <row r="1836" spans="1:6" x14ac:dyDescent="0.25">
      <c r="A1836" t="s">
        <v>2922</v>
      </c>
      <c r="B1836" t="s">
        <v>2923</v>
      </c>
      <c r="C1836" t="s">
        <v>2924</v>
      </c>
      <c r="D1836" s="2">
        <v>45959</v>
      </c>
      <c r="E1836">
        <v>30</v>
      </c>
      <c r="F1836">
        <v>1</v>
      </c>
    </row>
    <row r="1837" spans="1:6" x14ac:dyDescent="0.25">
      <c r="A1837" t="s">
        <v>2925</v>
      </c>
      <c r="B1837" t="s">
        <v>2926</v>
      </c>
      <c r="C1837" t="s">
        <v>2927</v>
      </c>
      <c r="D1837" s="2">
        <v>45896</v>
      </c>
      <c r="E1837">
        <v>30</v>
      </c>
      <c r="F1837">
        <v>1</v>
      </c>
    </row>
    <row r="1838" spans="1:6" x14ac:dyDescent="0.25">
      <c r="A1838" t="s">
        <v>2928</v>
      </c>
      <c r="B1838" t="s">
        <v>2926</v>
      </c>
      <c r="C1838" t="s">
        <v>2927</v>
      </c>
      <c r="D1838" s="2">
        <v>45925</v>
      </c>
      <c r="E1838">
        <v>30</v>
      </c>
      <c r="F1838">
        <v>2</v>
      </c>
    </row>
    <row r="1839" spans="1:6" x14ac:dyDescent="0.25">
      <c r="A1839" t="s">
        <v>2929</v>
      </c>
      <c r="B1839" t="s">
        <v>2926</v>
      </c>
      <c r="C1839" t="s">
        <v>2927</v>
      </c>
      <c r="D1839" s="2">
        <v>45957</v>
      </c>
      <c r="E1839">
        <v>30</v>
      </c>
      <c r="F1839">
        <v>3</v>
      </c>
    </row>
    <row r="1840" spans="1:6" x14ac:dyDescent="0.25">
      <c r="A1840" t="s">
        <v>2930</v>
      </c>
      <c r="B1840" t="s">
        <v>2931</v>
      </c>
      <c r="C1840" t="s">
        <v>2932</v>
      </c>
      <c r="D1840" s="2">
        <v>45921</v>
      </c>
      <c r="E1840">
        <v>28</v>
      </c>
      <c r="F1840">
        <v>1</v>
      </c>
    </row>
    <row r="1841" spans="1:6" x14ac:dyDescent="0.25">
      <c r="A1841" t="s">
        <v>2933</v>
      </c>
      <c r="B1841" t="s">
        <v>2931</v>
      </c>
      <c r="C1841" t="s">
        <v>2932</v>
      </c>
      <c r="D1841" s="2">
        <v>45947</v>
      </c>
      <c r="E1841">
        <v>28</v>
      </c>
      <c r="F1841">
        <v>2</v>
      </c>
    </row>
    <row r="1842" spans="1:6" x14ac:dyDescent="0.25">
      <c r="A1842" t="s">
        <v>2934</v>
      </c>
      <c r="B1842" t="s">
        <v>2935</v>
      </c>
      <c r="C1842" t="s">
        <v>2936</v>
      </c>
      <c r="D1842" s="2">
        <v>45884</v>
      </c>
      <c r="E1842">
        <v>28</v>
      </c>
      <c r="F1842">
        <v>1</v>
      </c>
    </row>
    <row r="1843" spans="1:6" x14ac:dyDescent="0.25">
      <c r="A1843" t="s">
        <v>2937</v>
      </c>
      <c r="B1843" t="s">
        <v>2935</v>
      </c>
      <c r="C1843" t="s">
        <v>2936</v>
      </c>
      <c r="D1843" s="2">
        <v>45915</v>
      </c>
      <c r="E1843">
        <v>28</v>
      </c>
      <c r="F1843">
        <v>2</v>
      </c>
    </row>
    <row r="1844" spans="1:6" x14ac:dyDescent="0.25">
      <c r="A1844" t="s">
        <v>2938</v>
      </c>
      <c r="B1844" t="s">
        <v>2935</v>
      </c>
      <c r="C1844" t="s">
        <v>2936</v>
      </c>
      <c r="D1844" s="2">
        <v>45944</v>
      </c>
      <c r="E1844">
        <v>28</v>
      </c>
      <c r="F1844">
        <v>3</v>
      </c>
    </row>
    <row r="1845" spans="1:6" x14ac:dyDescent="0.25">
      <c r="A1845" t="s">
        <v>2939</v>
      </c>
      <c r="B1845" t="s">
        <v>2940</v>
      </c>
      <c r="C1845" t="s">
        <v>2941</v>
      </c>
      <c r="D1845" s="2">
        <v>45913</v>
      </c>
      <c r="E1845">
        <v>28</v>
      </c>
      <c r="F1845">
        <v>1</v>
      </c>
    </row>
    <row r="1846" spans="1:6" x14ac:dyDescent="0.25">
      <c r="A1846" t="s">
        <v>2942</v>
      </c>
      <c r="B1846" t="s">
        <v>2940</v>
      </c>
      <c r="C1846" t="s">
        <v>2941</v>
      </c>
      <c r="D1846" s="2">
        <v>45944</v>
      </c>
      <c r="E1846">
        <v>28</v>
      </c>
      <c r="F1846">
        <v>2</v>
      </c>
    </row>
    <row r="1847" spans="1:6" x14ac:dyDescent="0.25">
      <c r="A1847" t="s">
        <v>2943</v>
      </c>
      <c r="B1847" t="s">
        <v>2944</v>
      </c>
      <c r="C1847" t="s">
        <v>2945</v>
      </c>
      <c r="D1847" s="2">
        <v>45877</v>
      </c>
      <c r="E1847">
        <v>30</v>
      </c>
      <c r="F1847">
        <v>1</v>
      </c>
    </row>
    <row r="1848" spans="1:6" x14ac:dyDescent="0.25">
      <c r="A1848" t="s">
        <v>2946</v>
      </c>
      <c r="B1848" t="s">
        <v>2944</v>
      </c>
      <c r="C1848" t="s">
        <v>2945</v>
      </c>
      <c r="D1848" s="2">
        <v>45906</v>
      </c>
      <c r="E1848">
        <v>30</v>
      </c>
      <c r="F1848">
        <v>2</v>
      </c>
    </row>
    <row r="1849" spans="1:6" x14ac:dyDescent="0.25">
      <c r="A1849" t="s">
        <v>2947</v>
      </c>
      <c r="B1849" t="s">
        <v>2944</v>
      </c>
      <c r="C1849" t="s">
        <v>2945</v>
      </c>
      <c r="D1849" s="2">
        <v>45939</v>
      </c>
      <c r="E1849">
        <v>30</v>
      </c>
      <c r="F1849">
        <v>3</v>
      </c>
    </row>
    <row r="1850" spans="1:6" x14ac:dyDescent="0.25">
      <c r="A1850" t="s">
        <v>2948</v>
      </c>
      <c r="B1850" t="s">
        <v>2949</v>
      </c>
      <c r="C1850" t="s">
        <v>2950</v>
      </c>
      <c r="D1850" s="2">
        <v>45843</v>
      </c>
      <c r="E1850">
        <v>28</v>
      </c>
      <c r="F1850">
        <v>1</v>
      </c>
    </row>
    <row r="1851" spans="1:6" x14ac:dyDescent="0.25">
      <c r="A1851" t="s">
        <v>2951</v>
      </c>
      <c r="B1851" t="s">
        <v>2949</v>
      </c>
      <c r="C1851" t="s">
        <v>2950</v>
      </c>
      <c r="D1851" s="2">
        <v>45868</v>
      </c>
      <c r="E1851">
        <v>28</v>
      </c>
      <c r="F1851">
        <v>2</v>
      </c>
    </row>
    <row r="1852" spans="1:6" x14ac:dyDescent="0.25">
      <c r="A1852" t="s">
        <v>2952</v>
      </c>
      <c r="B1852" t="s">
        <v>2949</v>
      </c>
      <c r="C1852" t="s">
        <v>2950</v>
      </c>
      <c r="D1852" s="2">
        <v>45893</v>
      </c>
      <c r="E1852">
        <v>28</v>
      </c>
      <c r="F1852">
        <v>3</v>
      </c>
    </row>
    <row r="1853" spans="1:6" x14ac:dyDescent="0.25">
      <c r="A1853" t="s">
        <v>2953</v>
      </c>
      <c r="B1853" t="s">
        <v>2949</v>
      </c>
      <c r="C1853" t="s">
        <v>2950</v>
      </c>
      <c r="D1853" s="2">
        <v>45922</v>
      </c>
      <c r="E1853">
        <v>28</v>
      </c>
      <c r="F1853">
        <v>4</v>
      </c>
    </row>
    <row r="1854" spans="1:6" x14ac:dyDescent="0.25">
      <c r="A1854" t="s">
        <v>2954</v>
      </c>
      <c r="B1854" t="s">
        <v>2949</v>
      </c>
      <c r="C1854" t="s">
        <v>2950</v>
      </c>
      <c r="D1854" s="2">
        <v>45948</v>
      </c>
      <c r="E1854">
        <v>28</v>
      </c>
      <c r="F1854">
        <v>5</v>
      </c>
    </row>
    <row r="1855" spans="1:6" x14ac:dyDescent="0.25">
      <c r="A1855" t="s">
        <v>2955</v>
      </c>
      <c r="B1855" t="s">
        <v>2956</v>
      </c>
      <c r="C1855" t="s">
        <v>2957</v>
      </c>
      <c r="D1855" s="2">
        <v>45862</v>
      </c>
      <c r="E1855">
        <v>28</v>
      </c>
      <c r="F1855">
        <v>1</v>
      </c>
    </row>
    <row r="1856" spans="1:6" x14ac:dyDescent="0.25">
      <c r="A1856" t="s">
        <v>2958</v>
      </c>
      <c r="B1856" t="s">
        <v>2956</v>
      </c>
      <c r="C1856" t="s">
        <v>2957</v>
      </c>
      <c r="D1856" s="2">
        <v>45887</v>
      </c>
      <c r="E1856">
        <v>28</v>
      </c>
      <c r="F1856">
        <v>2</v>
      </c>
    </row>
    <row r="1857" spans="1:6" x14ac:dyDescent="0.25">
      <c r="A1857" t="s">
        <v>2959</v>
      </c>
      <c r="B1857" t="s">
        <v>2956</v>
      </c>
      <c r="C1857" t="s">
        <v>2957</v>
      </c>
      <c r="D1857" s="2">
        <v>45918</v>
      </c>
      <c r="E1857">
        <v>28</v>
      </c>
      <c r="F1857">
        <v>3</v>
      </c>
    </row>
    <row r="1858" spans="1:6" x14ac:dyDescent="0.25">
      <c r="A1858" t="s">
        <v>2960</v>
      </c>
      <c r="B1858" t="s">
        <v>2961</v>
      </c>
      <c r="C1858" t="s">
        <v>2962</v>
      </c>
      <c r="D1858" s="2">
        <v>45798</v>
      </c>
      <c r="E1858">
        <v>28</v>
      </c>
      <c r="F1858">
        <v>1</v>
      </c>
    </row>
    <row r="1859" spans="1:6" x14ac:dyDescent="0.25">
      <c r="A1859" t="s">
        <v>2963</v>
      </c>
      <c r="B1859" t="s">
        <v>2961</v>
      </c>
      <c r="C1859" t="s">
        <v>2962</v>
      </c>
      <c r="D1859" s="2">
        <v>45826</v>
      </c>
      <c r="E1859">
        <v>28</v>
      </c>
      <c r="F1859">
        <v>2</v>
      </c>
    </row>
    <row r="1860" spans="1:6" x14ac:dyDescent="0.25">
      <c r="A1860" t="s">
        <v>2964</v>
      </c>
      <c r="B1860" t="s">
        <v>2961</v>
      </c>
      <c r="C1860" t="s">
        <v>2962</v>
      </c>
      <c r="D1860" s="2">
        <v>45853</v>
      </c>
      <c r="E1860">
        <v>28</v>
      </c>
      <c r="F1860">
        <v>3</v>
      </c>
    </row>
    <row r="1861" spans="1:6" x14ac:dyDescent="0.25">
      <c r="A1861" t="s">
        <v>2965</v>
      </c>
      <c r="B1861" t="s">
        <v>2961</v>
      </c>
      <c r="C1861" t="s">
        <v>2962</v>
      </c>
      <c r="D1861" s="2">
        <v>45883</v>
      </c>
      <c r="E1861">
        <v>28</v>
      </c>
      <c r="F1861">
        <v>4</v>
      </c>
    </row>
    <row r="1862" spans="1:6" x14ac:dyDescent="0.25">
      <c r="A1862" t="s">
        <v>2966</v>
      </c>
      <c r="B1862" t="s">
        <v>2961</v>
      </c>
      <c r="C1862" t="s">
        <v>2962</v>
      </c>
      <c r="D1862" s="2">
        <v>45909</v>
      </c>
      <c r="E1862">
        <v>28</v>
      </c>
      <c r="F1862">
        <v>5</v>
      </c>
    </row>
    <row r="1863" spans="1:6" x14ac:dyDescent="0.25">
      <c r="A1863" t="s">
        <v>2967</v>
      </c>
      <c r="B1863" t="s">
        <v>2961</v>
      </c>
      <c r="C1863" t="s">
        <v>2962</v>
      </c>
      <c r="D1863" s="2">
        <v>45938</v>
      </c>
      <c r="E1863">
        <v>28</v>
      </c>
      <c r="F1863">
        <v>6</v>
      </c>
    </row>
    <row r="1864" spans="1:6" x14ac:dyDescent="0.25">
      <c r="A1864" t="s">
        <v>2968</v>
      </c>
      <c r="B1864" t="s">
        <v>2969</v>
      </c>
      <c r="C1864" t="s">
        <v>2970</v>
      </c>
      <c r="D1864" s="2">
        <v>45872</v>
      </c>
      <c r="E1864">
        <v>28</v>
      </c>
      <c r="F1864">
        <v>1</v>
      </c>
    </row>
    <row r="1865" spans="1:6" x14ac:dyDescent="0.25">
      <c r="A1865" t="s">
        <v>2971</v>
      </c>
      <c r="B1865" t="s">
        <v>2969</v>
      </c>
      <c r="C1865" t="s">
        <v>2970</v>
      </c>
      <c r="D1865" s="2">
        <v>45901</v>
      </c>
      <c r="E1865">
        <v>28</v>
      </c>
      <c r="F1865">
        <v>2</v>
      </c>
    </row>
    <row r="1866" spans="1:6" x14ac:dyDescent="0.25">
      <c r="A1866" t="s">
        <v>2972</v>
      </c>
      <c r="B1866" t="s">
        <v>2969</v>
      </c>
      <c r="C1866" t="s">
        <v>2970</v>
      </c>
      <c r="D1866" s="2">
        <v>45930</v>
      </c>
      <c r="E1866">
        <v>28</v>
      </c>
      <c r="F1866">
        <v>3</v>
      </c>
    </row>
    <row r="1867" spans="1:6" x14ac:dyDescent="0.25">
      <c r="A1867" t="s">
        <v>2973</v>
      </c>
      <c r="B1867" t="s">
        <v>2969</v>
      </c>
      <c r="C1867" t="s">
        <v>2970</v>
      </c>
      <c r="D1867" s="2">
        <v>45956</v>
      </c>
      <c r="E1867">
        <v>28</v>
      </c>
      <c r="F1867">
        <v>4</v>
      </c>
    </row>
    <row r="1868" spans="1:6" x14ac:dyDescent="0.25">
      <c r="A1868" t="s">
        <v>2974</v>
      </c>
      <c r="B1868" t="s">
        <v>2975</v>
      </c>
      <c r="C1868" t="s">
        <v>2976</v>
      </c>
      <c r="D1868" s="2">
        <v>45915</v>
      </c>
      <c r="E1868">
        <v>28</v>
      </c>
      <c r="F1868">
        <v>1</v>
      </c>
    </row>
    <row r="1869" spans="1:6" x14ac:dyDescent="0.25">
      <c r="A1869" t="s">
        <v>2977</v>
      </c>
      <c r="B1869" t="s">
        <v>2975</v>
      </c>
      <c r="C1869" t="s">
        <v>2976</v>
      </c>
      <c r="D1869" s="2">
        <v>45940</v>
      </c>
      <c r="E1869">
        <v>28</v>
      </c>
      <c r="F1869">
        <v>2</v>
      </c>
    </row>
    <row r="1870" spans="1:6" x14ac:dyDescent="0.25">
      <c r="A1870" t="s">
        <v>2978</v>
      </c>
      <c r="B1870" t="s">
        <v>2979</v>
      </c>
      <c r="C1870" t="s">
        <v>2980</v>
      </c>
      <c r="D1870" s="2">
        <v>45826</v>
      </c>
      <c r="E1870">
        <v>28</v>
      </c>
      <c r="F1870">
        <v>1</v>
      </c>
    </row>
    <row r="1871" spans="1:6" x14ac:dyDescent="0.25">
      <c r="A1871" t="s">
        <v>2981</v>
      </c>
      <c r="B1871" t="s">
        <v>2979</v>
      </c>
      <c r="C1871" t="s">
        <v>2980</v>
      </c>
      <c r="D1871" s="2">
        <v>45856</v>
      </c>
      <c r="E1871">
        <v>28</v>
      </c>
      <c r="F1871">
        <v>2</v>
      </c>
    </row>
    <row r="1872" spans="1:6" x14ac:dyDescent="0.25">
      <c r="A1872" t="s">
        <v>2982</v>
      </c>
      <c r="B1872" t="s">
        <v>2979</v>
      </c>
      <c r="C1872" t="s">
        <v>2980</v>
      </c>
      <c r="D1872" s="2">
        <v>45881</v>
      </c>
      <c r="E1872">
        <v>28</v>
      </c>
      <c r="F1872">
        <v>3</v>
      </c>
    </row>
    <row r="1873" spans="1:6" x14ac:dyDescent="0.25">
      <c r="A1873" t="s">
        <v>2983</v>
      </c>
      <c r="B1873" t="s">
        <v>2979</v>
      </c>
      <c r="C1873" t="s">
        <v>2980</v>
      </c>
      <c r="D1873" s="2">
        <v>45907</v>
      </c>
      <c r="E1873">
        <v>28</v>
      </c>
      <c r="F1873">
        <v>4</v>
      </c>
    </row>
    <row r="1874" spans="1:6" x14ac:dyDescent="0.25">
      <c r="A1874" t="s">
        <v>2984</v>
      </c>
      <c r="B1874" t="s">
        <v>2979</v>
      </c>
      <c r="C1874" t="s">
        <v>2980</v>
      </c>
      <c r="D1874" s="2">
        <v>45934</v>
      </c>
      <c r="E1874">
        <v>28</v>
      </c>
      <c r="F1874">
        <v>5</v>
      </c>
    </row>
    <row r="1875" spans="1:6" x14ac:dyDescent="0.25">
      <c r="A1875" t="s">
        <v>2985</v>
      </c>
      <c r="B1875" t="s">
        <v>2986</v>
      </c>
      <c r="C1875" t="s">
        <v>2987</v>
      </c>
      <c r="D1875" s="2">
        <v>45846</v>
      </c>
      <c r="E1875">
        <v>14</v>
      </c>
      <c r="F1875">
        <v>1</v>
      </c>
    </row>
    <row r="1876" spans="1:6" x14ac:dyDescent="0.25">
      <c r="A1876" t="s">
        <v>2988</v>
      </c>
      <c r="B1876" t="s">
        <v>2986</v>
      </c>
      <c r="C1876" t="s">
        <v>2987</v>
      </c>
      <c r="D1876" s="2">
        <v>45861</v>
      </c>
      <c r="E1876">
        <v>14</v>
      </c>
      <c r="F1876">
        <v>2</v>
      </c>
    </row>
    <row r="1877" spans="1:6" x14ac:dyDescent="0.25">
      <c r="A1877" t="s">
        <v>2989</v>
      </c>
      <c r="B1877" t="s">
        <v>2986</v>
      </c>
      <c r="C1877" t="s">
        <v>2987</v>
      </c>
      <c r="D1877" s="2">
        <v>45872</v>
      </c>
      <c r="E1877">
        <v>14</v>
      </c>
      <c r="F1877">
        <v>3</v>
      </c>
    </row>
    <row r="1878" spans="1:6" x14ac:dyDescent="0.25">
      <c r="A1878" t="s">
        <v>2990</v>
      </c>
      <c r="B1878" t="s">
        <v>2986</v>
      </c>
      <c r="C1878" t="s">
        <v>2987</v>
      </c>
      <c r="D1878" s="2">
        <v>45888</v>
      </c>
      <c r="E1878">
        <v>14</v>
      </c>
      <c r="F1878">
        <v>4</v>
      </c>
    </row>
    <row r="1879" spans="1:6" x14ac:dyDescent="0.25">
      <c r="A1879" t="s">
        <v>2991</v>
      </c>
      <c r="B1879" t="s">
        <v>2986</v>
      </c>
      <c r="C1879" t="s">
        <v>2987</v>
      </c>
      <c r="D1879" s="2">
        <v>45899</v>
      </c>
      <c r="E1879">
        <v>14</v>
      </c>
      <c r="F1879">
        <v>5</v>
      </c>
    </row>
    <row r="1880" spans="1:6" x14ac:dyDescent="0.25">
      <c r="A1880" t="s">
        <v>2992</v>
      </c>
      <c r="B1880" t="s">
        <v>2986</v>
      </c>
      <c r="C1880" t="s">
        <v>2987</v>
      </c>
      <c r="D1880" s="2">
        <v>45913</v>
      </c>
      <c r="E1880">
        <v>14</v>
      </c>
      <c r="F1880">
        <v>6</v>
      </c>
    </row>
    <row r="1881" spans="1:6" x14ac:dyDescent="0.25">
      <c r="A1881" t="s">
        <v>2993</v>
      </c>
      <c r="B1881" t="s">
        <v>2986</v>
      </c>
      <c r="C1881" t="s">
        <v>2987</v>
      </c>
      <c r="D1881" s="2">
        <v>45926</v>
      </c>
      <c r="E1881">
        <v>14</v>
      </c>
      <c r="F1881">
        <v>7</v>
      </c>
    </row>
    <row r="1882" spans="1:6" x14ac:dyDescent="0.25">
      <c r="A1882" t="s">
        <v>2994</v>
      </c>
      <c r="B1882" t="s">
        <v>2986</v>
      </c>
      <c r="C1882" t="s">
        <v>2987</v>
      </c>
      <c r="D1882" s="2">
        <v>45943</v>
      </c>
      <c r="E1882">
        <v>14</v>
      </c>
      <c r="F1882">
        <v>8</v>
      </c>
    </row>
    <row r="1883" spans="1:6" x14ac:dyDescent="0.25">
      <c r="A1883" t="s">
        <v>2995</v>
      </c>
      <c r="B1883" t="s">
        <v>2986</v>
      </c>
      <c r="C1883" t="s">
        <v>2987</v>
      </c>
      <c r="D1883" s="2">
        <v>45959</v>
      </c>
      <c r="E1883">
        <v>14</v>
      </c>
      <c r="F1883">
        <v>9</v>
      </c>
    </row>
    <row r="1884" spans="1:6" x14ac:dyDescent="0.25">
      <c r="A1884" t="s">
        <v>2996</v>
      </c>
      <c r="B1884" t="s">
        <v>2997</v>
      </c>
      <c r="C1884" t="s">
        <v>2998</v>
      </c>
      <c r="D1884" s="2">
        <v>45950</v>
      </c>
      <c r="E1884">
        <v>28</v>
      </c>
      <c r="F1884">
        <v>1</v>
      </c>
    </row>
    <row r="1885" spans="1:6" x14ac:dyDescent="0.25">
      <c r="A1885" t="s">
        <v>2999</v>
      </c>
      <c r="B1885" t="s">
        <v>3000</v>
      </c>
      <c r="C1885" t="s">
        <v>3001</v>
      </c>
      <c r="D1885" s="2">
        <v>45932</v>
      </c>
      <c r="E1885">
        <v>56</v>
      </c>
      <c r="F1885">
        <v>1</v>
      </c>
    </row>
    <row r="1886" spans="1:6" x14ac:dyDescent="0.25">
      <c r="A1886" t="s">
        <v>3002</v>
      </c>
      <c r="B1886" t="s">
        <v>3003</v>
      </c>
      <c r="C1886" t="s">
        <v>3004</v>
      </c>
      <c r="D1886" s="2">
        <v>45796</v>
      </c>
      <c r="E1886">
        <v>30</v>
      </c>
      <c r="F1886">
        <v>1</v>
      </c>
    </row>
    <row r="1887" spans="1:6" x14ac:dyDescent="0.25">
      <c r="A1887" t="s">
        <v>3005</v>
      </c>
      <c r="B1887" t="s">
        <v>3003</v>
      </c>
      <c r="C1887" t="s">
        <v>3004</v>
      </c>
      <c r="D1887" s="2">
        <v>45828</v>
      </c>
      <c r="E1887">
        <v>30</v>
      </c>
      <c r="F1887">
        <v>2</v>
      </c>
    </row>
    <row r="1888" spans="1:6" x14ac:dyDescent="0.25">
      <c r="A1888" t="s">
        <v>3006</v>
      </c>
      <c r="B1888" t="s">
        <v>3003</v>
      </c>
      <c r="C1888" t="s">
        <v>3004</v>
      </c>
      <c r="D1888" s="2">
        <v>45856</v>
      </c>
      <c r="E1888">
        <v>30</v>
      </c>
      <c r="F1888">
        <v>3</v>
      </c>
    </row>
    <row r="1889" spans="1:6" x14ac:dyDescent="0.25">
      <c r="A1889" t="s">
        <v>3007</v>
      </c>
      <c r="B1889" t="s">
        <v>3003</v>
      </c>
      <c r="C1889" t="s">
        <v>3004</v>
      </c>
      <c r="D1889" s="2">
        <v>45887</v>
      </c>
      <c r="E1889">
        <v>30</v>
      </c>
      <c r="F1889">
        <v>4</v>
      </c>
    </row>
    <row r="1890" spans="1:6" x14ac:dyDescent="0.25">
      <c r="A1890" t="s">
        <v>3008</v>
      </c>
      <c r="B1890" t="s">
        <v>3003</v>
      </c>
      <c r="C1890" t="s">
        <v>3004</v>
      </c>
      <c r="D1890" s="2">
        <v>45914</v>
      </c>
      <c r="E1890">
        <v>30</v>
      </c>
      <c r="F1890">
        <v>5</v>
      </c>
    </row>
    <row r="1891" spans="1:6" x14ac:dyDescent="0.25">
      <c r="A1891" t="s">
        <v>3009</v>
      </c>
      <c r="B1891" t="s">
        <v>3003</v>
      </c>
      <c r="C1891" t="s">
        <v>3004</v>
      </c>
      <c r="D1891" s="2">
        <v>45943</v>
      </c>
      <c r="E1891">
        <v>30</v>
      </c>
      <c r="F1891">
        <v>6</v>
      </c>
    </row>
    <row r="1892" spans="1:6" x14ac:dyDescent="0.25">
      <c r="A1892" t="s">
        <v>3010</v>
      </c>
      <c r="B1892" t="s">
        <v>3011</v>
      </c>
      <c r="C1892" t="s">
        <v>3012</v>
      </c>
      <c r="D1892" s="2">
        <v>45928</v>
      </c>
      <c r="E1892">
        <v>28</v>
      </c>
      <c r="F1892">
        <v>1</v>
      </c>
    </row>
    <row r="1893" spans="1:6" x14ac:dyDescent="0.25">
      <c r="A1893" t="s">
        <v>3013</v>
      </c>
      <c r="B1893" t="s">
        <v>3011</v>
      </c>
      <c r="C1893" t="s">
        <v>3012</v>
      </c>
      <c r="D1893" s="2">
        <v>45957</v>
      </c>
      <c r="E1893">
        <v>28</v>
      </c>
      <c r="F1893">
        <v>2</v>
      </c>
    </row>
    <row r="1894" spans="1:6" x14ac:dyDescent="0.25">
      <c r="A1894" t="s">
        <v>3014</v>
      </c>
      <c r="B1894" t="s">
        <v>3015</v>
      </c>
      <c r="C1894" t="s">
        <v>3016</v>
      </c>
      <c r="D1894" s="2">
        <v>45949</v>
      </c>
      <c r="E1894">
        <v>28</v>
      </c>
      <c r="F1894">
        <v>1</v>
      </c>
    </row>
    <row r="1895" spans="1:6" x14ac:dyDescent="0.25">
      <c r="A1895" t="s">
        <v>3017</v>
      </c>
      <c r="B1895" t="s">
        <v>3018</v>
      </c>
      <c r="C1895" t="s">
        <v>3019</v>
      </c>
      <c r="D1895" s="2">
        <v>45833</v>
      </c>
      <c r="E1895">
        <v>28</v>
      </c>
      <c r="F1895">
        <v>1</v>
      </c>
    </row>
    <row r="1896" spans="1:6" x14ac:dyDescent="0.25">
      <c r="A1896" t="s">
        <v>3020</v>
      </c>
      <c r="B1896" t="s">
        <v>3018</v>
      </c>
      <c r="C1896" t="s">
        <v>3019</v>
      </c>
      <c r="D1896" s="2">
        <v>45862</v>
      </c>
      <c r="E1896">
        <v>28</v>
      </c>
      <c r="F1896">
        <v>2</v>
      </c>
    </row>
    <row r="1897" spans="1:6" x14ac:dyDescent="0.25">
      <c r="A1897" t="s">
        <v>3021</v>
      </c>
      <c r="B1897" t="s">
        <v>3018</v>
      </c>
      <c r="C1897" t="s">
        <v>3019</v>
      </c>
      <c r="D1897" s="2">
        <v>45892</v>
      </c>
      <c r="E1897">
        <v>28</v>
      </c>
      <c r="F1897">
        <v>3</v>
      </c>
    </row>
    <row r="1898" spans="1:6" x14ac:dyDescent="0.25">
      <c r="A1898" t="s">
        <v>3022</v>
      </c>
      <c r="B1898" t="s">
        <v>3018</v>
      </c>
      <c r="C1898" t="s">
        <v>3019</v>
      </c>
      <c r="D1898" s="2">
        <v>45917</v>
      </c>
      <c r="E1898">
        <v>28</v>
      </c>
      <c r="F1898">
        <v>4</v>
      </c>
    </row>
    <row r="1899" spans="1:6" x14ac:dyDescent="0.25">
      <c r="A1899" t="s">
        <v>3023</v>
      </c>
      <c r="B1899" t="s">
        <v>3018</v>
      </c>
      <c r="C1899" t="s">
        <v>3019</v>
      </c>
      <c r="D1899" s="2">
        <v>45946</v>
      </c>
      <c r="E1899">
        <v>28</v>
      </c>
      <c r="F1899">
        <v>5</v>
      </c>
    </row>
    <row r="1900" spans="1:6" x14ac:dyDescent="0.25">
      <c r="A1900" t="s">
        <v>3024</v>
      </c>
      <c r="B1900" t="s">
        <v>3025</v>
      </c>
      <c r="C1900" t="s">
        <v>3026</v>
      </c>
      <c r="D1900" s="2">
        <v>45831</v>
      </c>
      <c r="E1900">
        <v>28</v>
      </c>
      <c r="F1900">
        <v>1</v>
      </c>
    </row>
    <row r="1901" spans="1:6" x14ac:dyDescent="0.25">
      <c r="A1901" t="s">
        <v>3027</v>
      </c>
      <c r="B1901" t="s">
        <v>3025</v>
      </c>
      <c r="C1901" t="s">
        <v>3026</v>
      </c>
      <c r="D1901" s="2">
        <v>45859</v>
      </c>
      <c r="E1901">
        <v>28</v>
      </c>
      <c r="F1901">
        <v>2</v>
      </c>
    </row>
    <row r="1902" spans="1:6" x14ac:dyDescent="0.25">
      <c r="A1902" t="s">
        <v>3028</v>
      </c>
      <c r="B1902" t="s">
        <v>3025</v>
      </c>
      <c r="C1902" t="s">
        <v>3026</v>
      </c>
      <c r="D1902" s="2">
        <v>45885</v>
      </c>
      <c r="E1902">
        <v>28</v>
      </c>
      <c r="F1902">
        <v>3</v>
      </c>
    </row>
    <row r="1903" spans="1:6" x14ac:dyDescent="0.25">
      <c r="A1903" t="s">
        <v>3029</v>
      </c>
      <c r="B1903" t="s">
        <v>3025</v>
      </c>
      <c r="C1903" t="s">
        <v>3026</v>
      </c>
      <c r="D1903" s="2">
        <v>45912</v>
      </c>
      <c r="E1903">
        <v>28</v>
      </c>
      <c r="F1903">
        <v>4</v>
      </c>
    </row>
    <row r="1904" spans="1:6" x14ac:dyDescent="0.25">
      <c r="A1904" t="s">
        <v>3030</v>
      </c>
      <c r="B1904" t="s">
        <v>3025</v>
      </c>
      <c r="C1904" t="s">
        <v>3026</v>
      </c>
      <c r="D1904" s="2">
        <v>45939</v>
      </c>
      <c r="E1904">
        <v>28</v>
      </c>
      <c r="F1904">
        <v>5</v>
      </c>
    </row>
    <row r="1905" spans="1:6" x14ac:dyDescent="0.25">
      <c r="A1905" t="s">
        <v>3031</v>
      </c>
      <c r="B1905" t="s">
        <v>3032</v>
      </c>
      <c r="C1905" t="s">
        <v>3033</v>
      </c>
      <c r="D1905" s="2">
        <v>45855</v>
      </c>
      <c r="E1905">
        <v>30</v>
      </c>
      <c r="F1905">
        <v>1</v>
      </c>
    </row>
    <row r="1906" spans="1:6" x14ac:dyDescent="0.25">
      <c r="A1906" t="s">
        <v>3034</v>
      </c>
      <c r="B1906" t="s">
        <v>3032</v>
      </c>
      <c r="C1906" t="s">
        <v>3033</v>
      </c>
      <c r="D1906" s="2">
        <v>45883</v>
      </c>
      <c r="E1906">
        <v>30</v>
      </c>
      <c r="F1906">
        <v>2</v>
      </c>
    </row>
    <row r="1907" spans="1:6" x14ac:dyDescent="0.25">
      <c r="A1907" t="s">
        <v>3035</v>
      </c>
      <c r="B1907" t="s">
        <v>3032</v>
      </c>
      <c r="C1907" t="s">
        <v>3033</v>
      </c>
      <c r="D1907" s="2">
        <v>45912</v>
      </c>
      <c r="E1907">
        <v>30</v>
      </c>
      <c r="F1907">
        <v>3</v>
      </c>
    </row>
    <row r="1908" spans="1:6" x14ac:dyDescent="0.25">
      <c r="A1908" t="s">
        <v>3036</v>
      </c>
      <c r="B1908" t="s">
        <v>3032</v>
      </c>
      <c r="C1908" t="s">
        <v>3033</v>
      </c>
      <c r="D1908" s="2">
        <v>45939</v>
      </c>
      <c r="E1908">
        <v>30</v>
      </c>
      <c r="F1908">
        <v>4</v>
      </c>
    </row>
    <row r="1909" spans="1:6" x14ac:dyDescent="0.25">
      <c r="A1909" t="s">
        <v>3037</v>
      </c>
      <c r="B1909" t="s">
        <v>3038</v>
      </c>
      <c r="C1909" t="s">
        <v>3039</v>
      </c>
      <c r="D1909" s="2">
        <v>45832</v>
      </c>
      <c r="E1909">
        <v>28</v>
      </c>
      <c r="F1909">
        <v>1</v>
      </c>
    </row>
    <row r="1910" spans="1:6" x14ac:dyDescent="0.25">
      <c r="A1910" t="s">
        <v>3040</v>
      </c>
      <c r="B1910" t="s">
        <v>3038</v>
      </c>
      <c r="C1910" t="s">
        <v>3039</v>
      </c>
      <c r="D1910" s="2">
        <v>45860</v>
      </c>
      <c r="E1910">
        <v>28</v>
      </c>
      <c r="F1910">
        <v>2</v>
      </c>
    </row>
    <row r="1911" spans="1:6" x14ac:dyDescent="0.25">
      <c r="A1911" t="s">
        <v>3041</v>
      </c>
      <c r="B1911" t="s">
        <v>3038</v>
      </c>
      <c r="C1911" t="s">
        <v>3039</v>
      </c>
      <c r="D1911" s="2">
        <v>45891</v>
      </c>
      <c r="E1911">
        <v>28</v>
      </c>
      <c r="F1911">
        <v>3</v>
      </c>
    </row>
    <row r="1912" spans="1:6" x14ac:dyDescent="0.25">
      <c r="A1912" t="s">
        <v>3042</v>
      </c>
      <c r="B1912" t="s">
        <v>3038</v>
      </c>
      <c r="C1912" t="s">
        <v>3039</v>
      </c>
      <c r="D1912" s="2">
        <v>45920</v>
      </c>
      <c r="E1912">
        <v>28</v>
      </c>
      <c r="F1912">
        <v>4</v>
      </c>
    </row>
    <row r="1913" spans="1:6" x14ac:dyDescent="0.25">
      <c r="A1913" t="s">
        <v>3043</v>
      </c>
      <c r="B1913" t="s">
        <v>3038</v>
      </c>
      <c r="C1913" t="s">
        <v>3039</v>
      </c>
      <c r="D1913" s="2">
        <v>45947</v>
      </c>
      <c r="E1913">
        <v>28</v>
      </c>
      <c r="F1913">
        <v>5</v>
      </c>
    </row>
    <row r="1914" spans="1:6" x14ac:dyDescent="0.25">
      <c r="A1914" t="s">
        <v>3044</v>
      </c>
      <c r="B1914" t="s">
        <v>3045</v>
      </c>
      <c r="C1914" t="s">
        <v>3046</v>
      </c>
      <c r="D1914" s="2">
        <v>45808</v>
      </c>
      <c r="E1914">
        <v>28</v>
      </c>
      <c r="F1914">
        <v>1</v>
      </c>
    </row>
    <row r="1915" spans="1:6" x14ac:dyDescent="0.25">
      <c r="A1915" t="s">
        <v>3047</v>
      </c>
      <c r="B1915" t="s">
        <v>3045</v>
      </c>
      <c r="C1915" t="s">
        <v>3046</v>
      </c>
      <c r="D1915" s="2">
        <v>45836</v>
      </c>
      <c r="E1915">
        <v>28</v>
      </c>
      <c r="F1915">
        <v>2</v>
      </c>
    </row>
    <row r="1916" spans="1:6" x14ac:dyDescent="0.25">
      <c r="A1916" t="s">
        <v>3048</v>
      </c>
      <c r="B1916" t="s">
        <v>3045</v>
      </c>
      <c r="C1916" t="s">
        <v>3046</v>
      </c>
      <c r="D1916" s="2">
        <v>45862</v>
      </c>
      <c r="E1916">
        <v>28</v>
      </c>
      <c r="F1916">
        <v>3</v>
      </c>
    </row>
    <row r="1917" spans="1:6" x14ac:dyDescent="0.25">
      <c r="A1917" t="s">
        <v>3049</v>
      </c>
      <c r="B1917" t="s">
        <v>3045</v>
      </c>
      <c r="C1917" t="s">
        <v>3046</v>
      </c>
      <c r="D1917" s="2">
        <v>45892</v>
      </c>
      <c r="E1917">
        <v>28</v>
      </c>
      <c r="F1917">
        <v>4</v>
      </c>
    </row>
    <row r="1918" spans="1:6" x14ac:dyDescent="0.25">
      <c r="A1918" t="s">
        <v>3050</v>
      </c>
      <c r="B1918" t="s">
        <v>3045</v>
      </c>
      <c r="C1918" t="s">
        <v>3046</v>
      </c>
      <c r="D1918" s="2">
        <v>45921</v>
      </c>
      <c r="E1918">
        <v>28</v>
      </c>
      <c r="F1918">
        <v>5</v>
      </c>
    </row>
    <row r="1919" spans="1:6" x14ac:dyDescent="0.25">
      <c r="A1919" t="s">
        <v>3051</v>
      </c>
      <c r="B1919" t="s">
        <v>3045</v>
      </c>
      <c r="C1919" t="s">
        <v>3046</v>
      </c>
      <c r="D1919" s="2">
        <v>45950</v>
      </c>
      <c r="E1919">
        <v>28</v>
      </c>
      <c r="F1919">
        <v>6</v>
      </c>
    </row>
    <row r="1920" spans="1:6" x14ac:dyDescent="0.25">
      <c r="A1920" t="s">
        <v>3052</v>
      </c>
      <c r="B1920" t="s">
        <v>3053</v>
      </c>
      <c r="C1920" t="s">
        <v>3054</v>
      </c>
      <c r="D1920" s="2">
        <v>45900</v>
      </c>
      <c r="E1920">
        <v>14</v>
      </c>
      <c r="F1920">
        <v>1</v>
      </c>
    </row>
    <row r="1921" spans="1:6" x14ac:dyDescent="0.25">
      <c r="A1921" t="s">
        <v>3055</v>
      </c>
      <c r="B1921" t="s">
        <v>3053</v>
      </c>
      <c r="C1921" t="s">
        <v>3054</v>
      </c>
      <c r="D1921" s="2">
        <v>45912</v>
      </c>
      <c r="E1921">
        <v>14</v>
      </c>
      <c r="F1921">
        <v>2</v>
      </c>
    </row>
    <row r="1922" spans="1:6" x14ac:dyDescent="0.25">
      <c r="A1922" t="s">
        <v>3056</v>
      </c>
      <c r="B1922" t="s">
        <v>3053</v>
      </c>
      <c r="C1922" t="s">
        <v>3054</v>
      </c>
      <c r="D1922" s="2">
        <v>45924</v>
      </c>
      <c r="E1922">
        <v>14</v>
      </c>
      <c r="F1922">
        <v>3</v>
      </c>
    </row>
    <row r="1923" spans="1:6" x14ac:dyDescent="0.25">
      <c r="A1923" t="s">
        <v>3057</v>
      </c>
      <c r="B1923" t="s">
        <v>3053</v>
      </c>
      <c r="C1923" t="s">
        <v>3054</v>
      </c>
      <c r="D1923" s="2">
        <v>45936</v>
      </c>
      <c r="E1923">
        <v>14</v>
      </c>
      <c r="F1923">
        <v>4</v>
      </c>
    </row>
    <row r="1924" spans="1:6" x14ac:dyDescent="0.25">
      <c r="A1924" t="s">
        <v>3058</v>
      </c>
      <c r="B1924" t="s">
        <v>3053</v>
      </c>
      <c r="C1924" t="s">
        <v>3054</v>
      </c>
      <c r="D1924" s="2">
        <v>45949</v>
      </c>
      <c r="E1924">
        <v>14</v>
      </c>
      <c r="F1924">
        <v>5</v>
      </c>
    </row>
    <row r="1925" spans="1:6" x14ac:dyDescent="0.25">
      <c r="A1925" t="s">
        <v>3059</v>
      </c>
      <c r="B1925" t="s">
        <v>3060</v>
      </c>
      <c r="C1925" t="s">
        <v>3061</v>
      </c>
      <c r="D1925" s="2">
        <v>45956</v>
      </c>
      <c r="E1925">
        <v>28</v>
      </c>
      <c r="F1925">
        <v>1</v>
      </c>
    </row>
    <row r="1926" spans="1:6" x14ac:dyDescent="0.25">
      <c r="A1926" t="s">
        <v>3062</v>
      </c>
      <c r="B1926" t="s">
        <v>3063</v>
      </c>
      <c r="C1926" t="s">
        <v>3064</v>
      </c>
      <c r="D1926" s="2">
        <v>45958</v>
      </c>
      <c r="E1926">
        <v>28</v>
      </c>
      <c r="F1926">
        <v>1</v>
      </c>
    </row>
    <row r="1927" spans="1:6" x14ac:dyDescent="0.25">
      <c r="A1927" t="s">
        <v>3065</v>
      </c>
      <c r="B1927" t="s">
        <v>3066</v>
      </c>
      <c r="C1927" t="s">
        <v>3067</v>
      </c>
      <c r="D1927" s="2">
        <v>45879</v>
      </c>
      <c r="E1927">
        <v>30</v>
      </c>
      <c r="F1927">
        <v>1</v>
      </c>
    </row>
    <row r="1928" spans="1:6" x14ac:dyDescent="0.25">
      <c r="A1928" t="s">
        <v>3068</v>
      </c>
      <c r="B1928" t="s">
        <v>3066</v>
      </c>
      <c r="C1928" t="s">
        <v>3067</v>
      </c>
      <c r="D1928" s="2">
        <v>45911</v>
      </c>
      <c r="E1928">
        <v>30</v>
      </c>
      <c r="F1928">
        <v>2</v>
      </c>
    </row>
    <row r="1929" spans="1:6" x14ac:dyDescent="0.25">
      <c r="A1929" t="s">
        <v>3069</v>
      </c>
      <c r="B1929" t="s">
        <v>3066</v>
      </c>
      <c r="C1929" t="s">
        <v>3067</v>
      </c>
      <c r="D1929" s="2">
        <v>45942</v>
      </c>
      <c r="E1929">
        <v>30</v>
      </c>
      <c r="F1929">
        <v>3</v>
      </c>
    </row>
    <row r="1930" spans="1:6" x14ac:dyDescent="0.25">
      <c r="A1930" t="s">
        <v>3070</v>
      </c>
      <c r="B1930" t="s">
        <v>3071</v>
      </c>
      <c r="C1930" t="s">
        <v>3072</v>
      </c>
      <c r="D1930" s="2">
        <v>45919</v>
      </c>
      <c r="E1930">
        <v>21</v>
      </c>
      <c r="F1930">
        <v>1</v>
      </c>
    </row>
    <row r="1931" spans="1:6" x14ac:dyDescent="0.25">
      <c r="A1931" t="s">
        <v>3073</v>
      </c>
      <c r="B1931" t="s">
        <v>3071</v>
      </c>
      <c r="C1931" t="s">
        <v>3072</v>
      </c>
      <c r="D1931" s="2">
        <v>45938</v>
      </c>
      <c r="E1931">
        <v>21</v>
      </c>
      <c r="F1931">
        <v>2</v>
      </c>
    </row>
    <row r="1932" spans="1:6" x14ac:dyDescent="0.25">
      <c r="A1932" t="s">
        <v>3074</v>
      </c>
      <c r="B1932" t="s">
        <v>3071</v>
      </c>
      <c r="C1932" t="s">
        <v>3072</v>
      </c>
      <c r="D1932" s="2">
        <v>45957</v>
      </c>
      <c r="E1932">
        <v>21</v>
      </c>
      <c r="F1932">
        <v>3</v>
      </c>
    </row>
    <row r="1933" spans="1:6" x14ac:dyDescent="0.25">
      <c r="A1933" t="s">
        <v>3075</v>
      </c>
      <c r="B1933" t="s">
        <v>3076</v>
      </c>
      <c r="C1933" t="s">
        <v>3077</v>
      </c>
      <c r="D1933" s="2">
        <v>45850</v>
      </c>
      <c r="E1933">
        <v>28</v>
      </c>
      <c r="F1933">
        <v>1</v>
      </c>
    </row>
    <row r="1934" spans="1:6" x14ac:dyDescent="0.25">
      <c r="A1934" t="s">
        <v>3078</v>
      </c>
      <c r="B1934" t="s">
        <v>3076</v>
      </c>
      <c r="C1934" t="s">
        <v>3077</v>
      </c>
      <c r="D1934" s="2">
        <v>45879</v>
      </c>
      <c r="E1934">
        <v>28</v>
      </c>
      <c r="F1934">
        <v>2</v>
      </c>
    </row>
    <row r="1935" spans="1:6" x14ac:dyDescent="0.25">
      <c r="A1935" t="s">
        <v>3079</v>
      </c>
      <c r="B1935" t="s">
        <v>3076</v>
      </c>
      <c r="C1935" t="s">
        <v>3077</v>
      </c>
      <c r="D1935" s="2">
        <v>45905</v>
      </c>
      <c r="E1935">
        <v>28</v>
      </c>
      <c r="F1935">
        <v>3</v>
      </c>
    </row>
    <row r="1936" spans="1:6" x14ac:dyDescent="0.25">
      <c r="A1936" t="s">
        <v>3080</v>
      </c>
      <c r="B1936" t="s">
        <v>3076</v>
      </c>
      <c r="C1936" t="s">
        <v>3077</v>
      </c>
      <c r="D1936" s="2">
        <v>45936</v>
      </c>
      <c r="E1936">
        <v>28</v>
      </c>
      <c r="F1936">
        <v>4</v>
      </c>
    </row>
    <row r="1937" spans="1:6" x14ac:dyDescent="0.25">
      <c r="A1937" t="s">
        <v>3081</v>
      </c>
      <c r="B1937" t="s">
        <v>3082</v>
      </c>
      <c r="C1937" t="s">
        <v>3083</v>
      </c>
      <c r="D1937" s="2">
        <v>45897</v>
      </c>
      <c r="E1937">
        <v>30</v>
      </c>
      <c r="F1937">
        <v>1</v>
      </c>
    </row>
    <row r="1938" spans="1:6" x14ac:dyDescent="0.25">
      <c r="A1938" t="s">
        <v>3084</v>
      </c>
      <c r="B1938" t="s">
        <v>3082</v>
      </c>
      <c r="C1938" t="s">
        <v>3083</v>
      </c>
      <c r="D1938" s="2">
        <v>45928</v>
      </c>
      <c r="E1938">
        <v>30</v>
      </c>
      <c r="F1938">
        <v>2</v>
      </c>
    </row>
    <row r="1939" spans="1:6" x14ac:dyDescent="0.25">
      <c r="A1939" t="s">
        <v>3085</v>
      </c>
      <c r="B1939" t="s">
        <v>3082</v>
      </c>
      <c r="C1939" t="s">
        <v>3083</v>
      </c>
      <c r="D1939" s="2">
        <v>45956</v>
      </c>
      <c r="E1939">
        <v>30</v>
      </c>
      <c r="F1939">
        <v>3</v>
      </c>
    </row>
    <row r="1940" spans="1:6" x14ac:dyDescent="0.25">
      <c r="A1940" t="s">
        <v>3086</v>
      </c>
      <c r="B1940" t="s">
        <v>3087</v>
      </c>
      <c r="C1940" t="s">
        <v>3088</v>
      </c>
      <c r="D1940" s="2">
        <v>45944</v>
      </c>
      <c r="E1940">
        <v>28</v>
      </c>
      <c r="F1940">
        <v>1</v>
      </c>
    </row>
    <row r="1941" spans="1:6" x14ac:dyDescent="0.25">
      <c r="A1941" t="s">
        <v>3089</v>
      </c>
      <c r="B1941" t="s">
        <v>3090</v>
      </c>
      <c r="C1941" t="s">
        <v>3091</v>
      </c>
      <c r="D1941" s="2">
        <v>45856</v>
      </c>
      <c r="E1941">
        <v>28</v>
      </c>
      <c r="F1941">
        <v>1</v>
      </c>
    </row>
    <row r="1942" spans="1:6" x14ac:dyDescent="0.25">
      <c r="A1942" t="s">
        <v>3092</v>
      </c>
      <c r="B1942" t="s">
        <v>3090</v>
      </c>
      <c r="C1942" t="s">
        <v>3091</v>
      </c>
      <c r="D1942" s="2">
        <v>45886</v>
      </c>
      <c r="E1942">
        <v>28</v>
      </c>
      <c r="F1942">
        <v>2</v>
      </c>
    </row>
    <row r="1943" spans="1:6" x14ac:dyDescent="0.25">
      <c r="A1943" t="s">
        <v>3093</v>
      </c>
      <c r="B1943" t="s">
        <v>3090</v>
      </c>
      <c r="C1943" t="s">
        <v>3091</v>
      </c>
      <c r="D1943" s="2">
        <v>45912</v>
      </c>
      <c r="E1943">
        <v>28</v>
      </c>
      <c r="F1943">
        <v>3</v>
      </c>
    </row>
    <row r="1944" spans="1:6" x14ac:dyDescent="0.25">
      <c r="A1944" t="s">
        <v>3094</v>
      </c>
      <c r="B1944" t="s">
        <v>3090</v>
      </c>
      <c r="C1944" t="s">
        <v>3091</v>
      </c>
      <c r="D1944" s="2">
        <v>45943</v>
      </c>
      <c r="E1944">
        <v>28</v>
      </c>
      <c r="F1944">
        <v>4</v>
      </c>
    </row>
    <row r="1945" spans="1:6" x14ac:dyDescent="0.25">
      <c r="A1945" t="s">
        <v>3095</v>
      </c>
      <c r="B1945" t="s">
        <v>3096</v>
      </c>
      <c r="C1945" t="s">
        <v>3097</v>
      </c>
      <c r="D1945" s="2">
        <v>45870</v>
      </c>
      <c r="E1945">
        <v>28</v>
      </c>
      <c r="F1945">
        <v>1</v>
      </c>
    </row>
    <row r="1946" spans="1:6" x14ac:dyDescent="0.25">
      <c r="A1946" t="s">
        <v>3098</v>
      </c>
      <c r="B1946" t="s">
        <v>3096</v>
      </c>
      <c r="C1946" t="s">
        <v>3097</v>
      </c>
      <c r="D1946" s="2">
        <v>45895</v>
      </c>
      <c r="E1946">
        <v>28</v>
      </c>
      <c r="F1946">
        <v>2</v>
      </c>
    </row>
    <row r="1947" spans="1:6" x14ac:dyDescent="0.25">
      <c r="A1947" t="s">
        <v>3099</v>
      </c>
      <c r="B1947" t="s">
        <v>3096</v>
      </c>
      <c r="C1947" t="s">
        <v>3097</v>
      </c>
      <c r="D1947" s="2">
        <v>45922</v>
      </c>
      <c r="E1947">
        <v>28</v>
      </c>
      <c r="F1947">
        <v>3</v>
      </c>
    </row>
    <row r="1948" spans="1:6" x14ac:dyDescent="0.25">
      <c r="A1948" t="s">
        <v>3100</v>
      </c>
      <c r="B1948" t="s">
        <v>3096</v>
      </c>
      <c r="C1948" t="s">
        <v>3097</v>
      </c>
      <c r="D1948" s="2">
        <v>45950</v>
      </c>
      <c r="E1948">
        <v>28</v>
      </c>
      <c r="F1948">
        <v>4</v>
      </c>
    </row>
    <row r="1949" spans="1:6" x14ac:dyDescent="0.25">
      <c r="A1949" t="s">
        <v>3101</v>
      </c>
      <c r="B1949" t="s">
        <v>3102</v>
      </c>
      <c r="C1949" t="s">
        <v>3103</v>
      </c>
      <c r="D1949" s="2">
        <v>45905</v>
      </c>
      <c r="E1949">
        <v>28</v>
      </c>
      <c r="F1949">
        <v>1</v>
      </c>
    </row>
    <row r="1950" spans="1:6" x14ac:dyDescent="0.25">
      <c r="A1950" t="s">
        <v>3104</v>
      </c>
      <c r="B1950" t="s">
        <v>3102</v>
      </c>
      <c r="C1950" t="s">
        <v>3103</v>
      </c>
      <c r="D1950" s="2">
        <v>45935</v>
      </c>
      <c r="E1950">
        <v>28</v>
      </c>
      <c r="F1950">
        <v>2</v>
      </c>
    </row>
    <row r="1951" spans="1:6" x14ac:dyDescent="0.25">
      <c r="A1951" t="s">
        <v>3105</v>
      </c>
      <c r="B1951" t="s">
        <v>3106</v>
      </c>
      <c r="C1951" t="s">
        <v>3107</v>
      </c>
      <c r="D1951" s="2">
        <v>45803</v>
      </c>
      <c r="E1951">
        <v>28</v>
      </c>
      <c r="F1951">
        <v>1</v>
      </c>
    </row>
    <row r="1952" spans="1:6" x14ac:dyDescent="0.25">
      <c r="A1952" t="s">
        <v>3108</v>
      </c>
      <c r="B1952" t="s">
        <v>3106</v>
      </c>
      <c r="C1952" t="s">
        <v>3107</v>
      </c>
      <c r="D1952" s="2">
        <v>45833</v>
      </c>
      <c r="E1952">
        <v>28</v>
      </c>
      <c r="F1952">
        <v>2</v>
      </c>
    </row>
    <row r="1953" spans="1:6" x14ac:dyDescent="0.25">
      <c r="A1953" t="s">
        <v>3109</v>
      </c>
      <c r="B1953" t="s">
        <v>3106</v>
      </c>
      <c r="C1953" t="s">
        <v>3107</v>
      </c>
      <c r="D1953" s="2">
        <v>45863</v>
      </c>
      <c r="E1953">
        <v>28</v>
      </c>
      <c r="F1953">
        <v>3</v>
      </c>
    </row>
    <row r="1954" spans="1:6" x14ac:dyDescent="0.25">
      <c r="A1954" t="s">
        <v>3110</v>
      </c>
      <c r="B1954" t="s">
        <v>3106</v>
      </c>
      <c r="C1954" t="s">
        <v>3107</v>
      </c>
      <c r="D1954" s="2">
        <v>45889</v>
      </c>
      <c r="E1954">
        <v>28</v>
      </c>
      <c r="F1954">
        <v>4</v>
      </c>
    </row>
    <row r="1955" spans="1:6" x14ac:dyDescent="0.25">
      <c r="A1955" t="s">
        <v>3111</v>
      </c>
      <c r="B1955" t="s">
        <v>3106</v>
      </c>
      <c r="C1955" t="s">
        <v>3107</v>
      </c>
      <c r="D1955" s="2">
        <v>45915</v>
      </c>
      <c r="E1955">
        <v>28</v>
      </c>
      <c r="F1955">
        <v>5</v>
      </c>
    </row>
    <row r="1956" spans="1:6" x14ac:dyDescent="0.25">
      <c r="A1956" t="s">
        <v>3112</v>
      </c>
      <c r="B1956" t="s">
        <v>3106</v>
      </c>
      <c r="C1956" t="s">
        <v>3107</v>
      </c>
      <c r="D1956" s="2">
        <v>45941</v>
      </c>
      <c r="E1956">
        <v>28</v>
      </c>
      <c r="F1956">
        <v>6</v>
      </c>
    </row>
    <row r="1957" spans="1:6" x14ac:dyDescent="0.25">
      <c r="A1957" t="s">
        <v>3113</v>
      </c>
      <c r="B1957" t="s">
        <v>3114</v>
      </c>
      <c r="C1957" t="s">
        <v>3115</v>
      </c>
      <c r="D1957" s="2">
        <v>45898</v>
      </c>
      <c r="E1957">
        <v>28</v>
      </c>
      <c r="F1957">
        <v>1</v>
      </c>
    </row>
    <row r="1958" spans="1:6" x14ac:dyDescent="0.25">
      <c r="A1958" t="s">
        <v>3116</v>
      </c>
      <c r="B1958" t="s">
        <v>3114</v>
      </c>
      <c r="C1958" t="s">
        <v>3115</v>
      </c>
      <c r="D1958" s="2">
        <v>45927</v>
      </c>
      <c r="E1958">
        <v>28</v>
      </c>
      <c r="F1958">
        <v>2</v>
      </c>
    </row>
    <row r="1959" spans="1:6" x14ac:dyDescent="0.25">
      <c r="A1959" t="s">
        <v>3117</v>
      </c>
      <c r="B1959" t="s">
        <v>3114</v>
      </c>
      <c r="C1959" t="s">
        <v>3115</v>
      </c>
      <c r="D1959" s="2">
        <v>45954</v>
      </c>
      <c r="E1959">
        <v>28</v>
      </c>
      <c r="F1959">
        <v>3</v>
      </c>
    </row>
    <row r="1960" spans="1:6" x14ac:dyDescent="0.25">
      <c r="A1960" t="s">
        <v>3118</v>
      </c>
      <c r="B1960" t="s">
        <v>3119</v>
      </c>
      <c r="C1960" t="s">
        <v>3120</v>
      </c>
      <c r="D1960" s="2">
        <v>45859</v>
      </c>
      <c r="E1960">
        <v>14</v>
      </c>
      <c r="F1960">
        <v>1</v>
      </c>
    </row>
    <row r="1961" spans="1:6" x14ac:dyDescent="0.25">
      <c r="A1961" t="s">
        <v>3121</v>
      </c>
      <c r="B1961" t="s">
        <v>3119</v>
      </c>
      <c r="C1961" t="s">
        <v>3120</v>
      </c>
      <c r="D1961" s="2">
        <v>45871</v>
      </c>
      <c r="E1961">
        <v>14</v>
      </c>
      <c r="F1961">
        <v>2</v>
      </c>
    </row>
    <row r="1962" spans="1:6" x14ac:dyDescent="0.25">
      <c r="A1962" t="s">
        <v>3122</v>
      </c>
      <c r="B1962" t="s">
        <v>3119</v>
      </c>
      <c r="C1962" t="s">
        <v>3120</v>
      </c>
      <c r="D1962" s="2">
        <v>45883</v>
      </c>
      <c r="E1962">
        <v>14</v>
      </c>
      <c r="F1962">
        <v>3</v>
      </c>
    </row>
    <row r="1963" spans="1:6" x14ac:dyDescent="0.25">
      <c r="A1963" t="s">
        <v>3123</v>
      </c>
      <c r="B1963" t="s">
        <v>3119</v>
      </c>
      <c r="C1963" t="s">
        <v>3120</v>
      </c>
      <c r="D1963" s="2">
        <v>45899</v>
      </c>
      <c r="E1963">
        <v>14</v>
      </c>
      <c r="F1963">
        <v>4</v>
      </c>
    </row>
    <row r="1964" spans="1:6" x14ac:dyDescent="0.25">
      <c r="A1964" t="s">
        <v>3124</v>
      </c>
      <c r="B1964" t="s">
        <v>3119</v>
      </c>
      <c r="C1964" t="s">
        <v>3120</v>
      </c>
      <c r="D1964" s="2">
        <v>45912</v>
      </c>
      <c r="E1964">
        <v>14</v>
      </c>
      <c r="F1964">
        <v>5</v>
      </c>
    </row>
    <row r="1965" spans="1:6" x14ac:dyDescent="0.25">
      <c r="A1965" t="s">
        <v>3125</v>
      </c>
      <c r="B1965" t="s">
        <v>3119</v>
      </c>
      <c r="C1965" t="s">
        <v>3120</v>
      </c>
      <c r="D1965" s="2">
        <v>45928</v>
      </c>
      <c r="E1965">
        <v>14</v>
      </c>
      <c r="F1965">
        <v>6</v>
      </c>
    </row>
    <row r="1966" spans="1:6" x14ac:dyDescent="0.25">
      <c r="A1966" t="s">
        <v>3126</v>
      </c>
      <c r="B1966" t="s">
        <v>3119</v>
      </c>
      <c r="C1966" t="s">
        <v>3120</v>
      </c>
      <c r="D1966" s="2">
        <v>45942</v>
      </c>
      <c r="E1966">
        <v>14</v>
      </c>
      <c r="F1966">
        <v>7</v>
      </c>
    </row>
    <row r="1967" spans="1:6" x14ac:dyDescent="0.25">
      <c r="A1967" t="s">
        <v>3127</v>
      </c>
      <c r="B1967" t="s">
        <v>3119</v>
      </c>
      <c r="C1967" t="s">
        <v>3120</v>
      </c>
      <c r="D1967" s="2">
        <v>45957</v>
      </c>
      <c r="E1967">
        <v>14</v>
      </c>
      <c r="F1967">
        <v>8</v>
      </c>
    </row>
    <row r="1968" spans="1:6" x14ac:dyDescent="0.25">
      <c r="A1968" t="s">
        <v>3128</v>
      </c>
      <c r="B1968" t="s">
        <v>3129</v>
      </c>
      <c r="C1968" t="s">
        <v>3130</v>
      </c>
      <c r="D1968" s="2">
        <v>45872</v>
      </c>
      <c r="E1968">
        <v>30</v>
      </c>
      <c r="F1968">
        <v>1</v>
      </c>
    </row>
    <row r="1969" spans="1:6" x14ac:dyDescent="0.25">
      <c r="A1969" t="s">
        <v>3131</v>
      </c>
      <c r="B1969" t="s">
        <v>3129</v>
      </c>
      <c r="C1969" t="s">
        <v>3130</v>
      </c>
      <c r="D1969" s="2">
        <v>45904</v>
      </c>
      <c r="E1969">
        <v>30</v>
      </c>
      <c r="F1969">
        <v>2</v>
      </c>
    </row>
    <row r="1970" spans="1:6" x14ac:dyDescent="0.25">
      <c r="A1970" t="s">
        <v>3132</v>
      </c>
      <c r="B1970" t="s">
        <v>3129</v>
      </c>
      <c r="C1970" t="s">
        <v>3130</v>
      </c>
      <c r="D1970" s="2">
        <v>45933</v>
      </c>
      <c r="E1970">
        <v>30</v>
      </c>
      <c r="F1970">
        <v>3</v>
      </c>
    </row>
    <row r="1971" spans="1:6" x14ac:dyDescent="0.25">
      <c r="A1971" t="s">
        <v>3133</v>
      </c>
      <c r="B1971" t="s">
        <v>3134</v>
      </c>
      <c r="C1971" t="s">
        <v>3135</v>
      </c>
      <c r="D1971" s="2">
        <v>45883</v>
      </c>
      <c r="E1971">
        <v>28</v>
      </c>
      <c r="F1971">
        <v>1</v>
      </c>
    </row>
    <row r="1972" spans="1:6" x14ac:dyDescent="0.25">
      <c r="A1972" t="s">
        <v>3136</v>
      </c>
      <c r="B1972" t="s">
        <v>3134</v>
      </c>
      <c r="C1972" t="s">
        <v>3135</v>
      </c>
      <c r="D1972" s="2">
        <v>45911</v>
      </c>
      <c r="E1972">
        <v>28</v>
      </c>
      <c r="F1972">
        <v>2</v>
      </c>
    </row>
    <row r="1973" spans="1:6" x14ac:dyDescent="0.25">
      <c r="A1973" t="s">
        <v>3137</v>
      </c>
      <c r="B1973" t="s">
        <v>3138</v>
      </c>
      <c r="C1973" t="s">
        <v>3139</v>
      </c>
      <c r="D1973" s="2">
        <v>45922</v>
      </c>
      <c r="E1973">
        <v>21</v>
      </c>
      <c r="F1973">
        <v>1</v>
      </c>
    </row>
    <row r="1974" spans="1:6" x14ac:dyDescent="0.25">
      <c r="A1974" t="s">
        <v>3140</v>
      </c>
      <c r="B1974" t="s">
        <v>3138</v>
      </c>
      <c r="C1974" t="s">
        <v>3139</v>
      </c>
      <c r="D1974" s="2">
        <v>45941</v>
      </c>
      <c r="E1974">
        <v>21</v>
      </c>
      <c r="F1974">
        <v>2</v>
      </c>
    </row>
    <row r="1975" spans="1:6" x14ac:dyDescent="0.25">
      <c r="A1975" t="s">
        <v>3141</v>
      </c>
      <c r="B1975" t="s">
        <v>3142</v>
      </c>
      <c r="C1975" t="s">
        <v>3143</v>
      </c>
      <c r="D1975" s="2">
        <v>45815</v>
      </c>
      <c r="E1975">
        <v>30</v>
      </c>
      <c r="F1975">
        <v>1</v>
      </c>
    </row>
    <row r="1976" spans="1:6" x14ac:dyDescent="0.25">
      <c r="A1976" t="s">
        <v>3144</v>
      </c>
      <c r="B1976" t="s">
        <v>3145</v>
      </c>
      <c r="C1976" t="s">
        <v>3146</v>
      </c>
      <c r="D1976" s="2">
        <v>45844</v>
      </c>
      <c r="E1976">
        <v>28</v>
      </c>
      <c r="F1976">
        <v>1</v>
      </c>
    </row>
    <row r="1977" spans="1:6" x14ac:dyDescent="0.25">
      <c r="A1977" t="s">
        <v>3147</v>
      </c>
      <c r="B1977" t="s">
        <v>3145</v>
      </c>
      <c r="C1977" t="s">
        <v>3146</v>
      </c>
      <c r="D1977" s="2">
        <v>45871</v>
      </c>
      <c r="E1977">
        <v>28</v>
      </c>
      <c r="F1977">
        <v>2</v>
      </c>
    </row>
    <row r="1978" spans="1:6" x14ac:dyDescent="0.25">
      <c r="A1978" t="s">
        <v>3148</v>
      </c>
      <c r="B1978" t="s">
        <v>3145</v>
      </c>
      <c r="C1978" t="s">
        <v>3146</v>
      </c>
      <c r="D1978" s="2">
        <v>45899</v>
      </c>
      <c r="E1978">
        <v>28</v>
      </c>
      <c r="F1978">
        <v>3</v>
      </c>
    </row>
    <row r="1979" spans="1:6" x14ac:dyDescent="0.25">
      <c r="A1979" t="s">
        <v>3149</v>
      </c>
      <c r="B1979" t="s">
        <v>3145</v>
      </c>
      <c r="C1979" t="s">
        <v>3146</v>
      </c>
      <c r="D1979" s="2">
        <v>45929</v>
      </c>
      <c r="E1979">
        <v>28</v>
      </c>
      <c r="F1979">
        <v>4</v>
      </c>
    </row>
    <row r="1980" spans="1:6" x14ac:dyDescent="0.25">
      <c r="A1980" t="s">
        <v>3150</v>
      </c>
      <c r="B1980" t="s">
        <v>3145</v>
      </c>
      <c r="C1980" t="s">
        <v>3146</v>
      </c>
      <c r="D1980" s="2">
        <v>45955</v>
      </c>
      <c r="E1980">
        <v>28</v>
      </c>
      <c r="F1980">
        <v>5</v>
      </c>
    </row>
    <row r="1981" spans="1:6" x14ac:dyDescent="0.25">
      <c r="A1981" t="s">
        <v>3151</v>
      </c>
      <c r="B1981" t="s">
        <v>3152</v>
      </c>
      <c r="C1981" t="s">
        <v>3153</v>
      </c>
      <c r="D1981" s="2">
        <v>45927</v>
      </c>
      <c r="E1981">
        <v>56</v>
      </c>
      <c r="F1981">
        <v>1</v>
      </c>
    </row>
    <row r="1982" spans="1:6" x14ac:dyDescent="0.25">
      <c r="A1982" t="s">
        <v>3154</v>
      </c>
      <c r="B1982" t="s">
        <v>3155</v>
      </c>
      <c r="C1982" t="s">
        <v>3156</v>
      </c>
      <c r="D1982" s="2">
        <v>45884</v>
      </c>
      <c r="E1982">
        <v>30</v>
      </c>
      <c r="F1982">
        <v>1</v>
      </c>
    </row>
    <row r="1983" spans="1:6" x14ac:dyDescent="0.25">
      <c r="A1983" t="s">
        <v>3157</v>
      </c>
      <c r="B1983" t="s">
        <v>3155</v>
      </c>
      <c r="C1983" t="s">
        <v>3156</v>
      </c>
      <c r="D1983" s="2">
        <v>45914</v>
      </c>
      <c r="E1983">
        <v>30</v>
      </c>
      <c r="F1983">
        <v>2</v>
      </c>
    </row>
    <row r="1984" spans="1:6" x14ac:dyDescent="0.25">
      <c r="A1984" t="s">
        <v>3158</v>
      </c>
      <c r="B1984" t="s">
        <v>3155</v>
      </c>
      <c r="C1984" t="s">
        <v>3156</v>
      </c>
      <c r="D1984" s="2">
        <v>45945</v>
      </c>
      <c r="E1984">
        <v>30</v>
      </c>
      <c r="F1984">
        <v>3</v>
      </c>
    </row>
    <row r="1985" spans="1:6" x14ac:dyDescent="0.25">
      <c r="A1985" t="s">
        <v>3159</v>
      </c>
      <c r="B1985" t="s">
        <v>3160</v>
      </c>
      <c r="C1985" t="s">
        <v>3161</v>
      </c>
      <c r="D1985" s="2">
        <v>45817</v>
      </c>
      <c r="E1985">
        <v>28</v>
      </c>
      <c r="F1985">
        <v>1</v>
      </c>
    </row>
    <row r="1986" spans="1:6" x14ac:dyDescent="0.25">
      <c r="A1986" t="s">
        <v>3162</v>
      </c>
      <c r="B1986" t="s">
        <v>3160</v>
      </c>
      <c r="C1986" t="s">
        <v>3161</v>
      </c>
      <c r="D1986" s="2">
        <v>45848</v>
      </c>
      <c r="E1986">
        <v>28</v>
      </c>
      <c r="F1986">
        <v>2</v>
      </c>
    </row>
    <row r="1987" spans="1:6" x14ac:dyDescent="0.25">
      <c r="A1987" t="s">
        <v>3163</v>
      </c>
      <c r="B1987" t="s">
        <v>3160</v>
      </c>
      <c r="C1987" t="s">
        <v>3161</v>
      </c>
      <c r="D1987" s="2">
        <v>45874</v>
      </c>
      <c r="E1987">
        <v>28</v>
      </c>
      <c r="F1987">
        <v>3</v>
      </c>
    </row>
    <row r="1988" spans="1:6" x14ac:dyDescent="0.25">
      <c r="A1988" t="s">
        <v>3164</v>
      </c>
      <c r="B1988" t="s">
        <v>3160</v>
      </c>
      <c r="C1988" t="s">
        <v>3161</v>
      </c>
      <c r="D1988" s="2">
        <v>45902</v>
      </c>
      <c r="E1988">
        <v>28</v>
      </c>
      <c r="F1988">
        <v>4</v>
      </c>
    </row>
    <row r="1989" spans="1:6" x14ac:dyDescent="0.25">
      <c r="A1989" t="s">
        <v>3165</v>
      </c>
      <c r="B1989" t="s">
        <v>3160</v>
      </c>
      <c r="C1989" t="s">
        <v>3161</v>
      </c>
      <c r="D1989" s="2">
        <v>45927</v>
      </c>
      <c r="E1989">
        <v>28</v>
      </c>
      <c r="F1989">
        <v>5</v>
      </c>
    </row>
    <row r="1990" spans="1:6" x14ac:dyDescent="0.25">
      <c r="A1990" t="s">
        <v>3166</v>
      </c>
      <c r="B1990" t="s">
        <v>3160</v>
      </c>
      <c r="C1990" t="s">
        <v>3161</v>
      </c>
      <c r="D1990" s="2">
        <v>45957</v>
      </c>
      <c r="E1990">
        <v>28</v>
      </c>
      <c r="F1990">
        <v>6</v>
      </c>
    </row>
    <row r="1991" spans="1:6" x14ac:dyDescent="0.25">
      <c r="A1991" t="s">
        <v>3167</v>
      </c>
      <c r="B1991" t="s">
        <v>3168</v>
      </c>
      <c r="C1991" t="s">
        <v>3169</v>
      </c>
      <c r="D1991" s="2">
        <v>45862</v>
      </c>
      <c r="E1991">
        <v>28</v>
      </c>
      <c r="F1991">
        <v>1</v>
      </c>
    </row>
    <row r="1992" spans="1:6" x14ac:dyDescent="0.25">
      <c r="A1992" t="s">
        <v>3170</v>
      </c>
      <c r="B1992" t="s">
        <v>3168</v>
      </c>
      <c r="C1992" t="s">
        <v>3169</v>
      </c>
      <c r="D1992" s="2">
        <v>45889</v>
      </c>
      <c r="E1992">
        <v>28</v>
      </c>
      <c r="F1992">
        <v>2</v>
      </c>
    </row>
    <row r="1993" spans="1:6" x14ac:dyDescent="0.25">
      <c r="A1993" t="s">
        <v>3171</v>
      </c>
      <c r="B1993" t="s">
        <v>3168</v>
      </c>
      <c r="C1993" t="s">
        <v>3169</v>
      </c>
      <c r="D1993" s="2">
        <v>45918</v>
      </c>
      <c r="E1993">
        <v>28</v>
      </c>
      <c r="F1993">
        <v>3</v>
      </c>
    </row>
    <row r="1994" spans="1:6" x14ac:dyDescent="0.25">
      <c r="A1994" t="s">
        <v>3172</v>
      </c>
      <c r="B1994" t="s">
        <v>3168</v>
      </c>
      <c r="C1994" t="s">
        <v>3169</v>
      </c>
      <c r="D1994" s="2">
        <v>45948</v>
      </c>
      <c r="E1994">
        <v>28</v>
      </c>
      <c r="F1994">
        <v>4</v>
      </c>
    </row>
    <row r="1995" spans="1:6" x14ac:dyDescent="0.25">
      <c r="A1995" t="s">
        <v>3173</v>
      </c>
      <c r="B1995" t="s">
        <v>3174</v>
      </c>
      <c r="C1995" t="s">
        <v>3175</v>
      </c>
      <c r="D1995" s="2">
        <v>45875</v>
      </c>
      <c r="E1995">
        <v>30</v>
      </c>
      <c r="F1995">
        <v>1</v>
      </c>
    </row>
    <row r="1996" spans="1:6" x14ac:dyDescent="0.25">
      <c r="A1996" t="s">
        <v>3176</v>
      </c>
      <c r="B1996" t="s">
        <v>3174</v>
      </c>
      <c r="C1996" t="s">
        <v>3175</v>
      </c>
      <c r="D1996" s="2">
        <v>45906</v>
      </c>
      <c r="E1996">
        <v>30</v>
      </c>
      <c r="F1996">
        <v>2</v>
      </c>
    </row>
    <row r="1997" spans="1:6" x14ac:dyDescent="0.25">
      <c r="A1997" t="s">
        <v>3177</v>
      </c>
      <c r="B1997" t="s">
        <v>3174</v>
      </c>
      <c r="C1997" t="s">
        <v>3175</v>
      </c>
      <c r="D1997" s="2">
        <v>45938</v>
      </c>
      <c r="E1997">
        <v>30</v>
      </c>
      <c r="F1997">
        <v>3</v>
      </c>
    </row>
    <row r="1998" spans="1:6" x14ac:dyDescent="0.25">
      <c r="A1998" t="s">
        <v>3178</v>
      </c>
      <c r="B1998" t="s">
        <v>3179</v>
      </c>
      <c r="C1998" t="s">
        <v>3180</v>
      </c>
      <c r="D1998" s="2">
        <v>45840</v>
      </c>
      <c r="E1998">
        <v>56</v>
      </c>
      <c r="F1998">
        <v>1</v>
      </c>
    </row>
    <row r="1999" spans="1:6" x14ac:dyDescent="0.25">
      <c r="A1999" t="s">
        <v>3181</v>
      </c>
      <c r="B1999" t="s">
        <v>3182</v>
      </c>
      <c r="C1999" t="s">
        <v>3183</v>
      </c>
      <c r="D1999" s="2">
        <v>45918</v>
      </c>
      <c r="E1999">
        <v>14</v>
      </c>
      <c r="F1999">
        <v>1</v>
      </c>
    </row>
    <row r="2000" spans="1:6" x14ac:dyDescent="0.25">
      <c r="A2000" t="s">
        <v>3184</v>
      </c>
      <c r="B2000" t="s">
        <v>3182</v>
      </c>
      <c r="C2000" t="s">
        <v>3183</v>
      </c>
      <c r="D2000" s="2">
        <v>45935</v>
      </c>
      <c r="E2000">
        <v>14</v>
      </c>
      <c r="F2000">
        <v>2</v>
      </c>
    </row>
    <row r="2001" spans="1:6" x14ac:dyDescent="0.25">
      <c r="A2001" t="s">
        <v>3185</v>
      </c>
      <c r="B2001" t="s">
        <v>3186</v>
      </c>
      <c r="C2001" t="s">
        <v>3187</v>
      </c>
      <c r="D2001" s="2">
        <v>45953</v>
      </c>
      <c r="E2001">
        <v>28</v>
      </c>
      <c r="F2001">
        <v>1</v>
      </c>
    </row>
    <row r="2002" spans="1:6" x14ac:dyDescent="0.25">
      <c r="A2002" t="s">
        <v>3188</v>
      </c>
      <c r="B2002" t="s">
        <v>3189</v>
      </c>
      <c r="C2002" t="s">
        <v>3190</v>
      </c>
      <c r="D2002" s="2">
        <v>45843</v>
      </c>
      <c r="E2002">
        <v>28</v>
      </c>
      <c r="F2002">
        <v>1</v>
      </c>
    </row>
    <row r="2003" spans="1:6" x14ac:dyDescent="0.25">
      <c r="A2003" t="s">
        <v>3191</v>
      </c>
      <c r="B2003" t="s">
        <v>3189</v>
      </c>
      <c r="C2003" t="s">
        <v>3190</v>
      </c>
      <c r="D2003" s="2">
        <v>45872</v>
      </c>
      <c r="E2003">
        <v>28</v>
      </c>
      <c r="F2003">
        <v>2</v>
      </c>
    </row>
    <row r="2004" spans="1:6" x14ac:dyDescent="0.25">
      <c r="A2004" t="s">
        <v>3192</v>
      </c>
      <c r="B2004" t="s">
        <v>3189</v>
      </c>
      <c r="C2004" t="s">
        <v>3190</v>
      </c>
      <c r="D2004" s="2">
        <v>45902</v>
      </c>
      <c r="E2004">
        <v>28</v>
      </c>
      <c r="F2004">
        <v>3</v>
      </c>
    </row>
    <row r="2005" spans="1:6" x14ac:dyDescent="0.25">
      <c r="A2005" t="s">
        <v>3193</v>
      </c>
      <c r="B2005" t="s">
        <v>3189</v>
      </c>
      <c r="C2005" t="s">
        <v>3190</v>
      </c>
      <c r="D2005" s="2">
        <v>45931</v>
      </c>
      <c r="E2005">
        <v>28</v>
      </c>
      <c r="F2005">
        <v>4</v>
      </c>
    </row>
    <row r="2006" spans="1:6" x14ac:dyDescent="0.25">
      <c r="A2006" t="s">
        <v>3194</v>
      </c>
      <c r="B2006" t="s">
        <v>3189</v>
      </c>
      <c r="C2006" t="s">
        <v>3190</v>
      </c>
      <c r="D2006" s="2">
        <v>45960</v>
      </c>
      <c r="E2006">
        <v>28</v>
      </c>
      <c r="F2006">
        <v>5</v>
      </c>
    </row>
    <row r="2007" spans="1:6" x14ac:dyDescent="0.25">
      <c r="A2007" t="s">
        <v>3195</v>
      </c>
      <c r="B2007" t="s">
        <v>3196</v>
      </c>
      <c r="C2007" t="s">
        <v>3197</v>
      </c>
      <c r="D2007" s="2">
        <v>45903</v>
      </c>
      <c r="E2007">
        <v>30</v>
      </c>
      <c r="F2007">
        <v>1</v>
      </c>
    </row>
    <row r="2008" spans="1:6" x14ac:dyDescent="0.25">
      <c r="A2008" t="s">
        <v>3198</v>
      </c>
      <c r="B2008" t="s">
        <v>3196</v>
      </c>
      <c r="C2008" t="s">
        <v>3197</v>
      </c>
      <c r="D2008" s="2">
        <v>45931</v>
      </c>
      <c r="E2008">
        <v>30</v>
      </c>
      <c r="F2008">
        <v>2</v>
      </c>
    </row>
    <row r="2009" spans="1:6" x14ac:dyDescent="0.25">
      <c r="A2009" t="s">
        <v>3199</v>
      </c>
      <c r="B2009" t="s">
        <v>3196</v>
      </c>
      <c r="C2009" t="s">
        <v>3197</v>
      </c>
      <c r="D2009" s="2">
        <v>45961</v>
      </c>
      <c r="E2009">
        <v>30</v>
      </c>
      <c r="F2009">
        <v>3</v>
      </c>
    </row>
    <row r="2010" spans="1:6" x14ac:dyDescent="0.25">
      <c r="A2010" t="s">
        <v>3200</v>
      </c>
      <c r="B2010" t="s">
        <v>3201</v>
      </c>
      <c r="C2010" t="s">
        <v>3202</v>
      </c>
      <c r="D2010" s="2">
        <v>45942</v>
      </c>
      <c r="E2010">
        <v>28</v>
      </c>
      <c r="F2010">
        <v>1</v>
      </c>
    </row>
    <row r="2011" spans="1:6" x14ac:dyDescent="0.25">
      <c r="A2011" t="s">
        <v>3203</v>
      </c>
      <c r="B2011" t="s">
        <v>3204</v>
      </c>
      <c r="C2011" t="s">
        <v>3205</v>
      </c>
      <c r="D2011" s="2">
        <v>45903</v>
      </c>
      <c r="E2011">
        <v>28</v>
      </c>
      <c r="F2011">
        <v>1</v>
      </c>
    </row>
    <row r="2012" spans="1:6" x14ac:dyDescent="0.25">
      <c r="A2012" t="s">
        <v>3206</v>
      </c>
      <c r="B2012" t="s">
        <v>3204</v>
      </c>
      <c r="C2012" t="s">
        <v>3205</v>
      </c>
      <c r="D2012" s="2">
        <v>45931</v>
      </c>
      <c r="E2012">
        <v>28</v>
      </c>
      <c r="F2012">
        <v>2</v>
      </c>
    </row>
    <row r="2013" spans="1:6" x14ac:dyDescent="0.25">
      <c r="A2013" t="s">
        <v>3207</v>
      </c>
      <c r="B2013" t="s">
        <v>3204</v>
      </c>
      <c r="C2013" t="s">
        <v>3205</v>
      </c>
      <c r="D2013" s="2">
        <v>45959</v>
      </c>
      <c r="E2013">
        <v>28</v>
      </c>
      <c r="F2013">
        <v>3</v>
      </c>
    </row>
    <row r="2014" spans="1:6" x14ac:dyDescent="0.25">
      <c r="A2014" t="s">
        <v>3208</v>
      </c>
      <c r="B2014" t="s">
        <v>3209</v>
      </c>
      <c r="C2014" t="s">
        <v>3210</v>
      </c>
      <c r="D2014" s="2">
        <v>45821</v>
      </c>
      <c r="E2014">
        <v>28</v>
      </c>
      <c r="F2014">
        <v>1</v>
      </c>
    </row>
    <row r="2015" spans="1:6" x14ac:dyDescent="0.25">
      <c r="A2015" t="s">
        <v>3211</v>
      </c>
      <c r="B2015" t="s">
        <v>3209</v>
      </c>
      <c r="C2015" t="s">
        <v>3210</v>
      </c>
      <c r="D2015" s="2">
        <v>45846</v>
      </c>
      <c r="E2015">
        <v>28</v>
      </c>
      <c r="F2015">
        <v>2</v>
      </c>
    </row>
    <row r="2016" spans="1:6" x14ac:dyDescent="0.25">
      <c r="A2016" t="s">
        <v>3212</v>
      </c>
      <c r="B2016" t="s">
        <v>3209</v>
      </c>
      <c r="C2016" t="s">
        <v>3210</v>
      </c>
      <c r="D2016" s="2">
        <v>45875</v>
      </c>
      <c r="E2016">
        <v>28</v>
      </c>
      <c r="F2016">
        <v>3</v>
      </c>
    </row>
    <row r="2017" spans="1:6" x14ac:dyDescent="0.25">
      <c r="A2017" t="s">
        <v>3213</v>
      </c>
      <c r="B2017" t="s">
        <v>3209</v>
      </c>
      <c r="C2017" t="s">
        <v>3210</v>
      </c>
      <c r="D2017" s="2">
        <v>45901</v>
      </c>
      <c r="E2017">
        <v>28</v>
      </c>
      <c r="F2017">
        <v>4</v>
      </c>
    </row>
    <row r="2018" spans="1:6" x14ac:dyDescent="0.25">
      <c r="A2018" t="s">
        <v>3214</v>
      </c>
      <c r="B2018" t="s">
        <v>3209</v>
      </c>
      <c r="C2018" t="s">
        <v>3210</v>
      </c>
      <c r="D2018" s="2">
        <v>45932</v>
      </c>
      <c r="E2018">
        <v>28</v>
      </c>
      <c r="F2018">
        <v>5</v>
      </c>
    </row>
    <row r="2019" spans="1:6" x14ac:dyDescent="0.25">
      <c r="A2019" t="s">
        <v>3215</v>
      </c>
      <c r="B2019" t="s">
        <v>3209</v>
      </c>
      <c r="C2019" t="s">
        <v>3210</v>
      </c>
      <c r="D2019" s="2">
        <v>45960</v>
      </c>
      <c r="E2019">
        <v>28</v>
      </c>
      <c r="F2019">
        <v>6</v>
      </c>
    </row>
    <row r="2020" spans="1:6" x14ac:dyDescent="0.25">
      <c r="A2020" t="s">
        <v>3216</v>
      </c>
      <c r="B2020" t="s">
        <v>3217</v>
      </c>
      <c r="C2020" t="s">
        <v>3218</v>
      </c>
      <c r="D2020" s="2">
        <v>45868</v>
      </c>
      <c r="E2020">
        <v>28</v>
      </c>
      <c r="F2020">
        <v>1</v>
      </c>
    </row>
    <row r="2021" spans="1:6" x14ac:dyDescent="0.25">
      <c r="A2021" t="s">
        <v>3219</v>
      </c>
      <c r="B2021" t="s">
        <v>3217</v>
      </c>
      <c r="C2021" t="s">
        <v>3218</v>
      </c>
      <c r="D2021" s="2">
        <v>45893</v>
      </c>
      <c r="E2021">
        <v>28</v>
      </c>
      <c r="F2021">
        <v>2</v>
      </c>
    </row>
    <row r="2022" spans="1:6" x14ac:dyDescent="0.25">
      <c r="A2022" t="s">
        <v>3220</v>
      </c>
      <c r="B2022" t="s">
        <v>3217</v>
      </c>
      <c r="C2022" t="s">
        <v>3218</v>
      </c>
      <c r="D2022" s="2">
        <v>45924</v>
      </c>
      <c r="E2022">
        <v>28</v>
      </c>
      <c r="F2022">
        <v>3</v>
      </c>
    </row>
    <row r="2023" spans="1:6" x14ac:dyDescent="0.25">
      <c r="A2023" t="s">
        <v>3221</v>
      </c>
      <c r="B2023" t="s">
        <v>3217</v>
      </c>
      <c r="C2023" t="s">
        <v>3218</v>
      </c>
      <c r="D2023" s="2">
        <v>45954</v>
      </c>
      <c r="E2023">
        <v>28</v>
      </c>
      <c r="F2023">
        <v>4</v>
      </c>
    </row>
    <row r="2024" spans="1:6" x14ac:dyDescent="0.25">
      <c r="A2024" t="s">
        <v>3222</v>
      </c>
      <c r="B2024" t="s">
        <v>3223</v>
      </c>
      <c r="C2024" t="s">
        <v>3224</v>
      </c>
      <c r="D2024" s="2">
        <v>45813</v>
      </c>
      <c r="E2024">
        <v>28</v>
      </c>
      <c r="F2024">
        <v>1</v>
      </c>
    </row>
    <row r="2025" spans="1:6" x14ac:dyDescent="0.25">
      <c r="A2025" t="s">
        <v>3225</v>
      </c>
      <c r="B2025" t="s">
        <v>3223</v>
      </c>
      <c r="C2025" t="s">
        <v>3224</v>
      </c>
      <c r="D2025" s="2">
        <v>45841</v>
      </c>
      <c r="E2025">
        <v>28</v>
      </c>
      <c r="F2025">
        <v>2</v>
      </c>
    </row>
    <row r="2026" spans="1:6" x14ac:dyDescent="0.25">
      <c r="A2026" t="s">
        <v>3226</v>
      </c>
      <c r="B2026" t="s">
        <v>3223</v>
      </c>
      <c r="C2026" t="s">
        <v>3224</v>
      </c>
      <c r="D2026" s="2">
        <v>45869</v>
      </c>
      <c r="E2026">
        <v>28</v>
      </c>
      <c r="F2026">
        <v>3</v>
      </c>
    </row>
    <row r="2027" spans="1:6" x14ac:dyDescent="0.25">
      <c r="A2027" t="s">
        <v>3227</v>
      </c>
      <c r="B2027" t="s">
        <v>3223</v>
      </c>
      <c r="C2027" t="s">
        <v>3224</v>
      </c>
      <c r="D2027" s="2">
        <v>45895</v>
      </c>
      <c r="E2027">
        <v>28</v>
      </c>
      <c r="F2027">
        <v>4</v>
      </c>
    </row>
    <row r="2028" spans="1:6" x14ac:dyDescent="0.25">
      <c r="A2028" t="s">
        <v>3228</v>
      </c>
      <c r="B2028" t="s">
        <v>3223</v>
      </c>
      <c r="C2028" t="s">
        <v>3224</v>
      </c>
      <c r="D2028" s="2">
        <v>45924</v>
      </c>
      <c r="E2028">
        <v>28</v>
      </c>
      <c r="F2028">
        <v>5</v>
      </c>
    </row>
    <row r="2029" spans="1:6" x14ac:dyDescent="0.25">
      <c r="A2029" t="s">
        <v>3229</v>
      </c>
      <c r="B2029" t="s">
        <v>3223</v>
      </c>
      <c r="C2029" t="s">
        <v>3224</v>
      </c>
      <c r="D2029" s="2">
        <v>45954</v>
      </c>
      <c r="E2029">
        <v>28</v>
      </c>
      <c r="F2029">
        <v>6</v>
      </c>
    </row>
    <row r="2030" spans="1:6" x14ac:dyDescent="0.25">
      <c r="A2030" t="s">
        <v>3230</v>
      </c>
      <c r="B2030" t="s">
        <v>3231</v>
      </c>
      <c r="C2030" t="s">
        <v>3232</v>
      </c>
      <c r="D2030" s="2">
        <v>45917</v>
      </c>
      <c r="E2030">
        <v>28</v>
      </c>
      <c r="F2030">
        <v>1</v>
      </c>
    </row>
    <row r="2031" spans="1:6" x14ac:dyDescent="0.25">
      <c r="A2031" t="s">
        <v>3233</v>
      </c>
      <c r="B2031" t="s">
        <v>3231</v>
      </c>
      <c r="C2031" t="s">
        <v>3232</v>
      </c>
      <c r="D2031" s="2">
        <v>45945</v>
      </c>
      <c r="E2031">
        <v>28</v>
      </c>
      <c r="F2031">
        <v>2</v>
      </c>
    </row>
    <row r="2032" spans="1:6" x14ac:dyDescent="0.25">
      <c r="A2032" t="s">
        <v>3234</v>
      </c>
      <c r="B2032" t="s">
        <v>3235</v>
      </c>
      <c r="C2032" t="s">
        <v>3236</v>
      </c>
      <c r="D2032" s="2">
        <v>45825</v>
      </c>
      <c r="E2032">
        <v>28</v>
      </c>
      <c r="F2032">
        <v>1</v>
      </c>
    </row>
    <row r="2033" spans="1:6" x14ac:dyDescent="0.25">
      <c r="A2033" t="s">
        <v>3237</v>
      </c>
      <c r="B2033" t="s">
        <v>3235</v>
      </c>
      <c r="C2033" t="s">
        <v>3236</v>
      </c>
      <c r="D2033" s="2">
        <v>45855</v>
      </c>
      <c r="E2033">
        <v>28</v>
      </c>
      <c r="F2033">
        <v>2</v>
      </c>
    </row>
    <row r="2034" spans="1:6" x14ac:dyDescent="0.25">
      <c r="A2034" t="s">
        <v>3238</v>
      </c>
      <c r="B2034" t="s">
        <v>3235</v>
      </c>
      <c r="C2034" t="s">
        <v>3236</v>
      </c>
      <c r="D2034" s="2">
        <v>45885</v>
      </c>
      <c r="E2034">
        <v>28</v>
      </c>
      <c r="F2034">
        <v>3</v>
      </c>
    </row>
    <row r="2035" spans="1:6" x14ac:dyDescent="0.25">
      <c r="A2035" t="s">
        <v>3239</v>
      </c>
      <c r="B2035" t="s">
        <v>3235</v>
      </c>
      <c r="C2035" t="s">
        <v>3236</v>
      </c>
      <c r="D2035" s="2">
        <v>45911</v>
      </c>
      <c r="E2035">
        <v>28</v>
      </c>
      <c r="F2035">
        <v>4</v>
      </c>
    </row>
    <row r="2036" spans="1:6" x14ac:dyDescent="0.25">
      <c r="A2036" t="s">
        <v>3240</v>
      </c>
      <c r="B2036" t="s">
        <v>3235</v>
      </c>
      <c r="C2036" t="s">
        <v>3236</v>
      </c>
      <c r="D2036" s="2">
        <v>45941</v>
      </c>
      <c r="E2036">
        <v>28</v>
      </c>
      <c r="F2036">
        <v>5</v>
      </c>
    </row>
    <row r="2037" spans="1:6" x14ac:dyDescent="0.25">
      <c r="A2037" t="s">
        <v>3241</v>
      </c>
      <c r="B2037" t="s">
        <v>3242</v>
      </c>
      <c r="C2037" t="s">
        <v>3243</v>
      </c>
      <c r="D2037" s="2">
        <v>45942</v>
      </c>
      <c r="E2037">
        <v>21</v>
      </c>
      <c r="F2037">
        <v>1</v>
      </c>
    </row>
    <row r="2038" spans="1:6" x14ac:dyDescent="0.25">
      <c r="A2038" t="s">
        <v>3244</v>
      </c>
      <c r="B2038" t="s">
        <v>3245</v>
      </c>
      <c r="C2038" t="s">
        <v>3246</v>
      </c>
      <c r="D2038" s="2">
        <v>45912</v>
      </c>
      <c r="E2038">
        <v>21</v>
      </c>
      <c r="F2038">
        <v>1</v>
      </c>
    </row>
    <row r="2039" spans="1:6" x14ac:dyDescent="0.25">
      <c r="A2039" t="s">
        <v>3247</v>
      </c>
      <c r="B2039" t="s">
        <v>3245</v>
      </c>
      <c r="C2039" t="s">
        <v>3246</v>
      </c>
      <c r="D2039" s="2">
        <v>45935</v>
      </c>
      <c r="E2039">
        <v>21</v>
      </c>
      <c r="F2039">
        <v>2</v>
      </c>
    </row>
    <row r="2040" spans="1:6" x14ac:dyDescent="0.25">
      <c r="A2040" t="s">
        <v>3248</v>
      </c>
      <c r="B2040" t="s">
        <v>3245</v>
      </c>
      <c r="C2040" t="s">
        <v>3246</v>
      </c>
      <c r="D2040" s="2">
        <v>45953</v>
      </c>
      <c r="E2040">
        <v>21</v>
      </c>
      <c r="F2040">
        <v>3</v>
      </c>
    </row>
    <row r="2041" spans="1:6" x14ac:dyDescent="0.25">
      <c r="A2041" t="s">
        <v>3249</v>
      </c>
      <c r="B2041" t="s">
        <v>3250</v>
      </c>
      <c r="C2041" t="s">
        <v>3251</v>
      </c>
      <c r="D2041" s="2">
        <v>45797</v>
      </c>
      <c r="E2041">
        <v>28</v>
      </c>
      <c r="F2041">
        <v>1</v>
      </c>
    </row>
    <row r="2042" spans="1:6" x14ac:dyDescent="0.25">
      <c r="A2042" t="s">
        <v>3252</v>
      </c>
      <c r="B2042" t="s">
        <v>3250</v>
      </c>
      <c r="C2042" t="s">
        <v>3251</v>
      </c>
      <c r="D2042" s="2">
        <v>45827</v>
      </c>
      <c r="E2042">
        <v>28</v>
      </c>
      <c r="F2042">
        <v>2</v>
      </c>
    </row>
    <row r="2043" spans="1:6" x14ac:dyDescent="0.25">
      <c r="A2043" t="s">
        <v>3253</v>
      </c>
      <c r="B2043" t="s">
        <v>3250</v>
      </c>
      <c r="C2043" t="s">
        <v>3251</v>
      </c>
      <c r="D2043" s="2">
        <v>45856</v>
      </c>
      <c r="E2043">
        <v>28</v>
      </c>
      <c r="F2043">
        <v>3</v>
      </c>
    </row>
    <row r="2044" spans="1:6" x14ac:dyDescent="0.25">
      <c r="A2044" t="s">
        <v>3254</v>
      </c>
      <c r="B2044" t="s">
        <v>3250</v>
      </c>
      <c r="C2044" t="s">
        <v>3251</v>
      </c>
      <c r="D2044" s="2">
        <v>45882</v>
      </c>
      <c r="E2044">
        <v>28</v>
      </c>
      <c r="F2044">
        <v>4</v>
      </c>
    </row>
    <row r="2045" spans="1:6" x14ac:dyDescent="0.25">
      <c r="A2045" t="s">
        <v>3255</v>
      </c>
      <c r="B2045" t="s">
        <v>3250</v>
      </c>
      <c r="C2045" t="s">
        <v>3251</v>
      </c>
      <c r="D2045" s="2">
        <v>45911</v>
      </c>
      <c r="E2045">
        <v>28</v>
      </c>
      <c r="F2045">
        <v>5</v>
      </c>
    </row>
    <row r="2046" spans="1:6" x14ac:dyDescent="0.25">
      <c r="A2046" t="s">
        <v>3256</v>
      </c>
      <c r="B2046" t="s">
        <v>3250</v>
      </c>
      <c r="C2046" t="s">
        <v>3251</v>
      </c>
      <c r="D2046" s="2">
        <v>45936</v>
      </c>
      <c r="E2046">
        <v>28</v>
      </c>
      <c r="F2046">
        <v>6</v>
      </c>
    </row>
    <row r="2047" spans="1:6" x14ac:dyDescent="0.25">
      <c r="A2047" t="s">
        <v>3257</v>
      </c>
      <c r="B2047" t="s">
        <v>3258</v>
      </c>
      <c r="C2047" t="s">
        <v>3259</v>
      </c>
      <c r="D2047" s="2">
        <v>45949</v>
      </c>
      <c r="E2047">
        <v>21</v>
      </c>
      <c r="F2047">
        <v>1</v>
      </c>
    </row>
    <row r="2048" spans="1:6" x14ac:dyDescent="0.25">
      <c r="A2048" t="s">
        <v>3260</v>
      </c>
      <c r="B2048" t="s">
        <v>3261</v>
      </c>
      <c r="C2048" t="s">
        <v>3262</v>
      </c>
      <c r="D2048" s="2">
        <v>45779</v>
      </c>
      <c r="E2048">
        <v>30</v>
      </c>
      <c r="F2048">
        <v>1</v>
      </c>
    </row>
    <row r="2049" spans="1:6" x14ac:dyDescent="0.25">
      <c r="A2049" t="s">
        <v>3263</v>
      </c>
      <c r="B2049" t="s">
        <v>3261</v>
      </c>
      <c r="C2049" t="s">
        <v>3262</v>
      </c>
      <c r="D2049" s="2">
        <v>45812</v>
      </c>
      <c r="E2049">
        <v>30</v>
      </c>
      <c r="F2049">
        <v>2</v>
      </c>
    </row>
    <row r="2050" spans="1:6" x14ac:dyDescent="0.25">
      <c r="A2050" t="s">
        <v>3264</v>
      </c>
      <c r="B2050" t="s">
        <v>3261</v>
      </c>
      <c r="C2050" t="s">
        <v>3262</v>
      </c>
      <c r="D2050" s="2">
        <v>45845</v>
      </c>
      <c r="E2050">
        <v>30</v>
      </c>
      <c r="F2050">
        <v>3</v>
      </c>
    </row>
    <row r="2051" spans="1:6" x14ac:dyDescent="0.25">
      <c r="A2051" t="s">
        <v>3265</v>
      </c>
      <c r="B2051" t="s">
        <v>3261</v>
      </c>
      <c r="C2051" t="s">
        <v>3262</v>
      </c>
      <c r="D2051" s="2">
        <v>45873</v>
      </c>
      <c r="E2051">
        <v>30</v>
      </c>
      <c r="F2051">
        <v>4</v>
      </c>
    </row>
    <row r="2052" spans="1:6" x14ac:dyDescent="0.25">
      <c r="A2052" t="s">
        <v>3266</v>
      </c>
      <c r="B2052" t="s">
        <v>3261</v>
      </c>
      <c r="C2052" t="s">
        <v>3262</v>
      </c>
      <c r="D2052" s="2">
        <v>45901</v>
      </c>
      <c r="E2052">
        <v>30</v>
      </c>
      <c r="F2052">
        <v>5</v>
      </c>
    </row>
    <row r="2053" spans="1:6" x14ac:dyDescent="0.25">
      <c r="A2053" t="s">
        <v>3267</v>
      </c>
      <c r="B2053" t="s">
        <v>3261</v>
      </c>
      <c r="C2053" t="s">
        <v>3262</v>
      </c>
      <c r="D2053" s="2">
        <v>45934</v>
      </c>
      <c r="E2053">
        <v>30</v>
      </c>
      <c r="F2053">
        <v>6</v>
      </c>
    </row>
    <row r="2054" spans="1:6" x14ac:dyDescent="0.25">
      <c r="A2054" t="s">
        <v>3268</v>
      </c>
      <c r="B2054" t="s">
        <v>3261</v>
      </c>
      <c r="C2054" t="s">
        <v>3262</v>
      </c>
      <c r="D2054" s="2">
        <v>45961</v>
      </c>
      <c r="E2054">
        <v>30</v>
      </c>
      <c r="F2054">
        <v>7</v>
      </c>
    </row>
    <row r="2055" spans="1:6" x14ac:dyDescent="0.25">
      <c r="A2055" t="s">
        <v>3269</v>
      </c>
      <c r="B2055" t="s">
        <v>3270</v>
      </c>
      <c r="C2055" t="s">
        <v>3271</v>
      </c>
      <c r="D2055" s="2">
        <v>45813</v>
      </c>
      <c r="E2055">
        <v>21</v>
      </c>
      <c r="F2055">
        <v>1</v>
      </c>
    </row>
    <row r="2056" spans="1:6" x14ac:dyDescent="0.25">
      <c r="A2056" t="s">
        <v>3272</v>
      </c>
      <c r="B2056" t="s">
        <v>3270</v>
      </c>
      <c r="C2056" t="s">
        <v>3271</v>
      </c>
      <c r="D2056" s="2">
        <v>45837</v>
      </c>
      <c r="E2056">
        <v>21</v>
      </c>
      <c r="F2056">
        <v>2</v>
      </c>
    </row>
    <row r="2057" spans="1:6" x14ac:dyDescent="0.25">
      <c r="A2057" t="s">
        <v>3273</v>
      </c>
      <c r="B2057" t="s">
        <v>3274</v>
      </c>
      <c r="C2057" t="s">
        <v>3275</v>
      </c>
      <c r="D2057" s="2">
        <v>45939</v>
      </c>
      <c r="E2057">
        <v>30</v>
      </c>
      <c r="F2057">
        <v>1</v>
      </c>
    </row>
    <row r="2058" spans="1:6" x14ac:dyDescent="0.25">
      <c r="A2058" t="s">
        <v>3276</v>
      </c>
      <c r="B2058" t="s">
        <v>3277</v>
      </c>
      <c r="C2058" t="s">
        <v>3278</v>
      </c>
      <c r="D2058" s="2">
        <v>45795</v>
      </c>
      <c r="E2058">
        <v>30</v>
      </c>
      <c r="F2058">
        <v>1</v>
      </c>
    </row>
    <row r="2059" spans="1:6" x14ac:dyDescent="0.25">
      <c r="A2059" t="s">
        <v>3279</v>
      </c>
      <c r="B2059" t="s">
        <v>3277</v>
      </c>
      <c r="C2059" t="s">
        <v>3278</v>
      </c>
      <c r="D2059" s="2">
        <v>45823</v>
      </c>
      <c r="E2059">
        <v>30</v>
      </c>
      <c r="F2059">
        <v>2</v>
      </c>
    </row>
    <row r="2060" spans="1:6" x14ac:dyDescent="0.25">
      <c r="A2060" t="s">
        <v>3280</v>
      </c>
      <c r="B2060" t="s">
        <v>3277</v>
      </c>
      <c r="C2060" t="s">
        <v>3278</v>
      </c>
      <c r="D2060" s="2">
        <v>45850</v>
      </c>
      <c r="E2060">
        <v>30</v>
      </c>
      <c r="F2060">
        <v>3</v>
      </c>
    </row>
    <row r="2061" spans="1:6" x14ac:dyDescent="0.25">
      <c r="A2061" t="s">
        <v>3281</v>
      </c>
      <c r="B2061" t="s">
        <v>3277</v>
      </c>
      <c r="C2061" t="s">
        <v>3278</v>
      </c>
      <c r="D2061" s="2">
        <v>45883</v>
      </c>
      <c r="E2061">
        <v>30</v>
      </c>
      <c r="F2061">
        <v>4</v>
      </c>
    </row>
    <row r="2062" spans="1:6" x14ac:dyDescent="0.25">
      <c r="A2062" t="s">
        <v>3282</v>
      </c>
      <c r="B2062" t="s">
        <v>3277</v>
      </c>
      <c r="C2062" t="s">
        <v>3278</v>
      </c>
      <c r="D2062" s="2">
        <v>45910</v>
      </c>
      <c r="E2062">
        <v>30</v>
      </c>
      <c r="F2062">
        <v>5</v>
      </c>
    </row>
    <row r="2063" spans="1:6" x14ac:dyDescent="0.25">
      <c r="A2063" t="s">
        <v>3283</v>
      </c>
      <c r="B2063" t="s">
        <v>3277</v>
      </c>
      <c r="C2063" t="s">
        <v>3278</v>
      </c>
      <c r="D2063" s="2">
        <v>45940</v>
      </c>
      <c r="E2063">
        <v>30</v>
      </c>
      <c r="F2063">
        <v>6</v>
      </c>
    </row>
    <row r="2064" spans="1:6" x14ac:dyDescent="0.25">
      <c r="A2064" t="s">
        <v>3284</v>
      </c>
      <c r="B2064" t="s">
        <v>3285</v>
      </c>
      <c r="C2064" t="s">
        <v>3286</v>
      </c>
      <c r="D2064" s="2">
        <v>45816</v>
      </c>
      <c r="E2064">
        <v>28</v>
      </c>
      <c r="F2064">
        <v>1</v>
      </c>
    </row>
    <row r="2065" spans="1:6" x14ac:dyDescent="0.25">
      <c r="A2065" t="s">
        <v>3287</v>
      </c>
      <c r="B2065" t="s">
        <v>3285</v>
      </c>
      <c r="C2065" t="s">
        <v>3286</v>
      </c>
      <c r="D2065" s="2">
        <v>45847</v>
      </c>
      <c r="E2065">
        <v>28</v>
      </c>
      <c r="F2065">
        <v>2</v>
      </c>
    </row>
    <row r="2066" spans="1:6" x14ac:dyDescent="0.25">
      <c r="A2066" t="s">
        <v>3288</v>
      </c>
      <c r="B2066" t="s">
        <v>3285</v>
      </c>
      <c r="C2066" t="s">
        <v>3286</v>
      </c>
      <c r="D2066" s="2">
        <v>45876</v>
      </c>
      <c r="E2066">
        <v>28</v>
      </c>
      <c r="F2066">
        <v>3</v>
      </c>
    </row>
    <row r="2067" spans="1:6" x14ac:dyDescent="0.25">
      <c r="A2067" t="s">
        <v>3289</v>
      </c>
      <c r="B2067" t="s">
        <v>3285</v>
      </c>
      <c r="C2067" t="s">
        <v>3286</v>
      </c>
      <c r="D2067" s="2">
        <v>45904</v>
      </c>
      <c r="E2067">
        <v>28</v>
      </c>
      <c r="F2067">
        <v>4</v>
      </c>
    </row>
    <row r="2068" spans="1:6" x14ac:dyDescent="0.25">
      <c r="A2068" t="s">
        <v>3290</v>
      </c>
      <c r="B2068" t="s">
        <v>3285</v>
      </c>
      <c r="C2068" t="s">
        <v>3286</v>
      </c>
      <c r="D2068" s="2">
        <v>45930</v>
      </c>
      <c r="E2068">
        <v>28</v>
      </c>
      <c r="F2068">
        <v>5</v>
      </c>
    </row>
    <row r="2069" spans="1:6" x14ac:dyDescent="0.25">
      <c r="A2069" t="s">
        <v>3291</v>
      </c>
      <c r="B2069" t="s">
        <v>3285</v>
      </c>
      <c r="C2069" t="s">
        <v>3286</v>
      </c>
      <c r="D2069" s="2">
        <v>45960</v>
      </c>
      <c r="E2069">
        <v>28</v>
      </c>
      <c r="F2069">
        <v>6</v>
      </c>
    </row>
    <row r="2070" spans="1:6" x14ac:dyDescent="0.25">
      <c r="A2070" t="s">
        <v>3292</v>
      </c>
      <c r="B2070" t="s">
        <v>3293</v>
      </c>
      <c r="C2070" t="s">
        <v>3294</v>
      </c>
      <c r="D2070" s="2">
        <v>45833</v>
      </c>
      <c r="E2070">
        <v>28</v>
      </c>
      <c r="F2070">
        <v>1</v>
      </c>
    </row>
    <row r="2071" spans="1:6" x14ac:dyDescent="0.25">
      <c r="A2071" t="s">
        <v>3295</v>
      </c>
      <c r="B2071" t="s">
        <v>3293</v>
      </c>
      <c r="C2071" t="s">
        <v>3294</v>
      </c>
      <c r="D2071" s="2">
        <v>45861</v>
      </c>
      <c r="E2071">
        <v>28</v>
      </c>
      <c r="F2071">
        <v>2</v>
      </c>
    </row>
    <row r="2072" spans="1:6" x14ac:dyDescent="0.25">
      <c r="A2072" t="s">
        <v>3296</v>
      </c>
      <c r="B2072" t="s">
        <v>3293</v>
      </c>
      <c r="C2072" t="s">
        <v>3294</v>
      </c>
      <c r="D2072" s="2">
        <v>45890</v>
      </c>
      <c r="E2072">
        <v>28</v>
      </c>
      <c r="F2072">
        <v>3</v>
      </c>
    </row>
    <row r="2073" spans="1:6" x14ac:dyDescent="0.25">
      <c r="A2073" t="s">
        <v>3297</v>
      </c>
      <c r="B2073" t="s">
        <v>3293</v>
      </c>
      <c r="C2073" t="s">
        <v>3294</v>
      </c>
      <c r="D2073" s="2">
        <v>45915</v>
      </c>
      <c r="E2073">
        <v>28</v>
      </c>
      <c r="F2073">
        <v>4</v>
      </c>
    </row>
    <row r="2074" spans="1:6" x14ac:dyDescent="0.25">
      <c r="A2074" t="s">
        <v>3298</v>
      </c>
      <c r="B2074" t="s">
        <v>3293</v>
      </c>
      <c r="C2074" t="s">
        <v>3294</v>
      </c>
      <c r="D2074" s="2">
        <v>45944</v>
      </c>
      <c r="E2074">
        <v>28</v>
      </c>
      <c r="F2074">
        <v>5</v>
      </c>
    </row>
    <row r="2075" spans="1:6" x14ac:dyDescent="0.25">
      <c r="A2075" t="s">
        <v>3299</v>
      </c>
      <c r="B2075" t="s">
        <v>3300</v>
      </c>
      <c r="C2075" t="s">
        <v>3301</v>
      </c>
      <c r="D2075" s="2">
        <v>45894</v>
      </c>
      <c r="E2075">
        <v>56</v>
      </c>
      <c r="F2075">
        <v>1</v>
      </c>
    </row>
    <row r="2076" spans="1:6" x14ac:dyDescent="0.25">
      <c r="A2076" t="s">
        <v>3302</v>
      </c>
      <c r="B2076" t="s">
        <v>3300</v>
      </c>
      <c r="C2076" t="s">
        <v>3301</v>
      </c>
      <c r="D2076" s="2">
        <v>45953</v>
      </c>
      <c r="E2076">
        <v>56</v>
      </c>
      <c r="F2076">
        <v>2</v>
      </c>
    </row>
    <row r="2077" spans="1:6" x14ac:dyDescent="0.25">
      <c r="A2077" t="s">
        <v>3303</v>
      </c>
      <c r="B2077" t="s">
        <v>3304</v>
      </c>
      <c r="C2077" t="s">
        <v>3305</v>
      </c>
      <c r="D2077" s="2">
        <v>45793</v>
      </c>
      <c r="E2077">
        <v>30</v>
      </c>
      <c r="F2077">
        <v>1</v>
      </c>
    </row>
    <row r="2078" spans="1:6" x14ac:dyDescent="0.25">
      <c r="A2078" t="s">
        <v>3306</v>
      </c>
      <c r="B2078" t="s">
        <v>3304</v>
      </c>
      <c r="C2078" t="s">
        <v>3305</v>
      </c>
      <c r="D2078" s="2">
        <v>45821</v>
      </c>
      <c r="E2078">
        <v>30</v>
      </c>
      <c r="F2078">
        <v>2</v>
      </c>
    </row>
    <row r="2079" spans="1:6" x14ac:dyDescent="0.25">
      <c r="A2079" t="s">
        <v>3307</v>
      </c>
      <c r="B2079" t="s">
        <v>3304</v>
      </c>
      <c r="C2079" t="s">
        <v>3305</v>
      </c>
      <c r="D2079" s="2">
        <v>45848</v>
      </c>
      <c r="E2079">
        <v>30</v>
      </c>
      <c r="F2079">
        <v>3</v>
      </c>
    </row>
    <row r="2080" spans="1:6" x14ac:dyDescent="0.25">
      <c r="A2080" t="s">
        <v>3308</v>
      </c>
      <c r="B2080" t="s">
        <v>3304</v>
      </c>
      <c r="C2080" t="s">
        <v>3305</v>
      </c>
      <c r="D2080" s="2">
        <v>45877</v>
      </c>
      <c r="E2080">
        <v>30</v>
      </c>
      <c r="F2080">
        <v>4</v>
      </c>
    </row>
    <row r="2081" spans="1:6" x14ac:dyDescent="0.25">
      <c r="A2081" t="s">
        <v>3309</v>
      </c>
      <c r="B2081" t="s">
        <v>3304</v>
      </c>
      <c r="C2081" t="s">
        <v>3305</v>
      </c>
      <c r="D2081" s="2">
        <v>45905</v>
      </c>
      <c r="E2081">
        <v>30</v>
      </c>
      <c r="F2081">
        <v>5</v>
      </c>
    </row>
    <row r="2082" spans="1:6" x14ac:dyDescent="0.25">
      <c r="A2082" t="s">
        <v>3310</v>
      </c>
      <c r="B2082" t="s">
        <v>3304</v>
      </c>
      <c r="C2082" t="s">
        <v>3305</v>
      </c>
      <c r="D2082" s="2">
        <v>45932</v>
      </c>
      <c r="E2082">
        <v>30</v>
      </c>
      <c r="F2082">
        <v>6</v>
      </c>
    </row>
    <row r="2083" spans="1:6" x14ac:dyDescent="0.25">
      <c r="A2083" t="s">
        <v>3311</v>
      </c>
      <c r="B2083" t="s">
        <v>3312</v>
      </c>
      <c r="C2083" t="s">
        <v>3313</v>
      </c>
      <c r="D2083" s="2">
        <v>45941</v>
      </c>
      <c r="E2083">
        <v>28</v>
      </c>
      <c r="F2083">
        <v>1</v>
      </c>
    </row>
    <row r="2084" spans="1:6" x14ac:dyDescent="0.25">
      <c r="A2084" t="s">
        <v>3314</v>
      </c>
      <c r="B2084" t="s">
        <v>3315</v>
      </c>
      <c r="C2084" t="s">
        <v>3316</v>
      </c>
      <c r="D2084" s="2">
        <v>45935</v>
      </c>
      <c r="E2084">
        <v>28</v>
      </c>
      <c r="F2084">
        <v>1</v>
      </c>
    </row>
    <row r="2085" spans="1:6" x14ac:dyDescent="0.25">
      <c r="A2085" t="s">
        <v>3317</v>
      </c>
      <c r="B2085" t="s">
        <v>3315</v>
      </c>
      <c r="C2085" t="s">
        <v>3316</v>
      </c>
      <c r="D2085" s="2">
        <v>45960</v>
      </c>
      <c r="E2085">
        <v>28</v>
      </c>
      <c r="F2085">
        <v>2</v>
      </c>
    </row>
    <row r="2086" spans="1:6" x14ac:dyDescent="0.25">
      <c r="A2086" t="s">
        <v>3318</v>
      </c>
      <c r="B2086" t="s">
        <v>3319</v>
      </c>
      <c r="C2086" t="s">
        <v>3320</v>
      </c>
      <c r="D2086" s="2">
        <v>45946</v>
      </c>
      <c r="E2086">
        <v>28</v>
      </c>
      <c r="F2086">
        <v>1</v>
      </c>
    </row>
    <row r="2087" spans="1:6" x14ac:dyDescent="0.25">
      <c r="A2087" t="s">
        <v>3321</v>
      </c>
      <c r="B2087" t="s">
        <v>3322</v>
      </c>
      <c r="C2087" t="s">
        <v>3323</v>
      </c>
      <c r="D2087" s="2">
        <v>45782</v>
      </c>
      <c r="E2087">
        <v>28</v>
      </c>
      <c r="F2087">
        <v>1</v>
      </c>
    </row>
    <row r="2088" spans="1:6" x14ac:dyDescent="0.25">
      <c r="A2088" t="s">
        <v>3324</v>
      </c>
      <c r="B2088" t="s">
        <v>3322</v>
      </c>
      <c r="C2088" t="s">
        <v>3323</v>
      </c>
      <c r="D2088" s="2">
        <v>45812</v>
      </c>
      <c r="E2088">
        <v>28</v>
      </c>
      <c r="F2088">
        <v>2</v>
      </c>
    </row>
    <row r="2089" spans="1:6" x14ac:dyDescent="0.25">
      <c r="A2089" t="s">
        <v>3325</v>
      </c>
      <c r="B2089" t="s">
        <v>3322</v>
      </c>
      <c r="C2089" t="s">
        <v>3323</v>
      </c>
      <c r="D2089" s="2">
        <v>45841</v>
      </c>
      <c r="E2089">
        <v>28</v>
      </c>
      <c r="F2089">
        <v>3</v>
      </c>
    </row>
    <row r="2090" spans="1:6" x14ac:dyDescent="0.25">
      <c r="A2090" t="s">
        <v>3326</v>
      </c>
      <c r="B2090" t="s">
        <v>3322</v>
      </c>
      <c r="C2090" t="s">
        <v>3323</v>
      </c>
      <c r="D2090" s="2">
        <v>45871</v>
      </c>
      <c r="E2090">
        <v>28</v>
      </c>
      <c r="F2090">
        <v>4</v>
      </c>
    </row>
    <row r="2091" spans="1:6" x14ac:dyDescent="0.25">
      <c r="A2091" t="s">
        <v>3327</v>
      </c>
      <c r="B2091" t="s">
        <v>3322</v>
      </c>
      <c r="C2091" t="s">
        <v>3323</v>
      </c>
      <c r="D2091" s="2">
        <v>45900</v>
      </c>
      <c r="E2091">
        <v>28</v>
      </c>
      <c r="F2091">
        <v>5</v>
      </c>
    </row>
    <row r="2092" spans="1:6" x14ac:dyDescent="0.25">
      <c r="A2092" t="s">
        <v>3328</v>
      </c>
      <c r="B2092" t="s">
        <v>3322</v>
      </c>
      <c r="C2092" t="s">
        <v>3323</v>
      </c>
      <c r="D2092" s="2">
        <v>45931</v>
      </c>
      <c r="E2092">
        <v>28</v>
      </c>
      <c r="F2092">
        <v>6</v>
      </c>
    </row>
    <row r="2093" spans="1:6" x14ac:dyDescent="0.25">
      <c r="A2093" t="s">
        <v>3329</v>
      </c>
      <c r="B2093" t="s">
        <v>3322</v>
      </c>
      <c r="C2093" t="s">
        <v>3323</v>
      </c>
      <c r="D2093" s="2">
        <v>45957</v>
      </c>
      <c r="E2093">
        <v>28</v>
      </c>
      <c r="F2093">
        <v>7</v>
      </c>
    </row>
    <row r="2094" spans="1:6" x14ac:dyDescent="0.25">
      <c r="A2094" t="s">
        <v>3330</v>
      </c>
      <c r="B2094" t="s">
        <v>3331</v>
      </c>
      <c r="C2094" t="s">
        <v>3332</v>
      </c>
      <c r="D2094" s="2">
        <v>45914</v>
      </c>
      <c r="E2094">
        <v>56</v>
      </c>
      <c r="F2094">
        <v>1</v>
      </c>
    </row>
    <row r="2095" spans="1:6" x14ac:dyDescent="0.25">
      <c r="A2095" t="s">
        <v>3333</v>
      </c>
      <c r="B2095" t="s">
        <v>3334</v>
      </c>
      <c r="C2095" t="s">
        <v>3335</v>
      </c>
      <c r="D2095" s="2">
        <v>45883</v>
      </c>
      <c r="E2095">
        <v>28</v>
      </c>
      <c r="F2095">
        <v>1</v>
      </c>
    </row>
    <row r="2096" spans="1:6" x14ac:dyDescent="0.25">
      <c r="A2096" t="s">
        <v>3336</v>
      </c>
      <c r="B2096" t="s">
        <v>3334</v>
      </c>
      <c r="C2096" t="s">
        <v>3335</v>
      </c>
      <c r="D2096" s="2">
        <v>45908</v>
      </c>
      <c r="E2096">
        <v>28</v>
      </c>
      <c r="F2096">
        <v>2</v>
      </c>
    </row>
    <row r="2097" spans="1:6" x14ac:dyDescent="0.25">
      <c r="A2097" t="s">
        <v>3337</v>
      </c>
      <c r="B2097" t="s">
        <v>3334</v>
      </c>
      <c r="C2097" t="s">
        <v>3335</v>
      </c>
      <c r="D2097" s="2">
        <v>45939</v>
      </c>
      <c r="E2097">
        <v>28</v>
      </c>
      <c r="F2097">
        <v>3</v>
      </c>
    </row>
    <row r="2098" spans="1:6" x14ac:dyDescent="0.25">
      <c r="A2098" t="s">
        <v>3338</v>
      </c>
      <c r="B2098" t="s">
        <v>3339</v>
      </c>
      <c r="C2098" t="s">
        <v>3340</v>
      </c>
      <c r="D2098" s="2">
        <v>45782</v>
      </c>
      <c r="E2098">
        <v>28</v>
      </c>
      <c r="F2098">
        <v>1</v>
      </c>
    </row>
    <row r="2099" spans="1:6" x14ac:dyDescent="0.25">
      <c r="A2099" t="s">
        <v>3341</v>
      </c>
      <c r="B2099" t="s">
        <v>3339</v>
      </c>
      <c r="C2099" t="s">
        <v>3340</v>
      </c>
      <c r="D2099" s="2">
        <v>45810</v>
      </c>
      <c r="E2099">
        <v>28</v>
      </c>
      <c r="F2099">
        <v>2</v>
      </c>
    </row>
    <row r="2100" spans="1:6" x14ac:dyDescent="0.25">
      <c r="A2100" t="s">
        <v>3342</v>
      </c>
      <c r="B2100" t="s">
        <v>3339</v>
      </c>
      <c r="C2100" t="s">
        <v>3340</v>
      </c>
      <c r="D2100" s="2">
        <v>45835</v>
      </c>
      <c r="E2100">
        <v>28</v>
      </c>
      <c r="F2100">
        <v>3</v>
      </c>
    </row>
    <row r="2101" spans="1:6" x14ac:dyDescent="0.25">
      <c r="A2101" t="s">
        <v>3343</v>
      </c>
      <c r="B2101" t="s">
        <v>3339</v>
      </c>
      <c r="C2101" t="s">
        <v>3340</v>
      </c>
      <c r="D2101" s="2">
        <v>45863</v>
      </c>
      <c r="E2101">
        <v>28</v>
      </c>
      <c r="F2101">
        <v>4</v>
      </c>
    </row>
    <row r="2102" spans="1:6" x14ac:dyDescent="0.25">
      <c r="A2102" t="s">
        <v>3344</v>
      </c>
      <c r="B2102" t="s">
        <v>3339</v>
      </c>
      <c r="C2102" t="s">
        <v>3340</v>
      </c>
      <c r="D2102" s="2">
        <v>45892</v>
      </c>
      <c r="E2102">
        <v>28</v>
      </c>
      <c r="F2102">
        <v>5</v>
      </c>
    </row>
    <row r="2103" spans="1:6" x14ac:dyDescent="0.25">
      <c r="A2103" t="s">
        <v>3345</v>
      </c>
      <c r="B2103" t="s">
        <v>3339</v>
      </c>
      <c r="C2103" t="s">
        <v>3340</v>
      </c>
      <c r="D2103" s="2">
        <v>45919</v>
      </c>
      <c r="E2103">
        <v>28</v>
      </c>
      <c r="F2103">
        <v>6</v>
      </c>
    </row>
    <row r="2104" spans="1:6" x14ac:dyDescent="0.25">
      <c r="A2104" t="s">
        <v>3346</v>
      </c>
      <c r="B2104" t="s">
        <v>3339</v>
      </c>
      <c r="C2104" t="s">
        <v>3340</v>
      </c>
      <c r="D2104" s="2">
        <v>45945</v>
      </c>
      <c r="E2104">
        <v>28</v>
      </c>
      <c r="F2104">
        <v>7</v>
      </c>
    </row>
    <row r="2105" spans="1:6" x14ac:dyDescent="0.25">
      <c r="A2105" t="s">
        <v>3347</v>
      </c>
      <c r="B2105" t="s">
        <v>3348</v>
      </c>
      <c r="C2105" t="s">
        <v>3349</v>
      </c>
      <c r="D2105" s="2">
        <v>45848</v>
      </c>
      <c r="E2105">
        <v>28</v>
      </c>
      <c r="F2105">
        <v>1</v>
      </c>
    </row>
    <row r="2106" spans="1:6" x14ac:dyDescent="0.25">
      <c r="A2106" t="s">
        <v>3350</v>
      </c>
      <c r="B2106" t="s">
        <v>3348</v>
      </c>
      <c r="C2106" t="s">
        <v>3349</v>
      </c>
      <c r="D2106" s="2">
        <v>45875</v>
      </c>
      <c r="E2106">
        <v>28</v>
      </c>
      <c r="F2106">
        <v>2</v>
      </c>
    </row>
    <row r="2107" spans="1:6" x14ac:dyDescent="0.25">
      <c r="A2107" t="s">
        <v>3351</v>
      </c>
      <c r="B2107" t="s">
        <v>3348</v>
      </c>
      <c r="C2107" t="s">
        <v>3349</v>
      </c>
      <c r="D2107" s="2">
        <v>45904</v>
      </c>
      <c r="E2107">
        <v>28</v>
      </c>
      <c r="F2107">
        <v>3</v>
      </c>
    </row>
    <row r="2108" spans="1:6" x14ac:dyDescent="0.25">
      <c r="A2108" t="s">
        <v>3352</v>
      </c>
      <c r="B2108" t="s">
        <v>3348</v>
      </c>
      <c r="C2108" t="s">
        <v>3349</v>
      </c>
      <c r="D2108" s="2">
        <v>45933</v>
      </c>
      <c r="E2108">
        <v>28</v>
      </c>
      <c r="F2108">
        <v>4</v>
      </c>
    </row>
    <row r="2109" spans="1:6" x14ac:dyDescent="0.25">
      <c r="A2109" t="s">
        <v>3353</v>
      </c>
      <c r="B2109" t="s">
        <v>3354</v>
      </c>
      <c r="C2109" t="s">
        <v>3355</v>
      </c>
      <c r="D2109" s="2">
        <v>45851</v>
      </c>
      <c r="E2109">
        <v>28</v>
      </c>
      <c r="F2109">
        <v>1</v>
      </c>
    </row>
    <row r="2110" spans="1:6" x14ac:dyDescent="0.25">
      <c r="A2110" t="s">
        <v>3356</v>
      </c>
      <c r="B2110" t="s">
        <v>3354</v>
      </c>
      <c r="C2110" t="s">
        <v>3355</v>
      </c>
      <c r="D2110" s="2">
        <v>45880</v>
      </c>
      <c r="E2110">
        <v>28</v>
      </c>
      <c r="F2110">
        <v>2</v>
      </c>
    </row>
    <row r="2111" spans="1:6" x14ac:dyDescent="0.25">
      <c r="A2111" t="s">
        <v>3357</v>
      </c>
      <c r="B2111" t="s">
        <v>3354</v>
      </c>
      <c r="C2111" t="s">
        <v>3355</v>
      </c>
      <c r="D2111" s="2">
        <v>45905</v>
      </c>
      <c r="E2111">
        <v>28</v>
      </c>
      <c r="F2111">
        <v>3</v>
      </c>
    </row>
    <row r="2112" spans="1:6" x14ac:dyDescent="0.25">
      <c r="A2112" t="s">
        <v>3358</v>
      </c>
      <c r="B2112" t="s">
        <v>3354</v>
      </c>
      <c r="C2112" t="s">
        <v>3355</v>
      </c>
      <c r="D2112" s="2">
        <v>45935</v>
      </c>
      <c r="E2112">
        <v>28</v>
      </c>
      <c r="F2112">
        <v>4</v>
      </c>
    </row>
    <row r="2113" spans="1:6" x14ac:dyDescent="0.25">
      <c r="A2113" t="s">
        <v>3359</v>
      </c>
      <c r="B2113" t="s">
        <v>3360</v>
      </c>
      <c r="C2113" t="s">
        <v>3361</v>
      </c>
      <c r="D2113" s="2">
        <v>45906</v>
      </c>
      <c r="E2113">
        <v>28</v>
      </c>
      <c r="F2113">
        <v>1</v>
      </c>
    </row>
    <row r="2114" spans="1:6" x14ac:dyDescent="0.25">
      <c r="A2114" t="s">
        <v>3362</v>
      </c>
      <c r="B2114" t="s">
        <v>3360</v>
      </c>
      <c r="C2114" t="s">
        <v>3361</v>
      </c>
      <c r="D2114" s="2">
        <v>45934</v>
      </c>
      <c r="E2114">
        <v>28</v>
      </c>
      <c r="F2114">
        <v>2</v>
      </c>
    </row>
    <row r="2115" spans="1:6" x14ac:dyDescent="0.25">
      <c r="A2115" t="s">
        <v>3363</v>
      </c>
      <c r="B2115" t="s">
        <v>3364</v>
      </c>
      <c r="C2115" t="s">
        <v>3365</v>
      </c>
      <c r="D2115" s="2">
        <v>45956</v>
      </c>
      <c r="E2115">
        <v>56</v>
      </c>
      <c r="F2115">
        <v>1</v>
      </c>
    </row>
    <row r="2116" spans="1:6" x14ac:dyDescent="0.25">
      <c r="A2116" t="s">
        <v>3366</v>
      </c>
      <c r="B2116" t="s">
        <v>3367</v>
      </c>
      <c r="C2116" t="s">
        <v>3368</v>
      </c>
      <c r="D2116" s="2">
        <v>45888</v>
      </c>
      <c r="E2116">
        <v>30</v>
      </c>
      <c r="F2116">
        <v>1</v>
      </c>
    </row>
    <row r="2117" spans="1:6" x14ac:dyDescent="0.25">
      <c r="A2117" t="s">
        <v>3369</v>
      </c>
      <c r="B2117" t="s">
        <v>3367</v>
      </c>
      <c r="C2117" t="s">
        <v>3368</v>
      </c>
      <c r="D2117" s="2">
        <v>45918</v>
      </c>
      <c r="E2117">
        <v>30</v>
      </c>
      <c r="F2117">
        <v>2</v>
      </c>
    </row>
    <row r="2118" spans="1:6" x14ac:dyDescent="0.25">
      <c r="A2118" t="s">
        <v>3370</v>
      </c>
      <c r="B2118" t="s">
        <v>3371</v>
      </c>
      <c r="C2118" t="s">
        <v>3372</v>
      </c>
      <c r="D2118" s="2">
        <v>45823</v>
      </c>
      <c r="E2118">
        <v>30</v>
      </c>
      <c r="F2118">
        <v>1</v>
      </c>
    </row>
    <row r="2119" spans="1:6" x14ac:dyDescent="0.25">
      <c r="A2119" t="s">
        <v>3373</v>
      </c>
      <c r="B2119" t="s">
        <v>3371</v>
      </c>
      <c r="C2119" t="s">
        <v>3372</v>
      </c>
      <c r="D2119" s="2">
        <v>45854</v>
      </c>
      <c r="E2119">
        <v>30</v>
      </c>
      <c r="F2119">
        <v>2</v>
      </c>
    </row>
    <row r="2120" spans="1:6" x14ac:dyDescent="0.25">
      <c r="A2120" t="s">
        <v>3374</v>
      </c>
      <c r="B2120" t="s">
        <v>3371</v>
      </c>
      <c r="C2120" t="s">
        <v>3372</v>
      </c>
      <c r="D2120" s="2">
        <v>45885</v>
      </c>
      <c r="E2120">
        <v>30</v>
      </c>
      <c r="F2120">
        <v>3</v>
      </c>
    </row>
    <row r="2121" spans="1:6" x14ac:dyDescent="0.25">
      <c r="A2121" t="s">
        <v>3375</v>
      </c>
      <c r="B2121" t="s">
        <v>3371</v>
      </c>
      <c r="C2121" t="s">
        <v>3372</v>
      </c>
      <c r="D2121" s="2">
        <v>45913</v>
      </c>
      <c r="E2121">
        <v>30</v>
      </c>
      <c r="F2121">
        <v>4</v>
      </c>
    </row>
    <row r="2122" spans="1:6" x14ac:dyDescent="0.25">
      <c r="A2122" t="s">
        <v>3376</v>
      </c>
      <c r="B2122" t="s">
        <v>3371</v>
      </c>
      <c r="C2122" t="s">
        <v>3372</v>
      </c>
      <c r="D2122" s="2">
        <v>45944</v>
      </c>
      <c r="E2122">
        <v>30</v>
      </c>
      <c r="F2122">
        <v>5</v>
      </c>
    </row>
    <row r="2123" spans="1:6" x14ac:dyDescent="0.25">
      <c r="A2123" t="s">
        <v>3377</v>
      </c>
      <c r="B2123" t="s">
        <v>3378</v>
      </c>
      <c r="C2123" t="s">
        <v>3379</v>
      </c>
      <c r="D2123" s="2">
        <v>45802</v>
      </c>
      <c r="E2123">
        <v>28</v>
      </c>
      <c r="F2123">
        <v>1</v>
      </c>
    </row>
    <row r="2124" spans="1:6" x14ac:dyDescent="0.25">
      <c r="A2124" t="s">
        <v>3380</v>
      </c>
      <c r="B2124" t="s">
        <v>3378</v>
      </c>
      <c r="C2124" t="s">
        <v>3379</v>
      </c>
      <c r="D2124" s="2">
        <v>45832</v>
      </c>
      <c r="E2124">
        <v>28</v>
      </c>
      <c r="F2124">
        <v>2</v>
      </c>
    </row>
    <row r="2125" spans="1:6" x14ac:dyDescent="0.25">
      <c r="A2125" t="s">
        <v>3381</v>
      </c>
      <c r="B2125" t="s">
        <v>3378</v>
      </c>
      <c r="C2125" t="s">
        <v>3379</v>
      </c>
      <c r="D2125" s="2">
        <v>45860</v>
      </c>
      <c r="E2125">
        <v>28</v>
      </c>
      <c r="F2125">
        <v>3</v>
      </c>
    </row>
    <row r="2126" spans="1:6" x14ac:dyDescent="0.25">
      <c r="A2126" t="s">
        <v>3382</v>
      </c>
      <c r="B2126" t="s">
        <v>3378</v>
      </c>
      <c r="C2126" t="s">
        <v>3379</v>
      </c>
      <c r="D2126" s="2">
        <v>45886</v>
      </c>
      <c r="E2126">
        <v>28</v>
      </c>
      <c r="F2126">
        <v>4</v>
      </c>
    </row>
    <row r="2127" spans="1:6" x14ac:dyDescent="0.25">
      <c r="A2127" t="s">
        <v>3383</v>
      </c>
      <c r="B2127" t="s">
        <v>3378</v>
      </c>
      <c r="C2127" t="s">
        <v>3379</v>
      </c>
      <c r="D2127" s="2">
        <v>45915</v>
      </c>
      <c r="E2127">
        <v>28</v>
      </c>
      <c r="F2127">
        <v>5</v>
      </c>
    </row>
    <row r="2128" spans="1:6" x14ac:dyDescent="0.25">
      <c r="A2128" t="s">
        <v>3384</v>
      </c>
      <c r="B2128" t="s">
        <v>3378</v>
      </c>
      <c r="C2128" t="s">
        <v>3379</v>
      </c>
      <c r="D2128" s="2">
        <v>45945</v>
      </c>
      <c r="E2128">
        <v>28</v>
      </c>
      <c r="F2128">
        <v>6</v>
      </c>
    </row>
    <row r="2129" spans="1:6" x14ac:dyDescent="0.25">
      <c r="A2129" t="s">
        <v>3385</v>
      </c>
      <c r="B2129" t="s">
        <v>3386</v>
      </c>
      <c r="C2129" t="s">
        <v>3387</v>
      </c>
      <c r="D2129" s="2">
        <v>45816</v>
      </c>
      <c r="E2129">
        <v>30</v>
      </c>
      <c r="F2129">
        <v>1</v>
      </c>
    </row>
    <row r="2130" spans="1:6" x14ac:dyDescent="0.25">
      <c r="A2130" t="s">
        <v>3388</v>
      </c>
      <c r="B2130" t="s">
        <v>3389</v>
      </c>
      <c r="C2130" t="s">
        <v>3390</v>
      </c>
      <c r="D2130" s="2">
        <v>45827</v>
      </c>
      <c r="E2130">
        <v>28</v>
      </c>
      <c r="F2130">
        <v>1</v>
      </c>
    </row>
    <row r="2131" spans="1:6" x14ac:dyDescent="0.25">
      <c r="A2131" t="s">
        <v>3391</v>
      </c>
      <c r="B2131" t="s">
        <v>3389</v>
      </c>
      <c r="C2131" t="s">
        <v>3390</v>
      </c>
      <c r="D2131" s="2">
        <v>45855</v>
      </c>
      <c r="E2131">
        <v>28</v>
      </c>
      <c r="F2131">
        <v>2</v>
      </c>
    </row>
    <row r="2132" spans="1:6" x14ac:dyDescent="0.25">
      <c r="A2132" t="s">
        <v>3392</v>
      </c>
      <c r="B2132" t="s">
        <v>3389</v>
      </c>
      <c r="C2132" t="s">
        <v>3390</v>
      </c>
      <c r="D2132" s="2">
        <v>45886</v>
      </c>
      <c r="E2132">
        <v>28</v>
      </c>
      <c r="F2132">
        <v>3</v>
      </c>
    </row>
    <row r="2133" spans="1:6" x14ac:dyDescent="0.25">
      <c r="A2133" t="s">
        <v>3393</v>
      </c>
      <c r="B2133" t="s">
        <v>3389</v>
      </c>
      <c r="C2133" t="s">
        <v>3390</v>
      </c>
      <c r="D2133" s="2">
        <v>45916</v>
      </c>
      <c r="E2133">
        <v>28</v>
      </c>
      <c r="F2133">
        <v>4</v>
      </c>
    </row>
    <row r="2134" spans="1:6" x14ac:dyDescent="0.25">
      <c r="A2134" t="s">
        <v>3394</v>
      </c>
      <c r="B2134" t="s">
        <v>3389</v>
      </c>
      <c r="C2134" t="s">
        <v>3390</v>
      </c>
      <c r="D2134" s="2">
        <v>45942</v>
      </c>
      <c r="E2134">
        <v>28</v>
      </c>
      <c r="F2134">
        <v>5</v>
      </c>
    </row>
    <row r="2135" spans="1:6" x14ac:dyDescent="0.25">
      <c r="A2135" t="s">
        <v>3395</v>
      </c>
      <c r="B2135" t="s">
        <v>3396</v>
      </c>
      <c r="C2135" t="s">
        <v>3397</v>
      </c>
      <c r="D2135" s="2">
        <v>45912</v>
      </c>
      <c r="E2135">
        <v>28</v>
      </c>
      <c r="F2135">
        <v>1</v>
      </c>
    </row>
    <row r="2136" spans="1:6" x14ac:dyDescent="0.25">
      <c r="A2136" t="s">
        <v>3398</v>
      </c>
      <c r="B2136" t="s">
        <v>3396</v>
      </c>
      <c r="C2136" t="s">
        <v>3397</v>
      </c>
      <c r="D2136" s="2">
        <v>45940</v>
      </c>
      <c r="E2136">
        <v>28</v>
      </c>
      <c r="F2136">
        <v>2</v>
      </c>
    </row>
    <row r="2137" spans="1:6" x14ac:dyDescent="0.25">
      <c r="A2137" t="s">
        <v>3399</v>
      </c>
      <c r="B2137" t="s">
        <v>3400</v>
      </c>
      <c r="C2137" t="s">
        <v>3401</v>
      </c>
      <c r="D2137" s="2">
        <v>45868</v>
      </c>
      <c r="E2137">
        <v>56</v>
      </c>
      <c r="F2137">
        <v>1</v>
      </c>
    </row>
    <row r="2138" spans="1:6" x14ac:dyDescent="0.25">
      <c r="A2138" t="s">
        <v>3402</v>
      </c>
      <c r="B2138" t="s">
        <v>3400</v>
      </c>
      <c r="C2138" t="s">
        <v>3401</v>
      </c>
      <c r="D2138" s="2">
        <v>45925</v>
      </c>
      <c r="E2138">
        <v>56</v>
      </c>
      <c r="F2138">
        <v>2</v>
      </c>
    </row>
    <row r="2139" spans="1:6" x14ac:dyDescent="0.25">
      <c r="A2139" t="s">
        <v>3403</v>
      </c>
      <c r="B2139" t="s">
        <v>3404</v>
      </c>
      <c r="C2139" t="s">
        <v>3405</v>
      </c>
      <c r="D2139" s="2">
        <v>45879</v>
      </c>
      <c r="E2139">
        <v>28</v>
      </c>
      <c r="F2139">
        <v>1</v>
      </c>
    </row>
    <row r="2140" spans="1:6" x14ac:dyDescent="0.25">
      <c r="A2140" t="s">
        <v>3406</v>
      </c>
      <c r="B2140" t="s">
        <v>3404</v>
      </c>
      <c r="C2140" t="s">
        <v>3405</v>
      </c>
      <c r="D2140" s="2">
        <v>45904</v>
      </c>
      <c r="E2140">
        <v>28</v>
      </c>
      <c r="F2140">
        <v>2</v>
      </c>
    </row>
    <row r="2141" spans="1:6" x14ac:dyDescent="0.25">
      <c r="A2141" t="s">
        <v>3407</v>
      </c>
      <c r="B2141" t="s">
        <v>3404</v>
      </c>
      <c r="C2141" t="s">
        <v>3405</v>
      </c>
      <c r="D2141" s="2">
        <v>45930</v>
      </c>
      <c r="E2141">
        <v>28</v>
      </c>
      <c r="F2141">
        <v>3</v>
      </c>
    </row>
    <row r="2142" spans="1:6" x14ac:dyDescent="0.25">
      <c r="A2142" t="s">
        <v>3408</v>
      </c>
      <c r="B2142" t="s">
        <v>3404</v>
      </c>
      <c r="C2142" t="s">
        <v>3405</v>
      </c>
      <c r="D2142" s="2">
        <v>45957</v>
      </c>
      <c r="E2142">
        <v>28</v>
      </c>
      <c r="F2142">
        <v>4</v>
      </c>
    </row>
    <row r="2143" spans="1:6" x14ac:dyDescent="0.25">
      <c r="A2143" t="s">
        <v>3409</v>
      </c>
      <c r="B2143" t="s">
        <v>3410</v>
      </c>
      <c r="C2143" t="s">
        <v>3411</v>
      </c>
      <c r="D2143" s="2">
        <v>45873</v>
      </c>
      <c r="E2143">
        <v>28</v>
      </c>
      <c r="F2143">
        <v>1</v>
      </c>
    </row>
    <row r="2144" spans="1:6" x14ac:dyDescent="0.25">
      <c r="A2144" t="s">
        <v>3412</v>
      </c>
      <c r="B2144" t="s">
        <v>3410</v>
      </c>
      <c r="C2144" t="s">
        <v>3411</v>
      </c>
      <c r="D2144" s="2">
        <v>45900</v>
      </c>
      <c r="E2144">
        <v>28</v>
      </c>
      <c r="F2144">
        <v>2</v>
      </c>
    </row>
    <row r="2145" spans="1:6" x14ac:dyDescent="0.25">
      <c r="A2145" t="s">
        <v>3413</v>
      </c>
      <c r="B2145" t="s">
        <v>3410</v>
      </c>
      <c r="C2145" t="s">
        <v>3411</v>
      </c>
      <c r="D2145" s="2">
        <v>45929</v>
      </c>
      <c r="E2145">
        <v>28</v>
      </c>
      <c r="F2145">
        <v>3</v>
      </c>
    </row>
    <row r="2146" spans="1:6" x14ac:dyDescent="0.25">
      <c r="A2146" t="s">
        <v>3414</v>
      </c>
      <c r="B2146" t="s">
        <v>3410</v>
      </c>
      <c r="C2146" t="s">
        <v>3411</v>
      </c>
      <c r="D2146" s="2">
        <v>45956</v>
      </c>
      <c r="E2146">
        <v>28</v>
      </c>
      <c r="F2146">
        <v>4</v>
      </c>
    </row>
    <row r="2147" spans="1:6" x14ac:dyDescent="0.25">
      <c r="A2147" t="s">
        <v>3415</v>
      </c>
      <c r="B2147" t="s">
        <v>3416</v>
      </c>
      <c r="C2147" t="s">
        <v>3417</v>
      </c>
      <c r="D2147" s="2">
        <v>45895</v>
      </c>
      <c r="E2147">
        <v>30</v>
      </c>
      <c r="F2147">
        <v>1</v>
      </c>
    </row>
    <row r="2148" spans="1:6" x14ac:dyDescent="0.25">
      <c r="A2148" t="s">
        <v>3418</v>
      </c>
      <c r="B2148" t="s">
        <v>3416</v>
      </c>
      <c r="C2148" t="s">
        <v>3417</v>
      </c>
      <c r="D2148" s="2">
        <v>45927</v>
      </c>
      <c r="E2148">
        <v>30</v>
      </c>
      <c r="F2148">
        <v>2</v>
      </c>
    </row>
    <row r="2149" spans="1:6" x14ac:dyDescent="0.25">
      <c r="A2149" t="s">
        <v>3419</v>
      </c>
      <c r="B2149" t="s">
        <v>3416</v>
      </c>
      <c r="C2149" t="s">
        <v>3417</v>
      </c>
      <c r="D2149" s="2">
        <v>45956</v>
      </c>
      <c r="E2149">
        <v>30</v>
      </c>
      <c r="F2149">
        <v>3</v>
      </c>
    </row>
    <row r="2150" spans="1:6" x14ac:dyDescent="0.25">
      <c r="A2150" t="s">
        <v>3420</v>
      </c>
      <c r="B2150" t="s">
        <v>3421</v>
      </c>
      <c r="C2150" t="s">
        <v>3422</v>
      </c>
      <c r="D2150" s="2">
        <v>45840</v>
      </c>
      <c r="E2150">
        <v>21</v>
      </c>
      <c r="F2150">
        <v>1</v>
      </c>
    </row>
    <row r="2151" spans="1:6" x14ac:dyDescent="0.25">
      <c r="A2151" t="s">
        <v>3423</v>
      </c>
      <c r="B2151" t="s">
        <v>3421</v>
      </c>
      <c r="C2151" t="s">
        <v>3422</v>
      </c>
      <c r="D2151" s="2">
        <v>45858</v>
      </c>
      <c r="E2151">
        <v>21</v>
      </c>
      <c r="F2151">
        <v>2</v>
      </c>
    </row>
    <row r="2152" spans="1:6" x14ac:dyDescent="0.25">
      <c r="A2152" t="s">
        <v>3424</v>
      </c>
      <c r="B2152" t="s">
        <v>3425</v>
      </c>
      <c r="C2152" t="s">
        <v>3426</v>
      </c>
      <c r="D2152" s="2">
        <v>45835</v>
      </c>
      <c r="E2152">
        <v>28</v>
      </c>
      <c r="F2152">
        <v>1</v>
      </c>
    </row>
    <row r="2153" spans="1:6" x14ac:dyDescent="0.25">
      <c r="A2153" t="s">
        <v>3427</v>
      </c>
      <c r="B2153" t="s">
        <v>3425</v>
      </c>
      <c r="C2153" t="s">
        <v>3426</v>
      </c>
      <c r="D2153" s="2">
        <v>45862</v>
      </c>
      <c r="E2153">
        <v>28</v>
      </c>
      <c r="F2153">
        <v>2</v>
      </c>
    </row>
    <row r="2154" spans="1:6" x14ac:dyDescent="0.25">
      <c r="A2154" t="s">
        <v>3428</v>
      </c>
      <c r="B2154" t="s">
        <v>3425</v>
      </c>
      <c r="C2154" t="s">
        <v>3426</v>
      </c>
      <c r="D2154" s="2">
        <v>45889</v>
      </c>
      <c r="E2154">
        <v>28</v>
      </c>
      <c r="F2154">
        <v>3</v>
      </c>
    </row>
    <row r="2155" spans="1:6" x14ac:dyDescent="0.25">
      <c r="A2155" t="s">
        <v>3429</v>
      </c>
      <c r="B2155" t="s">
        <v>3425</v>
      </c>
      <c r="C2155" t="s">
        <v>3426</v>
      </c>
      <c r="D2155" s="2">
        <v>45919</v>
      </c>
      <c r="E2155">
        <v>28</v>
      </c>
      <c r="F2155">
        <v>4</v>
      </c>
    </row>
    <row r="2156" spans="1:6" x14ac:dyDescent="0.25">
      <c r="A2156" t="s">
        <v>3430</v>
      </c>
      <c r="B2156" t="s">
        <v>3425</v>
      </c>
      <c r="C2156" t="s">
        <v>3426</v>
      </c>
      <c r="D2156" s="2">
        <v>45947</v>
      </c>
      <c r="E2156">
        <v>28</v>
      </c>
      <c r="F2156">
        <v>5</v>
      </c>
    </row>
    <row r="2157" spans="1:6" x14ac:dyDescent="0.25">
      <c r="A2157" t="s">
        <v>3431</v>
      </c>
      <c r="B2157" t="s">
        <v>3432</v>
      </c>
      <c r="C2157" t="s">
        <v>3433</v>
      </c>
      <c r="D2157" s="2">
        <v>45953</v>
      </c>
      <c r="E2157">
        <v>28</v>
      </c>
      <c r="F2157">
        <v>1</v>
      </c>
    </row>
    <row r="2158" spans="1:6" x14ac:dyDescent="0.25">
      <c r="A2158" t="s">
        <v>3434</v>
      </c>
      <c r="B2158" t="s">
        <v>3435</v>
      </c>
      <c r="C2158" t="s">
        <v>3436</v>
      </c>
      <c r="D2158" s="2">
        <v>45798</v>
      </c>
      <c r="E2158">
        <v>30</v>
      </c>
      <c r="F2158">
        <v>1</v>
      </c>
    </row>
    <row r="2159" spans="1:6" x14ac:dyDescent="0.25">
      <c r="A2159" t="s">
        <v>3437</v>
      </c>
      <c r="B2159" t="s">
        <v>3438</v>
      </c>
      <c r="C2159" t="s">
        <v>3439</v>
      </c>
      <c r="D2159" s="2">
        <v>45944</v>
      </c>
      <c r="E2159">
        <v>56</v>
      </c>
      <c r="F2159">
        <v>1</v>
      </c>
    </row>
    <row r="2160" spans="1:6" x14ac:dyDescent="0.25">
      <c r="A2160" t="s">
        <v>3440</v>
      </c>
      <c r="B2160" t="s">
        <v>3441</v>
      </c>
      <c r="C2160" t="s">
        <v>3442</v>
      </c>
      <c r="D2160" s="2">
        <v>45786</v>
      </c>
      <c r="E2160">
        <v>28</v>
      </c>
      <c r="F2160">
        <v>1</v>
      </c>
    </row>
    <row r="2161" spans="1:6" x14ac:dyDescent="0.25">
      <c r="A2161" t="s">
        <v>3443</v>
      </c>
      <c r="B2161" t="s">
        <v>3441</v>
      </c>
      <c r="C2161" t="s">
        <v>3442</v>
      </c>
      <c r="D2161" s="2">
        <v>45813</v>
      </c>
      <c r="E2161">
        <v>28</v>
      </c>
      <c r="F2161">
        <v>2</v>
      </c>
    </row>
    <row r="2162" spans="1:6" x14ac:dyDescent="0.25">
      <c r="A2162" t="s">
        <v>3444</v>
      </c>
      <c r="B2162" t="s">
        <v>3445</v>
      </c>
      <c r="C2162" t="s">
        <v>3446</v>
      </c>
      <c r="D2162" s="2">
        <v>45881</v>
      </c>
      <c r="E2162">
        <v>21</v>
      </c>
      <c r="F2162">
        <v>1</v>
      </c>
    </row>
    <row r="2163" spans="1:6" x14ac:dyDescent="0.25">
      <c r="A2163" t="s">
        <v>3447</v>
      </c>
      <c r="B2163" t="s">
        <v>3445</v>
      </c>
      <c r="C2163" t="s">
        <v>3446</v>
      </c>
      <c r="D2163" s="2">
        <v>45899</v>
      </c>
      <c r="E2163">
        <v>21</v>
      </c>
      <c r="F2163">
        <v>2</v>
      </c>
    </row>
    <row r="2164" spans="1:6" x14ac:dyDescent="0.25">
      <c r="A2164" t="s">
        <v>3448</v>
      </c>
      <c r="B2164" t="s">
        <v>3445</v>
      </c>
      <c r="C2164" t="s">
        <v>3446</v>
      </c>
      <c r="D2164" s="2">
        <v>45919</v>
      </c>
      <c r="E2164">
        <v>21</v>
      </c>
      <c r="F2164">
        <v>3</v>
      </c>
    </row>
    <row r="2165" spans="1:6" x14ac:dyDescent="0.25">
      <c r="A2165" t="s">
        <v>3449</v>
      </c>
      <c r="B2165" t="s">
        <v>3450</v>
      </c>
      <c r="C2165" t="s">
        <v>3451</v>
      </c>
      <c r="D2165" s="2">
        <v>45874</v>
      </c>
      <c r="E2165">
        <v>28</v>
      </c>
      <c r="F2165">
        <v>1</v>
      </c>
    </row>
    <row r="2166" spans="1:6" x14ac:dyDescent="0.25">
      <c r="A2166" t="s">
        <v>3452</v>
      </c>
      <c r="B2166" t="s">
        <v>3450</v>
      </c>
      <c r="C2166" t="s">
        <v>3451</v>
      </c>
      <c r="D2166" s="2">
        <v>45901</v>
      </c>
      <c r="E2166">
        <v>28</v>
      </c>
      <c r="F2166">
        <v>2</v>
      </c>
    </row>
    <row r="2167" spans="1:6" x14ac:dyDescent="0.25">
      <c r="A2167" t="s">
        <v>3453</v>
      </c>
      <c r="B2167" t="s">
        <v>3450</v>
      </c>
      <c r="C2167" t="s">
        <v>3451</v>
      </c>
      <c r="D2167" s="2">
        <v>45930</v>
      </c>
      <c r="E2167">
        <v>28</v>
      </c>
      <c r="F2167">
        <v>3</v>
      </c>
    </row>
    <row r="2168" spans="1:6" x14ac:dyDescent="0.25">
      <c r="A2168" t="s">
        <v>3454</v>
      </c>
      <c r="B2168" t="s">
        <v>3450</v>
      </c>
      <c r="C2168" t="s">
        <v>3451</v>
      </c>
      <c r="D2168" s="2">
        <v>45956</v>
      </c>
      <c r="E2168">
        <v>28</v>
      </c>
      <c r="F2168">
        <v>4</v>
      </c>
    </row>
    <row r="2169" spans="1:6" x14ac:dyDescent="0.25">
      <c r="A2169" t="s">
        <v>3455</v>
      </c>
      <c r="B2169" t="s">
        <v>3456</v>
      </c>
      <c r="C2169" t="s">
        <v>3457</v>
      </c>
      <c r="D2169" s="2">
        <v>45899</v>
      </c>
      <c r="E2169">
        <v>28</v>
      </c>
      <c r="F2169">
        <v>1</v>
      </c>
    </row>
    <row r="2170" spans="1:6" x14ac:dyDescent="0.25">
      <c r="A2170" t="s">
        <v>3458</v>
      </c>
      <c r="B2170" t="s">
        <v>3456</v>
      </c>
      <c r="C2170" t="s">
        <v>3457</v>
      </c>
      <c r="D2170" s="2">
        <v>45930</v>
      </c>
      <c r="E2170">
        <v>28</v>
      </c>
      <c r="F2170">
        <v>2</v>
      </c>
    </row>
    <row r="2171" spans="1:6" x14ac:dyDescent="0.25">
      <c r="A2171" t="s">
        <v>3459</v>
      </c>
      <c r="B2171" t="s">
        <v>3456</v>
      </c>
      <c r="C2171" t="s">
        <v>3457</v>
      </c>
      <c r="D2171" s="2">
        <v>45961</v>
      </c>
      <c r="E2171">
        <v>28</v>
      </c>
      <c r="F2171">
        <v>3</v>
      </c>
    </row>
    <row r="2172" spans="1:6" x14ac:dyDescent="0.25">
      <c r="A2172" t="s">
        <v>3460</v>
      </c>
      <c r="B2172" t="s">
        <v>3461</v>
      </c>
      <c r="C2172" t="s">
        <v>3462</v>
      </c>
      <c r="D2172" s="2">
        <v>45941</v>
      </c>
      <c r="E2172">
        <v>21</v>
      </c>
      <c r="F2172">
        <v>1</v>
      </c>
    </row>
    <row r="2173" spans="1:6" x14ac:dyDescent="0.25">
      <c r="A2173" t="s">
        <v>3463</v>
      </c>
      <c r="B2173" t="s">
        <v>3461</v>
      </c>
      <c r="C2173" t="s">
        <v>3462</v>
      </c>
      <c r="D2173" s="2">
        <v>45961</v>
      </c>
      <c r="E2173">
        <v>21</v>
      </c>
      <c r="F2173">
        <v>2</v>
      </c>
    </row>
    <row r="2174" spans="1:6" x14ac:dyDescent="0.25">
      <c r="A2174" t="s">
        <v>3464</v>
      </c>
      <c r="B2174" t="s">
        <v>3465</v>
      </c>
      <c r="C2174" t="s">
        <v>3466</v>
      </c>
      <c r="D2174" s="2">
        <v>45957</v>
      </c>
      <c r="E2174">
        <v>30</v>
      </c>
      <c r="F2174">
        <v>1</v>
      </c>
    </row>
    <row r="2175" spans="1:6" x14ac:dyDescent="0.25">
      <c r="A2175" t="s">
        <v>3467</v>
      </c>
      <c r="B2175" t="s">
        <v>3468</v>
      </c>
      <c r="C2175" t="s">
        <v>3469</v>
      </c>
      <c r="D2175" s="2">
        <v>45799</v>
      </c>
      <c r="E2175">
        <v>21</v>
      </c>
      <c r="F2175">
        <v>1</v>
      </c>
    </row>
    <row r="2176" spans="1:6" x14ac:dyDescent="0.25">
      <c r="A2176" t="s">
        <v>3470</v>
      </c>
      <c r="B2176" t="s">
        <v>3468</v>
      </c>
      <c r="C2176" t="s">
        <v>3469</v>
      </c>
      <c r="D2176" s="2">
        <v>45821</v>
      </c>
      <c r="E2176">
        <v>21</v>
      </c>
      <c r="F2176">
        <v>2</v>
      </c>
    </row>
    <row r="2177" spans="1:6" x14ac:dyDescent="0.25">
      <c r="A2177" t="s">
        <v>3471</v>
      </c>
      <c r="B2177" t="s">
        <v>3468</v>
      </c>
      <c r="C2177" t="s">
        <v>3469</v>
      </c>
      <c r="D2177" s="2">
        <v>45840</v>
      </c>
      <c r="E2177">
        <v>21</v>
      </c>
      <c r="F2177">
        <v>3</v>
      </c>
    </row>
    <row r="2178" spans="1:6" x14ac:dyDescent="0.25">
      <c r="A2178" t="s">
        <v>3472</v>
      </c>
      <c r="B2178" t="s">
        <v>3468</v>
      </c>
      <c r="C2178" t="s">
        <v>3469</v>
      </c>
      <c r="D2178" s="2">
        <v>45862</v>
      </c>
      <c r="E2178">
        <v>21</v>
      </c>
      <c r="F2178">
        <v>4</v>
      </c>
    </row>
    <row r="2179" spans="1:6" x14ac:dyDescent="0.25">
      <c r="A2179" t="s">
        <v>3473</v>
      </c>
      <c r="B2179" t="s">
        <v>3468</v>
      </c>
      <c r="C2179" t="s">
        <v>3469</v>
      </c>
      <c r="D2179" s="2">
        <v>45881</v>
      </c>
      <c r="E2179">
        <v>21</v>
      </c>
      <c r="F2179">
        <v>5</v>
      </c>
    </row>
    <row r="2180" spans="1:6" x14ac:dyDescent="0.25">
      <c r="A2180" t="s">
        <v>3474</v>
      </c>
      <c r="B2180" t="s">
        <v>3468</v>
      </c>
      <c r="C2180" t="s">
        <v>3469</v>
      </c>
      <c r="D2180" s="2">
        <v>45899</v>
      </c>
      <c r="E2180">
        <v>21</v>
      </c>
      <c r="F2180">
        <v>6</v>
      </c>
    </row>
    <row r="2181" spans="1:6" x14ac:dyDescent="0.25">
      <c r="A2181" t="s">
        <v>3475</v>
      </c>
      <c r="B2181" t="s">
        <v>3468</v>
      </c>
      <c r="C2181" t="s">
        <v>3469</v>
      </c>
      <c r="D2181" s="2">
        <v>45923</v>
      </c>
      <c r="E2181">
        <v>21</v>
      </c>
      <c r="F2181">
        <v>7</v>
      </c>
    </row>
    <row r="2182" spans="1:6" x14ac:dyDescent="0.25">
      <c r="A2182" t="s">
        <v>3476</v>
      </c>
      <c r="B2182" t="s">
        <v>3468</v>
      </c>
      <c r="C2182" t="s">
        <v>3469</v>
      </c>
      <c r="D2182" s="2">
        <v>45943</v>
      </c>
      <c r="E2182">
        <v>21</v>
      </c>
      <c r="F2182">
        <v>8</v>
      </c>
    </row>
    <row r="2183" spans="1:6" x14ac:dyDescent="0.25">
      <c r="A2183" t="s">
        <v>3477</v>
      </c>
      <c r="B2183" t="s">
        <v>3478</v>
      </c>
      <c r="C2183" t="s">
        <v>3479</v>
      </c>
      <c r="D2183" s="2">
        <v>45889</v>
      </c>
      <c r="E2183">
        <v>28</v>
      </c>
      <c r="F2183">
        <v>1</v>
      </c>
    </row>
    <row r="2184" spans="1:6" x14ac:dyDescent="0.25">
      <c r="A2184" t="s">
        <v>3480</v>
      </c>
      <c r="B2184" t="s">
        <v>3478</v>
      </c>
      <c r="C2184" t="s">
        <v>3479</v>
      </c>
      <c r="D2184" s="2">
        <v>45919</v>
      </c>
      <c r="E2184">
        <v>28</v>
      </c>
      <c r="F2184">
        <v>2</v>
      </c>
    </row>
    <row r="2185" spans="1:6" x14ac:dyDescent="0.25">
      <c r="A2185" t="s">
        <v>3481</v>
      </c>
      <c r="B2185" t="s">
        <v>3478</v>
      </c>
      <c r="C2185" t="s">
        <v>3479</v>
      </c>
      <c r="D2185" s="2">
        <v>45946</v>
      </c>
      <c r="E2185">
        <v>28</v>
      </c>
      <c r="F2185">
        <v>3</v>
      </c>
    </row>
    <row r="2186" spans="1:6" x14ac:dyDescent="0.25">
      <c r="A2186" t="s">
        <v>3482</v>
      </c>
      <c r="B2186" t="s">
        <v>3483</v>
      </c>
      <c r="C2186" t="s">
        <v>3484</v>
      </c>
      <c r="D2186" s="2">
        <v>45862</v>
      </c>
      <c r="E2186">
        <v>30</v>
      </c>
      <c r="F2186">
        <v>1</v>
      </c>
    </row>
    <row r="2187" spans="1:6" x14ac:dyDescent="0.25">
      <c r="A2187" t="s">
        <v>3485</v>
      </c>
      <c r="B2187" t="s">
        <v>3483</v>
      </c>
      <c r="C2187" t="s">
        <v>3484</v>
      </c>
      <c r="D2187" s="2">
        <v>45890</v>
      </c>
      <c r="E2187">
        <v>30</v>
      </c>
      <c r="F2187">
        <v>2</v>
      </c>
    </row>
    <row r="2188" spans="1:6" x14ac:dyDescent="0.25">
      <c r="A2188" t="s">
        <v>3486</v>
      </c>
      <c r="B2188" t="s">
        <v>3483</v>
      </c>
      <c r="C2188" t="s">
        <v>3484</v>
      </c>
      <c r="D2188" s="2">
        <v>45920</v>
      </c>
      <c r="E2188">
        <v>30</v>
      </c>
      <c r="F2188">
        <v>3</v>
      </c>
    </row>
    <row r="2189" spans="1:6" x14ac:dyDescent="0.25">
      <c r="A2189" t="s">
        <v>3487</v>
      </c>
      <c r="B2189" t="s">
        <v>3483</v>
      </c>
      <c r="C2189" t="s">
        <v>3484</v>
      </c>
      <c r="D2189" s="2">
        <v>45949</v>
      </c>
      <c r="E2189">
        <v>30</v>
      </c>
      <c r="F2189">
        <v>4</v>
      </c>
    </row>
    <row r="2190" spans="1:6" x14ac:dyDescent="0.25">
      <c r="A2190" t="s">
        <v>3488</v>
      </c>
      <c r="B2190" t="s">
        <v>3489</v>
      </c>
      <c r="C2190" t="s">
        <v>3490</v>
      </c>
      <c r="D2190" s="2">
        <v>45802</v>
      </c>
      <c r="E2190">
        <v>21</v>
      </c>
      <c r="F2190">
        <v>1</v>
      </c>
    </row>
    <row r="2191" spans="1:6" x14ac:dyDescent="0.25">
      <c r="A2191" t="s">
        <v>3491</v>
      </c>
      <c r="B2191" t="s">
        <v>3492</v>
      </c>
      <c r="C2191" t="s">
        <v>3493</v>
      </c>
      <c r="D2191" s="2">
        <v>45788</v>
      </c>
      <c r="E2191">
        <v>30</v>
      </c>
      <c r="F2191">
        <v>1</v>
      </c>
    </row>
    <row r="2192" spans="1:6" x14ac:dyDescent="0.25">
      <c r="A2192" t="s">
        <v>3494</v>
      </c>
      <c r="B2192" t="s">
        <v>3492</v>
      </c>
      <c r="C2192" t="s">
        <v>3493</v>
      </c>
      <c r="D2192" s="2">
        <v>45817</v>
      </c>
      <c r="E2192">
        <v>30</v>
      </c>
      <c r="F2192">
        <v>2</v>
      </c>
    </row>
    <row r="2193" spans="1:6" x14ac:dyDescent="0.25">
      <c r="A2193" t="s">
        <v>3495</v>
      </c>
      <c r="B2193" t="s">
        <v>3492</v>
      </c>
      <c r="C2193" t="s">
        <v>3493</v>
      </c>
      <c r="D2193" s="2">
        <v>45844</v>
      </c>
      <c r="E2193">
        <v>30</v>
      </c>
      <c r="F2193">
        <v>3</v>
      </c>
    </row>
    <row r="2194" spans="1:6" x14ac:dyDescent="0.25">
      <c r="A2194" t="s">
        <v>3496</v>
      </c>
      <c r="B2194" t="s">
        <v>3492</v>
      </c>
      <c r="C2194" t="s">
        <v>3493</v>
      </c>
      <c r="D2194" s="2">
        <v>45872</v>
      </c>
      <c r="E2194">
        <v>30</v>
      </c>
      <c r="F2194">
        <v>4</v>
      </c>
    </row>
    <row r="2195" spans="1:6" x14ac:dyDescent="0.25">
      <c r="A2195" t="s">
        <v>3497</v>
      </c>
      <c r="B2195" t="s">
        <v>3492</v>
      </c>
      <c r="C2195" t="s">
        <v>3493</v>
      </c>
      <c r="D2195" s="2">
        <v>45899</v>
      </c>
      <c r="E2195">
        <v>30</v>
      </c>
      <c r="F2195">
        <v>5</v>
      </c>
    </row>
    <row r="2196" spans="1:6" x14ac:dyDescent="0.25">
      <c r="A2196" t="s">
        <v>3498</v>
      </c>
      <c r="B2196" t="s">
        <v>3492</v>
      </c>
      <c r="C2196" t="s">
        <v>3493</v>
      </c>
      <c r="D2196" s="2">
        <v>45930</v>
      </c>
      <c r="E2196">
        <v>30</v>
      </c>
      <c r="F2196">
        <v>6</v>
      </c>
    </row>
    <row r="2197" spans="1:6" x14ac:dyDescent="0.25">
      <c r="A2197" t="s">
        <v>3499</v>
      </c>
      <c r="B2197" t="s">
        <v>3500</v>
      </c>
      <c r="C2197" t="s">
        <v>3501</v>
      </c>
      <c r="D2197" s="2">
        <v>45832</v>
      </c>
      <c r="E2197">
        <v>28</v>
      </c>
      <c r="F2197">
        <v>1</v>
      </c>
    </row>
    <row r="2198" spans="1:6" x14ac:dyDescent="0.25">
      <c r="A2198" t="s">
        <v>3502</v>
      </c>
      <c r="B2198" t="s">
        <v>3500</v>
      </c>
      <c r="C2198" t="s">
        <v>3501</v>
      </c>
      <c r="D2198" s="2">
        <v>45861</v>
      </c>
      <c r="E2198">
        <v>28</v>
      </c>
      <c r="F2198">
        <v>2</v>
      </c>
    </row>
    <row r="2199" spans="1:6" x14ac:dyDescent="0.25">
      <c r="A2199" t="s">
        <v>3503</v>
      </c>
      <c r="B2199" t="s">
        <v>3500</v>
      </c>
      <c r="C2199" t="s">
        <v>3501</v>
      </c>
      <c r="D2199" s="2">
        <v>45887</v>
      </c>
      <c r="E2199">
        <v>28</v>
      </c>
      <c r="F2199">
        <v>3</v>
      </c>
    </row>
    <row r="2200" spans="1:6" x14ac:dyDescent="0.25">
      <c r="A2200" t="s">
        <v>3504</v>
      </c>
      <c r="B2200" t="s">
        <v>3500</v>
      </c>
      <c r="C2200" t="s">
        <v>3501</v>
      </c>
      <c r="D2200" s="2">
        <v>45915</v>
      </c>
      <c r="E2200">
        <v>28</v>
      </c>
      <c r="F2200">
        <v>4</v>
      </c>
    </row>
    <row r="2201" spans="1:6" x14ac:dyDescent="0.25">
      <c r="A2201" t="s">
        <v>3505</v>
      </c>
      <c r="B2201" t="s">
        <v>3500</v>
      </c>
      <c r="C2201" t="s">
        <v>3501</v>
      </c>
      <c r="D2201" s="2">
        <v>45946</v>
      </c>
      <c r="E2201">
        <v>28</v>
      </c>
      <c r="F2201">
        <v>5</v>
      </c>
    </row>
    <row r="2202" spans="1:6" x14ac:dyDescent="0.25">
      <c r="A2202" t="s">
        <v>3506</v>
      </c>
      <c r="B2202" t="s">
        <v>3507</v>
      </c>
      <c r="C2202" t="s">
        <v>3508</v>
      </c>
      <c r="D2202" s="2">
        <v>45923</v>
      </c>
      <c r="E2202">
        <v>28</v>
      </c>
      <c r="F2202">
        <v>1</v>
      </c>
    </row>
    <row r="2203" spans="1:6" x14ac:dyDescent="0.25">
      <c r="A2203" t="s">
        <v>3509</v>
      </c>
      <c r="B2203" t="s">
        <v>3507</v>
      </c>
      <c r="C2203" t="s">
        <v>3508</v>
      </c>
      <c r="D2203" s="2">
        <v>45950</v>
      </c>
      <c r="E2203">
        <v>28</v>
      </c>
      <c r="F2203">
        <v>2</v>
      </c>
    </row>
    <row r="2204" spans="1:6" x14ac:dyDescent="0.25">
      <c r="A2204" t="s">
        <v>3510</v>
      </c>
      <c r="B2204" t="s">
        <v>3511</v>
      </c>
      <c r="C2204" t="s">
        <v>3512</v>
      </c>
      <c r="D2204" s="2">
        <v>45847</v>
      </c>
      <c r="E2204">
        <v>21</v>
      </c>
      <c r="F2204">
        <v>1</v>
      </c>
    </row>
    <row r="2205" spans="1:6" x14ac:dyDescent="0.25">
      <c r="A2205" t="s">
        <v>3513</v>
      </c>
      <c r="B2205" t="s">
        <v>3511</v>
      </c>
      <c r="C2205" t="s">
        <v>3512</v>
      </c>
      <c r="D2205" s="2">
        <v>45865</v>
      </c>
      <c r="E2205">
        <v>21</v>
      </c>
      <c r="F2205">
        <v>2</v>
      </c>
    </row>
    <row r="2206" spans="1:6" x14ac:dyDescent="0.25">
      <c r="A2206" t="s">
        <v>3514</v>
      </c>
      <c r="B2206" t="s">
        <v>3511</v>
      </c>
      <c r="C2206" t="s">
        <v>3512</v>
      </c>
      <c r="D2206" s="2">
        <v>45887</v>
      </c>
      <c r="E2206">
        <v>21</v>
      </c>
      <c r="F2206">
        <v>3</v>
      </c>
    </row>
    <row r="2207" spans="1:6" x14ac:dyDescent="0.25">
      <c r="A2207" t="s">
        <v>3515</v>
      </c>
      <c r="B2207" t="s">
        <v>3511</v>
      </c>
      <c r="C2207" t="s">
        <v>3512</v>
      </c>
      <c r="D2207" s="2">
        <v>45906</v>
      </c>
      <c r="E2207">
        <v>21</v>
      </c>
      <c r="F2207">
        <v>4</v>
      </c>
    </row>
    <row r="2208" spans="1:6" x14ac:dyDescent="0.25">
      <c r="A2208" t="s">
        <v>3516</v>
      </c>
      <c r="B2208" t="s">
        <v>3511</v>
      </c>
      <c r="C2208" t="s">
        <v>3512</v>
      </c>
      <c r="D2208" s="2">
        <v>45929</v>
      </c>
      <c r="E2208">
        <v>21</v>
      </c>
      <c r="F2208">
        <v>5</v>
      </c>
    </row>
    <row r="2209" spans="1:6" x14ac:dyDescent="0.25">
      <c r="A2209" t="s">
        <v>3517</v>
      </c>
      <c r="B2209" t="s">
        <v>3511</v>
      </c>
      <c r="C2209" t="s">
        <v>3512</v>
      </c>
      <c r="D2209" s="2">
        <v>45950</v>
      </c>
      <c r="E2209">
        <v>21</v>
      </c>
      <c r="F2209">
        <v>6</v>
      </c>
    </row>
    <row r="2210" spans="1:6" x14ac:dyDescent="0.25">
      <c r="A2210" t="s">
        <v>3518</v>
      </c>
      <c r="B2210" t="s">
        <v>3519</v>
      </c>
      <c r="C2210" t="s">
        <v>3520</v>
      </c>
      <c r="D2210" s="2">
        <v>45797</v>
      </c>
      <c r="E2210">
        <v>30</v>
      </c>
      <c r="F2210">
        <v>1</v>
      </c>
    </row>
    <row r="2211" spans="1:6" x14ac:dyDescent="0.25">
      <c r="A2211" t="s">
        <v>3521</v>
      </c>
      <c r="B2211" t="s">
        <v>3519</v>
      </c>
      <c r="C2211" t="s">
        <v>3520</v>
      </c>
      <c r="D2211" s="2">
        <v>45824</v>
      </c>
      <c r="E2211">
        <v>30</v>
      </c>
      <c r="F2211">
        <v>2</v>
      </c>
    </row>
    <row r="2212" spans="1:6" x14ac:dyDescent="0.25">
      <c r="A2212" t="s">
        <v>3522</v>
      </c>
      <c r="B2212" t="s">
        <v>3523</v>
      </c>
      <c r="C2212" t="s">
        <v>3524</v>
      </c>
      <c r="D2212" s="2">
        <v>45849</v>
      </c>
      <c r="E2212">
        <v>21</v>
      </c>
      <c r="F2212">
        <v>1</v>
      </c>
    </row>
    <row r="2213" spans="1:6" x14ac:dyDescent="0.25">
      <c r="A2213" t="s">
        <v>3525</v>
      </c>
      <c r="B2213" t="s">
        <v>3523</v>
      </c>
      <c r="C2213" t="s">
        <v>3524</v>
      </c>
      <c r="D2213" s="2">
        <v>45867</v>
      </c>
      <c r="E2213">
        <v>21</v>
      </c>
      <c r="F2213">
        <v>2</v>
      </c>
    </row>
    <row r="2214" spans="1:6" x14ac:dyDescent="0.25">
      <c r="A2214" t="s">
        <v>3526</v>
      </c>
      <c r="B2214" t="s">
        <v>3523</v>
      </c>
      <c r="C2214" t="s">
        <v>3524</v>
      </c>
      <c r="D2214" s="2">
        <v>45891</v>
      </c>
      <c r="E2214">
        <v>21</v>
      </c>
      <c r="F2214">
        <v>3</v>
      </c>
    </row>
    <row r="2215" spans="1:6" x14ac:dyDescent="0.25">
      <c r="A2215" t="s">
        <v>3527</v>
      </c>
      <c r="B2215" t="s">
        <v>3523</v>
      </c>
      <c r="C2215" t="s">
        <v>3524</v>
      </c>
      <c r="D2215" s="2">
        <v>45915</v>
      </c>
      <c r="E2215">
        <v>21</v>
      </c>
      <c r="F2215">
        <v>4</v>
      </c>
    </row>
    <row r="2216" spans="1:6" x14ac:dyDescent="0.25">
      <c r="A2216" t="s">
        <v>3528</v>
      </c>
      <c r="B2216" t="s">
        <v>3523</v>
      </c>
      <c r="C2216" t="s">
        <v>3524</v>
      </c>
      <c r="D2216" s="2">
        <v>45935</v>
      </c>
      <c r="E2216">
        <v>21</v>
      </c>
      <c r="F2216">
        <v>5</v>
      </c>
    </row>
    <row r="2217" spans="1:6" x14ac:dyDescent="0.25">
      <c r="A2217" t="s">
        <v>3529</v>
      </c>
      <c r="B2217" t="s">
        <v>3523</v>
      </c>
      <c r="C2217" t="s">
        <v>3524</v>
      </c>
      <c r="D2217" s="2">
        <v>45953</v>
      </c>
      <c r="E2217">
        <v>21</v>
      </c>
      <c r="F2217">
        <v>6</v>
      </c>
    </row>
    <row r="2218" spans="1:6" x14ac:dyDescent="0.25">
      <c r="A2218" t="s">
        <v>3530</v>
      </c>
      <c r="B2218" t="s">
        <v>3531</v>
      </c>
      <c r="C2218" t="s">
        <v>3532</v>
      </c>
      <c r="D2218" s="2">
        <v>45922</v>
      </c>
      <c r="E2218">
        <v>28</v>
      </c>
      <c r="F2218">
        <v>1</v>
      </c>
    </row>
    <row r="2219" spans="1:6" x14ac:dyDescent="0.25">
      <c r="A2219" t="s">
        <v>3533</v>
      </c>
      <c r="B2219" t="s">
        <v>3531</v>
      </c>
      <c r="C2219" t="s">
        <v>3532</v>
      </c>
      <c r="D2219" s="2">
        <v>45952</v>
      </c>
      <c r="E2219">
        <v>28</v>
      </c>
      <c r="F2219">
        <v>2</v>
      </c>
    </row>
    <row r="2220" spans="1:6" x14ac:dyDescent="0.25">
      <c r="A2220" t="s">
        <v>3534</v>
      </c>
      <c r="B2220" t="s">
        <v>3535</v>
      </c>
      <c r="C2220" t="s">
        <v>3536</v>
      </c>
      <c r="D2220" s="2">
        <v>45786</v>
      </c>
      <c r="E2220">
        <v>28</v>
      </c>
      <c r="F2220">
        <v>1</v>
      </c>
    </row>
    <row r="2221" spans="1:6" x14ac:dyDescent="0.25">
      <c r="A2221" t="s">
        <v>3537</v>
      </c>
      <c r="B2221" t="s">
        <v>3535</v>
      </c>
      <c r="C2221" t="s">
        <v>3536</v>
      </c>
      <c r="D2221" s="2">
        <v>45817</v>
      </c>
      <c r="E2221">
        <v>28</v>
      </c>
      <c r="F2221">
        <v>2</v>
      </c>
    </row>
    <row r="2222" spans="1:6" x14ac:dyDescent="0.25">
      <c r="A2222" t="s">
        <v>3538</v>
      </c>
      <c r="B2222" t="s">
        <v>3535</v>
      </c>
      <c r="C2222" t="s">
        <v>3536</v>
      </c>
      <c r="D2222" s="2">
        <v>45847</v>
      </c>
      <c r="E2222">
        <v>28</v>
      </c>
      <c r="F2222">
        <v>3</v>
      </c>
    </row>
    <row r="2223" spans="1:6" x14ac:dyDescent="0.25">
      <c r="A2223" t="s">
        <v>3539</v>
      </c>
      <c r="B2223" t="s">
        <v>3535</v>
      </c>
      <c r="C2223" t="s">
        <v>3536</v>
      </c>
      <c r="D2223" s="2">
        <v>45873</v>
      </c>
      <c r="E2223">
        <v>28</v>
      </c>
      <c r="F2223">
        <v>4</v>
      </c>
    </row>
    <row r="2224" spans="1:6" x14ac:dyDescent="0.25">
      <c r="A2224" t="s">
        <v>3540</v>
      </c>
      <c r="B2224" t="s">
        <v>3535</v>
      </c>
      <c r="C2224" t="s">
        <v>3536</v>
      </c>
      <c r="D2224" s="2">
        <v>45899</v>
      </c>
      <c r="E2224">
        <v>28</v>
      </c>
      <c r="F2224">
        <v>5</v>
      </c>
    </row>
    <row r="2225" spans="1:6" x14ac:dyDescent="0.25">
      <c r="A2225" t="s">
        <v>3541</v>
      </c>
      <c r="B2225" t="s">
        <v>3535</v>
      </c>
      <c r="C2225" t="s">
        <v>3536</v>
      </c>
      <c r="D2225" s="2">
        <v>45926</v>
      </c>
      <c r="E2225">
        <v>28</v>
      </c>
      <c r="F2225">
        <v>6</v>
      </c>
    </row>
    <row r="2226" spans="1:6" x14ac:dyDescent="0.25">
      <c r="A2226" t="s">
        <v>3542</v>
      </c>
      <c r="B2226" t="s">
        <v>3535</v>
      </c>
      <c r="C2226" t="s">
        <v>3536</v>
      </c>
      <c r="D2226" s="2">
        <v>45955</v>
      </c>
      <c r="E2226">
        <v>28</v>
      </c>
      <c r="F2226">
        <v>7</v>
      </c>
    </row>
    <row r="2227" spans="1:6" x14ac:dyDescent="0.25">
      <c r="A2227" t="s">
        <v>3543</v>
      </c>
      <c r="B2227" t="s">
        <v>3544</v>
      </c>
      <c r="C2227" t="s">
        <v>3545</v>
      </c>
      <c r="D2227" s="2">
        <v>45858</v>
      </c>
      <c r="E2227">
        <v>30</v>
      </c>
      <c r="F2227">
        <v>1</v>
      </c>
    </row>
    <row r="2228" spans="1:6" x14ac:dyDescent="0.25">
      <c r="A2228" t="s">
        <v>3546</v>
      </c>
      <c r="B2228" t="s">
        <v>3544</v>
      </c>
      <c r="C2228" t="s">
        <v>3545</v>
      </c>
      <c r="D2228" s="2">
        <v>45890</v>
      </c>
      <c r="E2228">
        <v>30</v>
      </c>
      <c r="F2228">
        <v>2</v>
      </c>
    </row>
    <row r="2229" spans="1:6" x14ac:dyDescent="0.25">
      <c r="A2229" t="s">
        <v>3547</v>
      </c>
      <c r="B2229" t="s">
        <v>3544</v>
      </c>
      <c r="C2229" t="s">
        <v>3545</v>
      </c>
      <c r="D2229" s="2">
        <v>45919</v>
      </c>
      <c r="E2229">
        <v>30</v>
      </c>
      <c r="F2229">
        <v>3</v>
      </c>
    </row>
    <row r="2230" spans="1:6" x14ac:dyDescent="0.25">
      <c r="A2230" t="s">
        <v>3548</v>
      </c>
      <c r="B2230" t="s">
        <v>3544</v>
      </c>
      <c r="C2230" t="s">
        <v>3545</v>
      </c>
      <c r="D2230" s="2">
        <v>45947</v>
      </c>
      <c r="E2230">
        <v>30</v>
      </c>
      <c r="F2230">
        <v>4</v>
      </c>
    </row>
    <row r="2231" spans="1:6" x14ac:dyDescent="0.25">
      <c r="A2231" t="s">
        <v>3549</v>
      </c>
      <c r="B2231" t="s">
        <v>3550</v>
      </c>
      <c r="C2231" t="s">
        <v>3551</v>
      </c>
      <c r="D2231" s="2">
        <v>45831</v>
      </c>
      <c r="E2231">
        <v>21</v>
      </c>
      <c r="F2231">
        <v>1</v>
      </c>
    </row>
    <row r="2232" spans="1:6" x14ac:dyDescent="0.25">
      <c r="A2232" t="s">
        <v>3552</v>
      </c>
      <c r="B2232" t="s">
        <v>3550</v>
      </c>
      <c r="C2232" t="s">
        <v>3551</v>
      </c>
      <c r="D2232" s="2">
        <v>45853</v>
      </c>
      <c r="E2232">
        <v>21</v>
      </c>
      <c r="F2232">
        <v>2</v>
      </c>
    </row>
    <row r="2233" spans="1:6" x14ac:dyDescent="0.25">
      <c r="A2233" t="s">
        <v>3553</v>
      </c>
      <c r="B2233" t="s">
        <v>3550</v>
      </c>
      <c r="C2233" t="s">
        <v>3551</v>
      </c>
      <c r="D2233" s="2">
        <v>45875</v>
      </c>
      <c r="E2233">
        <v>21</v>
      </c>
      <c r="F2233">
        <v>3</v>
      </c>
    </row>
    <row r="2234" spans="1:6" x14ac:dyDescent="0.25">
      <c r="A2234" t="s">
        <v>3554</v>
      </c>
      <c r="B2234" t="s">
        <v>3550</v>
      </c>
      <c r="C2234" t="s">
        <v>3551</v>
      </c>
      <c r="D2234" s="2">
        <v>45894</v>
      </c>
      <c r="E2234">
        <v>21</v>
      </c>
      <c r="F2234">
        <v>4</v>
      </c>
    </row>
    <row r="2235" spans="1:6" x14ac:dyDescent="0.25">
      <c r="A2235" t="s">
        <v>3555</v>
      </c>
      <c r="B2235" t="s">
        <v>3550</v>
      </c>
      <c r="C2235" t="s">
        <v>3551</v>
      </c>
      <c r="D2235" s="2">
        <v>45914</v>
      </c>
      <c r="E2235">
        <v>21</v>
      </c>
      <c r="F2235">
        <v>5</v>
      </c>
    </row>
    <row r="2236" spans="1:6" x14ac:dyDescent="0.25">
      <c r="A2236" t="s">
        <v>3556</v>
      </c>
      <c r="B2236" t="s">
        <v>3550</v>
      </c>
      <c r="C2236" t="s">
        <v>3551</v>
      </c>
      <c r="D2236" s="2">
        <v>45934</v>
      </c>
      <c r="E2236">
        <v>21</v>
      </c>
      <c r="F2236">
        <v>6</v>
      </c>
    </row>
    <row r="2237" spans="1:6" x14ac:dyDescent="0.25">
      <c r="A2237" t="s">
        <v>3557</v>
      </c>
      <c r="B2237" t="s">
        <v>3550</v>
      </c>
      <c r="C2237" t="s">
        <v>3551</v>
      </c>
      <c r="D2237" s="2">
        <v>45953</v>
      </c>
      <c r="E2237">
        <v>21</v>
      </c>
      <c r="F2237">
        <v>7</v>
      </c>
    </row>
    <row r="2238" spans="1:6" x14ac:dyDescent="0.25">
      <c r="A2238" t="s">
        <v>3558</v>
      </c>
      <c r="B2238" t="s">
        <v>3559</v>
      </c>
      <c r="C2238" t="s">
        <v>3560</v>
      </c>
      <c r="D2238" s="2">
        <v>45814</v>
      </c>
      <c r="E2238">
        <v>30</v>
      </c>
      <c r="F2238">
        <v>1</v>
      </c>
    </row>
    <row r="2239" spans="1:6" x14ac:dyDescent="0.25">
      <c r="A2239" t="s">
        <v>3561</v>
      </c>
      <c r="B2239" t="s">
        <v>3559</v>
      </c>
      <c r="C2239" t="s">
        <v>3560</v>
      </c>
      <c r="D2239" s="2">
        <v>45845</v>
      </c>
      <c r="E2239">
        <v>30</v>
      </c>
      <c r="F2239">
        <v>2</v>
      </c>
    </row>
    <row r="2240" spans="1:6" x14ac:dyDescent="0.25">
      <c r="A2240" t="s">
        <v>3562</v>
      </c>
      <c r="B2240" t="s">
        <v>3563</v>
      </c>
      <c r="C2240" t="s">
        <v>3564</v>
      </c>
      <c r="D2240" s="2">
        <v>45960</v>
      </c>
      <c r="E2240">
        <v>28</v>
      </c>
      <c r="F2240">
        <v>1</v>
      </c>
    </row>
    <row r="2241" spans="1:6" x14ac:dyDescent="0.25">
      <c r="A2241" t="s">
        <v>3565</v>
      </c>
      <c r="B2241" t="s">
        <v>3566</v>
      </c>
      <c r="C2241" t="s">
        <v>3567</v>
      </c>
      <c r="D2241" s="2">
        <v>45879</v>
      </c>
      <c r="E2241">
        <v>28</v>
      </c>
      <c r="F2241">
        <v>1</v>
      </c>
    </row>
    <row r="2242" spans="1:6" x14ac:dyDescent="0.25">
      <c r="A2242" t="s">
        <v>3568</v>
      </c>
      <c r="B2242" t="s">
        <v>3566</v>
      </c>
      <c r="C2242" t="s">
        <v>3567</v>
      </c>
      <c r="D2242" s="2">
        <v>45906</v>
      </c>
      <c r="E2242">
        <v>28</v>
      </c>
      <c r="F2242">
        <v>2</v>
      </c>
    </row>
    <row r="2243" spans="1:6" x14ac:dyDescent="0.25">
      <c r="A2243" t="s">
        <v>3569</v>
      </c>
      <c r="B2243" t="s">
        <v>3566</v>
      </c>
      <c r="C2243" t="s">
        <v>3567</v>
      </c>
      <c r="D2243" s="2">
        <v>45934</v>
      </c>
      <c r="E2243">
        <v>28</v>
      </c>
      <c r="F2243">
        <v>3</v>
      </c>
    </row>
    <row r="2244" spans="1:6" x14ac:dyDescent="0.25">
      <c r="A2244" t="s">
        <v>3570</v>
      </c>
      <c r="B2244" t="s">
        <v>3566</v>
      </c>
      <c r="C2244" t="s">
        <v>3567</v>
      </c>
      <c r="D2244" s="2">
        <v>45960</v>
      </c>
      <c r="E2244">
        <v>28</v>
      </c>
      <c r="F2244">
        <v>4</v>
      </c>
    </row>
    <row r="2245" spans="1:6" x14ac:dyDescent="0.25">
      <c r="A2245" t="s">
        <v>3571</v>
      </c>
      <c r="B2245" t="s">
        <v>3572</v>
      </c>
      <c r="C2245" t="s">
        <v>3573</v>
      </c>
      <c r="D2245" s="2">
        <v>45854</v>
      </c>
      <c r="E2245">
        <v>30</v>
      </c>
      <c r="F2245">
        <v>1</v>
      </c>
    </row>
    <row r="2246" spans="1:6" x14ac:dyDescent="0.25">
      <c r="A2246" t="s">
        <v>3574</v>
      </c>
      <c r="B2246" t="s">
        <v>3572</v>
      </c>
      <c r="C2246" t="s">
        <v>3573</v>
      </c>
      <c r="D2246" s="2">
        <v>45886</v>
      </c>
      <c r="E2246">
        <v>30</v>
      </c>
      <c r="F2246">
        <v>2</v>
      </c>
    </row>
    <row r="2247" spans="1:6" x14ac:dyDescent="0.25">
      <c r="A2247" t="s">
        <v>3575</v>
      </c>
      <c r="B2247" t="s">
        <v>3572</v>
      </c>
      <c r="C2247" t="s">
        <v>3573</v>
      </c>
      <c r="D2247" s="2">
        <v>45913</v>
      </c>
      <c r="E2247">
        <v>30</v>
      </c>
      <c r="F2247">
        <v>3</v>
      </c>
    </row>
    <row r="2248" spans="1:6" x14ac:dyDescent="0.25">
      <c r="A2248" t="s">
        <v>3576</v>
      </c>
      <c r="B2248" t="s">
        <v>3572</v>
      </c>
      <c r="C2248" t="s">
        <v>3573</v>
      </c>
      <c r="D2248" s="2">
        <v>45940</v>
      </c>
      <c r="E2248">
        <v>30</v>
      </c>
      <c r="F2248">
        <v>4</v>
      </c>
    </row>
    <row r="2249" spans="1:6" x14ac:dyDescent="0.25">
      <c r="A2249" t="s">
        <v>3577</v>
      </c>
      <c r="B2249" t="s">
        <v>3578</v>
      </c>
      <c r="C2249" t="s">
        <v>3579</v>
      </c>
      <c r="D2249" s="2">
        <v>45922</v>
      </c>
      <c r="E2249">
        <v>30</v>
      </c>
      <c r="F2249">
        <v>1</v>
      </c>
    </row>
    <row r="2250" spans="1:6" x14ac:dyDescent="0.25">
      <c r="A2250" t="s">
        <v>3580</v>
      </c>
      <c r="B2250" t="s">
        <v>3578</v>
      </c>
      <c r="C2250" t="s">
        <v>3579</v>
      </c>
      <c r="D2250" s="2">
        <v>45950</v>
      </c>
      <c r="E2250">
        <v>30</v>
      </c>
      <c r="F2250">
        <v>2</v>
      </c>
    </row>
    <row r="2251" spans="1:6" x14ac:dyDescent="0.25">
      <c r="A2251" t="s">
        <v>3581</v>
      </c>
      <c r="B2251" t="s">
        <v>3582</v>
      </c>
      <c r="C2251" t="s">
        <v>3583</v>
      </c>
      <c r="D2251" s="2">
        <v>45923</v>
      </c>
      <c r="E2251">
        <v>28</v>
      </c>
      <c r="F2251">
        <v>1</v>
      </c>
    </row>
    <row r="2252" spans="1:6" x14ac:dyDescent="0.25">
      <c r="A2252" t="s">
        <v>3584</v>
      </c>
      <c r="B2252" t="s">
        <v>3582</v>
      </c>
      <c r="C2252" t="s">
        <v>3583</v>
      </c>
      <c r="D2252" s="2">
        <v>45952</v>
      </c>
      <c r="E2252">
        <v>28</v>
      </c>
      <c r="F2252">
        <v>2</v>
      </c>
    </row>
    <row r="2253" spans="1:6" x14ac:dyDescent="0.25">
      <c r="A2253" t="s">
        <v>3585</v>
      </c>
      <c r="B2253" t="s">
        <v>3586</v>
      </c>
      <c r="C2253" t="s">
        <v>3587</v>
      </c>
      <c r="D2253" s="2">
        <v>45877</v>
      </c>
      <c r="E2253">
        <v>30</v>
      </c>
      <c r="F2253">
        <v>1</v>
      </c>
    </row>
    <row r="2254" spans="1:6" x14ac:dyDescent="0.25">
      <c r="A2254" t="s">
        <v>3588</v>
      </c>
      <c r="B2254" t="s">
        <v>3586</v>
      </c>
      <c r="C2254" t="s">
        <v>3587</v>
      </c>
      <c r="D2254" s="2">
        <v>45909</v>
      </c>
      <c r="E2254">
        <v>30</v>
      </c>
      <c r="F2254">
        <v>2</v>
      </c>
    </row>
    <row r="2255" spans="1:6" x14ac:dyDescent="0.25">
      <c r="A2255" t="s">
        <v>3589</v>
      </c>
      <c r="B2255" t="s">
        <v>3586</v>
      </c>
      <c r="C2255" t="s">
        <v>3587</v>
      </c>
      <c r="D2255" s="2">
        <v>45940</v>
      </c>
      <c r="E2255">
        <v>30</v>
      </c>
      <c r="F2255">
        <v>3</v>
      </c>
    </row>
    <row r="2256" spans="1:6" x14ac:dyDescent="0.25">
      <c r="A2256" t="s">
        <v>3590</v>
      </c>
      <c r="B2256" t="s">
        <v>3591</v>
      </c>
      <c r="C2256" t="s">
        <v>3592</v>
      </c>
      <c r="D2256" s="2">
        <v>45916</v>
      </c>
      <c r="E2256">
        <v>30</v>
      </c>
      <c r="F2256">
        <v>1</v>
      </c>
    </row>
    <row r="2257" spans="1:6" x14ac:dyDescent="0.25">
      <c r="A2257" t="s">
        <v>3593</v>
      </c>
      <c r="B2257" t="s">
        <v>3591</v>
      </c>
      <c r="C2257" t="s">
        <v>3592</v>
      </c>
      <c r="D2257" s="2">
        <v>45949</v>
      </c>
      <c r="E2257">
        <v>30</v>
      </c>
      <c r="F2257">
        <v>2</v>
      </c>
    </row>
    <row r="2258" spans="1:6" x14ac:dyDescent="0.25">
      <c r="A2258" t="s">
        <v>3594</v>
      </c>
      <c r="B2258" t="s">
        <v>3595</v>
      </c>
      <c r="C2258" t="s">
        <v>3596</v>
      </c>
      <c r="D2258" s="2">
        <v>45876</v>
      </c>
      <c r="E2258">
        <v>28</v>
      </c>
      <c r="F2258">
        <v>1</v>
      </c>
    </row>
    <row r="2259" spans="1:6" x14ac:dyDescent="0.25">
      <c r="A2259" t="s">
        <v>3597</v>
      </c>
      <c r="B2259" t="s">
        <v>3595</v>
      </c>
      <c r="C2259" t="s">
        <v>3596</v>
      </c>
      <c r="D2259" s="2">
        <v>45906</v>
      </c>
      <c r="E2259">
        <v>28</v>
      </c>
      <c r="F2259">
        <v>2</v>
      </c>
    </row>
    <row r="2260" spans="1:6" x14ac:dyDescent="0.25">
      <c r="A2260" t="s">
        <v>3598</v>
      </c>
      <c r="B2260" t="s">
        <v>3595</v>
      </c>
      <c r="C2260" t="s">
        <v>3596</v>
      </c>
      <c r="D2260" s="2">
        <v>45935</v>
      </c>
      <c r="E2260">
        <v>28</v>
      </c>
      <c r="F2260">
        <v>3</v>
      </c>
    </row>
    <row r="2261" spans="1:6" x14ac:dyDescent="0.25">
      <c r="A2261" t="s">
        <v>3599</v>
      </c>
      <c r="B2261" t="s">
        <v>3600</v>
      </c>
      <c r="C2261" t="s">
        <v>3601</v>
      </c>
      <c r="D2261" s="2">
        <v>45813</v>
      </c>
      <c r="E2261">
        <v>28</v>
      </c>
      <c r="F2261">
        <v>1</v>
      </c>
    </row>
    <row r="2262" spans="1:6" x14ac:dyDescent="0.25">
      <c r="A2262" t="s">
        <v>3602</v>
      </c>
      <c r="B2262" t="s">
        <v>3600</v>
      </c>
      <c r="C2262" t="s">
        <v>3601</v>
      </c>
      <c r="D2262" s="2">
        <v>45841</v>
      </c>
      <c r="E2262">
        <v>28</v>
      </c>
      <c r="F2262">
        <v>2</v>
      </c>
    </row>
    <row r="2263" spans="1:6" x14ac:dyDescent="0.25">
      <c r="A2263" t="s">
        <v>3603</v>
      </c>
      <c r="B2263" t="s">
        <v>3600</v>
      </c>
      <c r="C2263" t="s">
        <v>3601</v>
      </c>
      <c r="D2263" s="2">
        <v>45867</v>
      </c>
      <c r="E2263">
        <v>28</v>
      </c>
      <c r="F2263">
        <v>3</v>
      </c>
    </row>
    <row r="2264" spans="1:6" x14ac:dyDescent="0.25">
      <c r="A2264" t="s">
        <v>3604</v>
      </c>
      <c r="B2264" t="s">
        <v>3600</v>
      </c>
      <c r="C2264" t="s">
        <v>3601</v>
      </c>
      <c r="D2264" s="2">
        <v>45898</v>
      </c>
      <c r="E2264">
        <v>28</v>
      </c>
      <c r="F2264">
        <v>4</v>
      </c>
    </row>
    <row r="2265" spans="1:6" x14ac:dyDescent="0.25">
      <c r="A2265" t="s">
        <v>3605</v>
      </c>
      <c r="B2265" t="s">
        <v>3600</v>
      </c>
      <c r="C2265" t="s">
        <v>3601</v>
      </c>
      <c r="D2265" s="2">
        <v>45928</v>
      </c>
      <c r="E2265">
        <v>28</v>
      </c>
      <c r="F2265">
        <v>5</v>
      </c>
    </row>
    <row r="2266" spans="1:6" x14ac:dyDescent="0.25">
      <c r="A2266" t="s">
        <v>3606</v>
      </c>
      <c r="B2266" t="s">
        <v>3600</v>
      </c>
      <c r="C2266" t="s">
        <v>3601</v>
      </c>
      <c r="D2266" s="2">
        <v>45953</v>
      </c>
      <c r="E2266">
        <v>28</v>
      </c>
      <c r="F2266">
        <v>6</v>
      </c>
    </row>
    <row r="2267" spans="1:6" x14ac:dyDescent="0.25">
      <c r="A2267" t="s">
        <v>3607</v>
      </c>
      <c r="B2267" t="s">
        <v>3608</v>
      </c>
      <c r="C2267" t="s">
        <v>3609</v>
      </c>
      <c r="D2267" s="2">
        <v>45954</v>
      </c>
      <c r="E2267">
        <v>28</v>
      </c>
      <c r="F2267">
        <v>1</v>
      </c>
    </row>
    <row r="2268" spans="1:6" x14ac:dyDescent="0.25">
      <c r="A2268" t="s">
        <v>3610</v>
      </c>
      <c r="B2268" t="s">
        <v>3611</v>
      </c>
      <c r="C2268" t="s">
        <v>3612</v>
      </c>
      <c r="D2268" s="2">
        <v>45798</v>
      </c>
      <c r="E2268">
        <v>30</v>
      </c>
      <c r="F2268">
        <v>1</v>
      </c>
    </row>
    <row r="2269" spans="1:6" x14ac:dyDescent="0.25">
      <c r="A2269" t="s">
        <v>3613</v>
      </c>
      <c r="B2269" t="s">
        <v>3611</v>
      </c>
      <c r="C2269" t="s">
        <v>3612</v>
      </c>
      <c r="D2269" s="2">
        <v>45828</v>
      </c>
      <c r="E2269">
        <v>30</v>
      </c>
      <c r="F2269">
        <v>2</v>
      </c>
    </row>
    <row r="2270" spans="1:6" x14ac:dyDescent="0.25">
      <c r="A2270" t="s">
        <v>3614</v>
      </c>
      <c r="B2270" t="s">
        <v>3611</v>
      </c>
      <c r="C2270" t="s">
        <v>3612</v>
      </c>
      <c r="D2270" s="2">
        <v>45856</v>
      </c>
      <c r="E2270">
        <v>30</v>
      </c>
      <c r="F2270">
        <v>3</v>
      </c>
    </row>
    <row r="2271" spans="1:6" x14ac:dyDescent="0.25">
      <c r="A2271" t="s">
        <v>3615</v>
      </c>
      <c r="B2271" t="s">
        <v>3611</v>
      </c>
      <c r="C2271" t="s">
        <v>3612</v>
      </c>
      <c r="D2271" s="2">
        <v>45884</v>
      </c>
      <c r="E2271">
        <v>30</v>
      </c>
      <c r="F2271">
        <v>4</v>
      </c>
    </row>
    <row r="2272" spans="1:6" x14ac:dyDescent="0.25">
      <c r="A2272" t="s">
        <v>3616</v>
      </c>
      <c r="B2272" t="s">
        <v>3611</v>
      </c>
      <c r="C2272" t="s">
        <v>3612</v>
      </c>
      <c r="D2272" s="2">
        <v>45917</v>
      </c>
      <c r="E2272">
        <v>30</v>
      </c>
      <c r="F2272">
        <v>5</v>
      </c>
    </row>
    <row r="2273" spans="1:6" x14ac:dyDescent="0.25">
      <c r="A2273" t="s">
        <v>3617</v>
      </c>
      <c r="B2273" t="s">
        <v>3611</v>
      </c>
      <c r="C2273" t="s">
        <v>3612</v>
      </c>
      <c r="D2273" s="2">
        <v>45948</v>
      </c>
      <c r="E2273">
        <v>30</v>
      </c>
      <c r="F2273">
        <v>6</v>
      </c>
    </row>
    <row r="2274" spans="1:6" x14ac:dyDescent="0.25">
      <c r="A2274" t="s">
        <v>3618</v>
      </c>
      <c r="B2274" t="s">
        <v>3619</v>
      </c>
      <c r="C2274" t="s">
        <v>3620</v>
      </c>
      <c r="D2274" s="2">
        <v>45866</v>
      </c>
      <c r="E2274">
        <v>56</v>
      </c>
      <c r="F2274">
        <v>1</v>
      </c>
    </row>
    <row r="2275" spans="1:6" x14ac:dyDescent="0.25">
      <c r="A2275" t="s">
        <v>3621</v>
      </c>
      <c r="B2275" t="s">
        <v>3619</v>
      </c>
      <c r="C2275" t="s">
        <v>3620</v>
      </c>
      <c r="D2275" s="2">
        <v>45920</v>
      </c>
      <c r="E2275">
        <v>56</v>
      </c>
      <c r="F2275">
        <v>2</v>
      </c>
    </row>
    <row r="2276" spans="1:6" x14ac:dyDescent="0.25">
      <c r="A2276" t="s">
        <v>3622</v>
      </c>
      <c r="B2276" t="s">
        <v>3623</v>
      </c>
      <c r="C2276" t="s">
        <v>3624</v>
      </c>
      <c r="D2276" s="2">
        <v>45803</v>
      </c>
      <c r="E2276">
        <v>30</v>
      </c>
      <c r="F2276">
        <v>1</v>
      </c>
    </row>
    <row r="2277" spans="1:6" x14ac:dyDescent="0.25">
      <c r="A2277" t="s">
        <v>3625</v>
      </c>
      <c r="B2277" t="s">
        <v>3623</v>
      </c>
      <c r="C2277" t="s">
        <v>3624</v>
      </c>
      <c r="D2277" s="2">
        <v>45836</v>
      </c>
      <c r="E2277">
        <v>30</v>
      </c>
      <c r="F2277">
        <v>2</v>
      </c>
    </row>
    <row r="2278" spans="1:6" x14ac:dyDescent="0.25">
      <c r="A2278" t="s">
        <v>3626</v>
      </c>
      <c r="B2278" t="s">
        <v>3623</v>
      </c>
      <c r="C2278" t="s">
        <v>3624</v>
      </c>
      <c r="D2278" s="2">
        <v>45865</v>
      </c>
      <c r="E2278">
        <v>30</v>
      </c>
      <c r="F2278">
        <v>3</v>
      </c>
    </row>
    <row r="2279" spans="1:6" x14ac:dyDescent="0.25">
      <c r="A2279" t="s">
        <v>3627</v>
      </c>
      <c r="B2279" t="s">
        <v>3623</v>
      </c>
      <c r="C2279" t="s">
        <v>3624</v>
      </c>
      <c r="D2279" s="2">
        <v>45895</v>
      </c>
      <c r="E2279">
        <v>30</v>
      </c>
      <c r="F2279">
        <v>4</v>
      </c>
    </row>
    <row r="2280" spans="1:6" x14ac:dyDescent="0.25">
      <c r="A2280" t="s">
        <v>3628</v>
      </c>
      <c r="B2280" t="s">
        <v>3623</v>
      </c>
      <c r="C2280" t="s">
        <v>3624</v>
      </c>
      <c r="D2280" s="2">
        <v>45922</v>
      </c>
      <c r="E2280">
        <v>30</v>
      </c>
      <c r="F2280">
        <v>5</v>
      </c>
    </row>
    <row r="2281" spans="1:6" x14ac:dyDescent="0.25">
      <c r="A2281" t="s">
        <v>3629</v>
      </c>
      <c r="B2281" t="s">
        <v>3623</v>
      </c>
      <c r="C2281" t="s">
        <v>3624</v>
      </c>
      <c r="D2281" s="2">
        <v>45949</v>
      </c>
      <c r="E2281">
        <v>30</v>
      </c>
      <c r="F2281">
        <v>6</v>
      </c>
    </row>
    <row r="2282" spans="1:6" x14ac:dyDescent="0.25">
      <c r="A2282" t="s">
        <v>3630</v>
      </c>
      <c r="B2282" t="s">
        <v>3631</v>
      </c>
      <c r="C2282" t="s">
        <v>3632</v>
      </c>
      <c r="D2282" s="2">
        <v>45837</v>
      </c>
      <c r="E2282">
        <v>21</v>
      </c>
      <c r="F2282">
        <v>1</v>
      </c>
    </row>
    <row r="2283" spans="1:6" x14ac:dyDescent="0.25">
      <c r="A2283" t="s">
        <v>3633</v>
      </c>
      <c r="B2283" t="s">
        <v>3631</v>
      </c>
      <c r="C2283" t="s">
        <v>3632</v>
      </c>
      <c r="D2283" s="2">
        <v>45861</v>
      </c>
      <c r="E2283">
        <v>21</v>
      </c>
      <c r="F2283">
        <v>2</v>
      </c>
    </row>
    <row r="2284" spans="1:6" x14ac:dyDescent="0.25">
      <c r="A2284" t="s">
        <v>3634</v>
      </c>
      <c r="B2284" t="s">
        <v>3631</v>
      </c>
      <c r="C2284" t="s">
        <v>3632</v>
      </c>
      <c r="D2284" s="2">
        <v>45881</v>
      </c>
      <c r="E2284">
        <v>21</v>
      </c>
      <c r="F2284">
        <v>3</v>
      </c>
    </row>
    <row r="2285" spans="1:6" x14ac:dyDescent="0.25">
      <c r="A2285" t="s">
        <v>3635</v>
      </c>
      <c r="B2285" t="s">
        <v>3631</v>
      </c>
      <c r="C2285" t="s">
        <v>3632</v>
      </c>
      <c r="D2285" s="2">
        <v>45901</v>
      </c>
      <c r="E2285">
        <v>21</v>
      </c>
      <c r="F2285">
        <v>4</v>
      </c>
    </row>
    <row r="2286" spans="1:6" x14ac:dyDescent="0.25">
      <c r="A2286" t="s">
        <v>3636</v>
      </c>
      <c r="B2286" t="s">
        <v>3631</v>
      </c>
      <c r="C2286" t="s">
        <v>3632</v>
      </c>
      <c r="D2286" s="2">
        <v>45923</v>
      </c>
      <c r="E2286">
        <v>21</v>
      </c>
      <c r="F2286">
        <v>5</v>
      </c>
    </row>
    <row r="2287" spans="1:6" x14ac:dyDescent="0.25">
      <c r="A2287" t="s">
        <v>3637</v>
      </c>
      <c r="B2287" t="s">
        <v>3631</v>
      </c>
      <c r="C2287" t="s">
        <v>3632</v>
      </c>
      <c r="D2287" s="2">
        <v>45945</v>
      </c>
      <c r="E2287">
        <v>21</v>
      </c>
      <c r="F2287">
        <v>6</v>
      </c>
    </row>
    <row r="2288" spans="1:6" x14ac:dyDescent="0.25">
      <c r="A2288" t="s">
        <v>3638</v>
      </c>
      <c r="B2288" t="s">
        <v>3639</v>
      </c>
      <c r="C2288" t="s">
        <v>3640</v>
      </c>
      <c r="D2288" s="2">
        <v>45797</v>
      </c>
      <c r="E2288">
        <v>21</v>
      </c>
      <c r="F2288">
        <v>1</v>
      </c>
    </row>
    <row r="2289" spans="1:6" x14ac:dyDescent="0.25">
      <c r="A2289" t="s">
        <v>3641</v>
      </c>
      <c r="B2289" t="s">
        <v>3639</v>
      </c>
      <c r="C2289" t="s">
        <v>3640</v>
      </c>
      <c r="D2289" s="2">
        <v>45820</v>
      </c>
      <c r="E2289">
        <v>21</v>
      </c>
      <c r="F2289">
        <v>2</v>
      </c>
    </row>
    <row r="2290" spans="1:6" x14ac:dyDescent="0.25">
      <c r="A2290" t="s">
        <v>3642</v>
      </c>
      <c r="B2290" t="s">
        <v>3639</v>
      </c>
      <c r="C2290" t="s">
        <v>3640</v>
      </c>
      <c r="D2290" s="2">
        <v>45838</v>
      </c>
      <c r="E2290">
        <v>21</v>
      </c>
      <c r="F2290">
        <v>3</v>
      </c>
    </row>
    <row r="2291" spans="1:6" x14ac:dyDescent="0.25">
      <c r="A2291" t="s">
        <v>3643</v>
      </c>
      <c r="B2291" t="s">
        <v>3639</v>
      </c>
      <c r="C2291" t="s">
        <v>3640</v>
      </c>
      <c r="D2291" s="2">
        <v>45860</v>
      </c>
      <c r="E2291">
        <v>21</v>
      </c>
      <c r="F2291">
        <v>4</v>
      </c>
    </row>
    <row r="2292" spans="1:6" x14ac:dyDescent="0.25">
      <c r="A2292" t="s">
        <v>3644</v>
      </c>
      <c r="B2292" t="s">
        <v>3639</v>
      </c>
      <c r="C2292" t="s">
        <v>3640</v>
      </c>
      <c r="D2292" s="2">
        <v>45878</v>
      </c>
      <c r="E2292">
        <v>21</v>
      </c>
      <c r="F2292">
        <v>5</v>
      </c>
    </row>
    <row r="2293" spans="1:6" x14ac:dyDescent="0.25">
      <c r="A2293" t="s">
        <v>3645</v>
      </c>
      <c r="B2293" t="s">
        <v>3639</v>
      </c>
      <c r="C2293" t="s">
        <v>3640</v>
      </c>
      <c r="D2293" s="2">
        <v>45898</v>
      </c>
      <c r="E2293">
        <v>21</v>
      </c>
      <c r="F2293">
        <v>6</v>
      </c>
    </row>
    <row r="2294" spans="1:6" x14ac:dyDescent="0.25">
      <c r="A2294" t="s">
        <v>3646</v>
      </c>
      <c r="B2294" t="s">
        <v>3639</v>
      </c>
      <c r="C2294" t="s">
        <v>3640</v>
      </c>
      <c r="D2294" s="2">
        <v>45919</v>
      </c>
      <c r="E2294">
        <v>21</v>
      </c>
      <c r="F2294">
        <v>7</v>
      </c>
    </row>
    <row r="2295" spans="1:6" x14ac:dyDescent="0.25">
      <c r="A2295" t="s">
        <v>3647</v>
      </c>
      <c r="B2295" t="s">
        <v>3639</v>
      </c>
      <c r="C2295" t="s">
        <v>3640</v>
      </c>
      <c r="D2295" s="2">
        <v>45941</v>
      </c>
      <c r="E2295">
        <v>21</v>
      </c>
      <c r="F2295">
        <v>8</v>
      </c>
    </row>
    <row r="2296" spans="1:6" x14ac:dyDescent="0.25">
      <c r="A2296" t="s">
        <v>3648</v>
      </c>
      <c r="B2296" t="s">
        <v>3639</v>
      </c>
      <c r="C2296" t="s">
        <v>3640</v>
      </c>
      <c r="D2296" s="2">
        <v>45960</v>
      </c>
      <c r="E2296">
        <v>21</v>
      </c>
      <c r="F2296">
        <v>9</v>
      </c>
    </row>
    <row r="2297" spans="1:6" x14ac:dyDescent="0.25">
      <c r="A2297" t="s">
        <v>3649</v>
      </c>
      <c r="B2297" t="s">
        <v>3650</v>
      </c>
      <c r="C2297" t="s">
        <v>3651</v>
      </c>
      <c r="D2297" s="2">
        <v>45932</v>
      </c>
      <c r="E2297">
        <v>30</v>
      </c>
      <c r="F2297">
        <v>1</v>
      </c>
    </row>
    <row r="2298" spans="1:6" x14ac:dyDescent="0.25">
      <c r="A2298" t="s">
        <v>3652</v>
      </c>
      <c r="B2298" t="s">
        <v>3650</v>
      </c>
      <c r="C2298" t="s">
        <v>3651</v>
      </c>
      <c r="D2298" s="2">
        <v>45960</v>
      </c>
      <c r="E2298">
        <v>30</v>
      </c>
      <c r="F2298">
        <v>2</v>
      </c>
    </row>
    <row r="2299" spans="1:6" x14ac:dyDescent="0.25">
      <c r="A2299" t="s">
        <v>3653</v>
      </c>
      <c r="B2299" t="s">
        <v>3654</v>
      </c>
      <c r="C2299" t="s">
        <v>3655</v>
      </c>
      <c r="D2299" s="2">
        <v>45935</v>
      </c>
      <c r="E2299">
        <v>30</v>
      </c>
      <c r="F2299">
        <v>1</v>
      </c>
    </row>
    <row r="2300" spans="1:6" x14ac:dyDescent="0.25">
      <c r="A2300" t="s">
        <v>3656</v>
      </c>
      <c r="B2300" t="s">
        <v>3657</v>
      </c>
      <c r="C2300" t="s">
        <v>3658</v>
      </c>
      <c r="D2300" s="2">
        <v>45879</v>
      </c>
      <c r="E2300">
        <v>28</v>
      </c>
      <c r="F2300">
        <v>1</v>
      </c>
    </row>
    <row r="2301" spans="1:6" x14ac:dyDescent="0.25">
      <c r="A2301" t="s">
        <v>3659</v>
      </c>
      <c r="B2301" t="s">
        <v>3657</v>
      </c>
      <c r="C2301" t="s">
        <v>3658</v>
      </c>
      <c r="D2301" s="2">
        <v>45908</v>
      </c>
      <c r="E2301">
        <v>28</v>
      </c>
      <c r="F2301">
        <v>2</v>
      </c>
    </row>
    <row r="2302" spans="1:6" x14ac:dyDescent="0.25">
      <c r="A2302" t="s">
        <v>3660</v>
      </c>
      <c r="B2302" t="s">
        <v>3661</v>
      </c>
      <c r="C2302" t="s">
        <v>3662</v>
      </c>
      <c r="D2302" s="2">
        <v>45861</v>
      </c>
      <c r="E2302">
        <v>21</v>
      </c>
      <c r="F2302">
        <v>1</v>
      </c>
    </row>
    <row r="2303" spans="1:6" x14ac:dyDescent="0.25">
      <c r="A2303" t="s">
        <v>3663</v>
      </c>
      <c r="B2303" t="s">
        <v>3661</v>
      </c>
      <c r="C2303" t="s">
        <v>3662</v>
      </c>
      <c r="D2303" s="2">
        <v>45885</v>
      </c>
      <c r="E2303">
        <v>21</v>
      </c>
      <c r="F2303">
        <v>2</v>
      </c>
    </row>
    <row r="2304" spans="1:6" x14ac:dyDescent="0.25">
      <c r="A2304" t="s">
        <v>3664</v>
      </c>
      <c r="B2304" t="s">
        <v>3661</v>
      </c>
      <c r="C2304" t="s">
        <v>3662</v>
      </c>
      <c r="D2304" s="2">
        <v>45907</v>
      </c>
      <c r="E2304">
        <v>21</v>
      </c>
      <c r="F2304">
        <v>3</v>
      </c>
    </row>
    <row r="2305" spans="1:6" x14ac:dyDescent="0.25">
      <c r="A2305" t="s">
        <v>3665</v>
      </c>
      <c r="B2305" t="s">
        <v>3661</v>
      </c>
      <c r="C2305" t="s">
        <v>3662</v>
      </c>
      <c r="D2305" s="2">
        <v>45926</v>
      </c>
      <c r="E2305">
        <v>21</v>
      </c>
      <c r="F2305">
        <v>4</v>
      </c>
    </row>
    <row r="2306" spans="1:6" x14ac:dyDescent="0.25">
      <c r="A2306" t="s">
        <v>3666</v>
      </c>
      <c r="B2306" t="s">
        <v>3661</v>
      </c>
      <c r="C2306" t="s">
        <v>3662</v>
      </c>
      <c r="D2306" s="2">
        <v>45949</v>
      </c>
      <c r="E2306">
        <v>21</v>
      </c>
      <c r="F2306">
        <v>5</v>
      </c>
    </row>
    <row r="2307" spans="1:6" x14ac:dyDescent="0.25">
      <c r="A2307" t="s">
        <v>3667</v>
      </c>
      <c r="B2307" t="s">
        <v>3668</v>
      </c>
      <c r="C2307" t="s">
        <v>3669</v>
      </c>
      <c r="D2307" s="2">
        <v>45940</v>
      </c>
      <c r="E2307">
        <v>28</v>
      </c>
      <c r="F2307">
        <v>1</v>
      </c>
    </row>
    <row r="2308" spans="1:6" x14ac:dyDescent="0.25">
      <c r="A2308" t="s">
        <v>3670</v>
      </c>
      <c r="B2308" t="s">
        <v>3671</v>
      </c>
      <c r="C2308" t="s">
        <v>3672</v>
      </c>
      <c r="D2308" s="2">
        <v>45893</v>
      </c>
      <c r="E2308">
        <v>28</v>
      </c>
      <c r="F2308">
        <v>1</v>
      </c>
    </row>
    <row r="2309" spans="1:6" x14ac:dyDescent="0.25">
      <c r="A2309" t="s">
        <v>3673</v>
      </c>
      <c r="B2309" t="s">
        <v>3671</v>
      </c>
      <c r="C2309" t="s">
        <v>3672</v>
      </c>
      <c r="D2309" s="2">
        <v>45921</v>
      </c>
      <c r="E2309">
        <v>28</v>
      </c>
      <c r="F2309">
        <v>2</v>
      </c>
    </row>
    <row r="2310" spans="1:6" x14ac:dyDescent="0.25">
      <c r="A2310" t="s">
        <v>3674</v>
      </c>
      <c r="B2310" t="s">
        <v>3671</v>
      </c>
      <c r="C2310" t="s">
        <v>3672</v>
      </c>
      <c r="D2310" s="2">
        <v>45950</v>
      </c>
      <c r="E2310">
        <v>28</v>
      </c>
      <c r="F2310">
        <v>3</v>
      </c>
    </row>
    <row r="2311" spans="1:6" x14ac:dyDescent="0.25">
      <c r="A2311" t="s">
        <v>3675</v>
      </c>
      <c r="B2311" t="s">
        <v>3676</v>
      </c>
      <c r="C2311" t="s">
        <v>3677</v>
      </c>
      <c r="D2311" s="2">
        <v>45836</v>
      </c>
      <c r="E2311">
        <v>28</v>
      </c>
      <c r="F2311">
        <v>1</v>
      </c>
    </row>
    <row r="2312" spans="1:6" x14ac:dyDescent="0.25">
      <c r="A2312" t="s">
        <v>3678</v>
      </c>
      <c r="B2312" t="s">
        <v>3676</v>
      </c>
      <c r="C2312" t="s">
        <v>3677</v>
      </c>
      <c r="D2312" s="2">
        <v>45865</v>
      </c>
      <c r="E2312">
        <v>28</v>
      </c>
      <c r="F2312">
        <v>2</v>
      </c>
    </row>
    <row r="2313" spans="1:6" x14ac:dyDescent="0.25">
      <c r="A2313" t="s">
        <v>3679</v>
      </c>
      <c r="B2313" t="s">
        <v>3676</v>
      </c>
      <c r="C2313" t="s">
        <v>3677</v>
      </c>
      <c r="D2313" s="2">
        <v>45896</v>
      </c>
      <c r="E2313">
        <v>28</v>
      </c>
      <c r="F2313">
        <v>3</v>
      </c>
    </row>
    <row r="2314" spans="1:6" x14ac:dyDescent="0.25">
      <c r="A2314" t="s">
        <v>3680</v>
      </c>
      <c r="B2314" t="s">
        <v>3676</v>
      </c>
      <c r="C2314" t="s">
        <v>3677</v>
      </c>
      <c r="D2314" s="2">
        <v>45922</v>
      </c>
      <c r="E2314">
        <v>28</v>
      </c>
      <c r="F2314">
        <v>4</v>
      </c>
    </row>
    <row r="2315" spans="1:6" x14ac:dyDescent="0.25">
      <c r="A2315" t="s">
        <v>3681</v>
      </c>
      <c r="B2315" t="s">
        <v>3676</v>
      </c>
      <c r="C2315" t="s">
        <v>3677</v>
      </c>
      <c r="D2315" s="2">
        <v>45950</v>
      </c>
      <c r="E2315">
        <v>28</v>
      </c>
      <c r="F2315">
        <v>5</v>
      </c>
    </row>
    <row r="2316" spans="1:6" x14ac:dyDescent="0.25">
      <c r="A2316" t="s">
        <v>3682</v>
      </c>
      <c r="B2316" t="s">
        <v>3683</v>
      </c>
      <c r="C2316" t="s">
        <v>3684</v>
      </c>
      <c r="D2316" s="2">
        <v>45919</v>
      </c>
      <c r="E2316">
        <v>28</v>
      </c>
      <c r="F2316">
        <v>1</v>
      </c>
    </row>
    <row r="2317" spans="1:6" x14ac:dyDescent="0.25">
      <c r="A2317" t="s">
        <v>3685</v>
      </c>
      <c r="B2317" t="s">
        <v>3683</v>
      </c>
      <c r="C2317" t="s">
        <v>3684</v>
      </c>
      <c r="D2317" s="2">
        <v>45949</v>
      </c>
      <c r="E2317">
        <v>28</v>
      </c>
      <c r="F2317">
        <v>2</v>
      </c>
    </row>
    <row r="2318" spans="1:6" x14ac:dyDescent="0.25">
      <c r="A2318" t="s">
        <v>3686</v>
      </c>
      <c r="B2318" t="s">
        <v>3687</v>
      </c>
      <c r="C2318" t="s">
        <v>3688</v>
      </c>
      <c r="D2318" s="2">
        <v>45888</v>
      </c>
      <c r="E2318">
        <v>28</v>
      </c>
      <c r="F2318">
        <v>1</v>
      </c>
    </row>
    <row r="2319" spans="1:6" x14ac:dyDescent="0.25">
      <c r="A2319" t="s">
        <v>3689</v>
      </c>
      <c r="B2319" t="s">
        <v>3687</v>
      </c>
      <c r="C2319" t="s">
        <v>3688</v>
      </c>
      <c r="D2319" s="2">
        <v>45915</v>
      </c>
      <c r="E2319">
        <v>28</v>
      </c>
      <c r="F2319">
        <v>2</v>
      </c>
    </row>
    <row r="2320" spans="1:6" x14ac:dyDescent="0.25">
      <c r="A2320" t="s">
        <v>3690</v>
      </c>
      <c r="B2320" t="s">
        <v>3687</v>
      </c>
      <c r="C2320" t="s">
        <v>3688</v>
      </c>
      <c r="D2320" s="2">
        <v>45945</v>
      </c>
      <c r="E2320">
        <v>28</v>
      </c>
      <c r="F2320">
        <v>3</v>
      </c>
    </row>
    <row r="2321" spans="1:6" x14ac:dyDescent="0.25">
      <c r="A2321" t="s">
        <v>3691</v>
      </c>
      <c r="B2321" t="s">
        <v>3692</v>
      </c>
      <c r="C2321" t="s">
        <v>3693</v>
      </c>
      <c r="D2321" s="2">
        <v>45952</v>
      </c>
      <c r="E2321">
        <v>28</v>
      </c>
      <c r="F2321">
        <v>1</v>
      </c>
    </row>
    <row r="2322" spans="1:6" x14ac:dyDescent="0.25">
      <c r="A2322" t="s">
        <v>3694</v>
      </c>
      <c r="B2322" t="s">
        <v>3695</v>
      </c>
      <c r="C2322" t="s">
        <v>3696</v>
      </c>
      <c r="D2322" s="2">
        <v>45947</v>
      </c>
      <c r="E2322">
        <v>28</v>
      </c>
      <c r="F2322">
        <v>1</v>
      </c>
    </row>
    <row r="2323" spans="1:6" x14ac:dyDescent="0.25">
      <c r="A2323" t="s">
        <v>3697</v>
      </c>
      <c r="B2323" t="s">
        <v>3698</v>
      </c>
      <c r="C2323" t="s">
        <v>3699</v>
      </c>
      <c r="D2323" s="2">
        <v>45799</v>
      </c>
      <c r="E2323">
        <v>28</v>
      </c>
      <c r="F2323">
        <v>1</v>
      </c>
    </row>
    <row r="2324" spans="1:6" x14ac:dyDescent="0.25">
      <c r="A2324" t="s">
        <v>3700</v>
      </c>
      <c r="B2324" t="s">
        <v>3698</v>
      </c>
      <c r="C2324" t="s">
        <v>3699</v>
      </c>
      <c r="D2324" s="2">
        <v>45830</v>
      </c>
      <c r="E2324">
        <v>28</v>
      </c>
      <c r="F2324">
        <v>2</v>
      </c>
    </row>
    <row r="2325" spans="1:6" x14ac:dyDescent="0.25">
      <c r="A2325" t="s">
        <v>3701</v>
      </c>
      <c r="B2325" t="s">
        <v>3698</v>
      </c>
      <c r="C2325" t="s">
        <v>3699</v>
      </c>
      <c r="D2325" s="2">
        <v>45861</v>
      </c>
      <c r="E2325">
        <v>28</v>
      </c>
      <c r="F2325">
        <v>3</v>
      </c>
    </row>
    <row r="2326" spans="1:6" x14ac:dyDescent="0.25">
      <c r="A2326" t="s">
        <v>3702</v>
      </c>
      <c r="B2326" t="s">
        <v>3698</v>
      </c>
      <c r="C2326" t="s">
        <v>3699</v>
      </c>
      <c r="D2326" s="2">
        <v>45892</v>
      </c>
      <c r="E2326">
        <v>28</v>
      </c>
      <c r="F2326">
        <v>4</v>
      </c>
    </row>
    <row r="2327" spans="1:6" x14ac:dyDescent="0.25">
      <c r="A2327" t="s">
        <v>3703</v>
      </c>
      <c r="B2327" t="s">
        <v>3698</v>
      </c>
      <c r="C2327" t="s">
        <v>3699</v>
      </c>
      <c r="D2327" s="2">
        <v>45922</v>
      </c>
      <c r="E2327">
        <v>28</v>
      </c>
      <c r="F2327">
        <v>5</v>
      </c>
    </row>
    <row r="2328" spans="1:6" x14ac:dyDescent="0.25">
      <c r="A2328" t="s">
        <v>3704</v>
      </c>
      <c r="B2328" t="s">
        <v>3698</v>
      </c>
      <c r="C2328" t="s">
        <v>3699</v>
      </c>
      <c r="D2328" s="2">
        <v>45950</v>
      </c>
      <c r="E2328">
        <v>28</v>
      </c>
      <c r="F2328">
        <v>6</v>
      </c>
    </row>
    <row r="2329" spans="1:6" x14ac:dyDescent="0.25">
      <c r="A2329" t="s">
        <v>3705</v>
      </c>
      <c r="B2329" t="s">
        <v>3706</v>
      </c>
      <c r="C2329" t="s">
        <v>3707</v>
      </c>
      <c r="D2329" s="2">
        <v>45936</v>
      </c>
      <c r="E2329">
        <v>28</v>
      </c>
      <c r="F2329">
        <v>1</v>
      </c>
    </row>
    <row r="2330" spans="1:6" x14ac:dyDescent="0.25">
      <c r="A2330" t="s">
        <v>3708</v>
      </c>
      <c r="B2330" t="s">
        <v>3709</v>
      </c>
      <c r="C2330" t="s">
        <v>3710</v>
      </c>
      <c r="D2330" s="2">
        <v>45841</v>
      </c>
      <c r="E2330">
        <v>21</v>
      </c>
      <c r="F2330">
        <v>1</v>
      </c>
    </row>
    <row r="2331" spans="1:6" x14ac:dyDescent="0.25">
      <c r="A2331" t="s">
        <v>3711</v>
      </c>
      <c r="B2331" t="s">
        <v>3709</v>
      </c>
      <c r="C2331" t="s">
        <v>3710</v>
      </c>
      <c r="D2331" s="2">
        <v>45862</v>
      </c>
      <c r="E2331">
        <v>21</v>
      </c>
      <c r="F2331">
        <v>2</v>
      </c>
    </row>
    <row r="2332" spans="1:6" x14ac:dyDescent="0.25">
      <c r="A2332" t="s">
        <v>3712</v>
      </c>
      <c r="B2332" t="s">
        <v>3709</v>
      </c>
      <c r="C2332" t="s">
        <v>3710</v>
      </c>
      <c r="D2332" s="2">
        <v>45881</v>
      </c>
      <c r="E2332">
        <v>21</v>
      </c>
      <c r="F2332">
        <v>3</v>
      </c>
    </row>
    <row r="2333" spans="1:6" x14ac:dyDescent="0.25">
      <c r="A2333" t="s">
        <v>3713</v>
      </c>
      <c r="B2333" t="s">
        <v>3709</v>
      </c>
      <c r="C2333" t="s">
        <v>3710</v>
      </c>
      <c r="D2333" s="2">
        <v>45901</v>
      </c>
      <c r="E2333">
        <v>21</v>
      </c>
      <c r="F2333">
        <v>4</v>
      </c>
    </row>
    <row r="2334" spans="1:6" x14ac:dyDescent="0.25">
      <c r="A2334" t="s">
        <v>3714</v>
      </c>
      <c r="B2334" t="s">
        <v>3709</v>
      </c>
      <c r="C2334" t="s">
        <v>3710</v>
      </c>
      <c r="D2334" s="2">
        <v>45923</v>
      </c>
      <c r="E2334">
        <v>21</v>
      </c>
      <c r="F2334">
        <v>5</v>
      </c>
    </row>
    <row r="2335" spans="1:6" x14ac:dyDescent="0.25">
      <c r="A2335" t="s">
        <v>3715</v>
      </c>
      <c r="B2335" t="s">
        <v>3709</v>
      </c>
      <c r="C2335" t="s">
        <v>3710</v>
      </c>
      <c r="D2335" s="2">
        <v>45946</v>
      </c>
      <c r="E2335">
        <v>21</v>
      </c>
      <c r="F2335">
        <v>6</v>
      </c>
    </row>
    <row r="2336" spans="1:6" x14ac:dyDescent="0.25">
      <c r="A2336" t="s">
        <v>3716</v>
      </c>
      <c r="B2336" t="s">
        <v>3717</v>
      </c>
      <c r="C2336" t="s">
        <v>3718</v>
      </c>
      <c r="D2336" s="2">
        <v>45796</v>
      </c>
      <c r="E2336">
        <v>28</v>
      </c>
      <c r="F2336">
        <v>1</v>
      </c>
    </row>
    <row r="2337" spans="1:6" x14ac:dyDescent="0.25">
      <c r="A2337" t="s">
        <v>3719</v>
      </c>
      <c r="B2337" t="s">
        <v>3717</v>
      </c>
      <c r="C2337" t="s">
        <v>3718</v>
      </c>
      <c r="D2337" s="2">
        <v>45823</v>
      </c>
      <c r="E2337">
        <v>28</v>
      </c>
      <c r="F2337">
        <v>2</v>
      </c>
    </row>
    <row r="2338" spans="1:6" x14ac:dyDescent="0.25">
      <c r="A2338" t="s">
        <v>3720</v>
      </c>
      <c r="B2338" t="s">
        <v>3717</v>
      </c>
      <c r="C2338" t="s">
        <v>3718</v>
      </c>
      <c r="D2338" s="2">
        <v>45852</v>
      </c>
      <c r="E2338">
        <v>28</v>
      </c>
      <c r="F2338">
        <v>3</v>
      </c>
    </row>
    <row r="2339" spans="1:6" x14ac:dyDescent="0.25">
      <c r="A2339" t="s">
        <v>3721</v>
      </c>
      <c r="B2339" t="s">
        <v>3717</v>
      </c>
      <c r="C2339" t="s">
        <v>3718</v>
      </c>
      <c r="D2339" s="2">
        <v>45881</v>
      </c>
      <c r="E2339">
        <v>28</v>
      </c>
      <c r="F2339">
        <v>4</v>
      </c>
    </row>
    <row r="2340" spans="1:6" x14ac:dyDescent="0.25">
      <c r="A2340" t="s">
        <v>3722</v>
      </c>
      <c r="B2340" t="s">
        <v>3717</v>
      </c>
      <c r="C2340" t="s">
        <v>3718</v>
      </c>
      <c r="D2340" s="2">
        <v>45909</v>
      </c>
      <c r="E2340">
        <v>28</v>
      </c>
      <c r="F2340">
        <v>5</v>
      </c>
    </row>
    <row r="2341" spans="1:6" x14ac:dyDescent="0.25">
      <c r="A2341" t="s">
        <v>3723</v>
      </c>
      <c r="B2341" t="s">
        <v>3717</v>
      </c>
      <c r="C2341" t="s">
        <v>3718</v>
      </c>
      <c r="D2341" s="2">
        <v>45935</v>
      </c>
      <c r="E2341">
        <v>28</v>
      </c>
      <c r="F2341">
        <v>6</v>
      </c>
    </row>
    <row r="2342" spans="1:6" x14ac:dyDescent="0.25">
      <c r="A2342" t="s">
        <v>3724</v>
      </c>
      <c r="B2342" t="s">
        <v>3725</v>
      </c>
      <c r="C2342" t="s">
        <v>3726</v>
      </c>
      <c r="D2342" s="2">
        <v>45846</v>
      </c>
      <c r="E2342">
        <v>28</v>
      </c>
      <c r="F2342">
        <v>1</v>
      </c>
    </row>
    <row r="2343" spans="1:6" x14ac:dyDescent="0.25">
      <c r="A2343" t="s">
        <v>3727</v>
      </c>
      <c r="B2343" t="s">
        <v>3725</v>
      </c>
      <c r="C2343" t="s">
        <v>3726</v>
      </c>
      <c r="D2343" s="2">
        <v>45873</v>
      </c>
      <c r="E2343">
        <v>28</v>
      </c>
      <c r="F2343">
        <v>2</v>
      </c>
    </row>
    <row r="2344" spans="1:6" x14ac:dyDescent="0.25">
      <c r="A2344" t="s">
        <v>3728</v>
      </c>
      <c r="B2344" t="s">
        <v>3725</v>
      </c>
      <c r="C2344" t="s">
        <v>3726</v>
      </c>
      <c r="D2344" s="2">
        <v>45902</v>
      </c>
      <c r="E2344">
        <v>28</v>
      </c>
      <c r="F2344">
        <v>3</v>
      </c>
    </row>
    <row r="2345" spans="1:6" x14ac:dyDescent="0.25">
      <c r="A2345" t="s">
        <v>3729</v>
      </c>
      <c r="B2345" t="s">
        <v>3725</v>
      </c>
      <c r="C2345" t="s">
        <v>3726</v>
      </c>
      <c r="D2345" s="2">
        <v>45927</v>
      </c>
      <c r="E2345">
        <v>28</v>
      </c>
      <c r="F2345">
        <v>4</v>
      </c>
    </row>
    <row r="2346" spans="1:6" x14ac:dyDescent="0.25">
      <c r="A2346" t="s">
        <v>3730</v>
      </c>
      <c r="B2346" t="s">
        <v>3725</v>
      </c>
      <c r="C2346" t="s">
        <v>3726</v>
      </c>
      <c r="D2346" s="2">
        <v>45956</v>
      </c>
      <c r="E2346">
        <v>28</v>
      </c>
      <c r="F2346">
        <v>5</v>
      </c>
    </row>
    <row r="2347" spans="1:6" x14ac:dyDescent="0.25">
      <c r="A2347" t="s">
        <v>3731</v>
      </c>
      <c r="B2347" t="s">
        <v>3732</v>
      </c>
      <c r="C2347" t="s">
        <v>3733</v>
      </c>
      <c r="D2347" s="2">
        <v>45875</v>
      </c>
      <c r="E2347">
        <v>28</v>
      </c>
      <c r="F2347">
        <v>1</v>
      </c>
    </row>
    <row r="2348" spans="1:6" x14ac:dyDescent="0.25">
      <c r="A2348" t="s">
        <v>3734</v>
      </c>
      <c r="B2348" t="s">
        <v>3732</v>
      </c>
      <c r="C2348" t="s">
        <v>3733</v>
      </c>
      <c r="D2348" s="2">
        <v>45906</v>
      </c>
      <c r="E2348">
        <v>28</v>
      </c>
      <c r="F2348">
        <v>2</v>
      </c>
    </row>
    <row r="2349" spans="1:6" x14ac:dyDescent="0.25">
      <c r="A2349" t="s">
        <v>3735</v>
      </c>
      <c r="B2349" t="s">
        <v>3732</v>
      </c>
      <c r="C2349" t="s">
        <v>3733</v>
      </c>
      <c r="D2349" s="2">
        <v>45937</v>
      </c>
      <c r="E2349">
        <v>28</v>
      </c>
      <c r="F2349">
        <v>3</v>
      </c>
    </row>
    <row r="2350" spans="1:6" x14ac:dyDescent="0.25">
      <c r="A2350" t="s">
        <v>3736</v>
      </c>
      <c r="B2350" t="s">
        <v>3737</v>
      </c>
      <c r="C2350" t="s">
        <v>3738</v>
      </c>
      <c r="D2350" s="2">
        <v>45940</v>
      </c>
      <c r="E2350">
        <v>28</v>
      </c>
      <c r="F2350">
        <v>1</v>
      </c>
    </row>
    <row r="2351" spans="1:6" x14ac:dyDescent="0.25">
      <c r="A2351" t="s">
        <v>3739</v>
      </c>
      <c r="B2351" t="s">
        <v>3740</v>
      </c>
      <c r="C2351" t="s">
        <v>3741</v>
      </c>
      <c r="D2351" s="2">
        <v>45877</v>
      </c>
      <c r="E2351">
        <v>21</v>
      </c>
      <c r="F2351">
        <v>1</v>
      </c>
    </row>
    <row r="2352" spans="1:6" x14ac:dyDescent="0.25">
      <c r="A2352" t="s">
        <v>3742</v>
      </c>
      <c r="B2352" t="s">
        <v>3740</v>
      </c>
      <c r="C2352" t="s">
        <v>3741</v>
      </c>
      <c r="D2352" s="2">
        <v>45898</v>
      </c>
      <c r="E2352">
        <v>21</v>
      </c>
      <c r="F2352">
        <v>2</v>
      </c>
    </row>
    <row r="2353" spans="1:6" x14ac:dyDescent="0.25">
      <c r="A2353" t="s">
        <v>3743</v>
      </c>
      <c r="B2353" t="s">
        <v>3740</v>
      </c>
      <c r="C2353" t="s">
        <v>3741</v>
      </c>
      <c r="D2353" s="2">
        <v>45918</v>
      </c>
      <c r="E2353">
        <v>21</v>
      </c>
      <c r="F2353">
        <v>3</v>
      </c>
    </row>
    <row r="2354" spans="1:6" x14ac:dyDescent="0.25">
      <c r="A2354" t="s">
        <v>3744</v>
      </c>
      <c r="B2354" t="s">
        <v>3740</v>
      </c>
      <c r="C2354" t="s">
        <v>3741</v>
      </c>
      <c r="D2354" s="2">
        <v>45939</v>
      </c>
      <c r="E2354">
        <v>21</v>
      </c>
      <c r="F2354">
        <v>4</v>
      </c>
    </row>
    <row r="2355" spans="1:6" x14ac:dyDescent="0.25">
      <c r="A2355" t="s">
        <v>3745</v>
      </c>
      <c r="B2355" t="s">
        <v>3740</v>
      </c>
      <c r="C2355" t="s">
        <v>3741</v>
      </c>
      <c r="D2355" s="2">
        <v>45960</v>
      </c>
      <c r="E2355">
        <v>21</v>
      </c>
      <c r="F2355">
        <v>5</v>
      </c>
    </row>
    <row r="2356" spans="1:6" x14ac:dyDescent="0.25">
      <c r="A2356" t="s">
        <v>3746</v>
      </c>
      <c r="B2356" t="s">
        <v>3747</v>
      </c>
      <c r="C2356" t="s">
        <v>3748</v>
      </c>
      <c r="D2356" s="2">
        <v>45870</v>
      </c>
      <c r="E2356">
        <v>28</v>
      </c>
      <c r="F2356">
        <v>1</v>
      </c>
    </row>
    <row r="2357" spans="1:6" x14ac:dyDescent="0.25">
      <c r="A2357" t="s">
        <v>3749</v>
      </c>
      <c r="B2357" t="s">
        <v>3747</v>
      </c>
      <c r="C2357" t="s">
        <v>3748</v>
      </c>
      <c r="D2357" s="2">
        <v>45900</v>
      </c>
      <c r="E2357">
        <v>28</v>
      </c>
      <c r="F2357">
        <v>2</v>
      </c>
    </row>
    <row r="2358" spans="1:6" x14ac:dyDescent="0.25">
      <c r="A2358" t="s">
        <v>3750</v>
      </c>
      <c r="B2358" t="s">
        <v>3747</v>
      </c>
      <c r="C2358" t="s">
        <v>3748</v>
      </c>
      <c r="D2358" s="2">
        <v>45928</v>
      </c>
      <c r="E2358">
        <v>28</v>
      </c>
      <c r="F2358">
        <v>3</v>
      </c>
    </row>
    <row r="2359" spans="1:6" x14ac:dyDescent="0.25">
      <c r="A2359" t="s">
        <v>3751</v>
      </c>
      <c r="B2359" t="s">
        <v>3747</v>
      </c>
      <c r="C2359" t="s">
        <v>3748</v>
      </c>
      <c r="D2359" s="2">
        <v>45954</v>
      </c>
      <c r="E2359">
        <v>28</v>
      </c>
      <c r="F2359">
        <v>4</v>
      </c>
    </row>
    <row r="2360" spans="1:6" x14ac:dyDescent="0.25">
      <c r="A2360" t="s">
        <v>3752</v>
      </c>
      <c r="B2360" t="s">
        <v>3753</v>
      </c>
      <c r="C2360" t="s">
        <v>3754</v>
      </c>
      <c r="D2360" s="2">
        <v>45801</v>
      </c>
      <c r="E2360">
        <v>28</v>
      </c>
      <c r="F2360">
        <v>1</v>
      </c>
    </row>
    <row r="2361" spans="1:6" x14ac:dyDescent="0.25">
      <c r="A2361" t="s">
        <v>3755</v>
      </c>
      <c r="B2361" t="s">
        <v>3753</v>
      </c>
      <c r="C2361" t="s">
        <v>3754</v>
      </c>
      <c r="D2361" s="2">
        <v>45828</v>
      </c>
      <c r="E2361">
        <v>28</v>
      </c>
      <c r="F2361">
        <v>2</v>
      </c>
    </row>
    <row r="2362" spans="1:6" x14ac:dyDescent="0.25">
      <c r="A2362" t="s">
        <v>3756</v>
      </c>
      <c r="B2362" t="s">
        <v>3753</v>
      </c>
      <c r="C2362" t="s">
        <v>3754</v>
      </c>
      <c r="D2362" s="2">
        <v>45856</v>
      </c>
      <c r="E2362">
        <v>28</v>
      </c>
      <c r="F2362">
        <v>3</v>
      </c>
    </row>
    <row r="2363" spans="1:6" x14ac:dyDescent="0.25">
      <c r="A2363" t="s">
        <v>3757</v>
      </c>
      <c r="B2363" t="s">
        <v>3753</v>
      </c>
      <c r="C2363" t="s">
        <v>3754</v>
      </c>
      <c r="D2363" s="2">
        <v>45883</v>
      </c>
      <c r="E2363">
        <v>28</v>
      </c>
      <c r="F2363">
        <v>4</v>
      </c>
    </row>
    <row r="2364" spans="1:6" x14ac:dyDescent="0.25">
      <c r="A2364" t="s">
        <v>3758</v>
      </c>
      <c r="B2364" t="s">
        <v>3753</v>
      </c>
      <c r="C2364" t="s">
        <v>3754</v>
      </c>
      <c r="D2364" s="2">
        <v>45913</v>
      </c>
      <c r="E2364">
        <v>28</v>
      </c>
      <c r="F2364">
        <v>5</v>
      </c>
    </row>
    <row r="2365" spans="1:6" x14ac:dyDescent="0.25">
      <c r="A2365" t="s">
        <v>3759</v>
      </c>
      <c r="B2365" t="s">
        <v>3753</v>
      </c>
      <c r="C2365" t="s">
        <v>3754</v>
      </c>
      <c r="D2365" s="2">
        <v>45939</v>
      </c>
      <c r="E2365">
        <v>28</v>
      </c>
      <c r="F2365">
        <v>6</v>
      </c>
    </row>
    <row r="2366" spans="1:6" x14ac:dyDescent="0.25">
      <c r="A2366" t="s">
        <v>3760</v>
      </c>
      <c r="B2366" t="s">
        <v>3761</v>
      </c>
      <c r="C2366" t="s">
        <v>3762</v>
      </c>
      <c r="D2366" s="2">
        <v>45856</v>
      </c>
      <c r="E2366">
        <v>56</v>
      </c>
      <c r="F2366">
        <v>1</v>
      </c>
    </row>
    <row r="2367" spans="1:6" x14ac:dyDescent="0.25">
      <c r="A2367" t="s">
        <v>3763</v>
      </c>
      <c r="B2367" t="s">
        <v>3761</v>
      </c>
      <c r="C2367" t="s">
        <v>3762</v>
      </c>
      <c r="D2367" s="2">
        <v>45909</v>
      </c>
      <c r="E2367">
        <v>56</v>
      </c>
      <c r="F2367">
        <v>2</v>
      </c>
    </row>
    <row r="2368" spans="1:6" x14ac:dyDescent="0.25">
      <c r="A2368" t="s">
        <v>3764</v>
      </c>
      <c r="B2368" t="s">
        <v>3765</v>
      </c>
      <c r="C2368" t="s">
        <v>3766</v>
      </c>
      <c r="D2368" s="2">
        <v>45870</v>
      </c>
      <c r="E2368">
        <v>30</v>
      </c>
      <c r="F2368">
        <v>1</v>
      </c>
    </row>
    <row r="2369" spans="1:6" x14ac:dyDescent="0.25">
      <c r="A2369" t="s">
        <v>3767</v>
      </c>
      <c r="B2369" t="s">
        <v>3765</v>
      </c>
      <c r="C2369" t="s">
        <v>3766</v>
      </c>
      <c r="D2369" s="2">
        <v>45900</v>
      </c>
      <c r="E2369">
        <v>30</v>
      </c>
      <c r="F2369">
        <v>2</v>
      </c>
    </row>
    <row r="2370" spans="1:6" x14ac:dyDescent="0.25">
      <c r="A2370" t="s">
        <v>3768</v>
      </c>
      <c r="B2370" t="s">
        <v>3765</v>
      </c>
      <c r="C2370" t="s">
        <v>3766</v>
      </c>
      <c r="D2370" s="2">
        <v>45930</v>
      </c>
      <c r="E2370">
        <v>30</v>
      </c>
      <c r="F2370">
        <v>3</v>
      </c>
    </row>
    <row r="2371" spans="1:6" x14ac:dyDescent="0.25">
      <c r="A2371" t="s">
        <v>3769</v>
      </c>
      <c r="B2371" t="s">
        <v>3765</v>
      </c>
      <c r="C2371" t="s">
        <v>3766</v>
      </c>
      <c r="D2371" s="2">
        <v>45957</v>
      </c>
      <c r="E2371">
        <v>30</v>
      </c>
      <c r="F2371">
        <v>4</v>
      </c>
    </row>
    <row r="2372" spans="1:6" x14ac:dyDescent="0.25">
      <c r="A2372" t="s">
        <v>3770</v>
      </c>
      <c r="B2372" t="s">
        <v>3771</v>
      </c>
      <c r="C2372" t="s">
        <v>3772</v>
      </c>
      <c r="D2372" s="2">
        <v>45847</v>
      </c>
      <c r="E2372">
        <v>28</v>
      </c>
      <c r="F2372">
        <v>1</v>
      </c>
    </row>
    <row r="2373" spans="1:6" x14ac:dyDescent="0.25">
      <c r="A2373" t="s">
        <v>3773</v>
      </c>
      <c r="B2373" t="s">
        <v>3771</v>
      </c>
      <c r="C2373" t="s">
        <v>3772</v>
      </c>
      <c r="D2373" s="2">
        <v>45875</v>
      </c>
      <c r="E2373">
        <v>28</v>
      </c>
      <c r="F2373">
        <v>2</v>
      </c>
    </row>
    <row r="2374" spans="1:6" x14ac:dyDescent="0.25">
      <c r="A2374" t="s">
        <v>3774</v>
      </c>
      <c r="B2374" t="s">
        <v>3771</v>
      </c>
      <c r="C2374" t="s">
        <v>3772</v>
      </c>
      <c r="D2374" s="2">
        <v>45903</v>
      </c>
      <c r="E2374">
        <v>28</v>
      </c>
      <c r="F2374">
        <v>3</v>
      </c>
    </row>
    <row r="2375" spans="1:6" x14ac:dyDescent="0.25">
      <c r="A2375" t="s">
        <v>3775</v>
      </c>
      <c r="B2375" t="s">
        <v>3771</v>
      </c>
      <c r="C2375" t="s">
        <v>3772</v>
      </c>
      <c r="D2375" s="2">
        <v>45934</v>
      </c>
      <c r="E2375">
        <v>28</v>
      </c>
      <c r="F2375">
        <v>4</v>
      </c>
    </row>
    <row r="2376" spans="1:6" x14ac:dyDescent="0.25">
      <c r="A2376" t="s">
        <v>3776</v>
      </c>
      <c r="B2376" t="s">
        <v>3777</v>
      </c>
      <c r="C2376" t="s">
        <v>3778</v>
      </c>
      <c r="D2376" s="2">
        <v>45811</v>
      </c>
      <c r="E2376">
        <v>28</v>
      </c>
      <c r="F2376">
        <v>1</v>
      </c>
    </row>
    <row r="2377" spans="1:6" x14ac:dyDescent="0.25">
      <c r="A2377" t="s">
        <v>3779</v>
      </c>
      <c r="B2377" t="s">
        <v>3777</v>
      </c>
      <c r="C2377" t="s">
        <v>3778</v>
      </c>
      <c r="D2377" s="2">
        <v>45840</v>
      </c>
      <c r="E2377">
        <v>28</v>
      </c>
      <c r="F2377">
        <v>2</v>
      </c>
    </row>
    <row r="2378" spans="1:6" x14ac:dyDescent="0.25">
      <c r="A2378" t="s">
        <v>3780</v>
      </c>
      <c r="B2378" t="s">
        <v>3781</v>
      </c>
      <c r="C2378" t="s">
        <v>3782</v>
      </c>
      <c r="D2378" s="2">
        <v>45825</v>
      </c>
      <c r="E2378">
        <v>28</v>
      </c>
      <c r="F2378">
        <v>1</v>
      </c>
    </row>
    <row r="2379" spans="1:6" x14ac:dyDescent="0.25">
      <c r="A2379" t="s">
        <v>3783</v>
      </c>
      <c r="B2379" t="s">
        <v>3781</v>
      </c>
      <c r="C2379" t="s">
        <v>3782</v>
      </c>
      <c r="D2379" s="2">
        <v>45853</v>
      </c>
      <c r="E2379">
        <v>28</v>
      </c>
      <c r="F2379">
        <v>2</v>
      </c>
    </row>
    <row r="2380" spans="1:6" x14ac:dyDescent="0.25">
      <c r="A2380" t="s">
        <v>3784</v>
      </c>
      <c r="B2380" t="s">
        <v>3781</v>
      </c>
      <c r="C2380" t="s">
        <v>3782</v>
      </c>
      <c r="D2380" s="2">
        <v>45884</v>
      </c>
      <c r="E2380">
        <v>28</v>
      </c>
      <c r="F2380">
        <v>3</v>
      </c>
    </row>
    <row r="2381" spans="1:6" x14ac:dyDescent="0.25">
      <c r="A2381" t="s">
        <v>3785</v>
      </c>
      <c r="B2381" t="s">
        <v>3781</v>
      </c>
      <c r="C2381" t="s">
        <v>3782</v>
      </c>
      <c r="D2381" s="2">
        <v>45912</v>
      </c>
      <c r="E2381">
        <v>28</v>
      </c>
      <c r="F2381">
        <v>4</v>
      </c>
    </row>
    <row r="2382" spans="1:6" x14ac:dyDescent="0.25">
      <c r="A2382" t="s">
        <v>3786</v>
      </c>
      <c r="B2382" t="s">
        <v>3781</v>
      </c>
      <c r="C2382" t="s">
        <v>3782</v>
      </c>
      <c r="D2382" s="2">
        <v>45938</v>
      </c>
      <c r="E2382">
        <v>28</v>
      </c>
      <c r="F2382">
        <v>5</v>
      </c>
    </row>
    <row r="2383" spans="1:6" x14ac:dyDescent="0.25">
      <c r="A2383" t="s">
        <v>3787</v>
      </c>
      <c r="B2383" t="s">
        <v>3788</v>
      </c>
      <c r="C2383" t="s">
        <v>3789</v>
      </c>
      <c r="D2383" s="2">
        <v>45892</v>
      </c>
      <c r="E2383">
        <v>28</v>
      </c>
      <c r="F2383">
        <v>1</v>
      </c>
    </row>
    <row r="2384" spans="1:6" x14ac:dyDescent="0.25">
      <c r="A2384" t="s">
        <v>3790</v>
      </c>
      <c r="B2384" t="s">
        <v>3791</v>
      </c>
      <c r="C2384" t="s">
        <v>3792</v>
      </c>
      <c r="D2384" s="2">
        <v>45920</v>
      </c>
      <c r="E2384">
        <v>30</v>
      </c>
      <c r="F2384">
        <v>1</v>
      </c>
    </row>
    <row r="2385" spans="1:6" x14ac:dyDescent="0.25">
      <c r="A2385" t="s">
        <v>3793</v>
      </c>
      <c r="B2385" t="s">
        <v>3791</v>
      </c>
      <c r="C2385" t="s">
        <v>3792</v>
      </c>
      <c r="D2385" s="2">
        <v>45953</v>
      </c>
      <c r="E2385">
        <v>30</v>
      </c>
      <c r="F2385">
        <v>2</v>
      </c>
    </row>
    <row r="2386" spans="1:6" x14ac:dyDescent="0.25">
      <c r="A2386" t="s">
        <v>3794</v>
      </c>
      <c r="B2386" t="s">
        <v>3795</v>
      </c>
      <c r="C2386" t="s">
        <v>3796</v>
      </c>
      <c r="D2386" s="2">
        <v>45882</v>
      </c>
      <c r="E2386">
        <v>28</v>
      </c>
      <c r="F2386">
        <v>1</v>
      </c>
    </row>
    <row r="2387" spans="1:6" x14ac:dyDescent="0.25">
      <c r="A2387" t="s">
        <v>3797</v>
      </c>
      <c r="B2387" t="s">
        <v>3795</v>
      </c>
      <c r="C2387" t="s">
        <v>3796</v>
      </c>
      <c r="D2387" s="2">
        <v>45911</v>
      </c>
      <c r="E2387">
        <v>28</v>
      </c>
      <c r="F2387">
        <v>2</v>
      </c>
    </row>
    <row r="2388" spans="1:6" x14ac:dyDescent="0.25">
      <c r="A2388" t="s">
        <v>3798</v>
      </c>
      <c r="B2388" t="s">
        <v>3795</v>
      </c>
      <c r="C2388" t="s">
        <v>3796</v>
      </c>
      <c r="D2388" s="2">
        <v>45939</v>
      </c>
      <c r="E2388">
        <v>28</v>
      </c>
      <c r="F2388">
        <v>3</v>
      </c>
    </row>
    <row r="2389" spans="1:6" x14ac:dyDescent="0.25">
      <c r="A2389" t="s">
        <v>3799</v>
      </c>
      <c r="B2389" t="s">
        <v>3800</v>
      </c>
      <c r="C2389" t="s">
        <v>3801</v>
      </c>
      <c r="D2389" s="2">
        <v>45784</v>
      </c>
      <c r="E2389">
        <v>28</v>
      </c>
      <c r="F2389">
        <v>1</v>
      </c>
    </row>
    <row r="2390" spans="1:6" x14ac:dyDescent="0.25">
      <c r="A2390" t="s">
        <v>3802</v>
      </c>
      <c r="B2390" t="s">
        <v>3800</v>
      </c>
      <c r="C2390" t="s">
        <v>3801</v>
      </c>
      <c r="D2390" s="2">
        <v>45811</v>
      </c>
      <c r="E2390">
        <v>28</v>
      </c>
      <c r="F2390">
        <v>2</v>
      </c>
    </row>
    <row r="2391" spans="1:6" x14ac:dyDescent="0.25">
      <c r="A2391" t="s">
        <v>3803</v>
      </c>
      <c r="B2391" t="s">
        <v>3800</v>
      </c>
      <c r="C2391" t="s">
        <v>3801</v>
      </c>
      <c r="D2391" s="2">
        <v>45836</v>
      </c>
      <c r="E2391">
        <v>28</v>
      </c>
      <c r="F2391">
        <v>3</v>
      </c>
    </row>
    <row r="2392" spans="1:6" x14ac:dyDescent="0.25">
      <c r="A2392" t="s">
        <v>3804</v>
      </c>
      <c r="B2392" t="s">
        <v>3800</v>
      </c>
      <c r="C2392" t="s">
        <v>3801</v>
      </c>
      <c r="D2392" s="2">
        <v>45864</v>
      </c>
      <c r="E2392">
        <v>28</v>
      </c>
      <c r="F2392">
        <v>4</v>
      </c>
    </row>
    <row r="2393" spans="1:6" x14ac:dyDescent="0.25">
      <c r="A2393" t="s">
        <v>3805</v>
      </c>
      <c r="B2393" t="s">
        <v>3800</v>
      </c>
      <c r="C2393" t="s">
        <v>3801</v>
      </c>
      <c r="D2393" s="2">
        <v>45891</v>
      </c>
      <c r="E2393">
        <v>28</v>
      </c>
      <c r="F2393">
        <v>5</v>
      </c>
    </row>
    <row r="2394" spans="1:6" x14ac:dyDescent="0.25">
      <c r="A2394" t="s">
        <v>3806</v>
      </c>
      <c r="B2394" t="s">
        <v>3800</v>
      </c>
      <c r="C2394" t="s">
        <v>3801</v>
      </c>
      <c r="D2394" s="2">
        <v>45920</v>
      </c>
      <c r="E2394">
        <v>28</v>
      </c>
      <c r="F2394">
        <v>6</v>
      </c>
    </row>
    <row r="2395" spans="1:6" x14ac:dyDescent="0.25">
      <c r="A2395" t="s">
        <v>3807</v>
      </c>
      <c r="B2395" t="s">
        <v>3800</v>
      </c>
      <c r="C2395" t="s">
        <v>3801</v>
      </c>
      <c r="D2395" s="2">
        <v>45950</v>
      </c>
      <c r="E2395">
        <v>28</v>
      </c>
      <c r="F2395">
        <v>7</v>
      </c>
    </row>
    <row r="2396" spans="1:6" x14ac:dyDescent="0.25">
      <c r="A2396" t="s">
        <v>3808</v>
      </c>
      <c r="B2396" t="s">
        <v>3809</v>
      </c>
      <c r="C2396" t="s">
        <v>3810</v>
      </c>
      <c r="D2396" s="2">
        <v>45868</v>
      </c>
      <c r="E2396">
        <v>28</v>
      </c>
      <c r="F2396">
        <v>1</v>
      </c>
    </row>
    <row r="2397" spans="1:6" x14ac:dyDescent="0.25">
      <c r="A2397" t="s">
        <v>3811</v>
      </c>
      <c r="B2397" t="s">
        <v>3809</v>
      </c>
      <c r="C2397" t="s">
        <v>3810</v>
      </c>
      <c r="D2397" s="2">
        <v>45898</v>
      </c>
      <c r="E2397">
        <v>28</v>
      </c>
      <c r="F2397">
        <v>2</v>
      </c>
    </row>
    <row r="2398" spans="1:6" x14ac:dyDescent="0.25">
      <c r="A2398" t="s">
        <v>3812</v>
      </c>
      <c r="B2398" t="s">
        <v>3809</v>
      </c>
      <c r="C2398" t="s">
        <v>3810</v>
      </c>
      <c r="D2398" s="2">
        <v>45929</v>
      </c>
      <c r="E2398">
        <v>28</v>
      </c>
      <c r="F2398">
        <v>3</v>
      </c>
    </row>
    <row r="2399" spans="1:6" x14ac:dyDescent="0.25">
      <c r="A2399" t="s">
        <v>3813</v>
      </c>
      <c r="B2399" t="s">
        <v>3809</v>
      </c>
      <c r="C2399" t="s">
        <v>3810</v>
      </c>
      <c r="D2399" s="2">
        <v>45960</v>
      </c>
      <c r="E2399">
        <v>28</v>
      </c>
      <c r="F2399">
        <v>4</v>
      </c>
    </row>
    <row r="2400" spans="1:6" x14ac:dyDescent="0.25">
      <c r="A2400" t="s">
        <v>3814</v>
      </c>
      <c r="B2400" t="s">
        <v>3815</v>
      </c>
      <c r="C2400" t="s">
        <v>3816</v>
      </c>
      <c r="D2400" s="2">
        <v>45801</v>
      </c>
      <c r="E2400">
        <v>14</v>
      </c>
      <c r="F2400">
        <v>1</v>
      </c>
    </row>
    <row r="2401" spans="1:6" x14ac:dyDescent="0.25">
      <c r="A2401" t="s">
        <v>3817</v>
      </c>
      <c r="B2401" t="s">
        <v>3815</v>
      </c>
      <c r="C2401" t="s">
        <v>3816</v>
      </c>
      <c r="D2401" s="2">
        <v>45812</v>
      </c>
      <c r="E2401">
        <v>14</v>
      </c>
      <c r="F2401">
        <v>2</v>
      </c>
    </row>
    <row r="2402" spans="1:6" x14ac:dyDescent="0.25">
      <c r="A2402" t="s">
        <v>3818</v>
      </c>
      <c r="B2402" t="s">
        <v>3815</v>
      </c>
      <c r="C2402" t="s">
        <v>3816</v>
      </c>
      <c r="D2402" s="2">
        <v>45827</v>
      </c>
      <c r="E2402">
        <v>14</v>
      </c>
      <c r="F2402">
        <v>3</v>
      </c>
    </row>
    <row r="2403" spans="1:6" x14ac:dyDescent="0.25">
      <c r="A2403" t="s">
        <v>3819</v>
      </c>
      <c r="B2403" t="s">
        <v>3815</v>
      </c>
      <c r="C2403" t="s">
        <v>3816</v>
      </c>
      <c r="D2403" s="2">
        <v>45839</v>
      </c>
      <c r="E2403">
        <v>14</v>
      </c>
      <c r="F2403">
        <v>4</v>
      </c>
    </row>
    <row r="2404" spans="1:6" x14ac:dyDescent="0.25">
      <c r="A2404" t="s">
        <v>3820</v>
      </c>
      <c r="B2404" t="s">
        <v>3815</v>
      </c>
      <c r="C2404" t="s">
        <v>3816</v>
      </c>
      <c r="D2404" s="2">
        <v>45855</v>
      </c>
      <c r="E2404">
        <v>14</v>
      </c>
      <c r="F2404">
        <v>5</v>
      </c>
    </row>
    <row r="2405" spans="1:6" x14ac:dyDescent="0.25">
      <c r="A2405" t="s">
        <v>3821</v>
      </c>
      <c r="B2405" t="s">
        <v>3815</v>
      </c>
      <c r="C2405" t="s">
        <v>3816</v>
      </c>
      <c r="D2405" s="2">
        <v>45871</v>
      </c>
      <c r="E2405">
        <v>14</v>
      </c>
      <c r="F2405">
        <v>6</v>
      </c>
    </row>
    <row r="2406" spans="1:6" x14ac:dyDescent="0.25">
      <c r="A2406" t="s">
        <v>3822</v>
      </c>
      <c r="B2406" t="s">
        <v>3815</v>
      </c>
      <c r="C2406" t="s">
        <v>3816</v>
      </c>
      <c r="D2406" s="2">
        <v>45882</v>
      </c>
      <c r="E2406">
        <v>14</v>
      </c>
      <c r="F2406">
        <v>7</v>
      </c>
    </row>
    <row r="2407" spans="1:6" x14ac:dyDescent="0.25">
      <c r="A2407" t="s">
        <v>3823</v>
      </c>
      <c r="B2407" t="s">
        <v>3815</v>
      </c>
      <c r="C2407" t="s">
        <v>3816</v>
      </c>
      <c r="D2407" s="2">
        <v>45898</v>
      </c>
      <c r="E2407">
        <v>14</v>
      </c>
      <c r="F2407">
        <v>8</v>
      </c>
    </row>
    <row r="2408" spans="1:6" x14ac:dyDescent="0.25">
      <c r="A2408" t="s">
        <v>3824</v>
      </c>
      <c r="B2408" t="s">
        <v>3815</v>
      </c>
      <c r="C2408" t="s">
        <v>3816</v>
      </c>
      <c r="D2408" s="2">
        <v>45915</v>
      </c>
      <c r="E2408">
        <v>14</v>
      </c>
      <c r="F2408">
        <v>9</v>
      </c>
    </row>
    <row r="2409" spans="1:6" x14ac:dyDescent="0.25">
      <c r="A2409" t="s">
        <v>3825</v>
      </c>
      <c r="B2409" t="s">
        <v>3815</v>
      </c>
      <c r="C2409" t="s">
        <v>3816</v>
      </c>
      <c r="D2409" s="2">
        <v>45928</v>
      </c>
      <c r="E2409">
        <v>14</v>
      </c>
      <c r="F2409">
        <v>10</v>
      </c>
    </row>
    <row r="2410" spans="1:6" x14ac:dyDescent="0.25">
      <c r="A2410" t="s">
        <v>3826</v>
      </c>
      <c r="B2410" t="s">
        <v>3815</v>
      </c>
      <c r="C2410" t="s">
        <v>3816</v>
      </c>
      <c r="D2410" s="2">
        <v>45939</v>
      </c>
      <c r="E2410">
        <v>14</v>
      </c>
      <c r="F2410">
        <v>11</v>
      </c>
    </row>
    <row r="2411" spans="1:6" x14ac:dyDescent="0.25">
      <c r="A2411" t="s">
        <v>3827</v>
      </c>
      <c r="B2411" t="s">
        <v>3815</v>
      </c>
      <c r="C2411" t="s">
        <v>3816</v>
      </c>
      <c r="D2411" s="2">
        <v>45952</v>
      </c>
      <c r="E2411">
        <v>14</v>
      </c>
      <c r="F2411">
        <v>12</v>
      </c>
    </row>
    <row r="2412" spans="1:6" x14ac:dyDescent="0.25">
      <c r="A2412" t="s">
        <v>3828</v>
      </c>
      <c r="B2412" t="s">
        <v>3829</v>
      </c>
      <c r="C2412" t="s">
        <v>3830</v>
      </c>
      <c r="D2412" s="2">
        <v>45931</v>
      </c>
      <c r="E2412">
        <v>28</v>
      </c>
      <c r="F2412">
        <v>1</v>
      </c>
    </row>
    <row r="2413" spans="1:6" x14ac:dyDescent="0.25">
      <c r="A2413" t="s">
        <v>3831</v>
      </c>
      <c r="B2413" t="s">
        <v>3829</v>
      </c>
      <c r="C2413" t="s">
        <v>3830</v>
      </c>
      <c r="D2413" s="2">
        <v>45959</v>
      </c>
      <c r="E2413">
        <v>28</v>
      </c>
      <c r="F2413">
        <v>2</v>
      </c>
    </row>
    <row r="2414" spans="1:6" x14ac:dyDescent="0.25">
      <c r="A2414" t="s">
        <v>3832</v>
      </c>
      <c r="B2414" t="s">
        <v>3833</v>
      </c>
      <c r="C2414" t="s">
        <v>3834</v>
      </c>
      <c r="D2414" s="2">
        <v>45861</v>
      </c>
      <c r="E2414">
        <v>28</v>
      </c>
      <c r="F2414">
        <v>1</v>
      </c>
    </row>
    <row r="2415" spans="1:6" x14ac:dyDescent="0.25">
      <c r="A2415" t="s">
        <v>3835</v>
      </c>
      <c r="B2415" t="s">
        <v>3833</v>
      </c>
      <c r="C2415" t="s">
        <v>3834</v>
      </c>
      <c r="D2415" s="2">
        <v>45889</v>
      </c>
      <c r="E2415">
        <v>28</v>
      </c>
      <c r="F2415">
        <v>2</v>
      </c>
    </row>
    <row r="2416" spans="1:6" x14ac:dyDescent="0.25">
      <c r="A2416" t="s">
        <v>3836</v>
      </c>
      <c r="B2416" t="s">
        <v>3833</v>
      </c>
      <c r="C2416" t="s">
        <v>3834</v>
      </c>
      <c r="D2416" s="2">
        <v>45919</v>
      </c>
      <c r="E2416">
        <v>28</v>
      </c>
      <c r="F2416">
        <v>3</v>
      </c>
    </row>
    <row r="2417" spans="1:6" x14ac:dyDescent="0.25">
      <c r="A2417" t="s">
        <v>3837</v>
      </c>
      <c r="B2417" t="s">
        <v>3833</v>
      </c>
      <c r="C2417" t="s">
        <v>3834</v>
      </c>
      <c r="D2417" s="2">
        <v>45947</v>
      </c>
      <c r="E2417">
        <v>28</v>
      </c>
      <c r="F2417">
        <v>4</v>
      </c>
    </row>
    <row r="2418" spans="1:6" x14ac:dyDescent="0.25">
      <c r="A2418" t="s">
        <v>3838</v>
      </c>
      <c r="B2418" t="s">
        <v>3839</v>
      </c>
      <c r="C2418" t="s">
        <v>3840</v>
      </c>
      <c r="D2418" s="2">
        <v>45781</v>
      </c>
      <c r="E2418">
        <v>28</v>
      </c>
      <c r="F2418">
        <v>1</v>
      </c>
    </row>
    <row r="2419" spans="1:6" x14ac:dyDescent="0.25">
      <c r="A2419" t="s">
        <v>3841</v>
      </c>
      <c r="B2419" t="s">
        <v>3839</v>
      </c>
      <c r="C2419" t="s">
        <v>3840</v>
      </c>
      <c r="D2419" s="2">
        <v>45808</v>
      </c>
      <c r="E2419">
        <v>28</v>
      </c>
      <c r="F2419">
        <v>2</v>
      </c>
    </row>
    <row r="2420" spans="1:6" x14ac:dyDescent="0.25">
      <c r="A2420" t="s">
        <v>3842</v>
      </c>
      <c r="B2420" t="s">
        <v>3839</v>
      </c>
      <c r="C2420" t="s">
        <v>3840</v>
      </c>
      <c r="D2420" s="2">
        <v>45833</v>
      </c>
      <c r="E2420">
        <v>28</v>
      </c>
      <c r="F2420">
        <v>3</v>
      </c>
    </row>
    <row r="2421" spans="1:6" x14ac:dyDescent="0.25">
      <c r="A2421" t="s">
        <v>3843</v>
      </c>
      <c r="B2421" t="s">
        <v>3839</v>
      </c>
      <c r="C2421" t="s">
        <v>3840</v>
      </c>
      <c r="D2421" s="2">
        <v>45862</v>
      </c>
      <c r="E2421">
        <v>28</v>
      </c>
      <c r="F2421">
        <v>4</v>
      </c>
    </row>
    <row r="2422" spans="1:6" x14ac:dyDescent="0.25">
      <c r="A2422" t="s">
        <v>3844</v>
      </c>
      <c r="B2422" t="s">
        <v>3839</v>
      </c>
      <c r="C2422" t="s">
        <v>3840</v>
      </c>
      <c r="D2422" s="2">
        <v>45889</v>
      </c>
      <c r="E2422">
        <v>28</v>
      </c>
      <c r="F2422">
        <v>5</v>
      </c>
    </row>
    <row r="2423" spans="1:6" x14ac:dyDescent="0.25">
      <c r="A2423" t="s">
        <v>3845</v>
      </c>
      <c r="B2423" t="s">
        <v>3839</v>
      </c>
      <c r="C2423" t="s">
        <v>3840</v>
      </c>
      <c r="D2423" s="2">
        <v>45920</v>
      </c>
      <c r="E2423">
        <v>28</v>
      </c>
      <c r="F2423">
        <v>6</v>
      </c>
    </row>
    <row r="2424" spans="1:6" x14ac:dyDescent="0.25">
      <c r="A2424" t="s">
        <v>3846</v>
      </c>
      <c r="B2424" t="s">
        <v>3839</v>
      </c>
      <c r="C2424" t="s">
        <v>3840</v>
      </c>
      <c r="D2424" s="2">
        <v>45947</v>
      </c>
      <c r="E2424">
        <v>28</v>
      </c>
      <c r="F2424">
        <v>7</v>
      </c>
    </row>
    <row r="2425" spans="1:6" x14ac:dyDescent="0.25">
      <c r="A2425" t="s">
        <v>3847</v>
      </c>
      <c r="B2425" t="s">
        <v>3848</v>
      </c>
      <c r="C2425" t="s">
        <v>3849</v>
      </c>
      <c r="D2425" s="2">
        <v>45883</v>
      </c>
      <c r="E2425">
        <v>28</v>
      </c>
      <c r="F2425">
        <v>1</v>
      </c>
    </row>
    <row r="2426" spans="1:6" x14ac:dyDescent="0.25">
      <c r="A2426" t="s">
        <v>3850</v>
      </c>
      <c r="B2426" t="s">
        <v>3848</v>
      </c>
      <c r="C2426" t="s">
        <v>3849</v>
      </c>
      <c r="D2426" s="2">
        <v>45909</v>
      </c>
      <c r="E2426">
        <v>28</v>
      </c>
      <c r="F2426">
        <v>2</v>
      </c>
    </row>
    <row r="2427" spans="1:6" x14ac:dyDescent="0.25">
      <c r="A2427" t="s">
        <v>3851</v>
      </c>
      <c r="B2427" t="s">
        <v>3852</v>
      </c>
      <c r="C2427" t="s">
        <v>3853</v>
      </c>
      <c r="D2427" s="2">
        <v>45799</v>
      </c>
      <c r="E2427">
        <v>28</v>
      </c>
      <c r="F2427">
        <v>1</v>
      </c>
    </row>
    <row r="2428" spans="1:6" x14ac:dyDescent="0.25">
      <c r="A2428" t="s">
        <v>3854</v>
      </c>
      <c r="B2428" t="s">
        <v>3852</v>
      </c>
      <c r="C2428" t="s">
        <v>3853</v>
      </c>
      <c r="D2428" s="2">
        <v>45826</v>
      </c>
      <c r="E2428">
        <v>28</v>
      </c>
      <c r="F2428">
        <v>2</v>
      </c>
    </row>
    <row r="2429" spans="1:6" x14ac:dyDescent="0.25">
      <c r="A2429" t="s">
        <v>3855</v>
      </c>
      <c r="B2429" t="s">
        <v>3852</v>
      </c>
      <c r="C2429" t="s">
        <v>3853</v>
      </c>
      <c r="D2429" s="2">
        <v>45856</v>
      </c>
      <c r="E2429">
        <v>28</v>
      </c>
      <c r="F2429">
        <v>3</v>
      </c>
    </row>
    <row r="2430" spans="1:6" x14ac:dyDescent="0.25">
      <c r="A2430" t="s">
        <v>3856</v>
      </c>
      <c r="B2430" t="s">
        <v>3852</v>
      </c>
      <c r="C2430" t="s">
        <v>3853</v>
      </c>
      <c r="D2430" s="2">
        <v>45881</v>
      </c>
      <c r="E2430">
        <v>28</v>
      </c>
      <c r="F2430">
        <v>4</v>
      </c>
    </row>
    <row r="2431" spans="1:6" x14ac:dyDescent="0.25">
      <c r="A2431" t="s">
        <v>3857</v>
      </c>
      <c r="B2431" t="s">
        <v>3852</v>
      </c>
      <c r="C2431" t="s">
        <v>3853</v>
      </c>
      <c r="D2431" s="2">
        <v>45909</v>
      </c>
      <c r="E2431">
        <v>28</v>
      </c>
      <c r="F2431">
        <v>5</v>
      </c>
    </row>
    <row r="2432" spans="1:6" x14ac:dyDescent="0.25">
      <c r="A2432" t="s">
        <v>3858</v>
      </c>
      <c r="B2432" t="s">
        <v>3852</v>
      </c>
      <c r="C2432" t="s">
        <v>3853</v>
      </c>
      <c r="D2432" s="2">
        <v>45935</v>
      </c>
      <c r="E2432">
        <v>28</v>
      </c>
      <c r="F2432">
        <v>6</v>
      </c>
    </row>
    <row r="2433" spans="1:6" x14ac:dyDescent="0.25">
      <c r="A2433" t="s">
        <v>3859</v>
      </c>
      <c r="B2433" t="s">
        <v>3852</v>
      </c>
      <c r="C2433" t="s">
        <v>3853</v>
      </c>
      <c r="D2433" s="2">
        <v>45960</v>
      </c>
      <c r="E2433">
        <v>28</v>
      </c>
      <c r="F2433">
        <v>7</v>
      </c>
    </row>
    <row r="2434" spans="1:6" x14ac:dyDescent="0.25">
      <c r="A2434" t="s">
        <v>3860</v>
      </c>
      <c r="B2434" t="s">
        <v>3861</v>
      </c>
      <c r="C2434" t="s">
        <v>3862</v>
      </c>
      <c r="D2434" s="2">
        <v>45921</v>
      </c>
      <c r="E2434">
        <v>28</v>
      </c>
      <c r="F2434">
        <v>1</v>
      </c>
    </row>
    <row r="2435" spans="1:6" x14ac:dyDescent="0.25">
      <c r="A2435" t="s">
        <v>3863</v>
      </c>
      <c r="B2435" t="s">
        <v>3861</v>
      </c>
      <c r="C2435" t="s">
        <v>3862</v>
      </c>
      <c r="D2435" s="2">
        <v>45948</v>
      </c>
      <c r="E2435">
        <v>28</v>
      </c>
      <c r="F2435">
        <v>2</v>
      </c>
    </row>
    <row r="2436" spans="1:6" x14ac:dyDescent="0.25">
      <c r="A2436" t="s">
        <v>3864</v>
      </c>
      <c r="B2436" t="s">
        <v>3865</v>
      </c>
      <c r="C2436" t="s">
        <v>3866</v>
      </c>
      <c r="D2436" s="2">
        <v>45924</v>
      </c>
      <c r="E2436">
        <v>30</v>
      </c>
      <c r="F2436">
        <v>1</v>
      </c>
    </row>
    <row r="2437" spans="1:6" x14ac:dyDescent="0.25">
      <c r="A2437" t="s">
        <v>3867</v>
      </c>
      <c r="B2437" t="s">
        <v>3865</v>
      </c>
      <c r="C2437" t="s">
        <v>3866</v>
      </c>
      <c r="D2437" s="2">
        <v>45953</v>
      </c>
      <c r="E2437">
        <v>30</v>
      </c>
      <c r="F2437">
        <v>2</v>
      </c>
    </row>
    <row r="2438" spans="1:6" x14ac:dyDescent="0.25">
      <c r="A2438" t="s">
        <v>3868</v>
      </c>
      <c r="B2438" t="s">
        <v>3869</v>
      </c>
      <c r="C2438" t="s">
        <v>3870</v>
      </c>
      <c r="D2438" s="2">
        <v>45821</v>
      </c>
      <c r="E2438">
        <v>28</v>
      </c>
      <c r="F2438">
        <v>1</v>
      </c>
    </row>
    <row r="2439" spans="1:6" x14ac:dyDescent="0.25">
      <c r="A2439" t="s">
        <v>3871</v>
      </c>
      <c r="B2439" t="s">
        <v>3869</v>
      </c>
      <c r="C2439" t="s">
        <v>3870</v>
      </c>
      <c r="D2439" s="2">
        <v>45851</v>
      </c>
      <c r="E2439">
        <v>28</v>
      </c>
      <c r="F2439">
        <v>2</v>
      </c>
    </row>
    <row r="2440" spans="1:6" x14ac:dyDescent="0.25">
      <c r="A2440" t="s">
        <v>3872</v>
      </c>
      <c r="B2440" t="s">
        <v>3869</v>
      </c>
      <c r="C2440" t="s">
        <v>3870</v>
      </c>
      <c r="D2440" s="2">
        <v>45880</v>
      </c>
      <c r="E2440">
        <v>28</v>
      </c>
      <c r="F2440">
        <v>3</v>
      </c>
    </row>
    <row r="2441" spans="1:6" x14ac:dyDescent="0.25">
      <c r="A2441" t="s">
        <v>3873</v>
      </c>
      <c r="B2441" t="s">
        <v>3869</v>
      </c>
      <c r="C2441" t="s">
        <v>3870</v>
      </c>
      <c r="D2441" s="2">
        <v>45909</v>
      </c>
      <c r="E2441">
        <v>28</v>
      </c>
      <c r="F2441">
        <v>4</v>
      </c>
    </row>
    <row r="2442" spans="1:6" x14ac:dyDescent="0.25">
      <c r="A2442" t="s">
        <v>3874</v>
      </c>
      <c r="B2442" t="s">
        <v>3869</v>
      </c>
      <c r="C2442" t="s">
        <v>3870</v>
      </c>
      <c r="D2442" s="2">
        <v>45935</v>
      </c>
      <c r="E2442">
        <v>28</v>
      </c>
      <c r="F2442">
        <v>5</v>
      </c>
    </row>
    <row r="2443" spans="1:6" x14ac:dyDescent="0.25">
      <c r="A2443" t="s">
        <v>3875</v>
      </c>
      <c r="B2443" t="s">
        <v>3876</v>
      </c>
      <c r="C2443" t="s">
        <v>3877</v>
      </c>
      <c r="D2443" s="2">
        <v>45875</v>
      </c>
      <c r="E2443">
        <v>28</v>
      </c>
      <c r="F2443">
        <v>1</v>
      </c>
    </row>
    <row r="2444" spans="1:6" x14ac:dyDescent="0.25">
      <c r="A2444" t="s">
        <v>3878</v>
      </c>
      <c r="B2444" t="s">
        <v>3876</v>
      </c>
      <c r="C2444" t="s">
        <v>3877</v>
      </c>
      <c r="D2444" s="2">
        <v>45906</v>
      </c>
      <c r="E2444">
        <v>28</v>
      </c>
      <c r="F2444">
        <v>2</v>
      </c>
    </row>
    <row r="2445" spans="1:6" x14ac:dyDescent="0.25">
      <c r="A2445" t="s">
        <v>3879</v>
      </c>
      <c r="B2445" t="s">
        <v>3876</v>
      </c>
      <c r="C2445" t="s">
        <v>3877</v>
      </c>
      <c r="D2445" s="2">
        <v>45933</v>
      </c>
      <c r="E2445">
        <v>28</v>
      </c>
      <c r="F2445">
        <v>3</v>
      </c>
    </row>
    <row r="2446" spans="1:6" x14ac:dyDescent="0.25">
      <c r="A2446" t="s">
        <v>3880</v>
      </c>
      <c r="B2446" t="s">
        <v>3881</v>
      </c>
      <c r="C2446" t="s">
        <v>3882</v>
      </c>
      <c r="D2446" s="2">
        <v>45813</v>
      </c>
      <c r="E2446">
        <v>14</v>
      </c>
      <c r="F2446">
        <v>1</v>
      </c>
    </row>
    <row r="2447" spans="1:6" x14ac:dyDescent="0.25">
      <c r="A2447" t="s">
        <v>3883</v>
      </c>
      <c r="B2447" t="s">
        <v>3881</v>
      </c>
      <c r="C2447" t="s">
        <v>3882</v>
      </c>
      <c r="D2447" s="2">
        <v>45825</v>
      </c>
      <c r="E2447">
        <v>14</v>
      </c>
      <c r="F2447">
        <v>2</v>
      </c>
    </row>
    <row r="2448" spans="1:6" x14ac:dyDescent="0.25">
      <c r="A2448" t="s">
        <v>3884</v>
      </c>
      <c r="B2448" t="s">
        <v>3881</v>
      </c>
      <c r="C2448" t="s">
        <v>3882</v>
      </c>
      <c r="D2448" s="2">
        <v>45842</v>
      </c>
      <c r="E2448">
        <v>14</v>
      </c>
      <c r="F2448">
        <v>3</v>
      </c>
    </row>
    <row r="2449" spans="1:6" x14ac:dyDescent="0.25">
      <c r="A2449" t="s">
        <v>3885</v>
      </c>
      <c r="B2449" t="s">
        <v>3886</v>
      </c>
      <c r="C2449" t="s">
        <v>3887</v>
      </c>
      <c r="D2449" s="2">
        <v>45855</v>
      </c>
      <c r="E2449">
        <v>21</v>
      </c>
      <c r="F2449">
        <v>1</v>
      </c>
    </row>
    <row r="2450" spans="1:6" x14ac:dyDescent="0.25">
      <c r="A2450" t="s">
        <v>3888</v>
      </c>
      <c r="B2450" t="s">
        <v>3886</v>
      </c>
      <c r="C2450" t="s">
        <v>3887</v>
      </c>
      <c r="D2450" s="2">
        <v>45874</v>
      </c>
      <c r="E2450">
        <v>21</v>
      </c>
      <c r="F2450">
        <v>2</v>
      </c>
    </row>
    <row r="2451" spans="1:6" x14ac:dyDescent="0.25">
      <c r="A2451" t="s">
        <v>3889</v>
      </c>
      <c r="B2451" t="s">
        <v>3886</v>
      </c>
      <c r="C2451" t="s">
        <v>3887</v>
      </c>
      <c r="D2451" s="2">
        <v>45898</v>
      </c>
      <c r="E2451">
        <v>21</v>
      </c>
      <c r="F2451">
        <v>3</v>
      </c>
    </row>
    <row r="2452" spans="1:6" x14ac:dyDescent="0.25">
      <c r="A2452" t="s">
        <v>3890</v>
      </c>
      <c r="B2452" t="s">
        <v>3886</v>
      </c>
      <c r="C2452" t="s">
        <v>3887</v>
      </c>
      <c r="D2452" s="2">
        <v>45922</v>
      </c>
      <c r="E2452">
        <v>21</v>
      </c>
      <c r="F2452">
        <v>4</v>
      </c>
    </row>
    <row r="2453" spans="1:6" x14ac:dyDescent="0.25">
      <c r="A2453" t="s">
        <v>3891</v>
      </c>
      <c r="B2453" t="s">
        <v>3886</v>
      </c>
      <c r="C2453" t="s">
        <v>3887</v>
      </c>
      <c r="D2453" s="2">
        <v>45946</v>
      </c>
      <c r="E2453">
        <v>21</v>
      </c>
      <c r="F2453">
        <v>5</v>
      </c>
    </row>
    <row r="2454" spans="1:6" x14ac:dyDescent="0.25">
      <c r="A2454" t="s">
        <v>3892</v>
      </c>
      <c r="B2454" t="s">
        <v>3893</v>
      </c>
      <c r="C2454" t="s">
        <v>3894</v>
      </c>
      <c r="D2454" s="2">
        <v>45904</v>
      </c>
      <c r="E2454">
        <v>28</v>
      </c>
      <c r="F2454">
        <v>1</v>
      </c>
    </row>
    <row r="2455" spans="1:6" x14ac:dyDescent="0.25">
      <c r="A2455" t="s">
        <v>3895</v>
      </c>
      <c r="B2455" t="s">
        <v>3893</v>
      </c>
      <c r="C2455" t="s">
        <v>3894</v>
      </c>
      <c r="D2455" s="2">
        <v>45930</v>
      </c>
      <c r="E2455">
        <v>28</v>
      </c>
      <c r="F2455">
        <v>2</v>
      </c>
    </row>
    <row r="2456" spans="1:6" x14ac:dyDescent="0.25">
      <c r="A2456" t="s">
        <v>3896</v>
      </c>
      <c r="B2456" t="s">
        <v>3893</v>
      </c>
      <c r="C2456" t="s">
        <v>3894</v>
      </c>
      <c r="D2456" s="2">
        <v>45958</v>
      </c>
      <c r="E2456">
        <v>28</v>
      </c>
      <c r="F2456">
        <v>3</v>
      </c>
    </row>
    <row r="2457" spans="1:6" x14ac:dyDescent="0.25">
      <c r="A2457" t="s">
        <v>3897</v>
      </c>
      <c r="B2457" t="s">
        <v>3898</v>
      </c>
      <c r="C2457" t="s">
        <v>3899</v>
      </c>
      <c r="D2457" s="2">
        <v>45794</v>
      </c>
      <c r="E2457">
        <v>30</v>
      </c>
      <c r="F2457">
        <v>1</v>
      </c>
    </row>
    <row r="2458" spans="1:6" x14ac:dyDescent="0.25">
      <c r="A2458" t="s">
        <v>3900</v>
      </c>
      <c r="B2458" t="s">
        <v>3901</v>
      </c>
      <c r="C2458" t="s">
        <v>3902</v>
      </c>
      <c r="D2458" s="2">
        <v>45889</v>
      </c>
      <c r="E2458">
        <v>28</v>
      </c>
      <c r="F2458">
        <v>1</v>
      </c>
    </row>
    <row r="2459" spans="1:6" x14ac:dyDescent="0.25">
      <c r="A2459" t="s">
        <v>3903</v>
      </c>
      <c r="B2459" t="s">
        <v>3901</v>
      </c>
      <c r="C2459" t="s">
        <v>3902</v>
      </c>
      <c r="D2459" s="2">
        <v>45919</v>
      </c>
      <c r="E2459">
        <v>28</v>
      </c>
      <c r="F2459">
        <v>2</v>
      </c>
    </row>
    <row r="2460" spans="1:6" x14ac:dyDescent="0.25">
      <c r="A2460" t="s">
        <v>3904</v>
      </c>
      <c r="B2460" t="s">
        <v>3901</v>
      </c>
      <c r="C2460" t="s">
        <v>3902</v>
      </c>
      <c r="D2460" s="2">
        <v>45946</v>
      </c>
      <c r="E2460">
        <v>28</v>
      </c>
      <c r="F2460">
        <v>3</v>
      </c>
    </row>
    <row r="2461" spans="1:6" x14ac:dyDescent="0.25">
      <c r="A2461" t="s">
        <v>3905</v>
      </c>
      <c r="B2461" t="s">
        <v>3906</v>
      </c>
      <c r="C2461" t="s">
        <v>3907</v>
      </c>
      <c r="D2461" s="2">
        <v>45885</v>
      </c>
      <c r="E2461">
        <v>28</v>
      </c>
      <c r="F2461">
        <v>1</v>
      </c>
    </row>
    <row r="2462" spans="1:6" x14ac:dyDescent="0.25">
      <c r="A2462" t="s">
        <v>3908</v>
      </c>
      <c r="B2462" t="s">
        <v>3906</v>
      </c>
      <c r="C2462" t="s">
        <v>3907</v>
      </c>
      <c r="D2462" s="2">
        <v>45916</v>
      </c>
      <c r="E2462">
        <v>28</v>
      </c>
      <c r="F2462">
        <v>2</v>
      </c>
    </row>
    <row r="2463" spans="1:6" x14ac:dyDescent="0.25">
      <c r="A2463" t="s">
        <v>3909</v>
      </c>
      <c r="B2463" t="s">
        <v>3906</v>
      </c>
      <c r="C2463" t="s">
        <v>3907</v>
      </c>
      <c r="D2463" s="2">
        <v>45941</v>
      </c>
      <c r="E2463">
        <v>28</v>
      </c>
      <c r="F2463">
        <v>3</v>
      </c>
    </row>
    <row r="2464" spans="1:6" x14ac:dyDescent="0.25">
      <c r="A2464" t="s">
        <v>3910</v>
      </c>
      <c r="B2464" t="s">
        <v>3911</v>
      </c>
      <c r="C2464" t="s">
        <v>3912</v>
      </c>
      <c r="D2464" s="2">
        <v>45901</v>
      </c>
      <c r="E2464">
        <v>28</v>
      </c>
      <c r="F2464">
        <v>1</v>
      </c>
    </row>
    <row r="2465" spans="1:6" x14ac:dyDescent="0.25">
      <c r="A2465" t="s">
        <v>3913</v>
      </c>
      <c r="B2465" t="s">
        <v>3911</v>
      </c>
      <c r="C2465" t="s">
        <v>3912</v>
      </c>
      <c r="D2465" s="2">
        <v>45929</v>
      </c>
      <c r="E2465">
        <v>28</v>
      </c>
      <c r="F2465">
        <v>2</v>
      </c>
    </row>
    <row r="2466" spans="1:6" x14ac:dyDescent="0.25">
      <c r="A2466" t="s">
        <v>3914</v>
      </c>
      <c r="B2466" t="s">
        <v>3911</v>
      </c>
      <c r="C2466" t="s">
        <v>3912</v>
      </c>
      <c r="D2466" s="2">
        <v>45956</v>
      </c>
      <c r="E2466">
        <v>28</v>
      </c>
      <c r="F2466">
        <v>3</v>
      </c>
    </row>
    <row r="2467" spans="1:6" x14ac:dyDescent="0.25">
      <c r="A2467" t="s">
        <v>3915</v>
      </c>
      <c r="B2467" t="s">
        <v>3916</v>
      </c>
      <c r="C2467" t="s">
        <v>3917</v>
      </c>
      <c r="D2467" s="2">
        <v>45797</v>
      </c>
      <c r="E2467">
        <v>28</v>
      </c>
      <c r="F2467">
        <v>1</v>
      </c>
    </row>
    <row r="2468" spans="1:6" x14ac:dyDescent="0.25">
      <c r="A2468" t="s">
        <v>3918</v>
      </c>
      <c r="B2468" t="s">
        <v>3916</v>
      </c>
      <c r="C2468" t="s">
        <v>3917</v>
      </c>
      <c r="D2468" s="2">
        <v>45828</v>
      </c>
      <c r="E2468">
        <v>28</v>
      </c>
      <c r="F2468">
        <v>2</v>
      </c>
    </row>
    <row r="2469" spans="1:6" x14ac:dyDescent="0.25">
      <c r="A2469" t="s">
        <v>3919</v>
      </c>
      <c r="B2469" t="s">
        <v>3916</v>
      </c>
      <c r="C2469" t="s">
        <v>3917</v>
      </c>
      <c r="D2469" s="2">
        <v>45857</v>
      </c>
      <c r="E2469">
        <v>28</v>
      </c>
      <c r="F2469">
        <v>3</v>
      </c>
    </row>
    <row r="2470" spans="1:6" x14ac:dyDescent="0.25">
      <c r="A2470" t="s">
        <v>3920</v>
      </c>
      <c r="B2470" t="s">
        <v>3916</v>
      </c>
      <c r="C2470" t="s">
        <v>3917</v>
      </c>
      <c r="D2470" s="2">
        <v>45885</v>
      </c>
      <c r="E2470">
        <v>28</v>
      </c>
      <c r="F2470">
        <v>4</v>
      </c>
    </row>
    <row r="2471" spans="1:6" x14ac:dyDescent="0.25">
      <c r="A2471" t="s">
        <v>3921</v>
      </c>
      <c r="B2471" t="s">
        <v>3916</v>
      </c>
      <c r="C2471" t="s">
        <v>3917</v>
      </c>
      <c r="D2471" s="2">
        <v>45915</v>
      </c>
      <c r="E2471">
        <v>28</v>
      </c>
      <c r="F2471">
        <v>5</v>
      </c>
    </row>
    <row r="2472" spans="1:6" x14ac:dyDescent="0.25">
      <c r="A2472" t="s">
        <v>3922</v>
      </c>
      <c r="B2472" t="s">
        <v>3916</v>
      </c>
      <c r="C2472" t="s">
        <v>3917</v>
      </c>
      <c r="D2472" s="2">
        <v>45943</v>
      </c>
      <c r="E2472">
        <v>28</v>
      </c>
      <c r="F2472">
        <v>6</v>
      </c>
    </row>
    <row r="2473" spans="1:6" x14ac:dyDescent="0.25">
      <c r="A2473" t="s">
        <v>3923</v>
      </c>
      <c r="B2473" t="s">
        <v>3924</v>
      </c>
      <c r="C2473" t="s">
        <v>3925</v>
      </c>
      <c r="D2473" s="2">
        <v>45842</v>
      </c>
      <c r="E2473">
        <v>30</v>
      </c>
      <c r="F2473">
        <v>1</v>
      </c>
    </row>
    <row r="2474" spans="1:6" x14ac:dyDescent="0.25">
      <c r="A2474" t="s">
        <v>3926</v>
      </c>
      <c r="B2474" t="s">
        <v>3924</v>
      </c>
      <c r="C2474" t="s">
        <v>3925</v>
      </c>
      <c r="D2474" s="2">
        <v>45875</v>
      </c>
      <c r="E2474">
        <v>30</v>
      </c>
      <c r="F2474">
        <v>2</v>
      </c>
    </row>
    <row r="2475" spans="1:6" x14ac:dyDescent="0.25">
      <c r="A2475" t="s">
        <v>3927</v>
      </c>
      <c r="B2475" t="s">
        <v>3924</v>
      </c>
      <c r="C2475" t="s">
        <v>3925</v>
      </c>
      <c r="D2475" s="2">
        <v>45902</v>
      </c>
      <c r="E2475">
        <v>30</v>
      </c>
      <c r="F2475">
        <v>3</v>
      </c>
    </row>
    <row r="2476" spans="1:6" x14ac:dyDescent="0.25">
      <c r="A2476" t="s">
        <v>3928</v>
      </c>
      <c r="B2476" t="s">
        <v>3924</v>
      </c>
      <c r="C2476" t="s">
        <v>3925</v>
      </c>
      <c r="D2476" s="2">
        <v>45935</v>
      </c>
      <c r="E2476">
        <v>30</v>
      </c>
      <c r="F2476">
        <v>4</v>
      </c>
    </row>
    <row r="2477" spans="1:6" x14ac:dyDescent="0.25">
      <c r="A2477" t="s">
        <v>3929</v>
      </c>
      <c r="B2477" t="s">
        <v>3930</v>
      </c>
      <c r="C2477" t="s">
        <v>3931</v>
      </c>
      <c r="D2477" s="2">
        <v>45938</v>
      </c>
      <c r="E2477">
        <v>28</v>
      </c>
      <c r="F2477">
        <v>1</v>
      </c>
    </row>
    <row r="2478" spans="1:6" x14ac:dyDescent="0.25">
      <c r="A2478" t="s">
        <v>3932</v>
      </c>
      <c r="B2478" t="s">
        <v>3933</v>
      </c>
      <c r="C2478" t="s">
        <v>3934</v>
      </c>
      <c r="D2478" s="2">
        <v>45930</v>
      </c>
      <c r="E2478">
        <v>28</v>
      </c>
      <c r="F2478">
        <v>1</v>
      </c>
    </row>
    <row r="2479" spans="1:6" x14ac:dyDescent="0.25">
      <c r="A2479" t="s">
        <v>3935</v>
      </c>
      <c r="B2479" t="s">
        <v>3933</v>
      </c>
      <c r="C2479" t="s">
        <v>3934</v>
      </c>
      <c r="D2479" s="2">
        <v>45960</v>
      </c>
      <c r="E2479">
        <v>28</v>
      </c>
      <c r="F2479">
        <v>2</v>
      </c>
    </row>
    <row r="2480" spans="1:6" x14ac:dyDescent="0.25">
      <c r="A2480" t="s">
        <v>3936</v>
      </c>
      <c r="B2480" t="s">
        <v>3937</v>
      </c>
      <c r="C2480" t="s">
        <v>3938</v>
      </c>
      <c r="D2480" s="2">
        <v>45828</v>
      </c>
      <c r="E2480">
        <v>14</v>
      </c>
      <c r="F2480">
        <v>1</v>
      </c>
    </row>
    <row r="2481" spans="1:6" x14ac:dyDescent="0.25">
      <c r="A2481" t="s">
        <v>3939</v>
      </c>
      <c r="B2481" t="s">
        <v>3937</v>
      </c>
      <c r="C2481" t="s">
        <v>3938</v>
      </c>
      <c r="D2481" s="2">
        <v>45843</v>
      </c>
      <c r="E2481">
        <v>14</v>
      </c>
      <c r="F2481">
        <v>2</v>
      </c>
    </row>
    <row r="2482" spans="1:6" x14ac:dyDescent="0.25">
      <c r="A2482" t="s">
        <v>3940</v>
      </c>
      <c r="B2482" t="s">
        <v>3937</v>
      </c>
      <c r="C2482" t="s">
        <v>3938</v>
      </c>
      <c r="D2482" s="2">
        <v>45856</v>
      </c>
      <c r="E2482">
        <v>14</v>
      </c>
      <c r="F2482">
        <v>3</v>
      </c>
    </row>
    <row r="2483" spans="1:6" x14ac:dyDescent="0.25">
      <c r="A2483" t="s">
        <v>3941</v>
      </c>
      <c r="B2483" t="s">
        <v>3937</v>
      </c>
      <c r="C2483" t="s">
        <v>3938</v>
      </c>
      <c r="D2483" s="2">
        <v>45870</v>
      </c>
      <c r="E2483">
        <v>14</v>
      </c>
      <c r="F2483">
        <v>4</v>
      </c>
    </row>
    <row r="2484" spans="1:6" x14ac:dyDescent="0.25">
      <c r="A2484" t="s">
        <v>3942</v>
      </c>
      <c r="B2484" t="s">
        <v>3937</v>
      </c>
      <c r="C2484" t="s">
        <v>3938</v>
      </c>
      <c r="D2484" s="2">
        <v>45886</v>
      </c>
      <c r="E2484">
        <v>14</v>
      </c>
      <c r="F2484">
        <v>5</v>
      </c>
    </row>
    <row r="2485" spans="1:6" x14ac:dyDescent="0.25">
      <c r="A2485" t="s">
        <v>3943</v>
      </c>
      <c r="B2485" t="s">
        <v>3937</v>
      </c>
      <c r="C2485" t="s">
        <v>3938</v>
      </c>
      <c r="D2485" s="2">
        <v>45899</v>
      </c>
      <c r="E2485">
        <v>14</v>
      </c>
      <c r="F2485">
        <v>6</v>
      </c>
    </row>
    <row r="2486" spans="1:6" x14ac:dyDescent="0.25">
      <c r="A2486" t="s">
        <v>3944</v>
      </c>
      <c r="B2486" t="s">
        <v>3937</v>
      </c>
      <c r="C2486" t="s">
        <v>3938</v>
      </c>
      <c r="D2486" s="2">
        <v>45912</v>
      </c>
      <c r="E2486">
        <v>14</v>
      </c>
      <c r="F2486">
        <v>7</v>
      </c>
    </row>
    <row r="2487" spans="1:6" x14ac:dyDescent="0.25">
      <c r="A2487" t="s">
        <v>3945</v>
      </c>
      <c r="B2487" t="s">
        <v>3937</v>
      </c>
      <c r="C2487" t="s">
        <v>3938</v>
      </c>
      <c r="D2487" s="2">
        <v>45929</v>
      </c>
      <c r="E2487">
        <v>14</v>
      </c>
      <c r="F2487">
        <v>8</v>
      </c>
    </row>
    <row r="2488" spans="1:6" x14ac:dyDescent="0.25">
      <c r="A2488" t="s">
        <v>3946</v>
      </c>
      <c r="B2488" t="s">
        <v>3937</v>
      </c>
      <c r="C2488" t="s">
        <v>3938</v>
      </c>
      <c r="D2488" s="2">
        <v>45942</v>
      </c>
      <c r="E2488">
        <v>14</v>
      </c>
      <c r="F2488">
        <v>9</v>
      </c>
    </row>
    <row r="2489" spans="1:6" x14ac:dyDescent="0.25">
      <c r="A2489" t="s">
        <v>3947</v>
      </c>
      <c r="B2489" t="s">
        <v>3937</v>
      </c>
      <c r="C2489" t="s">
        <v>3938</v>
      </c>
      <c r="D2489" s="2">
        <v>45957</v>
      </c>
      <c r="E2489">
        <v>14</v>
      </c>
      <c r="F2489">
        <v>10</v>
      </c>
    </row>
    <row r="2490" spans="1:6" x14ac:dyDescent="0.25">
      <c r="A2490" t="s">
        <v>3948</v>
      </c>
      <c r="B2490" t="s">
        <v>3949</v>
      </c>
      <c r="C2490" t="s">
        <v>3950</v>
      </c>
      <c r="D2490" s="2">
        <v>45805</v>
      </c>
      <c r="E2490">
        <v>28</v>
      </c>
      <c r="F2490">
        <v>1</v>
      </c>
    </row>
    <row r="2491" spans="1:6" x14ac:dyDescent="0.25">
      <c r="A2491" t="s">
        <v>3951</v>
      </c>
      <c r="B2491" t="s">
        <v>3949</v>
      </c>
      <c r="C2491" t="s">
        <v>3950</v>
      </c>
      <c r="D2491" s="2">
        <v>45835</v>
      </c>
      <c r="E2491">
        <v>28</v>
      </c>
      <c r="F2491">
        <v>2</v>
      </c>
    </row>
    <row r="2492" spans="1:6" x14ac:dyDescent="0.25">
      <c r="A2492" t="s">
        <v>3952</v>
      </c>
      <c r="B2492" t="s">
        <v>3949</v>
      </c>
      <c r="C2492" t="s">
        <v>3950</v>
      </c>
      <c r="D2492" s="2">
        <v>45865</v>
      </c>
      <c r="E2492">
        <v>28</v>
      </c>
      <c r="F2492">
        <v>3</v>
      </c>
    </row>
    <row r="2493" spans="1:6" x14ac:dyDescent="0.25">
      <c r="A2493" t="s">
        <v>3953</v>
      </c>
      <c r="B2493" t="s">
        <v>3954</v>
      </c>
      <c r="C2493" t="s">
        <v>3955</v>
      </c>
      <c r="D2493" s="2">
        <v>45855</v>
      </c>
      <c r="E2493">
        <v>28</v>
      </c>
      <c r="F2493">
        <v>1</v>
      </c>
    </row>
    <row r="2494" spans="1:6" x14ac:dyDescent="0.25">
      <c r="A2494" t="s">
        <v>3956</v>
      </c>
      <c r="B2494" t="s">
        <v>3954</v>
      </c>
      <c r="C2494" t="s">
        <v>3955</v>
      </c>
      <c r="D2494" s="2">
        <v>45882</v>
      </c>
      <c r="E2494">
        <v>28</v>
      </c>
      <c r="F2494">
        <v>2</v>
      </c>
    </row>
    <row r="2495" spans="1:6" x14ac:dyDescent="0.25">
      <c r="A2495" t="s">
        <v>3957</v>
      </c>
      <c r="B2495" t="s">
        <v>3954</v>
      </c>
      <c r="C2495" t="s">
        <v>3955</v>
      </c>
      <c r="D2495" s="2">
        <v>45912</v>
      </c>
      <c r="E2495">
        <v>28</v>
      </c>
      <c r="F2495">
        <v>3</v>
      </c>
    </row>
    <row r="2496" spans="1:6" x14ac:dyDescent="0.25">
      <c r="A2496" t="s">
        <v>3958</v>
      </c>
      <c r="B2496" t="s">
        <v>3954</v>
      </c>
      <c r="C2496" t="s">
        <v>3955</v>
      </c>
      <c r="D2496" s="2">
        <v>45939</v>
      </c>
      <c r="E2496">
        <v>28</v>
      </c>
      <c r="F2496">
        <v>4</v>
      </c>
    </row>
    <row r="2497" spans="1:6" x14ac:dyDescent="0.25">
      <c r="A2497" t="s">
        <v>3959</v>
      </c>
      <c r="B2497" t="s">
        <v>3960</v>
      </c>
      <c r="C2497" t="s">
        <v>3961</v>
      </c>
      <c r="D2497" s="2">
        <v>45879</v>
      </c>
      <c r="E2497">
        <v>21</v>
      </c>
      <c r="F2497">
        <v>1</v>
      </c>
    </row>
    <row r="2498" spans="1:6" x14ac:dyDescent="0.25">
      <c r="A2498" t="s">
        <v>3962</v>
      </c>
      <c r="B2498" t="s">
        <v>3960</v>
      </c>
      <c r="C2498" t="s">
        <v>3961</v>
      </c>
      <c r="D2498" s="2">
        <v>45897</v>
      </c>
      <c r="E2498">
        <v>21</v>
      </c>
      <c r="F2498">
        <v>2</v>
      </c>
    </row>
    <row r="2499" spans="1:6" x14ac:dyDescent="0.25">
      <c r="A2499" t="s">
        <v>3963</v>
      </c>
      <c r="B2499" t="s">
        <v>3960</v>
      </c>
      <c r="C2499" t="s">
        <v>3961</v>
      </c>
      <c r="D2499" s="2">
        <v>45915</v>
      </c>
      <c r="E2499">
        <v>21</v>
      </c>
      <c r="F2499">
        <v>3</v>
      </c>
    </row>
    <row r="2500" spans="1:6" x14ac:dyDescent="0.25">
      <c r="A2500" t="s">
        <v>3964</v>
      </c>
      <c r="B2500" t="s">
        <v>3960</v>
      </c>
      <c r="C2500" t="s">
        <v>3961</v>
      </c>
      <c r="D2500" s="2">
        <v>45936</v>
      </c>
      <c r="E2500">
        <v>21</v>
      </c>
      <c r="F2500">
        <v>4</v>
      </c>
    </row>
    <row r="2501" spans="1:6" x14ac:dyDescent="0.25">
      <c r="A2501" t="s">
        <v>3965</v>
      </c>
      <c r="B2501" t="s">
        <v>3960</v>
      </c>
      <c r="C2501" t="s">
        <v>3961</v>
      </c>
      <c r="D2501" s="2">
        <v>45958</v>
      </c>
      <c r="E2501">
        <v>21</v>
      </c>
      <c r="F2501">
        <v>5</v>
      </c>
    </row>
    <row r="2502" spans="1:6" x14ac:dyDescent="0.25">
      <c r="A2502" t="s">
        <v>3966</v>
      </c>
      <c r="B2502" t="s">
        <v>3967</v>
      </c>
      <c r="C2502" t="s">
        <v>3968</v>
      </c>
      <c r="D2502" s="2">
        <v>45936</v>
      </c>
      <c r="E2502">
        <v>28</v>
      </c>
      <c r="F2502">
        <v>1</v>
      </c>
    </row>
    <row r="2503" spans="1:6" x14ac:dyDescent="0.25">
      <c r="A2503" t="s">
        <v>3969</v>
      </c>
      <c r="B2503" t="s">
        <v>3970</v>
      </c>
      <c r="C2503" t="s">
        <v>3971</v>
      </c>
      <c r="D2503" s="2">
        <v>45862</v>
      </c>
      <c r="E2503">
        <v>30</v>
      </c>
      <c r="F2503">
        <v>1</v>
      </c>
    </row>
    <row r="2504" spans="1:6" x14ac:dyDescent="0.25">
      <c r="A2504" t="s">
        <v>3972</v>
      </c>
      <c r="B2504" t="s">
        <v>3970</v>
      </c>
      <c r="C2504" t="s">
        <v>3971</v>
      </c>
      <c r="D2504" s="2">
        <v>45894</v>
      </c>
      <c r="E2504">
        <v>30</v>
      </c>
      <c r="F2504">
        <v>2</v>
      </c>
    </row>
    <row r="2505" spans="1:6" x14ac:dyDescent="0.25">
      <c r="A2505" t="s">
        <v>3973</v>
      </c>
      <c r="B2505" t="s">
        <v>3970</v>
      </c>
      <c r="C2505" t="s">
        <v>3971</v>
      </c>
      <c r="D2505" s="2">
        <v>45923</v>
      </c>
      <c r="E2505">
        <v>30</v>
      </c>
      <c r="F2505">
        <v>3</v>
      </c>
    </row>
    <row r="2506" spans="1:6" x14ac:dyDescent="0.25">
      <c r="A2506" t="s">
        <v>3974</v>
      </c>
      <c r="B2506" t="s">
        <v>3970</v>
      </c>
      <c r="C2506" t="s">
        <v>3971</v>
      </c>
      <c r="D2506" s="2">
        <v>45950</v>
      </c>
      <c r="E2506">
        <v>30</v>
      </c>
      <c r="F2506">
        <v>4</v>
      </c>
    </row>
    <row r="2507" spans="1:6" x14ac:dyDescent="0.25">
      <c r="A2507" t="s">
        <v>3975</v>
      </c>
      <c r="B2507" t="s">
        <v>3976</v>
      </c>
      <c r="C2507" t="s">
        <v>3977</v>
      </c>
      <c r="D2507" s="2">
        <v>45863</v>
      </c>
      <c r="E2507">
        <v>30</v>
      </c>
      <c r="F2507">
        <v>1</v>
      </c>
    </row>
    <row r="2508" spans="1:6" x14ac:dyDescent="0.25">
      <c r="A2508" t="s">
        <v>3978</v>
      </c>
      <c r="B2508" t="s">
        <v>3976</v>
      </c>
      <c r="C2508" t="s">
        <v>3977</v>
      </c>
      <c r="D2508" s="2">
        <v>45890</v>
      </c>
      <c r="E2508">
        <v>30</v>
      </c>
      <c r="F2508">
        <v>2</v>
      </c>
    </row>
    <row r="2509" spans="1:6" x14ac:dyDescent="0.25">
      <c r="A2509" t="s">
        <v>3979</v>
      </c>
      <c r="B2509" t="s">
        <v>3976</v>
      </c>
      <c r="C2509" t="s">
        <v>3977</v>
      </c>
      <c r="D2509" s="2">
        <v>45921</v>
      </c>
      <c r="E2509">
        <v>30</v>
      </c>
      <c r="F2509">
        <v>3</v>
      </c>
    </row>
    <row r="2510" spans="1:6" x14ac:dyDescent="0.25">
      <c r="A2510" t="s">
        <v>3980</v>
      </c>
      <c r="B2510" t="s">
        <v>3976</v>
      </c>
      <c r="C2510" t="s">
        <v>3977</v>
      </c>
      <c r="D2510" s="2">
        <v>45954</v>
      </c>
      <c r="E2510">
        <v>30</v>
      </c>
      <c r="F2510">
        <v>4</v>
      </c>
    </row>
    <row r="2511" spans="1:6" x14ac:dyDescent="0.25">
      <c r="A2511" t="s">
        <v>3981</v>
      </c>
      <c r="B2511" t="s">
        <v>3982</v>
      </c>
      <c r="C2511" t="s">
        <v>3983</v>
      </c>
      <c r="D2511" s="2">
        <v>45944</v>
      </c>
      <c r="E2511">
        <v>28</v>
      </c>
      <c r="F2511">
        <v>1</v>
      </c>
    </row>
    <row r="2512" spans="1:6" x14ac:dyDescent="0.25">
      <c r="A2512" t="s">
        <v>3984</v>
      </c>
      <c r="B2512" t="s">
        <v>3985</v>
      </c>
      <c r="C2512" t="s">
        <v>3986</v>
      </c>
      <c r="D2512" s="2">
        <v>45812</v>
      </c>
      <c r="E2512">
        <v>28</v>
      </c>
      <c r="F2512">
        <v>1</v>
      </c>
    </row>
    <row r="2513" spans="1:6" x14ac:dyDescent="0.25">
      <c r="A2513" t="s">
        <v>3987</v>
      </c>
      <c r="B2513" t="s">
        <v>3985</v>
      </c>
      <c r="C2513" t="s">
        <v>3986</v>
      </c>
      <c r="D2513" s="2">
        <v>45837</v>
      </c>
      <c r="E2513">
        <v>28</v>
      </c>
      <c r="F2513">
        <v>2</v>
      </c>
    </row>
    <row r="2514" spans="1:6" x14ac:dyDescent="0.25">
      <c r="A2514" t="s">
        <v>3988</v>
      </c>
      <c r="B2514" t="s">
        <v>3985</v>
      </c>
      <c r="C2514" t="s">
        <v>3986</v>
      </c>
      <c r="D2514" s="2">
        <v>45868</v>
      </c>
      <c r="E2514">
        <v>28</v>
      </c>
      <c r="F2514">
        <v>3</v>
      </c>
    </row>
    <row r="2515" spans="1:6" x14ac:dyDescent="0.25">
      <c r="A2515" t="s">
        <v>3989</v>
      </c>
      <c r="B2515" t="s">
        <v>3985</v>
      </c>
      <c r="C2515" t="s">
        <v>3986</v>
      </c>
      <c r="D2515" s="2">
        <v>45894</v>
      </c>
      <c r="E2515">
        <v>28</v>
      </c>
      <c r="F2515">
        <v>4</v>
      </c>
    </row>
    <row r="2516" spans="1:6" x14ac:dyDescent="0.25">
      <c r="A2516" t="s">
        <v>3990</v>
      </c>
      <c r="B2516" t="s">
        <v>3985</v>
      </c>
      <c r="C2516" t="s">
        <v>3986</v>
      </c>
      <c r="D2516" s="2">
        <v>45924</v>
      </c>
      <c r="E2516">
        <v>28</v>
      </c>
      <c r="F2516">
        <v>5</v>
      </c>
    </row>
    <row r="2517" spans="1:6" x14ac:dyDescent="0.25">
      <c r="A2517" t="s">
        <v>3991</v>
      </c>
      <c r="B2517" t="s">
        <v>3985</v>
      </c>
      <c r="C2517" t="s">
        <v>3986</v>
      </c>
      <c r="D2517" s="2">
        <v>45954</v>
      </c>
      <c r="E2517">
        <v>28</v>
      </c>
      <c r="F2517">
        <v>6</v>
      </c>
    </row>
    <row r="2518" spans="1:6" x14ac:dyDescent="0.25">
      <c r="A2518" t="s">
        <v>3992</v>
      </c>
      <c r="B2518" t="s">
        <v>3993</v>
      </c>
      <c r="C2518" t="s">
        <v>3994</v>
      </c>
      <c r="D2518" s="2">
        <v>45860</v>
      </c>
      <c r="E2518">
        <v>30</v>
      </c>
      <c r="F2518">
        <v>1</v>
      </c>
    </row>
    <row r="2519" spans="1:6" x14ac:dyDescent="0.25">
      <c r="A2519" t="s">
        <v>3995</v>
      </c>
      <c r="B2519" t="s">
        <v>3993</v>
      </c>
      <c r="C2519" t="s">
        <v>3994</v>
      </c>
      <c r="D2519" s="2">
        <v>45887</v>
      </c>
      <c r="E2519">
        <v>30</v>
      </c>
      <c r="F2519">
        <v>2</v>
      </c>
    </row>
    <row r="2520" spans="1:6" x14ac:dyDescent="0.25">
      <c r="A2520" t="s">
        <v>3996</v>
      </c>
      <c r="B2520" t="s">
        <v>3993</v>
      </c>
      <c r="C2520" t="s">
        <v>3994</v>
      </c>
      <c r="D2520" s="2">
        <v>45915</v>
      </c>
      <c r="E2520">
        <v>30</v>
      </c>
      <c r="F2520">
        <v>3</v>
      </c>
    </row>
    <row r="2521" spans="1:6" x14ac:dyDescent="0.25">
      <c r="A2521" t="s">
        <v>3997</v>
      </c>
      <c r="B2521" t="s">
        <v>3993</v>
      </c>
      <c r="C2521" t="s">
        <v>3994</v>
      </c>
      <c r="D2521" s="2">
        <v>45944</v>
      </c>
      <c r="E2521">
        <v>30</v>
      </c>
      <c r="F2521">
        <v>4</v>
      </c>
    </row>
    <row r="2522" spans="1:6" x14ac:dyDescent="0.25">
      <c r="A2522" t="s">
        <v>3998</v>
      </c>
      <c r="B2522" t="s">
        <v>3999</v>
      </c>
      <c r="C2522" t="s">
        <v>4000</v>
      </c>
      <c r="D2522" s="2">
        <v>45955</v>
      </c>
      <c r="E2522">
        <v>28</v>
      </c>
      <c r="F2522">
        <v>1</v>
      </c>
    </row>
    <row r="2523" spans="1:6" x14ac:dyDescent="0.25">
      <c r="A2523" t="s">
        <v>4001</v>
      </c>
      <c r="B2523" t="s">
        <v>4002</v>
      </c>
      <c r="C2523" t="s">
        <v>4003</v>
      </c>
      <c r="D2523" s="2">
        <v>45900</v>
      </c>
      <c r="E2523">
        <v>28</v>
      </c>
      <c r="F2523">
        <v>1</v>
      </c>
    </row>
    <row r="2524" spans="1:6" x14ac:dyDescent="0.25">
      <c r="A2524" t="s">
        <v>4004</v>
      </c>
      <c r="B2524" t="s">
        <v>4002</v>
      </c>
      <c r="C2524" t="s">
        <v>4003</v>
      </c>
      <c r="D2524" s="2">
        <v>45928</v>
      </c>
      <c r="E2524">
        <v>28</v>
      </c>
      <c r="F2524">
        <v>2</v>
      </c>
    </row>
    <row r="2525" spans="1:6" x14ac:dyDescent="0.25">
      <c r="A2525" t="s">
        <v>4005</v>
      </c>
      <c r="B2525" t="s">
        <v>4002</v>
      </c>
      <c r="C2525" t="s">
        <v>4003</v>
      </c>
      <c r="D2525" s="2">
        <v>45955</v>
      </c>
      <c r="E2525">
        <v>28</v>
      </c>
      <c r="F2525">
        <v>3</v>
      </c>
    </row>
    <row r="2526" spans="1:6" x14ac:dyDescent="0.25">
      <c r="A2526" t="s">
        <v>4006</v>
      </c>
      <c r="B2526" t="s">
        <v>4007</v>
      </c>
      <c r="C2526" t="s">
        <v>4008</v>
      </c>
      <c r="D2526" s="2">
        <v>45823</v>
      </c>
      <c r="E2526">
        <v>30</v>
      </c>
      <c r="F2526">
        <v>1</v>
      </c>
    </row>
    <row r="2527" spans="1:6" x14ac:dyDescent="0.25">
      <c r="A2527" t="s">
        <v>4009</v>
      </c>
      <c r="B2527" t="s">
        <v>4007</v>
      </c>
      <c r="C2527" t="s">
        <v>4008</v>
      </c>
      <c r="D2527" s="2">
        <v>45855</v>
      </c>
      <c r="E2527">
        <v>30</v>
      </c>
      <c r="F2527">
        <v>2</v>
      </c>
    </row>
    <row r="2528" spans="1:6" x14ac:dyDescent="0.25">
      <c r="A2528" t="s">
        <v>4010</v>
      </c>
      <c r="B2528" t="s">
        <v>4007</v>
      </c>
      <c r="C2528" t="s">
        <v>4008</v>
      </c>
      <c r="D2528" s="2">
        <v>45888</v>
      </c>
      <c r="E2528">
        <v>30</v>
      </c>
      <c r="F2528">
        <v>3</v>
      </c>
    </row>
    <row r="2529" spans="1:6" x14ac:dyDescent="0.25">
      <c r="A2529" t="s">
        <v>4011</v>
      </c>
      <c r="B2529" t="s">
        <v>4007</v>
      </c>
      <c r="C2529" t="s">
        <v>4008</v>
      </c>
      <c r="D2529" s="2">
        <v>45917</v>
      </c>
      <c r="E2529">
        <v>30</v>
      </c>
      <c r="F2529">
        <v>4</v>
      </c>
    </row>
    <row r="2530" spans="1:6" x14ac:dyDescent="0.25">
      <c r="A2530" t="s">
        <v>4012</v>
      </c>
      <c r="B2530" t="s">
        <v>4007</v>
      </c>
      <c r="C2530" t="s">
        <v>4008</v>
      </c>
      <c r="D2530" s="2">
        <v>45950</v>
      </c>
      <c r="E2530">
        <v>30</v>
      </c>
      <c r="F2530">
        <v>5</v>
      </c>
    </row>
    <row r="2531" spans="1:6" x14ac:dyDescent="0.25">
      <c r="A2531" t="s">
        <v>4013</v>
      </c>
      <c r="B2531" t="s">
        <v>4014</v>
      </c>
      <c r="C2531" t="s">
        <v>4015</v>
      </c>
      <c r="D2531" s="2">
        <v>45859</v>
      </c>
      <c r="E2531">
        <v>30</v>
      </c>
      <c r="F2531">
        <v>1</v>
      </c>
    </row>
    <row r="2532" spans="1:6" x14ac:dyDescent="0.25">
      <c r="A2532" t="s">
        <v>4016</v>
      </c>
      <c r="B2532" t="s">
        <v>4014</v>
      </c>
      <c r="C2532" t="s">
        <v>4015</v>
      </c>
      <c r="D2532" s="2">
        <v>45886</v>
      </c>
      <c r="E2532">
        <v>30</v>
      </c>
      <c r="F2532">
        <v>2</v>
      </c>
    </row>
    <row r="2533" spans="1:6" x14ac:dyDescent="0.25">
      <c r="A2533" t="s">
        <v>4017</v>
      </c>
      <c r="B2533" t="s">
        <v>4014</v>
      </c>
      <c r="C2533" t="s">
        <v>4015</v>
      </c>
      <c r="D2533" s="2">
        <v>45916</v>
      </c>
      <c r="E2533">
        <v>30</v>
      </c>
      <c r="F2533">
        <v>3</v>
      </c>
    </row>
    <row r="2534" spans="1:6" x14ac:dyDescent="0.25">
      <c r="A2534" t="s">
        <v>4018</v>
      </c>
      <c r="B2534" t="s">
        <v>4014</v>
      </c>
      <c r="C2534" t="s">
        <v>4015</v>
      </c>
      <c r="D2534" s="2">
        <v>45943</v>
      </c>
      <c r="E2534">
        <v>30</v>
      </c>
      <c r="F2534">
        <v>4</v>
      </c>
    </row>
    <row r="2535" spans="1:6" x14ac:dyDescent="0.25">
      <c r="A2535" t="s">
        <v>4019</v>
      </c>
      <c r="B2535" t="s">
        <v>4020</v>
      </c>
      <c r="C2535" t="s">
        <v>4021</v>
      </c>
      <c r="D2535" s="2">
        <v>45955</v>
      </c>
      <c r="E2535">
        <v>30</v>
      </c>
      <c r="F2535">
        <v>1</v>
      </c>
    </row>
    <row r="2536" spans="1:6" x14ac:dyDescent="0.25">
      <c r="A2536" t="s">
        <v>4022</v>
      </c>
      <c r="B2536" t="s">
        <v>4023</v>
      </c>
      <c r="C2536" t="s">
        <v>4024</v>
      </c>
      <c r="D2536" s="2">
        <v>45903</v>
      </c>
      <c r="E2536">
        <v>28</v>
      </c>
      <c r="F2536">
        <v>1</v>
      </c>
    </row>
    <row r="2537" spans="1:6" x14ac:dyDescent="0.25">
      <c r="A2537" t="s">
        <v>4025</v>
      </c>
      <c r="B2537" t="s">
        <v>4023</v>
      </c>
      <c r="C2537" t="s">
        <v>4024</v>
      </c>
      <c r="D2537" s="2">
        <v>45928</v>
      </c>
      <c r="E2537">
        <v>28</v>
      </c>
      <c r="F2537">
        <v>2</v>
      </c>
    </row>
    <row r="2538" spans="1:6" x14ac:dyDescent="0.25">
      <c r="A2538" t="s">
        <v>4026</v>
      </c>
      <c r="B2538" t="s">
        <v>4023</v>
      </c>
      <c r="C2538" t="s">
        <v>4024</v>
      </c>
      <c r="D2538" s="2">
        <v>45954</v>
      </c>
      <c r="E2538">
        <v>28</v>
      </c>
      <c r="F2538">
        <v>3</v>
      </c>
    </row>
    <row r="2539" spans="1:6" x14ac:dyDescent="0.25">
      <c r="A2539" t="s">
        <v>4027</v>
      </c>
      <c r="B2539" t="s">
        <v>4028</v>
      </c>
      <c r="C2539" t="s">
        <v>4029</v>
      </c>
      <c r="D2539" s="2">
        <v>45840</v>
      </c>
      <c r="E2539">
        <v>30</v>
      </c>
      <c r="F2539">
        <v>1</v>
      </c>
    </row>
    <row r="2540" spans="1:6" x14ac:dyDescent="0.25">
      <c r="A2540" t="s">
        <v>4030</v>
      </c>
      <c r="B2540" t="s">
        <v>4028</v>
      </c>
      <c r="C2540" t="s">
        <v>4029</v>
      </c>
      <c r="D2540" s="2">
        <v>45870</v>
      </c>
      <c r="E2540">
        <v>30</v>
      </c>
      <c r="F2540">
        <v>2</v>
      </c>
    </row>
    <row r="2541" spans="1:6" x14ac:dyDescent="0.25">
      <c r="A2541" t="s">
        <v>4031</v>
      </c>
      <c r="B2541" t="s">
        <v>4032</v>
      </c>
      <c r="C2541" t="s">
        <v>4033</v>
      </c>
      <c r="D2541" s="2">
        <v>45874</v>
      </c>
      <c r="E2541">
        <v>30</v>
      </c>
      <c r="F2541">
        <v>1</v>
      </c>
    </row>
    <row r="2542" spans="1:6" x14ac:dyDescent="0.25">
      <c r="A2542" t="s">
        <v>4034</v>
      </c>
      <c r="B2542" t="s">
        <v>4032</v>
      </c>
      <c r="C2542" t="s">
        <v>4033</v>
      </c>
      <c r="D2542" s="2">
        <v>45907</v>
      </c>
      <c r="E2542">
        <v>30</v>
      </c>
      <c r="F2542">
        <v>2</v>
      </c>
    </row>
    <row r="2543" spans="1:6" x14ac:dyDescent="0.25">
      <c r="A2543" t="s">
        <v>4035</v>
      </c>
      <c r="B2543" t="s">
        <v>4032</v>
      </c>
      <c r="C2543" t="s">
        <v>4033</v>
      </c>
      <c r="D2543" s="2">
        <v>45935</v>
      </c>
      <c r="E2543">
        <v>30</v>
      </c>
      <c r="F2543">
        <v>3</v>
      </c>
    </row>
    <row r="2544" spans="1:6" x14ac:dyDescent="0.25">
      <c r="A2544" t="s">
        <v>4036</v>
      </c>
      <c r="B2544" t="s">
        <v>4037</v>
      </c>
      <c r="C2544" t="s">
        <v>4038</v>
      </c>
      <c r="D2544" s="2">
        <v>45878</v>
      </c>
      <c r="E2544">
        <v>28</v>
      </c>
      <c r="F2544">
        <v>1</v>
      </c>
    </row>
    <row r="2545" spans="1:6" x14ac:dyDescent="0.25">
      <c r="A2545" t="s">
        <v>4039</v>
      </c>
      <c r="B2545" t="s">
        <v>4037</v>
      </c>
      <c r="C2545" t="s">
        <v>4038</v>
      </c>
      <c r="D2545" s="2">
        <v>45906</v>
      </c>
      <c r="E2545">
        <v>28</v>
      </c>
      <c r="F2545">
        <v>2</v>
      </c>
    </row>
    <row r="2546" spans="1:6" x14ac:dyDescent="0.25">
      <c r="A2546" t="s">
        <v>4040</v>
      </c>
      <c r="B2546" t="s">
        <v>4037</v>
      </c>
      <c r="C2546" t="s">
        <v>4038</v>
      </c>
      <c r="D2546" s="2">
        <v>45933</v>
      </c>
      <c r="E2546">
        <v>28</v>
      </c>
      <c r="F2546">
        <v>3</v>
      </c>
    </row>
    <row r="2547" spans="1:6" x14ac:dyDescent="0.25">
      <c r="A2547" t="s">
        <v>4041</v>
      </c>
      <c r="B2547" t="s">
        <v>4037</v>
      </c>
      <c r="C2547" t="s">
        <v>4038</v>
      </c>
      <c r="D2547" s="2">
        <v>45958</v>
      </c>
      <c r="E2547">
        <v>28</v>
      </c>
      <c r="F2547">
        <v>4</v>
      </c>
    </row>
    <row r="2548" spans="1:6" x14ac:dyDescent="0.25">
      <c r="A2548" t="s">
        <v>4042</v>
      </c>
      <c r="B2548" t="s">
        <v>4043</v>
      </c>
      <c r="C2548" t="s">
        <v>4044</v>
      </c>
      <c r="D2548" s="2">
        <v>45807</v>
      </c>
      <c r="E2548">
        <v>28</v>
      </c>
      <c r="F2548">
        <v>1</v>
      </c>
    </row>
    <row r="2549" spans="1:6" x14ac:dyDescent="0.25">
      <c r="A2549" t="s">
        <v>4045</v>
      </c>
      <c r="B2549" t="s">
        <v>4043</v>
      </c>
      <c r="C2549" t="s">
        <v>4044</v>
      </c>
      <c r="D2549" s="2">
        <v>45837</v>
      </c>
      <c r="E2549">
        <v>28</v>
      </c>
      <c r="F2549">
        <v>2</v>
      </c>
    </row>
    <row r="2550" spans="1:6" x14ac:dyDescent="0.25">
      <c r="A2550" t="s">
        <v>4046</v>
      </c>
      <c r="B2550" t="s">
        <v>4043</v>
      </c>
      <c r="C2550" t="s">
        <v>4044</v>
      </c>
      <c r="D2550" s="2">
        <v>45868</v>
      </c>
      <c r="E2550">
        <v>28</v>
      </c>
      <c r="F2550">
        <v>3</v>
      </c>
    </row>
    <row r="2551" spans="1:6" x14ac:dyDescent="0.25">
      <c r="A2551" t="s">
        <v>4047</v>
      </c>
      <c r="B2551" t="s">
        <v>4043</v>
      </c>
      <c r="C2551" t="s">
        <v>4044</v>
      </c>
      <c r="D2551" s="2">
        <v>45893</v>
      </c>
      <c r="E2551">
        <v>28</v>
      </c>
      <c r="F2551">
        <v>4</v>
      </c>
    </row>
    <row r="2552" spans="1:6" x14ac:dyDescent="0.25">
      <c r="A2552" t="s">
        <v>4048</v>
      </c>
      <c r="B2552" t="s">
        <v>4043</v>
      </c>
      <c r="C2552" t="s">
        <v>4044</v>
      </c>
      <c r="D2552" s="2">
        <v>45921</v>
      </c>
      <c r="E2552">
        <v>28</v>
      </c>
      <c r="F2552">
        <v>5</v>
      </c>
    </row>
    <row r="2553" spans="1:6" x14ac:dyDescent="0.25">
      <c r="A2553" t="s">
        <v>4049</v>
      </c>
      <c r="B2553" t="s">
        <v>4043</v>
      </c>
      <c r="C2553" t="s">
        <v>4044</v>
      </c>
      <c r="D2553" s="2">
        <v>45951</v>
      </c>
      <c r="E2553">
        <v>28</v>
      </c>
      <c r="F2553">
        <v>6</v>
      </c>
    </row>
    <row r="2554" spans="1:6" x14ac:dyDescent="0.25">
      <c r="A2554" t="s">
        <v>4050</v>
      </c>
      <c r="B2554" t="s">
        <v>4051</v>
      </c>
      <c r="C2554" t="s">
        <v>4052</v>
      </c>
      <c r="D2554" s="2">
        <v>45829</v>
      </c>
      <c r="E2554">
        <v>28</v>
      </c>
      <c r="F2554">
        <v>1</v>
      </c>
    </row>
    <row r="2555" spans="1:6" x14ac:dyDescent="0.25">
      <c r="A2555" t="s">
        <v>4053</v>
      </c>
      <c r="B2555" t="s">
        <v>4051</v>
      </c>
      <c r="C2555" t="s">
        <v>4052</v>
      </c>
      <c r="D2555" s="2">
        <v>45854</v>
      </c>
      <c r="E2555">
        <v>28</v>
      </c>
      <c r="F2555">
        <v>2</v>
      </c>
    </row>
    <row r="2556" spans="1:6" x14ac:dyDescent="0.25">
      <c r="A2556" t="s">
        <v>4054</v>
      </c>
      <c r="B2556" t="s">
        <v>4051</v>
      </c>
      <c r="C2556" t="s">
        <v>4052</v>
      </c>
      <c r="D2556" s="2">
        <v>45882</v>
      </c>
      <c r="E2556">
        <v>28</v>
      </c>
      <c r="F2556">
        <v>3</v>
      </c>
    </row>
    <row r="2557" spans="1:6" x14ac:dyDescent="0.25">
      <c r="A2557" t="s">
        <v>4055</v>
      </c>
      <c r="B2557" t="s">
        <v>4051</v>
      </c>
      <c r="C2557" t="s">
        <v>4052</v>
      </c>
      <c r="D2557" s="2">
        <v>45908</v>
      </c>
      <c r="E2557">
        <v>28</v>
      </c>
      <c r="F2557">
        <v>4</v>
      </c>
    </row>
    <row r="2558" spans="1:6" x14ac:dyDescent="0.25">
      <c r="A2558" t="s">
        <v>4056</v>
      </c>
      <c r="B2558" t="s">
        <v>4051</v>
      </c>
      <c r="C2558" t="s">
        <v>4052</v>
      </c>
      <c r="D2558" s="2">
        <v>45935</v>
      </c>
      <c r="E2558">
        <v>28</v>
      </c>
      <c r="F2558">
        <v>5</v>
      </c>
    </row>
    <row r="2559" spans="1:6" x14ac:dyDescent="0.25">
      <c r="A2559" t="s">
        <v>4057</v>
      </c>
      <c r="B2559" t="s">
        <v>4058</v>
      </c>
      <c r="C2559" t="s">
        <v>4059</v>
      </c>
      <c r="D2559" s="2">
        <v>45917</v>
      </c>
      <c r="E2559">
        <v>28</v>
      </c>
      <c r="F2559">
        <v>1</v>
      </c>
    </row>
    <row r="2560" spans="1:6" x14ac:dyDescent="0.25">
      <c r="A2560" t="s">
        <v>4060</v>
      </c>
      <c r="B2560" t="s">
        <v>4061</v>
      </c>
      <c r="C2560" t="s">
        <v>4062</v>
      </c>
      <c r="D2560" s="2">
        <v>45952</v>
      </c>
      <c r="E2560">
        <v>28</v>
      </c>
      <c r="F2560">
        <v>1</v>
      </c>
    </row>
    <row r="2561" spans="1:6" x14ac:dyDescent="0.25">
      <c r="A2561" t="s">
        <v>4063</v>
      </c>
      <c r="B2561" t="s">
        <v>4064</v>
      </c>
      <c r="C2561" t="s">
        <v>4065</v>
      </c>
      <c r="D2561" s="2">
        <v>45918</v>
      </c>
      <c r="E2561">
        <v>14</v>
      </c>
      <c r="F2561">
        <v>1</v>
      </c>
    </row>
    <row r="2562" spans="1:6" x14ac:dyDescent="0.25">
      <c r="A2562" t="s">
        <v>4066</v>
      </c>
      <c r="B2562" t="s">
        <v>4064</v>
      </c>
      <c r="C2562" t="s">
        <v>4065</v>
      </c>
      <c r="D2562" s="2">
        <v>45935</v>
      </c>
      <c r="E2562">
        <v>14</v>
      </c>
      <c r="F2562">
        <v>2</v>
      </c>
    </row>
    <row r="2563" spans="1:6" x14ac:dyDescent="0.25">
      <c r="A2563" t="s">
        <v>4067</v>
      </c>
      <c r="B2563" t="s">
        <v>4064</v>
      </c>
      <c r="C2563" t="s">
        <v>4065</v>
      </c>
      <c r="D2563" s="2">
        <v>45949</v>
      </c>
      <c r="E2563">
        <v>14</v>
      </c>
      <c r="F2563">
        <v>3</v>
      </c>
    </row>
    <row r="2564" spans="1:6" x14ac:dyDescent="0.25">
      <c r="A2564" t="s">
        <v>4068</v>
      </c>
      <c r="B2564" t="s">
        <v>4069</v>
      </c>
      <c r="C2564" t="s">
        <v>4070</v>
      </c>
      <c r="D2564" s="2">
        <v>45896</v>
      </c>
      <c r="E2564">
        <v>28</v>
      </c>
      <c r="F2564">
        <v>1</v>
      </c>
    </row>
    <row r="2565" spans="1:6" x14ac:dyDescent="0.25">
      <c r="A2565" t="s">
        <v>4071</v>
      </c>
      <c r="B2565" t="s">
        <v>4069</v>
      </c>
      <c r="C2565" t="s">
        <v>4070</v>
      </c>
      <c r="D2565" s="2">
        <v>45927</v>
      </c>
      <c r="E2565">
        <v>28</v>
      </c>
      <c r="F2565">
        <v>2</v>
      </c>
    </row>
    <row r="2566" spans="1:6" x14ac:dyDescent="0.25">
      <c r="A2566" t="s">
        <v>4072</v>
      </c>
      <c r="B2566" t="s">
        <v>4073</v>
      </c>
      <c r="C2566" t="s">
        <v>4074</v>
      </c>
      <c r="D2566" s="2">
        <v>45831</v>
      </c>
      <c r="E2566">
        <v>28</v>
      </c>
      <c r="F2566">
        <v>1</v>
      </c>
    </row>
    <row r="2567" spans="1:6" x14ac:dyDescent="0.25">
      <c r="A2567" t="s">
        <v>4075</v>
      </c>
      <c r="B2567" t="s">
        <v>4076</v>
      </c>
      <c r="C2567" t="s">
        <v>4077</v>
      </c>
      <c r="D2567" s="2">
        <v>45852</v>
      </c>
      <c r="E2567">
        <v>30</v>
      </c>
      <c r="F2567">
        <v>1</v>
      </c>
    </row>
    <row r="2568" spans="1:6" x14ac:dyDescent="0.25">
      <c r="A2568" t="s">
        <v>4078</v>
      </c>
      <c r="B2568" t="s">
        <v>4076</v>
      </c>
      <c r="C2568" t="s">
        <v>4077</v>
      </c>
      <c r="D2568" s="2">
        <v>45882</v>
      </c>
      <c r="E2568">
        <v>30</v>
      </c>
      <c r="F2568">
        <v>2</v>
      </c>
    </row>
    <row r="2569" spans="1:6" x14ac:dyDescent="0.25">
      <c r="A2569" t="s">
        <v>4079</v>
      </c>
      <c r="B2569" t="s">
        <v>4076</v>
      </c>
      <c r="C2569" t="s">
        <v>4077</v>
      </c>
      <c r="D2569" s="2">
        <v>45915</v>
      </c>
      <c r="E2569">
        <v>30</v>
      </c>
      <c r="F2569">
        <v>3</v>
      </c>
    </row>
    <row r="2570" spans="1:6" x14ac:dyDescent="0.25">
      <c r="A2570" t="s">
        <v>4080</v>
      </c>
      <c r="B2570" t="s">
        <v>4076</v>
      </c>
      <c r="C2570" t="s">
        <v>4077</v>
      </c>
      <c r="D2570" s="2">
        <v>45945</v>
      </c>
      <c r="E2570">
        <v>30</v>
      </c>
      <c r="F2570">
        <v>4</v>
      </c>
    </row>
    <row r="2571" spans="1:6" x14ac:dyDescent="0.25">
      <c r="A2571" t="s">
        <v>4081</v>
      </c>
      <c r="B2571" t="s">
        <v>4082</v>
      </c>
      <c r="C2571" t="s">
        <v>4083</v>
      </c>
      <c r="D2571" s="2">
        <v>45955</v>
      </c>
      <c r="E2571">
        <v>30</v>
      </c>
      <c r="F2571">
        <v>1</v>
      </c>
    </row>
    <row r="2572" spans="1:6" x14ac:dyDescent="0.25">
      <c r="A2572" t="s">
        <v>4084</v>
      </c>
      <c r="B2572" t="s">
        <v>4085</v>
      </c>
      <c r="C2572" t="s">
        <v>4086</v>
      </c>
      <c r="D2572" s="2">
        <v>45882</v>
      </c>
      <c r="E2572">
        <v>28</v>
      </c>
      <c r="F2572">
        <v>1</v>
      </c>
    </row>
    <row r="2573" spans="1:6" x14ac:dyDescent="0.25">
      <c r="A2573" t="s">
        <v>4087</v>
      </c>
      <c r="B2573" t="s">
        <v>4085</v>
      </c>
      <c r="C2573" t="s">
        <v>4086</v>
      </c>
      <c r="D2573" s="2">
        <v>45912</v>
      </c>
      <c r="E2573">
        <v>28</v>
      </c>
      <c r="F2573">
        <v>2</v>
      </c>
    </row>
    <row r="2574" spans="1:6" x14ac:dyDescent="0.25">
      <c r="A2574" t="s">
        <v>4088</v>
      </c>
      <c r="B2574" t="s">
        <v>4085</v>
      </c>
      <c r="C2574" t="s">
        <v>4086</v>
      </c>
      <c r="D2574" s="2">
        <v>45940</v>
      </c>
      <c r="E2574">
        <v>28</v>
      </c>
      <c r="F2574">
        <v>3</v>
      </c>
    </row>
    <row r="2575" spans="1:6" x14ac:dyDescent="0.25">
      <c r="A2575" t="s">
        <v>4089</v>
      </c>
      <c r="B2575" t="s">
        <v>4090</v>
      </c>
      <c r="C2575" t="s">
        <v>4091</v>
      </c>
      <c r="D2575" s="2">
        <v>45905</v>
      </c>
      <c r="E2575">
        <v>28</v>
      </c>
      <c r="F2575">
        <v>1</v>
      </c>
    </row>
    <row r="2576" spans="1:6" x14ac:dyDescent="0.25">
      <c r="A2576" t="s">
        <v>4092</v>
      </c>
      <c r="B2576" t="s">
        <v>4090</v>
      </c>
      <c r="C2576" t="s">
        <v>4091</v>
      </c>
      <c r="D2576" s="2">
        <v>45930</v>
      </c>
      <c r="E2576">
        <v>28</v>
      </c>
      <c r="F2576">
        <v>2</v>
      </c>
    </row>
    <row r="2577" spans="1:6" x14ac:dyDescent="0.25">
      <c r="A2577" t="s">
        <v>4093</v>
      </c>
      <c r="B2577" t="s">
        <v>4090</v>
      </c>
      <c r="C2577" t="s">
        <v>4091</v>
      </c>
      <c r="D2577" s="2">
        <v>45959</v>
      </c>
      <c r="E2577">
        <v>28</v>
      </c>
      <c r="F2577">
        <v>3</v>
      </c>
    </row>
    <row r="2578" spans="1:6" x14ac:dyDescent="0.25">
      <c r="A2578" t="s">
        <v>4094</v>
      </c>
      <c r="B2578" t="s">
        <v>4095</v>
      </c>
      <c r="C2578" t="s">
        <v>4096</v>
      </c>
      <c r="D2578" s="2">
        <v>45940</v>
      </c>
      <c r="E2578">
        <v>30</v>
      </c>
      <c r="F2578">
        <v>1</v>
      </c>
    </row>
    <row r="2579" spans="1:6" x14ac:dyDescent="0.25">
      <c r="A2579" t="s">
        <v>4097</v>
      </c>
      <c r="B2579" t="s">
        <v>4098</v>
      </c>
      <c r="C2579" t="s">
        <v>4099</v>
      </c>
      <c r="D2579" s="2">
        <v>45839</v>
      </c>
      <c r="E2579">
        <v>30</v>
      </c>
      <c r="F2579">
        <v>1</v>
      </c>
    </row>
    <row r="2580" spans="1:6" x14ac:dyDescent="0.25">
      <c r="A2580" t="s">
        <v>4100</v>
      </c>
      <c r="B2580" t="s">
        <v>4098</v>
      </c>
      <c r="C2580" t="s">
        <v>4099</v>
      </c>
      <c r="D2580" s="2">
        <v>45872</v>
      </c>
      <c r="E2580">
        <v>30</v>
      </c>
      <c r="F2580">
        <v>2</v>
      </c>
    </row>
    <row r="2581" spans="1:6" x14ac:dyDescent="0.25">
      <c r="A2581" t="s">
        <v>4101</v>
      </c>
      <c r="B2581" t="s">
        <v>4098</v>
      </c>
      <c r="C2581" t="s">
        <v>4099</v>
      </c>
      <c r="D2581" s="2">
        <v>45901</v>
      </c>
      <c r="E2581">
        <v>30</v>
      </c>
      <c r="F2581">
        <v>3</v>
      </c>
    </row>
    <row r="2582" spans="1:6" x14ac:dyDescent="0.25">
      <c r="A2582" t="s">
        <v>4102</v>
      </c>
      <c r="B2582" t="s">
        <v>4098</v>
      </c>
      <c r="C2582" t="s">
        <v>4099</v>
      </c>
      <c r="D2582" s="2">
        <v>45929</v>
      </c>
      <c r="E2582">
        <v>30</v>
      </c>
      <c r="F2582">
        <v>4</v>
      </c>
    </row>
    <row r="2583" spans="1:6" x14ac:dyDescent="0.25">
      <c r="A2583" t="s">
        <v>4103</v>
      </c>
      <c r="B2583" t="s">
        <v>4098</v>
      </c>
      <c r="C2583" t="s">
        <v>4099</v>
      </c>
      <c r="D2583" s="2">
        <v>45960</v>
      </c>
      <c r="E2583">
        <v>30</v>
      </c>
      <c r="F2583">
        <v>5</v>
      </c>
    </row>
    <row r="2584" spans="1:6" x14ac:dyDescent="0.25">
      <c r="A2584" t="s">
        <v>4104</v>
      </c>
      <c r="B2584" t="s">
        <v>4105</v>
      </c>
      <c r="C2584" t="s">
        <v>4106</v>
      </c>
      <c r="D2584" s="2">
        <v>45946</v>
      </c>
      <c r="E2584">
        <v>28</v>
      </c>
      <c r="F2584">
        <v>1</v>
      </c>
    </row>
    <row r="2585" spans="1:6" x14ac:dyDescent="0.25">
      <c r="A2585" t="s">
        <v>4107</v>
      </c>
      <c r="B2585" t="s">
        <v>4108</v>
      </c>
      <c r="C2585" t="s">
        <v>4109</v>
      </c>
      <c r="D2585" s="2">
        <v>45961</v>
      </c>
      <c r="E2585">
        <v>30</v>
      </c>
      <c r="F2585">
        <v>1</v>
      </c>
    </row>
    <row r="2586" spans="1:6" x14ac:dyDescent="0.25">
      <c r="A2586" t="s">
        <v>4110</v>
      </c>
      <c r="B2586" t="s">
        <v>4111</v>
      </c>
      <c r="C2586" t="s">
        <v>4112</v>
      </c>
      <c r="D2586" s="2">
        <v>45874</v>
      </c>
      <c r="E2586">
        <v>28</v>
      </c>
      <c r="F2586">
        <v>1</v>
      </c>
    </row>
    <row r="2587" spans="1:6" x14ac:dyDescent="0.25">
      <c r="A2587" t="s">
        <v>4113</v>
      </c>
      <c r="B2587" t="s">
        <v>4114</v>
      </c>
      <c r="C2587" t="s">
        <v>4115</v>
      </c>
      <c r="D2587" s="2">
        <v>45892</v>
      </c>
      <c r="E2587">
        <v>56</v>
      </c>
      <c r="F2587">
        <v>1</v>
      </c>
    </row>
    <row r="2588" spans="1:6" x14ac:dyDescent="0.25">
      <c r="A2588" t="s">
        <v>4116</v>
      </c>
      <c r="B2588" t="s">
        <v>4114</v>
      </c>
      <c r="C2588" t="s">
        <v>4115</v>
      </c>
      <c r="D2588" s="2">
        <v>45950</v>
      </c>
      <c r="E2588">
        <v>56</v>
      </c>
      <c r="F2588">
        <v>2</v>
      </c>
    </row>
    <row r="2589" spans="1:6" x14ac:dyDescent="0.25">
      <c r="A2589" t="s">
        <v>4117</v>
      </c>
      <c r="B2589" t="s">
        <v>4118</v>
      </c>
      <c r="C2589" t="s">
        <v>4119</v>
      </c>
      <c r="D2589" s="2">
        <v>45900</v>
      </c>
      <c r="E2589">
        <v>21</v>
      </c>
      <c r="F2589">
        <v>1</v>
      </c>
    </row>
    <row r="2590" spans="1:6" x14ac:dyDescent="0.25">
      <c r="A2590" t="s">
        <v>4120</v>
      </c>
      <c r="B2590" t="s">
        <v>4118</v>
      </c>
      <c r="C2590" t="s">
        <v>4119</v>
      </c>
      <c r="D2590" s="2">
        <v>45923</v>
      </c>
      <c r="E2590">
        <v>21</v>
      </c>
      <c r="F2590">
        <v>2</v>
      </c>
    </row>
    <row r="2591" spans="1:6" x14ac:dyDescent="0.25">
      <c r="A2591" t="s">
        <v>4121</v>
      </c>
      <c r="B2591" t="s">
        <v>4118</v>
      </c>
      <c r="C2591" t="s">
        <v>4119</v>
      </c>
      <c r="D2591" s="2">
        <v>45946</v>
      </c>
      <c r="E2591">
        <v>21</v>
      </c>
      <c r="F2591">
        <v>3</v>
      </c>
    </row>
    <row r="2592" spans="1:6" x14ac:dyDescent="0.25">
      <c r="A2592" t="s">
        <v>4122</v>
      </c>
      <c r="B2592" t="s">
        <v>4123</v>
      </c>
      <c r="C2592" t="s">
        <v>4124</v>
      </c>
      <c r="D2592" s="2">
        <v>45880</v>
      </c>
      <c r="E2592">
        <v>28</v>
      </c>
      <c r="F2592">
        <v>1</v>
      </c>
    </row>
    <row r="2593" spans="1:6" x14ac:dyDescent="0.25">
      <c r="A2593" t="s">
        <v>4125</v>
      </c>
      <c r="B2593" t="s">
        <v>4123</v>
      </c>
      <c r="C2593" t="s">
        <v>4124</v>
      </c>
      <c r="D2593" s="2">
        <v>45906</v>
      </c>
      <c r="E2593">
        <v>28</v>
      </c>
      <c r="F2593">
        <v>2</v>
      </c>
    </row>
    <row r="2594" spans="1:6" x14ac:dyDescent="0.25">
      <c r="A2594" t="s">
        <v>4126</v>
      </c>
      <c r="B2594" t="s">
        <v>4123</v>
      </c>
      <c r="C2594" t="s">
        <v>4124</v>
      </c>
      <c r="D2594" s="2">
        <v>45936</v>
      </c>
      <c r="E2594">
        <v>28</v>
      </c>
      <c r="F2594">
        <v>3</v>
      </c>
    </row>
    <row r="2595" spans="1:6" x14ac:dyDescent="0.25">
      <c r="A2595" t="s">
        <v>4127</v>
      </c>
      <c r="B2595" t="s">
        <v>4128</v>
      </c>
      <c r="C2595" t="s">
        <v>4129</v>
      </c>
      <c r="D2595" s="2">
        <v>45907</v>
      </c>
      <c r="E2595">
        <v>28</v>
      </c>
      <c r="F2595">
        <v>1</v>
      </c>
    </row>
    <row r="2596" spans="1:6" x14ac:dyDescent="0.25">
      <c r="A2596" t="s">
        <v>4130</v>
      </c>
      <c r="B2596" t="s">
        <v>4128</v>
      </c>
      <c r="C2596" t="s">
        <v>4129</v>
      </c>
      <c r="D2596" s="2">
        <v>45935</v>
      </c>
      <c r="E2596">
        <v>28</v>
      </c>
      <c r="F2596">
        <v>2</v>
      </c>
    </row>
    <row r="2597" spans="1:6" x14ac:dyDescent="0.25">
      <c r="A2597" t="s">
        <v>4131</v>
      </c>
      <c r="B2597" t="s">
        <v>4132</v>
      </c>
      <c r="C2597" t="s">
        <v>4133</v>
      </c>
      <c r="D2597" s="2">
        <v>45885</v>
      </c>
      <c r="E2597">
        <v>30</v>
      </c>
      <c r="F2597">
        <v>1</v>
      </c>
    </row>
    <row r="2598" spans="1:6" x14ac:dyDescent="0.25">
      <c r="A2598" t="s">
        <v>4134</v>
      </c>
      <c r="B2598" t="s">
        <v>4132</v>
      </c>
      <c r="C2598" t="s">
        <v>4133</v>
      </c>
      <c r="D2598" s="2">
        <v>45917</v>
      </c>
      <c r="E2598">
        <v>30</v>
      </c>
      <c r="F2598">
        <v>2</v>
      </c>
    </row>
    <row r="2599" spans="1:6" x14ac:dyDescent="0.25">
      <c r="A2599" t="s">
        <v>4135</v>
      </c>
      <c r="B2599" t="s">
        <v>4132</v>
      </c>
      <c r="C2599" t="s">
        <v>4133</v>
      </c>
      <c r="D2599" s="2">
        <v>45947</v>
      </c>
      <c r="E2599">
        <v>30</v>
      </c>
      <c r="F2599">
        <v>3</v>
      </c>
    </row>
    <row r="2600" spans="1:6" x14ac:dyDescent="0.25">
      <c r="A2600" t="s">
        <v>4136</v>
      </c>
      <c r="B2600" t="s">
        <v>4137</v>
      </c>
      <c r="C2600" t="s">
        <v>4138</v>
      </c>
      <c r="D2600" s="2">
        <v>45787</v>
      </c>
      <c r="E2600">
        <v>28</v>
      </c>
      <c r="F2600">
        <v>1</v>
      </c>
    </row>
    <row r="2601" spans="1:6" x14ac:dyDescent="0.25">
      <c r="A2601" t="s">
        <v>4139</v>
      </c>
      <c r="B2601" t="s">
        <v>4137</v>
      </c>
      <c r="C2601" t="s">
        <v>4138</v>
      </c>
      <c r="D2601" s="2">
        <v>45815</v>
      </c>
      <c r="E2601">
        <v>28</v>
      </c>
      <c r="F2601">
        <v>2</v>
      </c>
    </row>
    <row r="2602" spans="1:6" x14ac:dyDescent="0.25">
      <c r="A2602" t="s">
        <v>4140</v>
      </c>
      <c r="B2602" t="s">
        <v>4137</v>
      </c>
      <c r="C2602" t="s">
        <v>4138</v>
      </c>
      <c r="D2602" s="2">
        <v>45840</v>
      </c>
      <c r="E2602">
        <v>28</v>
      </c>
      <c r="F2602">
        <v>3</v>
      </c>
    </row>
    <row r="2603" spans="1:6" x14ac:dyDescent="0.25">
      <c r="A2603" t="s">
        <v>4141</v>
      </c>
      <c r="B2603" t="s">
        <v>4137</v>
      </c>
      <c r="C2603" t="s">
        <v>4138</v>
      </c>
      <c r="D2603" s="2">
        <v>45865</v>
      </c>
      <c r="E2603">
        <v>28</v>
      </c>
      <c r="F2603">
        <v>4</v>
      </c>
    </row>
    <row r="2604" spans="1:6" x14ac:dyDescent="0.25">
      <c r="A2604" t="s">
        <v>4142</v>
      </c>
      <c r="B2604" t="s">
        <v>4137</v>
      </c>
      <c r="C2604" t="s">
        <v>4138</v>
      </c>
      <c r="D2604" s="2">
        <v>45896</v>
      </c>
      <c r="E2604">
        <v>28</v>
      </c>
      <c r="F2604">
        <v>5</v>
      </c>
    </row>
    <row r="2605" spans="1:6" x14ac:dyDescent="0.25">
      <c r="A2605" t="s">
        <v>4143</v>
      </c>
      <c r="B2605" t="s">
        <v>4137</v>
      </c>
      <c r="C2605" t="s">
        <v>4138</v>
      </c>
      <c r="D2605" s="2">
        <v>45921</v>
      </c>
      <c r="E2605">
        <v>28</v>
      </c>
      <c r="F2605">
        <v>6</v>
      </c>
    </row>
    <row r="2606" spans="1:6" x14ac:dyDescent="0.25">
      <c r="A2606" t="s">
        <v>4144</v>
      </c>
      <c r="B2606" t="s">
        <v>4137</v>
      </c>
      <c r="C2606" t="s">
        <v>4138</v>
      </c>
      <c r="D2606" s="2">
        <v>45946</v>
      </c>
      <c r="E2606">
        <v>28</v>
      </c>
      <c r="F2606">
        <v>7</v>
      </c>
    </row>
    <row r="2607" spans="1:6" x14ac:dyDescent="0.25">
      <c r="A2607" t="s">
        <v>4145</v>
      </c>
      <c r="B2607" t="s">
        <v>4146</v>
      </c>
      <c r="C2607" t="s">
        <v>4147</v>
      </c>
      <c r="D2607" s="2">
        <v>45870</v>
      </c>
      <c r="E2607">
        <v>30</v>
      </c>
      <c r="F2607">
        <v>1</v>
      </c>
    </row>
    <row r="2608" spans="1:6" x14ac:dyDescent="0.25">
      <c r="A2608" t="s">
        <v>4148</v>
      </c>
      <c r="B2608" t="s">
        <v>4146</v>
      </c>
      <c r="C2608" t="s">
        <v>4147</v>
      </c>
      <c r="D2608" s="2">
        <v>45901</v>
      </c>
      <c r="E2608">
        <v>30</v>
      </c>
      <c r="F2608">
        <v>2</v>
      </c>
    </row>
    <row r="2609" spans="1:6" x14ac:dyDescent="0.25">
      <c r="A2609" t="s">
        <v>4149</v>
      </c>
      <c r="B2609" t="s">
        <v>4146</v>
      </c>
      <c r="C2609" t="s">
        <v>4147</v>
      </c>
      <c r="D2609" s="2">
        <v>45934</v>
      </c>
      <c r="E2609">
        <v>30</v>
      </c>
      <c r="F2609">
        <v>3</v>
      </c>
    </row>
    <row r="2610" spans="1:6" x14ac:dyDescent="0.25">
      <c r="A2610" t="s">
        <v>4150</v>
      </c>
      <c r="B2610" t="s">
        <v>4151</v>
      </c>
      <c r="C2610" t="s">
        <v>4152</v>
      </c>
      <c r="D2610" s="2">
        <v>45915</v>
      </c>
      <c r="E2610">
        <v>28</v>
      </c>
      <c r="F2610">
        <v>1</v>
      </c>
    </row>
    <row r="2611" spans="1:6" x14ac:dyDescent="0.25">
      <c r="A2611" t="s">
        <v>4153</v>
      </c>
      <c r="B2611" t="s">
        <v>4151</v>
      </c>
      <c r="C2611" t="s">
        <v>4152</v>
      </c>
      <c r="D2611" s="2">
        <v>45945</v>
      </c>
      <c r="E2611">
        <v>28</v>
      </c>
      <c r="F2611">
        <v>2</v>
      </c>
    </row>
    <row r="2612" spans="1:6" x14ac:dyDescent="0.25">
      <c r="A2612" t="s">
        <v>4154</v>
      </c>
      <c r="B2612" t="s">
        <v>4155</v>
      </c>
      <c r="C2612" t="s">
        <v>4156</v>
      </c>
      <c r="D2612" s="2">
        <v>45941</v>
      </c>
      <c r="E2612">
        <v>28</v>
      </c>
      <c r="F2612">
        <v>1</v>
      </c>
    </row>
    <row r="2613" spans="1:6" x14ac:dyDescent="0.25">
      <c r="A2613" t="s">
        <v>4157</v>
      </c>
      <c r="B2613" t="s">
        <v>4158</v>
      </c>
      <c r="C2613" t="s">
        <v>4159</v>
      </c>
      <c r="D2613" s="2">
        <v>45805</v>
      </c>
      <c r="E2613">
        <v>28</v>
      </c>
      <c r="F2613">
        <v>1</v>
      </c>
    </row>
    <row r="2614" spans="1:6" x14ac:dyDescent="0.25">
      <c r="A2614" t="s">
        <v>4160</v>
      </c>
      <c r="B2614" t="s">
        <v>4158</v>
      </c>
      <c r="C2614" t="s">
        <v>4159</v>
      </c>
      <c r="D2614" s="2">
        <v>45835</v>
      </c>
      <c r="E2614">
        <v>28</v>
      </c>
      <c r="F2614">
        <v>2</v>
      </c>
    </row>
    <row r="2615" spans="1:6" x14ac:dyDescent="0.25">
      <c r="A2615" t="s">
        <v>4161</v>
      </c>
      <c r="B2615" t="s">
        <v>4158</v>
      </c>
      <c r="C2615" t="s">
        <v>4159</v>
      </c>
      <c r="D2615" s="2">
        <v>45863</v>
      </c>
      <c r="E2615">
        <v>28</v>
      </c>
      <c r="F2615">
        <v>3</v>
      </c>
    </row>
    <row r="2616" spans="1:6" x14ac:dyDescent="0.25">
      <c r="A2616" t="s">
        <v>4162</v>
      </c>
      <c r="B2616" t="s">
        <v>4158</v>
      </c>
      <c r="C2616" t="s">
        <v>4159</v>
      </c>
      <c r="D2616" s="2">
        <v>45888</v>
      </c>
      <c r="E2616">
        <v>28</v>
      </c>
      <c r="F2616">
        <v>4</v>
      </c>
    </row>
    <row r="2617" spans="1:6" x14ac:dyDescent="0.25">
      <c r="A2617" t="s">
        <v>4163</v>
      </c>
      <c r="B2617" t="s">
        <v>4158</v>
      </c>
      <c r="C2617" t="s">
        <v>4159</v>
      </c>
      <c r="D2617" s="2">
        <v>45917</v>
      </c>
      <c r="E2617">
        <v>28</v>
      </c>
      <c r="F2617">
        <v>5</v>
      </c>
    </row>
    <row r="2618" spans="1:6" x14ac:dyDescent="0.25">
      <c r="A2618" t="s">
        <v>4164</v>
      </c>
      <c r="B2618" t="s">
        <v>4158</v>
      </c>
      <c r="C2618" t="s">
        <v>4159</v>
      </c>
      <c r="D2618" s="2">
        <v>45943</v>
      </c>
      <c r="E2618">
        <v>28</v>
      </c>
      <c r="F2618">
        <v>6</v>
      </c>
    </row>
    <row r="2619" spans="1:6" x14ac:dyDescent="0.25">
      <c r="A2619" t="s">
        <v>4165</v>
      </c>
      <c r="B2619" t="s">
        <v>4166</v>
      </c>
      <c r="C2619" t="s">
        <v>4167</v>
      </c>
      <c r="D2619" s="2">
        <v>45841</v>
      </c>
      <c r="E2619">
        <v>30</v>
      </c>
      <c r="F2619">
        <v>1</v>
      </c>
    </row>
    <row r="2620" spans="1:6" x14ac:dyDescent="0.25">
      <c r="A2620" t="s">
        <v>4168</v>
      </c>
      <c r="B2620" t="s">
        <v>4166</v>
      </c>
      <c r="C2620" t="s">
        <v>4167</v>
      </c>
      <c r="D2620" s="2">
        <v>45868</v>
      </c>
      <c r="E2620">
        <v>30</v>
      </c>
      <c r="F2620">
        <v>2</v>
      </c>
    </row>
    <row r="2621" spans="1:6" x14ac:dyDescent="0.25">
      <c r="A2621" t="s">
        <v>4169</v>
      </c>
      <c r="B2621" t="s">
        <v>4166</v>
      </c>
      <c r="C2621" t="s">
        <v>4167</v>
      </c>
      <c r="D2621" s="2">
        <v>45900</v>
      </c>
      <c r="E2621">
        <v>30</v>
      </c>
      <c r="F2621">
        <v>3</v>
      </c>
    </row>
    <row r="2622" spans="1:6" x14ac:dyDescent="0.25">
      <c r="A2622" t="s">
        <v>4170</v>
      </c>
      <c r="B2622" t="s">
        <v>4166</v>
      </c>
      <c r="C2622" t="s">
        <v>4167</v>
      </c>
      <c r="D2622" s="2">
        <v>45929</v>
      </c>
      <c r="E2622">
        <v>30</v>
      </c>
      <c r="F2622">
        <v>4</v>
      </c>
    </row>
    <row r="2623" spans="1:6" x14ac:dyDescent="0.25">
      <c r="A2623" t="s">
        <v>4171</v>
      </c>
      <c r="B2623" t="s">
        <v>4172</v>
      </c>
      <c r="C2623" t="s">
        <v>4173</v>
      </c>
      <c r="D2623" s="2">
        <v>45948</v>
      </c>
      <c r="E2623">
        <v>28</v>
      </c>
      <c r="F2623">
        <v>1</v>
      </c>
    </row>
    <row r="2624" spans="1:6" x14ac:dyDescent="0.25">
      <c r="A2624" t="s">
        <v>4174</v>
      </c>
      <c r="B2624" t="s">
        <v>4175</v>
      </c>
      <c r="C2624" t="s">
        <v>4176</v>
      </c>
      <c r="D2624" s="2">
        <v>45820</v>
      </c>
      <c r="E2624">
        <v>28</v>
      </c>
      <c r="F2624">
        <v>1</v>
      </c>
    </row>
    <row r="2625" spans="1:6" x14ac:dyDescent="0.25">
      <c r="A2625" t="s">
        <v>4177</v>
      </c>
      <c r="B2625" t="s">
        <v>4175</v>
      </c>
      <c r="C2625" t="s">
        <v>4176</v>
      </c>
      <c r="D2625" s="2">
        <v>45846</v>
      </c>
      <c r="E2625">
        <v>28</v>
      </c>
      <c r="F2625">
        <v>2</v>
      </c>
    </row>
    <row r="2626" spans="1:6" x14ac:dyDescent="0.25">
      <c r="A2626" t="s">
        <v>4178</v>
      </c>
      <c r="B2626" t="s">
        <v>4175</v>
      </c>
      <c r="C2626" t="s">
        <v>4176</v>
      </c>
      <c r="D2626" s="2">
        <v>45875</v>
      </c>
      <c r="E2626">
        <v>28</v>
      </c>
      <c r="F2626">
        <v>3</v>
      </c>
    </row>
    <row r="2627" spans="1:6" x14ac:dyDescent="0.25">
      <c r="A2627" t="s">
        <v>4179</v>
      </c>
      <c r="B2627" t="s">
        <v>4175</v>
      </c>
      <c r="C2627" t="s">
        <v>4176</v>
      </c>
      <c r="D2627" s="2">
        <v>45906</v>
      </c>
      <c r="E2627">
        <v>28</v>
      </c>
      <c r="F2627">
        <v>4</v>
      </c>
    </row>
    <row r="2628" spans="1:6" x14ac:dyDescent="0.25">
      <c r="A2628" t="s">
        <v>4180</v>
      </c>
      <c r="B2628" t="s">
        <v>4175</v>
      </c>
      <c r="C2628" t="s">
        <v>4176</v>
      </c>
      <c r="D2628" s="2">
        <v>45931</v>
      </c>
      <c r="E2628">
        <v>28</v>
      </c>
      <c r="F2628">
        <v>5</v>
      </c>
    </row>
    <row r="2629" spans="1:6" x14ac:dyDescent="0.25">
      <c r="A2629" t="s">
        <v>4181</v>
      </c>
      <c r="B2629" t="s">
        <v>4175</v>
      </c>
      <c r="C2629" t="s">
        <v>4176</v>
      </c>
      <c r="D2629" s="2">
        <v>45959</v>
      </c>
      <c r="E2629">
        <v>28</v>
      </c>
      <c r="F2629">
        <v>6</v>
      </c>
    </row>
    <row r="2630" spans="1:6" x14ac:dyDescent="0.25">
      <c r="A2630" t="s">
        <v>4182</v>
      </c>
      <c r="B2630" t="s">
        <v>4183</v>
      </c>
      <c r="C2630" t="s">
        <v>4184</v>
      </c>
      <c r="D2630" s="2">
        <v>45934</v>
      </c>
      <c r="E2630">
        <v>28</v>
      </c>
      <c r="F2630">
        <v>1</v>
      </c>
    </row>
    <row r="2631" spans="1:6" x14ac:dyDescent="0.25">
      <c r="A2631" t="s">
        <v>4185</v>
      </c>
      <c r="B2631" t="s">
        <v>4183</v>
      </c>
      <c r="C2631" t="s">
        <v>4184</v>
      </c>
      <c r="D2631" s="2">
        <v>45960</v>
      </c>
      <c r="E2631">
        <v>28</v>
      </c>
      <c r="F2631">
        <v>2</v>
      </c>
    </row>
    <row r="2632" spans="1:6" x14ac:dyDescent="0.25">
      <c r="A2632" t="s">
        <v>4186</v>
      </c>
      <c r="B2632" t="s">
        <v>4187</v>
      </c>
      <c r="C2632" t="s">
        <v>4188</v>
      </c>
      <c r="D2632" s="2">
        <v>45922</v>
      </c>
      <c r="E2632">
        <v>28</v>
      </c>
      <c r="F2632">
        <v>1</v>
      </c>
    </row>
    <row r="2633" spans="1:6" x14ac:dyDescent="0.25">
      <c r="A2633" t="s">
        <v>4189</v>
      </c>
      <c r="B2633" t="s">
        <v>4187</v>
      </c>
      <c r="C2633" t="s">
        <v>4188</v>
      </c>
      <c r="D2633" s="2">
        <v>45950</v>
      </c>
      <c r="E2633">
        <v>28</v>
      </c>
      <c r="F2633">
        <v>2</v>
      </c>
    </row>
    <row r="2634" spans="1:6" x14ac:dyDescent="0.25">
      <c r="A2634" t="s">
        <v>4190</v>
      </c>
      <c r="B2634" t="s">
        <v>4191</v>
      </c>
      <c r="C2634" t="s">
        <v>4192</v>
      </c>
      <c r="D2634" s="2">
        <v>45951</v>
      </c>
      <c r="E2634">
        <v>28</v>
      </c>
      <c r="F2634">
        <v>1</v>
      </c>
    </row>
    <row r="2635" spans="1:6" x14ac:dyDescent="0.25">
      <c r="A2635" t="s">
        <v>4193</v>
      </c>
      <c r="B2635" t="s">
        <v>4194</v>
      </c>
      <c r="C2635" t="s">
        <v>4195</v>
      </c>
      <c r="D2635" s="2">
        <v>45880</v>
      </c>
      <c r="E2635">
        <v>28</v>
      </c>
      <c r="F2635">
        <v>1</v>
      </c>
    </row>
    <row r="2636" spans="1:6" x14ac:dyDescent="0.25">
      <c r="A2636" t="s">
        <v>4196</v>
      </c>
      <c r="B2636" t="s">
        <v>4194</v>
      </c>
      <c r="C2636" t="s">
        <v>4195</v>
      </c>
      <c r="D2636" s="2">
        <v>45908</v>
      </c>
      <c r="E2636">
        <v>28</v>
      </c>
      <c r="F2636">
        <v>2</v>
      </c>
    </row>
    <row r="2637" spans="1:6" x14ac:dyDescent="0.25">
      <c r="A2637" t="s">
        <v>4197</v>
      </c>
      <c r="B2637" t="s">
        <v>4194</v>
      </c>
      <c r="C2637" t="s">
        <v>4195</v>
      </c>
      <c r="D2637" s="2">
        <v>45933</v>
      </c>
      <c r="E2637">
        <v>28</v>
      </c>
      <c r="F2637">
        <v>3</v>
      </c>
    </row>
    <row r="2638" spans="1:6" x14ac:dyDescent="0.25">
      <c r="A2638" t="s">
        <v>4198</v>
      </c>
      <c r="B2638" t="s">
        <v>4199</v>
      </c>
      <c r="C2638" t="s">
        <v>4200</v>
      </c>
      <c r="D2638" s="2">
        <v>45862</v>
      </c>
      <c r="E2638">
        <v>28</v>
      </c>
      <c r="F2638">
        <v>1</v>
      </c>
    </row>
    <row r="2639" spans="1:6" x14ac:dyDescent="0.25">
      <c r="A2639" t="s">
        <v>4201</v>
      </c>
      <c r="B2639" t="s">
        <v>4199</v>
      </c>
      <c r="C2639" t="s">
        <v>4200</v>
      </c>
      <c r="D2639" s="2">
        <v>45888</v>
      </c>
      <c r="E2639">
        <v>28</v>
      </c>
      <c r="F2639">
        <v>2</v>
      </c>
    </row>
    <row r="2640" spans="1:6" x14ac:dyDescent="0.25">
      <c r="A2640" t="s">
        <v>4202</v>
      </c>
      <c r="B2640" t="s">
        <v>4199</v>
      </c>
      <c r="C2640" t="s">
        <v>4200</v>
      </c>
      <c r="D2640" s="2">
        <v>45919</v>
      </c>
      <c r="E2640">
        <v>28</v>
      </c>
      <c r="F2640">
        <v>3</v>
      </c>
    </row>
    <row r="2641" spans="1:6" x14ac:dyDescent="0.25">
      <c r="A2641" t="s">
        <v>4203</v>
      </c>
      <c r="B2641" t="s">
        <v>4199</v>
      </c>
      <c r="C2641" t="s">
        <v>4200</v>
      </c>
      <c r="D2641" s="2">
        <v>45945</v>
      </c>
      <c r="E2641">
        <v>28</v>
      </c>
      <c r="F2641">
        <v>4</v>
      </c>
    </row>
    <row r="2642" spans="1:6" x14ac:dyDescent="0.25">
      <c r="A2642" t="s">
        <v>4204</v>
      </c>
      <c r="B2642" t="s">
        <v>4205</v>
      </c>
      <c r="C2642" t="s">
        <v>4206</v>
      </c>
      <c r="D2642" s="2">
        <v>45888</v>
      </c>
      <c r="E2642">
        <v>28</v>
      </c>
      <c r="F2642">
        <v>1</v>
      </c>
    </row>
    <row r="2643" spans="1:6" x14ac:dyDescent="0.25">
      <c r="A2643" t="s">
        <v>4207</v>
      </c>
      <c r="B2643" t="s">
        <v>4205</v>
      </c>
      <c r="C2643" t="s">
        <v>4206</v>
      </c>
      <c r="D2643" s="2">
        <v>45914</v>
      </c>
      <c r="E2643">
        <v>28</v>
      </c>
      <c r="F2643">
        <v>2</v>
      </c>
    </row>
    <row r="2644" spans="1:6" x14ac:dyDescent="0.25">
      <c r="A2644" t="s">
        <v>4208</v>
      </c>
      <c r="B2644" t="s">
        <v>4205</v>
      </c>
      <c r="C2644" t="s">
        <v>4206</v>
      </c>
      <c r="D2644" s="2">
        <v>45939</v>
      </c>
      <c r="E2644">
        <v>28</v>
      </c>
      <c r="F2644">
        <v>3</v>
      </c>
    </row>
    <row r="2645" spans="1:6" x14ac:dyDescent="0.25">
      <c r="A2645" t="s">
        <v>4209</v>
      </c>
      <c r="B2645" t="s">
        <v>4210</v>
      </c>
      <c r="C2645" t="s">
        <v>4211</v>
      </c>
      <c r="D2645" s="2">
        <v>45780</v>
      </c>
      <c r="E2645">
        <v>28</v>
      </c>
      <c r="F2645">
        <v>1</v>
      </c>
    </row>
    <row r="2646" spans="1:6" x14ac:dyDescent="0.25">
      <c r="A2646" t="s">
        <v>4212</v>
      </c>
      <c r="B2646" t="s">
        <v>4210</v>
      </c>
      <c r="C2646" t="s">
        <v>4211</v>
      </c>
      <c r="D2646" s="2">
        <v>45811</v>
      </c>
      <c r="E2646">
        <v>28</v>
      </c>
      <c r="F2646">
        <v>2</v>
      </c>
    </row>
    <row r="2647" spans="1:6" x14ac:dyDescent="0.25">
      <c r="A2647" t="s">
        <v>4213</v>
      </c>
      <c r="B2647" t="s">
        <v>4210</v>
      </c>
      <c r="C2647" t="s">
        <v>4211</v>
      </c>
      <c r="D2647" s="2">
        <v>45837</v>
      </c>
      <c r="E2647">
        <v>28</v>
      </c>
      <c r="F2647">
        <v>3</v>
      </c>
    </row>
    <row r="2648" spans="1:6" x14ac:dyDescent="0.25">
      <c r="A2648" t="s">
        <v>4214</v>
      </c>
      <c r="B2648" t="s">
        <v>4210</v>
      </c>
      <c r="C2648" t="s">
        <v>4211</v>
      </c>
      <c r="D2648" s="2">
        <v>45864</v>
      </c>
      <c r="E2648">
        <v>28</v>
      </c>
      <c r="F2648">
        <v>4</v>
      </c>
    </row>
    <row r="2649" spans="1:6" x14ac:dyDescent="0.25">
      <c r="A2649" t="s">
        <v>4215</v>
      </c>
      <c r="B2649" t="s">
        <v>4210</v>
      </c>
      <c r="C2649" t="s">
        <v>4211</v>
      </c>
      <c r="D2649" s="2">
        <v>45890</v>
      </c>
      <c r="E2649">
        <v>28</v>
      </c>
      <c r="F2649">
        <v>5</v>
      </c>
    </row>
    <row r="2650" spans="1:6" x14ac:dyDescent="0.25">
      <c r="A2650" t="s">
        <v>4216</v>
      </c>
      <c r="B2650" t="s">
        <v>4210</v>
      </c>
      <c r="C2650" t="s">
        <v>4211</v>
      </c>
      <c r="D2650" s="2">
        <v>45916</v>
      </c>
      <c r="E2650">
        <v>28</v>
      </c>
      <c r="F2650">
        <v>6</v>
      </c>
    </row>
    <row r="2651" spans="1:6" x14ac:dyDescent="0.25">
      <c r="A2651" t="s">
        <v>4217</v>
      </c>
      <c r="B2651" t="s">
        <v>4210</v>
      </c>
      <c r="C2651" t="s">
        <v>4211</v>
      </c>
      <c r="D2651" s="2">
        <v>45945</v>
      </c>
      <c r="E2651">
        <v>28</v>
      </c>
      <c r="F2651">
        <v>7</v>
      </c>
    </row>
    <row r="2652" spans="1:6" x14ac:dyDescent="0.25">
      <c r="A2652" t="s">
        <v>4218</v>
      </c>
      <c r="B2652" t="s">
        <v>4219</v>
      </c>
      <c r="C2652" t="s">
        <v>4220</v>
      </c>
      <c r="D2652" s="2">
        <v>45844</v>
      </c>
      <c r="E2652">
        <v>28</v>
      </c>
      <c r="F2652">
        <v>1</v>
      </c>
    </row>
    <row r="2653" spans="1:6" x14ac:dyDescent="0.25">
      <c r="A2653" t="s">
        <v>4221</v>
      </c>
      <c r="B2653" t="s">
        <v>4219</v>
      </c>
      <c r="C2653" t="s">
        <v>4220</v>
      </c>
      <c r="D2653" s="2">
        <v>45873</v>
      </c>
      <c r="E2653">
        <v>28</v>
      </c>
      <c r="F2653">
        <v>2</v>
      </c>
    </row>
    <row r="2654" spans="1:6" x14ac:dyDescent="0.25">
      <c r="A2654" t="s">
        <v>4222</v>
      </c>
      <c r="B2654" t="s">
        <v>4223</v>
      </c>
      <c r="C2654" t="s">
        <v>4224</v>
      </c>
      <c r="D2654" s="2">
        <v>45908</v>
      </c>
      <c r="E2654">
        <v>28</v>
      </c>
      <c r="F2654">
        <v>1</v>
      </c>
    </row>
    <row r="2655" spans="1:6" x14ac:dyDescent="0.25">
      <c r="A2655" t="s">
        <v>4225</v>
      </c>
      <c r="B2655" t="s">
        <v>4223</v>
      </c>
      <c r="C2655" t="s">
        <v>4224</v>
      </c>
      <c r="D2655" s="2">
        <v>45936</v>
      </c>
      <c r="E2655">
        <v>28</v>
      </c>
      <c r="F2655">
        <v>2</v>
      </c>
    </row>
    <row r="2656" spans="1:6" x14ac:dyDescent="0.25">
      <c r="A2656" t="s">
        <v>4226</v>
      </c>
      <c r="B2656" t="s">
        <v>4223</v>
      </c>
      <c r="C2656" t="s">
        <v>4224</v>
      </c>
      <c r="D2656" s="2">
        <v>45961</v>
      </c>
      <c r="E2656">
        <v>28</v>
      </c>
      <c r="F2656">
        <v>3</v>
      </c>
    </row>
    <row r="2657" spans="1:6" x14ac:dyDescent="0.25">
      <c r="A2657" t="s">
        <v>4227</v>
      </c>
      <c r="B2657" t="s">
        <v>4228</v>
      </c>
      <c r="C2657" t="s">
        <v>4229</v>
      </c>
      <c r="D2657" s="2">
        <v>45910</v>
      </c>
      <c r="E2657">
        <v>28</v>
      </c>
      <c r="F2657">
        <v>1</v>
      </c>
    </row>
    <row r="2658" spans="1:6" x14ac:dyDescent="0.25">
      <c r="A2658" t="s">
        <v>4230</v>
      </c>
      <c r="B2658" t="s">
        <v>4231</v>
      </c>
      <c r="C2658" t="s">
        <v>4232</v>
      </c>
      <c r="D2658" s="2">
        <v>45926</v>
      </c>
      <c r="E2658">
        <v>14</v>
      </c>
      <c r="F2658">
        <v>1</v>
      </c>
    </row>
    <row r="2659" spans="1:6" x14ac:dyDescent="0.25">
      <c r="A2659" t="s">
        <v>4233</v>
      </c>
      <c r="B2659" t="s">
        <v>4231</v>
      </c>
      <c r="C2659" t="s">
        <v>4232</v>
      </c>
      <c r="D2659" s="2">
        <v>45941</v>
      </c>
      <c r="E2659">
        <v>14</v>
      </c>
      <c r="F2659">
        <v>2</v>
      </c>
    </row>
    <row r="2660" spans="1:6" x14ac:dyDescent="0.25">
      <c r="A2660" t="s">
        <v>4234</v>
      </c>
      <c r="B2660" t="s">
        <v>4235</v>
      </c>
      <c r="C2660" t="s">
        <v>4236</v>
      </c>
      <c r="D2660" s="2">
        <v>45925</v>
      </c>
      <c r="E2660">
        <v>30</v>
      </c>
      <c r="F2660">
        <v>1</v>
      </c>
    </row>
    <row r="2661" spans="1:6" x14ac:dyDescent="0.25">
      <c r="A2661" t="s">
        <v>4237</v>
      </c>
      <c r="B2661" t="s">
        <v>4235</v>
      </c>
      <c r="C2661" t="s">
        <v>4236</v>
      </c>
      <c r="D2661" s="2">
        <v>45958</v>
      </c>
      <c r="E2661">
        <v>30</v>
      </c>
      <c r="F2661">
        <v>2</v>
      </c>
    </row>
    <row r="2662" spans="1:6" x14ac:dyDescent="0.25">
      <c r="A2662" t="s">
        <v>4238</v>
      </c>
      <c r="B2662" t="s">
        <v>4239</v>
      </c>
      <c r="C2662" t="s">
        <v>4240</v>
      </c>
      <c r="D2662" s="2">
        <v>45892</v>
      </c>
      <c r="E2662">
        <v>14</v>
      </c>
      <c r="F2662">
        <v>1</v>
      </c>
    </row>
    <row r="2663" spans="1:6" x14ac:dyDescent="0.25">
      <c r="A2663" t="s">
        <v>4241</v>
      </c>
      <c r="B2663" t="s">
        <v>4239</v>
      </c>
      <c r="C2663" t="s">
        <v>4240</v>
      </c>
      <c r="D2663" s="2">
        <v>45904</v>
      </c>
      <c r="E2663">
        <v>14</v>
      </c>
      <c r="F2663">
        <v>2</v>
      </c>
    </row>
    <row r="2664" spans="1:6" x14ac:dyDescent="0.25">
      <c r="A2664" t="s">
        <v>4242</v>
      </c>
      <c r="B2664" t="s">
        <v>4239</v>
      </c>
      <c r="C2664" t="s">
        <v>4240</v>
      </c>
      <c r="D2664" s="2">
        <v>45916</v>
      </c>
      <c r="E2664">
        <v>14</v>
      </c>
      <c r="F2664">
        <v>3</v>
      </c>
    </row>
    <row r="2665" spans="1:6" x14ac:dyDescent="0.25">
      <c r="A2665" t="s">
        <v>4243</v>
      </c>
      <c r="B2665" t="s">
        <v>4239</v>
      </c>
      <c r="C2665" t="s">
        <v>4240</v>
      </c>
      <c r="D2665" s="2">
        <v>45929</v>
      </c>
      <c r="E2665">
        <v>14</v>
      </c>
      <c r="F2665">
        <v>4</v>
      </c>
    </row>
    <row r="2666" spans="1:6" x14ac:dyDescent="0.25">
      <c r="A2666" t="s">
        <v>4244</v>
      </c>
      <c r="B2666" t="s">
        <v>4239</v>
      </c>
      <c r="C2666" t="s">
        <v>4240</v>
      </c>
      <c r="D2666" s="2">
        <v>45943</v>
      </c>
      <c r="E2666">
        <v>14</v>
      </c>
      <c r="F2666">
        <v>5</v>
      </c>
    </row>
    <row r="2667" spans="1:6" x14ac:dyDescent="0.25">
      <c r="A2667" t="s">
        <v>4245</v>
      </c>
      <c r="B2667" t="s">
        <v>4239</v>
      </c>
      <c r="C2667" t="s">
        <v>4240</v>
      </c>
      <c r="D2667" s="2">
        <v>45955</v>
      </c>
      <c r="E2667">
        <v>14</v>
      </c>
      <c r="F2667">
        <v>6</v>
      </c>
    </row>
    <row r="2668" spans="1:6" x14ac:dyDescent="0.25">
      <c r="A2668" t="s">
        <v>4246</v>
      </c>
      <c r="B2668" t="s">
        <v>4247</v>
      </c>
      <c r="C2668" t="s">
        <v>4248</v>
      </c>
      <c r="D2668" s="2">
        <v>45878</v>
      </c>
      <c r="E2668">
        <v>30</v>
      </c>
      <c r="F2668">
        <v>1</v>
      </c>
    </row>
    <row r="2669" spans="1:6" x14ac:dyDescent="0.25">
      <c r="A2669" t="s">
        <v>4249</v>
      </c>
      <c r="B2669" t="s">
        <v>4247</v>
      </c>
      <c r="C2669" t="s">
        <v>4248</v>
      </c>
      <c r="D2669" s="2">
        <v>45910</v>
      </c>
      <c r="E2669">
        <v>30</v>
      </c>
      <c r="F2669">
        <v>2</v>
      </c>
    </row>
    <row r="2670" spans="1:6" x14ac:dyDescent="0.25">
      <c r="A2670" t="s">
        <v>4250</v>
      </c>
      <c r="B2670" t="s">
        <v>4247</v>
      </c>
      <c r="C2670" t="s">
        <v>4248</v>
      </c>
      <c r="D2670" s="2">
        <v>45941</v>
      </c>
      <c r="E2670">
        <v>30</v>
      </c>
      <c r="F2670">
        <v>3</v>
      </c>
    </row>
    <row r="2671" spans="1:6" x14ac:dyDescent="0.25">
      <c r="A2671" t="s">
        <v>4251</v>
      </c>
      <c r="B2671" t="s">
        <v>4252</v>
      </c>
      <c r="C2671" t="s">
        <v>4253</v>
      </c>
      <c r="D2671" s="2">
        <v>45951</v>
      </c>
      <c r="E2671">
        <v>14</v>
      </c>
      <c r="F2671">
        <v>1</v>
      </c>
    </row>
    <row r="2672" spans="1:6" x14ac:dyDescent="0.25">
      <c r="A2672" t="s">
        <v>4254</v>
      </c>
      <c r="B2672" t="s">
        <v>4255</v>
      </c>
      <c r="C2672" t="s">
        <v>4256</v>
      </c>
      <c r="D2672" s="2">
        <v>45954</v>
      </c>
      <c r="E2672">
        <v>28</v>
      </c>
      <c r="F2672">
        <v>1</v>
      </c>
    </row>
    <row r="2673" spans="1:6" x14ac:dyDescent="0.25">
      <c r="A2673" t="s">
        <v>4257</v>
      </c>
      <c r="B2673" t="s">
        <v>4258</v>
      </c>
      <c r="C2673" t="s">
        <v>4259</v>
      </c>
      <c r="D2673" s="2">
        <v>45816</v>
      </c>
      <c r="E2673">
        <v>28</v>
      </c>
      <c r="F2673">
        <v>1</v>
      </c>
    </row>
    <row r="2674" spans="1:6" x14ac:dyDescent="0.25">
      <c r="A2674" t="s">
        <v>4260</v>
      </c>
      <c r="B2674" t="s">
        <v>4258</v>
      </c>
      <c r="C2674" t="s">
        <v>4259</v>
      </c>
      <c r="D2674" s="2">
        <v>45843</v>
      </c>
      <c r="E2674">
        <v>28</v>
      </c>
      <c r="F2674">
        <v>2</v>
      </c>
    </row>
    <row r="2675" spans="1:6" x14ac:dyDescent="0.25">
      <c r="A2675" t="s">
        <v>4261</v>
      </c>
      <c r="B2675" t="s">
        <v>4262</v>
      </c>
      <c r="C2675" t="s">
        <v>4263</v>
      </c>
      <c r="D2675" s="2">
        <v>45784</v>
      </c>
      <c r="E2675">
        <v>28</v>
      </c>
      <c r="F2675">
        <v>1</v>
      </c>
    </row>
    <row r="2676" spans="1:6" x14ac:dyDescent="0.25">
      <c r="A2676" t="s">
        <v>4264</v>
      </c>
      <c r="B2676" t="s">
        <v>4262</v>
      </c>
      <c r="C2676" t="s">
        <v>4263</v>
      </c>
      <c r="D2676" s="2">
        <v>45810</v>
      </c>
      <c r="E2676">
        <v>28</v>
      </c>
      <c r="F2676">
        <v>2</v>
      </c>
    </row>
    <row r="2677" spans="1:6" x14ac:dyDescent="0.25">
      <c r="A2677" t="s">
        <v>4265</v>
      </c>
      <c r="B2677" t="s">
        <v>4262</v>
      </c>
      <c r="C2677" t="s">
        <v>4263</v>
      </c>
      <c r="D2677" s="2">
        <v>45835</v>
      </c>
      <c r="E2677">
        <v>28</v>
      </c>
      <c r="F2677">
        <v>3</v>
      </c>
    </row>
    <row r="2678" spans="1:6" x14ac:dyDescent="0.25">
      <c r="A2678" t="s">
        <v>4266</v>
      </c>
      <c r="B2678" t="s">
        <v>4262</v>
      </c>
      <c r="C2678" t="s">
        <v>4263</v>
      </c>
      <c r="D2678" s="2">
        <v>45860</v>
      </c>
      <c r="E2678">
        <v>28</v>
      </c>
      <c r="F2678">
        <v>4</v>
      </c>
    </row>
    <row r="2679" spans="1:6" x14ac:dyDescent="0.25">
      <c r="A2679" t="s">
        <v>4267</v>
      </c>
      <c r="B2679" t="s">
        <v>4262</v>
      </c>
      <c r="C2679" t="s">
        <v>4263</v>
      </c>
      <c r="D2679" s="2">
        <v>45887</v>
      </c>
      <c r="E2679">
        <v>28</v>
      </c>
      <c r="F2679">
        <v>5</v>
      </c>
    </row>
    <row r="2680" spans="1:6" x14ac:dyDescent="0.25">
      <c r="A2680" t="s">
        <v>4268</v>
      </c>
      <c r="B2680" t="s">
        <v>4262</v>
      </c>
      <c r="C2680" t="s">
        <v>4263</v>
      </c>
      <c r="D2680" s="2">
        <v>45918</v>
      </c>
      <c r="E2680">
        <v>28</v>
      </c>
      <c r="F2680">
        <v>6</v>
      </c>
    </row>
    <row r="2681" spans="1:6" x14ac:dyDescent="0.25">
      <c r="A2681" t="s">
        <v>4269</v>
      </c>
      <c r="B2681" t="s">
        <v>4262</v>
      </c>
      <c r="C2681" t="s">
        <v>4263</v>
      </c>
      <c r="D2681" s="2">
        <v>45947</v>
      </c>
      <c r="E2681">
        <v>28</v>
      </c>
      <c r="F2681">
        <v>7</v>
      </c>
    </row>
    <row r="2682" spans="1:6" x14ac:dyDescent="0.25">
      <c r="A2682" t="s">
        <v>4270</v>
      </c>
      <c r="B2682" t="s">
        <v>4271</v>
      </c>
      <c r="C2682" t="s">
        <v>4272</v>
      </c>
      <c r="D2682" s="2">
        <v>45804</v>
      </c>
      <c r="E2682">
        <v>28</v>
      </c>
      <c r="F2682">
        <v>1</v>
      </c>
    </row>
    <row r="2683" spans="1:6" x14ac:dyDescent="0.25">
      <c r="A2683" t="s">
        <v>4273</v>
      </c>
      <c r="B2683" t="s">
        <v>4271</v>
      </c>
      <c r="C2683" t="s">
        <v>4272</v>
      </c>
      <c r="D2683" s="2">
        <v>45834</v>
      </c>
      <c r="E2683">
        <v>28</v>
      </c>
      <c r="F2683">
        <v>2</v>
      </c>
    </row>
    <row r="2684" spans="1:6" x14ac:dyDescent="0.25">
      <c r="A2684" t="s">
        <v>4274</v>
      </c>
      <c r="B2684" t="s">
        <v>4271</v>
      </c>
      <c r="C2684" t="s">
        <v>4272</v>
      </c>
      <c r="D2684" s="2">
        <v>45860</v>
      </c>
      <c r="E2684">
        <v>28</v>
      </c>
      <c r="F2684">
        <v>3</v>
      </c>
    </row>
    <row r="2685" spans="1:6" x14ac:dyDescent="0.25">
      <c r="A2685" t="s">
        <v>4275</v>
      </c>
      <c r="B2685" t="s">
        <v>4271</v>
      </c>
      <c r="C2685" t="s">
        <v>4272</v>
      </c>
      <c r="D2685" s="2">
        <v>45885</v>
      </c>
      <c r="E2685">
        <v>28</v>
      </c>
      <c r="F2685">
        <v>4</v>
      </c>
    </row>
    <row r="2686" spans="1:6" x14ac:dyDescent="0.25">
      <c r="A2686" t="s">
        <v>4276</v>
      </c>
      <c r="B2686" t="s">
        <v>4271</v>
      </c>
      <c r="C2686" t="s">
        <v>4272</v>
      </c>
      <c r="D2686" s="2">
        <v>45910</v>
      </c>
      <c r="E2686">
        <v>28</v>
      </c>
      <c r="F2686">
        <v>5</v>
      </c>
    </row>
    <row r="2687" spans="1:6" x14ac:dyDescent="0.25">
      <c r="A2687" t="s">
        <v>4277</v>
      </c>
      <c r="B2687" t="s">
        <v>4271</v>
      </c>
      <c r="C2687" t="s">
        <v>4272</v>
      </c>
      <c r="D2687" s="2">
        <v>45936</v>
      </c>
      <c r="E2687">
        <v>28</v>
      </c>
      <c r="F2687">
        <v>6</v>
      </c>
    </row>
    <row r="2688" spans="1:6" x14ac:dyDescent="0.25">
      <c r="A2688" t="s">
        <v>4278</v>
      </c>
      <c r="B2688" t="s">
        <v>4279</v>
      </c>
      <c r="C2688" t="s">
        <v>4280</v>
      </c>
      <c r="D2688" s="2">
        <v>45884</v>
      </c>
      <c r="E2688">
        <v>30</v>
      </c>
      <c r="F2688">
        <v>1</v>
      </c>
    </row>
    <row r="2689" spans="1:6" x14ac:dyDescent="0.25">
      <c r="A2689" t="s">
        <v>4281</v>
      </c>
      <c r="B2689" t="s">
        <v>4279</v>
      </c>
      <c r="C2689" t="s">
        <v>4280</v>
      </c>
      <c r="D2689" s="2">
        <v>45914</v>
      </c>
      <c r="E2689">
        <v>30</v>
      </c>
      <c r="F2689">
        <v>2</v>
      </c>
    </row>
    <row r="2690" spans="1:6" x14ac:dyDescent="0.25">
      <c r="A2690" t="s">
        <v>4282</v>
      </c>
      <c r="B2690" t="s">
        <v>4279</v>
      </c>
      <c r="C2690" t="s">
        <v>4280</v>
      </c>
      <c r="D2690" s="2">
        <v>45942</v>
      </c>
      <c r="E2690">
        <v>30</v>
      </c>
      <c r="F2690">
        <v>3</v>
      </c>
    </row>
    <row r="2691" spans="1:6" x14ac:dyDescent="0.25">
      <c r="A2691" t="s">
        <v>4283</v>
      </c>
      <c r="B2691" t="s">
        <v>4284</v>
      </c>
      <c r="C2691" t="s">
        <v>4285</v>
      </c>
      <c r="D2691" s="2">
        <v>45807</v>
      </c>
      <c r="E2691">
        <v>14</v>
      </c>
      <c r="F2691">
        <v>1</v>
      </c>
    </row>
    <row r="2692" spans="1:6" x14ac:dyDescent="0.25">
      <c r="A2692" t="s">
        <v>4286</v>
      </c>
      <c r="B2692" t="s">
        <v>4284</v>
      </c>
      <c r="C2692" t="s">
        <v>4285</v>
      </c>
      <c r="D2692" s="2">
        <v>45818</v>
      </c>
      <c r="E2692">
        <v>14</v>
      </c>
      <c r="F2692">
        <v>2</v>
      </c>
    </row>
    <row r="2693" spans="1:6" x14ac:dyDescent="0.25">
      <c r="A2693" t="s">
        <v>4287</v>
      </c>
      <c r="B2693" t="s">
        <v>4284</v>
      </c>
      <c r="C2693" t="s">
        <v>4285</v>
      </c>
      <c r="D2693" s="2">
        <v>45834</v>
      </c>
      <c r="E2693">
        <v>14</v>
      </c>
      <c r="F2693">
        <v>3</v>
      </c>
    </row>
    <row r="2694" spans="1:6" x14ac:dyDescent="0.25">
      <c r="A2694" t="s">
        <v>4288</v>
      </c>
      <c r="B2694" t="s">
        <v>4284</v>
      </c>
      <c r="C2694" t="s">
        <v>4285</v>
      </c>
      <c r="D2694" s="2">
        <v>45847</v>
      </c>
      <c r="E2694">
        <v>14</v>
      </c>
      <c r="F2694">
        <v>4</v>
      </c>
    </row>
    <row r="2695" spans="1:6" x14ac:dyDescent="0.25">
      <c r="A2695" t="s">
        <v>4289</v>
      </c>
      <c r="B2695" t="s">
        <v>4284</v>
      </c>
      <c r="C2695" t="s">
        <v>4285</v>
      </c>
      <c r="D2695" s="2">
        <v>45861</v>
      </c>
      <c r="E2695">
        <v>14</v>
      </c>
      <c r="F2695">
        <v>5</v>
      </c>
    </row>
    <row r="2696" spans="1:6" x14ac:dyDescent="0.25">
      <c r="A2696" t="s">
        <v>4290</v>
      </c>
      <c r="B2696" t="s">
        <v>4284</v>
      </c>
      <c r="C2696" t="s">
        <v>4285</v>
      </c>
      <c r="D2696" s="2">
        <v>45874</v>
      </c>
      <c r="E2696">
        <v>14</v>
      </c>
      <c r="F2696">
        <v>6</v>
      </c>
    </row>
    <row r="2697" spans="1:6" x14ac:dyDescent="0.25">
      <c r="A2697" t="s">
        <v>4291</v>
      </c>
      <c r="B2697" t="s">
        <v>4284</v>
      </c>
      <c r="C2697" t="s">
        <v>4285</v>
      </c>
      <c r="D2697" s="2">
        <v>45891</v>
      </c>
      <c r="E2697">
        <v>14</v>
      </c>
      <c r="F2697">
        <v>7</v>
      </c>
    </row>
    <row r="2698" spans="1:6" x14ac:dyDescent="0.25">
      <c r="A2698" t="s">
        <v>4292</v>
      </c>
      <c r="B2698" t="s">
        <v>4284</v>
      </c>
      <c r="C2698" t="s">
        <v>4285</v>
      </c>
      <c r="D2698" s="2">
        <v>45908</v>
      </c>
      <c r="E2698">
        <v>14</v>
      </c>
      <c r="F2698">
        <v>8</v>
      </c>
    </row>
    <row r="2699" spans="1:6" x14ac:dyDescent="0.25">
      <c r="A2699" t="s">
        <v>4293</v>
      </c>
      <c r="B2699" t="s">
        <v>4284</v>
      </c>
      <c r="C2699" t="s">
        <v>4285</v>
      </c>
      <c r="D2699" s="2">
        <v>45919</v>
      </c>
      <c r="E2699">
        <v>14</v>
      </c>
      <c r="F2699">
        <v>9</v>
      </c>
    </row>
    <row r="2700" spans="1:6" x14ac:dyDescent="0.25">
      <c r="A2700" t="s">
        <v>4294</v>
      </c>
      <c r="B2700" t="s">
        <v>4284</v>
      </c>
      <c r="C2700" t="s">
        <v>4285</v>
      </c>
      <c r="D2700" s="2">
        <v>45935</v>
      </c>
      <c r="E2700">
        <v>14</v>
      </c>
      <c r="F2700">
        <v>10</v>
      </c>
    </row>
    <row r="2701" spans="1:6" x14ac:dyDescent="0.25">
      <c r="A2701" t="s">
        <v>4295</v>
      </c>
      <c r="B2701" t="s">
        <v>4284</v>
      </c>
      <c r="C2701" t="s">
        <v>4285</v>
      </c>
      <c r="D2701" s="2">
        <v>45950</v>
      </c>
      <c r="E2701">
        <v>14</v>
      </c>
      <c r="F2701">
        <v>11</v>
      </c>
    </row>
    <row r="2702" spans="1:6" x14ac:dyDescent="0.25">
      <c r="A2702" t="s">
        <v>4296</v>
      </c>
      <c r="B2702" t="s">
        <v>4297</v>
      </c>
      <c r="C2702" t="s">
        <v>4298</v>
      </c>
      <c r="D2702" s="2">
        <v>45814</v>
      </c>
      <c r="E2702">
        <v>28</v>
      </c>
      <c r="F2702">
        <v>1</v>
      </c>
    </row>
    <row r="2703" spans="1:6" x14ac:dyDescent="0.25">
      <c r="A2703" t="s">
        <v>4299</v>
      </c>
      <c r="B2703" t="s">
        <v>4300</v>
      </c>
      <c r="C2703" t="s">
        <v>4301</v>
      </c>
      <c r="D2703" s="2">
        <v>45857</v>
      </c>
      <c r="E2703">
        <v>28</v>
      </c>
      <c r="F2703">
        <v>1</v>
      </c>
    </row>
    <row r="2704" spans="1:6" x14ac:dyDescent="0.25">
      <c r="A2704" t="s">
        <v>4302</v>
      </c>
      <c r="B2704" t="s">
        <v>4300</v>
      </c>
      <c r="C2704" t="s">
        <v>4301</v>
      </c>
      <c r="D2704" s="2">
        <v>45882</v>
      </c>
      <c r="E2704">
        <v>28</v>
      </c>
      <c r="F2704">
        <v>2</v>
      </c>
    </row>
    <row r="2705" spans="1:6" x14ac:dyDescent="0.25">
      <c r="A2705" t="s">
        <v>4303</v>
      </c>
      <c r="B2705" t="s">
        <v>4304</v>
      </c>
      <c r="C2705" t="s">
        <v>4305</v>
      </c>
      <c r="D2705" s="2">
        <v>45894</v>
      </c>
      <c r="E2705">
        <v>30</v>
      </c>
      <c r="F2705">
        <v>1</v>
      </c>
    </row>
    <row r="2706" spans="1:6" x14ac:dyDescent="0.25">
      <c r="A2706" t="s">
        <v>4306</v>
      </c>
      <c r="B2706" t="s">
        <v>4304</v>
      </c>
      <c r="C2706" t="s">
        <v>4305</v>
      </c>
      <c r="D2706" s="2">
        <v>45924</v>
      </c>
      <c r="E2706">
        <v>30</v>
      </c>
      <c r="F2706">
        <v>2</v>
      </c>
    </row>
    <row r="2707" spans="1:6" x14ac:dyDescent="0.25">
      <c r="A2707" t="s">
        <v>4307</v>
      </c>
      <c r="B2707" t="s">
        <v>4304</v>
      </c>
      <c r="C2707" t="s">
        <v>4305</v>
      </c>
      <c r="D2707" s="2">
        <v>45955</v>
      </c>
      <c r="E2707">
        <v>30</v>
      </c>
      <c r="F2707">
        <v>3</v>
      </c>
    </row>
    <row r="2708" spans="1:6" x14ac:dyDescent="0.25">
      <c r="A2708" t="s">
        <v>4308</v>
      </c>
      <c r="B2708" t="s">
        <v>4309</v>
      </c>
      <c r="C2708" t="s">
        <v>4310</v>
      </c>
      <c r="D2708" s="2">
        <v>45830</v>
      </c>
      <c r="E2708">
        <v>30</v>
      </c>
      <c r="F2708">
        <v>1</v>
      </c>
    </row>
    <row r="2709" spans="1:6" x14ac:dyDescent="0.25">
      <c r="A2709" t="s">
        <v>4311</v>
      </c>
      <c r="B2709" t="s">
        <v>4309</v>
      </c>
      <c r="C2709" t="s">
        <v>4310</v>
      </c>
      <c r="D2709" s="2">
        <v>45862</v>
      </c>
      <c r="E2709">
        <v>30</v>
      </c>
      <c r="F2709">
        <v>2</v>
      </c>
    </row>
    <row r="2710" spans="1:6" x14ac:dyDescent="0.25">
      <c r="A2710" t="s">
        <v>4312</v>
      </c>
      <c r="B2710" t="s">
        <v>4313</v>
      </c>
      <c r="C2710" t="s">
        <v>4314</v>
      </c>
      <c r="D2710" s="2">
        <v>45901</v>
      </c>
      <c r="E2710">
        <v>28</v>
      </c>
      <c r="F2710">
        <v>1</v>
      </c>
    </row>
    <row r="2711" spans="1:6" x14ac:dyDescent="0.25">
      <c r="A2711" t="s">
        <v>4315</v>
      </c>
      <c r="B2711" t="s">
        <v>4316</v>
      </c>
      <c r="C2711" t="s">
        <v>4317</v>
      </c>
      <c r="D2711" s="2">
        <v>45899</v>
      </c>
      <c r="E2711">
        <v>28</v>
      </c>
      <c r="F2711">
        <v>1</v>
      </c>
    </row>
    <row r="2712" spans="1:6" x14ac:dyDescent="0.25">
      <c r="A2712" t="s">
        <v>4318</v>
      </c>
      <c r="B2712" t="s">
        <v>4319</v>
      </c>
      <c r="C2712" t="s">
        <v>4320</v>
      </c>
      <c r="D2712" s="2">
        <v>45890</v>
      </c>
      <c r="E2712">
        <v>30</v>
      </c>
      <c r="F2712">
        <v>1</v>
      </c>
    </row>
    <row r="2713" spans="1:6" x14ac:dyDescent="0.25">
      <c r="A2713" t="s">
        <v>4321</v>
      </c>
      <c r="B2713" t="s">
        <v>4319</v>
      </c>
      <c r="C2713" t="s">
        <v>4320</v>
      </c>
      <c r="D2713" s="2">
        <v>45918</v>
      </c>
      <c r="E2713">
        <v>30</v>
      </c>
      <c r="F2713">
        <v>2</v>
      </c>
    </row>
    <row r="2714" spans="1:6" x14ac:dyDescent="0.25">
      <c r="A2714" t="s">
        <v>4322</v>
      </c>
      <c r="B2714" t="s">
        <v>4319</v>
      </c>
      <c r="C2714" t="s">
        <v>4320</v>
      </c>
      <c r="D2714" s="2">
        <v>45948</v>
      </c>
      <c r="E2714">
        <v>30</v>
      </c>
      <c r="F2714">
        <v>3</v>
      </c>
    </row>
    <row r="2715" spans="1:6" x14ac:dyDescent="0.25">
      <c r="A2715" t="s">
        <v>4323</v>
      </c>
      <c r="B2715" t="s">
        <v>4324</v>
      </c>
      <c r="C2715" t="s">
        <v>4325</v>
      </c>
      <c r="D2715" s="2">
        <v>45956</v>
      </c>
      <c r="E2715">
        <v>28</v>
      </c>
      <c r="F2715">
        <v>1</v>
      </c>
    </row>
    <row r="2716" spans="1:6" x14ac:dyDescent="0.25">
      <c r="A2716" t="s">
        <v>4326</v>
      </c>
      <c r="B2716" t="s">
        <v>4327</v>
      </c>
      <c r="C2716" t="s">
        <v>4328</v>
      </c>
      <c r="D2716" s="2">
        <v>45859</v>
      </c>
      <c r="E2716">
        <v>28</v>
      </c>
      <c r="F2716">
        <v>1</v>
      </c>
    </row>
    <row r="2717" spans="1:6" x14ac:dyDescent="0.25">
      <c r="A2717" t="s">
        <v>4329</v>
      </c>
      <c r="B2717" t="s">
        <v>4327</v>
      </c>
      <c r="C2717" t="s">
        <v>4328</v>
      </c>
      <c r="D2717" s="2">
        <v>45887</v>
      </c>
      <c r="E2717">
        <v>28</v>
      </c>
      <c r="F2717">
        <v>2</v>
      </c>
    </row>
    <row r="2718" spans="1:6" x14ac:dyDescent="0.25">
      <c r="A2718" t="s">
        <v>4330</v>
      </c>
      <c r="B2718" t="s">
        <v>4327</v>
      </c>
      <c r="C2718" t="s">
        <v>4328</v>
      </c>
      <c r="D2718" s="2">
        <v>45915</v>
      </c>
      <c r="E2718">
        <v>28</v>
      </c>
      <c r="F2718">
        <v>3</v>
      </c>
    </row>
    <row r="2719" spans="1:6" x14ac:dyDescent="0.25">
      <c r="A2719" t="s">
        <v>4331</v>
      </c>
      <c r="B2719" t="s">
        <v>4327</v>
      </c>
      <c r="C2719" t="s">
        <v>4328</v>
      </c>
      <c r="D2719" s="2">
        <v>45943</v>
      </c>
      <c r="E2719">
        <v>28</v>
      </c>
      <c r="F2719">
        <v>4</v>
      </c>
    </row>
    <row r="2720" spans="1:6" x14ac:dyDescent="0.25">
      <c r="A2720" t="s">
        <v>4332</v>
      </c>
      <c r="B2720" t="s">
        <v>4333</v>
      </c>
      <c r="C2720" t="s">
        <v>4334</v>
      </c>
      <c r="D2720" s="2">
        <v>45854</v>
      </c>
      <c r="E2720">
        <v>30</v>
      </c>
      <c r="F2720">
        <v>1</v>
      </c>
    </row>
    <row r="2721" spans="1:6" x14ac:dyDescent="0.25">
      <c r="A2721" t="s">
        <v>4335</v>
      </c>
      <c r="B2721" t="s">
        <v>4333</v>
      </c>
      <c r="C2721" t="s">
        <v>4334</v>
      </c>
      <c r="D2721" s="2">
        <v>45885</v>
      </c>
      <c r="E2721">
        <v>30</v>
      </c>
      <c r="F2721">
        <v>2</v>
      </c>
    </row>
    <row r="2722" spans="1:6" x14ac:dyDescent="0.25">
      <c r="A2722" t="s">
        <v>4336</v>
      </c>
      <c r="B2722" t="s">
        <v>4333</v>
      </c>
      <c r="C2722" t="s">
        <v>4334</v>
      </c>
      <c r="D2722" s="2">
        <v>45913</v>
      </c>
      <c r="E2722">
        <v>30</v>
      </c>
      <c r="F2722">
        <v>3</v>
      </c>
    </row>
    <row r="2723" spans="1:6" x14ac:dyDescent="0.25">
      <c r="A2723" t="s">
        <v>4337</v>
      </c>
      <c r="B2723" t="s">
        <v>4333</v>
      </c>
      <c r="C2723" t="s">
        <v>4334</v>
      </c>
      <c r="D2723" s="2">
        <v>45942</v>
      </c>
      <c r="E2723">
        <v>30</v>
      </c>
      <c r="F2723">
        <v>4</v>
      </c>
    </row>
    <row r="2724" spans="1:6" x14ac:dyDescent="0.25">
      <c r="A2724" t="s">
        <v>4338</v>
      </c>
      <c r="B2724" t="s">
        <v>4339</v>
      </c>
      <c r="C2724" t="s">
        <v>4340</v>
      </c>
      <c r="D2724" s="2">
        <v>45959</v>
      </c>
      <c r="E2724">
        <v>28</v>
      </c>
      <c r="F2724">
        <v>1</v>
      </c>
    </row>
    <row r="2725" spans="1:6" x14ac:dyDescent="0.25">
      <c r="A2725" t="s">
        <v>4341</v>
      </c>
      <c r="B2725" t="s">
        <v>4342</v>
      </c>
      <c r="C2725" t="s">
        <v>4343</v>
      </c>
      <c r="D2725" s="2">
        <v>45783</v>
      </c>
      <c r="E2725">
        <v>14</v>
      </c>
      <c r="F2725">
        <v>1</v>
      </c>
    </row>
    <row r="2726" spans="1:6" x14ac:dyDescent="0.25">
      <c r="A2726" t="s">
        <v>4344</v>
      </c>
      <c r="B2726" t="s">
        <v>4342</v>
      </c>
      <c r="C2726" t="s">
        <v>4343</v>
      </c>
      <c r="D2726" s="2">
        <v>45796</v>
      </c>
      <c r="E2726">
        <v>14</v>
      </c>
      <c r="F2726">
        <v>2</v>
      </c>
    </row>
    <row r="2727" spans="1:6" x14ac:dyDescent="0.25">
      <c r="A2727" t="s">
        <v>4345</v>
      </c>
      <c r="B2727" t="s">
        <v>4342</v>
      </c>
      <c r="C2727" t="s">
        <v>4343</v>
      </c>
      <c r="D2727" s="2">
        <v>45808</v>
      </c>
      <c r="E2727">
        <v>14</v>
      </c>
      <c r="F2727">
        <v>3</v>
      </c>
    </row>
    <row r="2728" spans="1:6" x14ac:dyDescent="0.25">
      <c r="A2728" t="s">
        <v>4346</v>
      </c>
      <c r="B2728" t="s">
        <v>4342</v>
      </c>
      <c r="C2728" t="s">
        <v>4343</v>
      </c>
      <c r="D2728" s="2">
        <v>45820</v>
      </c>
      <c r="E2728">
        <v>14</v>
      </c>
      <c r="F2728">
        <v>4</v>
      </c>
    </row>
    <row r="2729" spans="1:6" x14ac:dyDescent="0.25">
      <c r="A2729" t="s">
        <v>4347</v>
      </c>
      <c r="B2729" t="s">
        <v>4342</v>
      </c>
      <c r="C2729" t="s">
        <v>4343</v>
      </c>
      <c r="D2729" s="2">
        <v>45836</v>
      </c>
      <c r="E2729">
        <v>14</v>
      </c>
      <c r="F2729">
        <v>5</v>
      </c>
    </row>
    <row r="2730" spans="1:6" x14ac:dyDescent="0.25">
      <c r="A2730" t="s">
        <v>4348</v>
      </c>
      <c r="B2730" t="s">
        <v>4342</v>
      </c>
      <c r="C2730" t="s">
        <v>4343</v>
      </c>
      <c r="D2730" s="2">
        <v>45847</v>
      </c>
      <c r="E2730">
        <v>14</v>
      </c>
      <c r="F2730">
        <v>6</v>
      </c>
    </row>
    <row r="2731" spans="1:6" x14ac:dyDescent="0.25">
      <c r="A2731" t="s">
        <v>4349</v>
      </c>
      <c r="B2731" t="s">
        <v>4342</v>
      </c>
      <c r="C2731" t="s">
        <v>4343</v>
      </c>
      <c r="D2731" s="2">
        <v>45859</v>
      </c>
      <c r="E2731">
        <v>14</v>
      </c>
      <c r="F2731">
        <v>7</v>
      </c>
    </row>
    <row r="2732" spans="1:6" x14ac:dyDescent="0.25">
      <c r="A2732" t="s">
        <v>4350</v>
      </c>
      <c r="B2732" t="s">
        <v>4342</v>
      </c>
      <c r="C2732" t="s">
        <v>4343</v>
      </c>
      <c r="D2732" s="2">
        <v>45876</v>
      </c>
      <c r="E2732">
        <v>14</v>
      </c>
      <c r="F2732">
        <v>8</v>
      </c>
    </row>
    <row r="2733" spans="1:6" x14ac:dyDescent="0.25">
      <c r="A2733" t="s">
        <v>4351</v>
      </c>
      <c r="B2733" t="s">
        <v>4342</v>
      </c>
      <c r="C2733" t="s">
        <v>4343</v>
      </c>
      <c r="D2733" s="2">
        <v>45890</v>
      </c>
      <c r="E2733">
        <v>14</v>
      </c>
      <c r="F2733">
        <v>9</v>
      </c>
    </row>
    <row r="2734" spans="1:6" x14ac:dyDescent="0.25">
      <c r="A2734" t="s">
        <v>4352</v>
      </c>
      <c r="B2734" t="s">
        <v>4342</v>
      </c>
      <c r="C2734" t="s">
        <v>4343</v>
      </c>
      <c r="D2734" s="2">
        <v>45902</v>
      </c>
      <c r="E2734">
        <v>14</v>
      </c>
      <c r="F2734">
        <v>10</v>
      </c>
    </row>
    <row r="2735" spans="1:6" x14ac:dyDescent="0.25">
      <c r="A2735" t="s">
        <v>4353</v>
      </c>
      <c r="B2735" t="s">
        <v>4342</v>
      </c>
      <c r="C2735" t="s">
        <v>4343</v>
      </c>
      <c r="D2735" s="2">
        <v>45915</v>
      </c>
      <c r="E2735">
        <v>14</v>
      </c>
      <c r="F2735">
        <v>11</v>
      </c>
    </row>
    <row r="2736" spans="1:6" x14ac:dyDescent="0.25">
      <c r="A2736" t="s">
        <v>4354</v>
      </c>
      <c r="B2736" t="s">
        <v>4342</v>
      </c>
      <c r="C2736" t="s">
        <v>4343</v>
      </c>
      <c r="D2736" s="2">
        <v>45928</v>
      </c>
      <c r="E2736">
        <v>14</v>
      </c>
      <c r="F2736">
        <v>12</v>
      </c>
    </row>
    <row r="2737" spans="1:6" x14ac:dyDescent="0.25">
      <c r="A2737" t="s">
        <v>4355</v>
      </c>
      <c r="B2737" t="s">
        <v>4342</v>
      </c>
      <c r="C2737" t="s">
        <v>4343</v>
      </c>
      <c r="D2737" s="2">
        <v>45940</v>
      </c>
      <c r="E2737">
        <v>14</v>
      </c>
      <c r="F2737">
        <v>13</v>
      </c>
    </row>
    <row r="2738" spans="1:6" x14ac:dyDescent="0.25">
      <c r="A2738" t="s">
        <v>4356</v>
      </c>
      <c r="B2738" t="s">
        <v>4342</v>
      </c>
      <c r="C2738" t="s">
        <v>4343</v>
      </c>
      <c r="D2738" s="2">
        <v>45957</v>
      </c>
      <c r="E2738">
        <v>14</v>
      </c>
      <c r="F2738">
        <v>14</v>
      </c>
    </row>
    <row r="2739" spans="1:6" x14ac:dyDescent="0.25">
      <c r="A2739" t="s">
        <v>4357</v>
      </c>
      <c r="B2739" t="s">
        <v>4358</v>
      </c>
      <c r="C2739" t="s">
        <v>4359</v>
      </c>
      <c r="D2739" s="2">
        <v>45865</v>
      </c>
      <c r="E2739">
        <v>28</v>
      </c>
      <c r="F2739">
        <v>1</v>
      </c>
    </row>
    <row r="2740" spans="1:6" x14ac:dyDescent="0.25">
      <c r="A2740" t="s">
        <v>4360</v>
      </c>
      <c r="B2740" t="s">
        <v>4358</v>
      </c>
      <c r="C2740" t="s">
        <v>4359</v>
      </c>
      <c r="D2740" s="2">
        <v>45891</v>
      </c>
      <c r="E2740">
        <v>28</v>
      </c>
      <c r="F2740">
        <v>2</v>
      </c>
    </row>
    <row r="2741" spans="1:6" x14ac:dyDescent="0.25">
      <c r="A2741" t="s">
        <v>4361</v>
      </c>
      <c r="B2741" t="s">
        <v>4358</v>
      </c>
      <c r="C2741" t="s">
        <v>4359</v>
      </c>
      <c r="D2741" s="2">
        <v>45920</v>
      </c>
      <c r="E2741">
        <v>28</v>
      </c>
      <c r="F2741">
        <v>3</v>
      </c>
    </row>
    <row r="2742" spans="1:6" x14ac:dyDescent="0.25">
      <c r="A2742" t="s">
        <v>4362</v>
      </c>
      <c r="B2742" t="s">
        <v>4358</v>
      </c>
      <c r="C2742" t="s">
        <v>4359</v>
      </c>
      <c r="D2742" s="2">
        <v>45946</v>
      </c>
      <c r="E2742">
        <v>28</v>
      </c>
      <c r="F2742">
        <v>4</v>
      </c>
    </row>
    <row r="2743" spans="1:6" x14ac:dyDescent="0.25">
      <c r="A2743" t="s">
        <v>4363</v>
      </c>
      <c r="B2743" t="s">
        <v>4364</v>
      </c>
      <c r="C2743" t="s">
        <v>4365</v>
      </c>
      <c r="D2743" s="2">
        <v>45805</v>
      </c>
      <c r="E2743">
        <v>28</v>
      </c>
      <c r="F2743">
        <v>1</v>
      </c>
    </row>
    <row r="2744" spans="1:6" x14ac:dyDescent="0.25">
      <c r="A2744" t="s">
        <v>4366</v>
      </c>
      <c r="B2744" t="s">
        <v>4364</v>
      </c>
      <c r="C2744" t="s">
        <v>4365</v>
      </c>
      <c r="D2744" s="2">
        <v>45834</v>
      </c>
      <c r="E2744">
        <v>28</v>
      </c>
      <c r="F2744">
        <v>2</v>
      </c>
    </row>
    <row r="2745" spans="1:6" x14ac:dyDescent="0.25">
      <c r="A2745" t="s">
        <v>4367</v>
      </c>
      <c r="B2745" t="s">
        <v>4364</v>
      </c>
      <c r="C2745" t="s">
        <v>4365</v>
      </c>
      <c r="D2745" s="2">
        <v>45865</v>
      </c>
      <c r="E2745">
        <v>28</v>
      </c>
      <c r="F2745">
        <v>3</v>
      </c>
    </row>
    <row r="2746" spans="1:6" x14ac:dyDescent="0.25">
      <c r="A2746" t="s">
        <v>4368</v>
      </c>
      <c r="B2746" t="s">
        <v>4364</v>
      </c>
      <c r="C2746" t="s">
        <v>4365</v>
      </c>
      <c r="D2746" s="2">
        <v>45894</v>
      </c>
      <c r="E2746">
        <v>28</v>
      </c>
      <c r="F2746">
        <v>4</v>
      </c>
    </row>
    <row r="2747" spans="1:6" x14ac:dyDescent="0.25">
      <c r="A2747" t="s">
        <v>4369</v>
      </c>
      <c r="B2747" t="s">
        <v>4364</v>
      </c>
      <c r="C2747" t="s">
        <v>4365</v>
      </c>
      <c r="D2747" s="2">
        <v>45925</v>
      </c>
      <c r="E2747">
        <v>28</v>
      </c>
      <c r="F2747">
        <v>5</v>
      </c>
    </row>
    <row r="2748" spans="1:6" x14ac:dyDescent="0.25">
      <c r="A2748" t="s">
        <v>4370</v>
      </c>
      <c r="B2748" t="s">
        <v>4364</v>
      </c>
      <c r="C2748" t="s">
        <v>4365</v>
      </c>
      <c r="D2748" s="2">
        <v>45952</v>
      </c>
      <c r="E2748">
        <v>28</v>
      </c>
      <c r="F2748">
        <v>6</v>
      </c>
    </row>
    <row r="2749" spans="1:6" x14ac:dyDescent="0.25">
      <c r="A2749" t="s">
        <v>4371</v>
      </c>
      <c r="B2749" t="s">
        <v>4372</v>
      </c>
      <c r="C2749" t="s">
        <v>4373</v>
      </c>
      <c r="D2749" s="2">
        <v>45820</v>
      </c>
      <c r="E2749">
        <v>56</v>
      </c>
      <c r="F2749">
        <v>1</v>
      </c>
    </row>
    <row r="2750" spans="1:6" x14ac:dyDescent="0.25">
      <c r="A2750" t="s">
        <v>4374</v>
      </c>
      <c r="B2750" t="s">
        <v>4372</v>
      </c>
      <c r="C2750" t="s">
        <v>4373</v>
      </c>
      <c r="D2750" s="2">
        <v>45878</v>
      </c>
      <c r="E2750">
        <v>56</v>
      </c>
      <c r="F2750">
        <v>2</v>
      </c>
    </row>
    <row r="2751" spans="1:6" x14ac:dyDescent="0.25">
      <c r="A2751" t="s">
        <v>4375</v>
      </c>
      <c r="B2751" t="s">
        <v>4372</v>
      </c>
      <c r="C2751" t="s">
        <v>4373</v>
      </c>
      <c r="D2751" s="2">
        <v>45932</v>
      </c>
      <c r="E2751">
        <v>56</v>
      </c>
      <c r="F2751">
        <v>3</v>
      </c>
    </row>
    <row r="2752" spans="1:6" x14ac:dyDescent="0.25">
      <c r="A2752" t="s">
        <v>4376</v>
      </c>
      <c r="B2752" t="s">
        <v>4377</v>
      </c>
      <c r="C2752" t="s">
        <v>4378</v>
      </c>
      <c r="D2752" s="2">
        <v>45840</v>
      </c>
      <c r="E2752">
        <v>56</v>
      </c>
      <c r="F2752">
        <v>1</v>
      </c>
    </row>
    <row r="2753" spans="1:6" x14ac:dyDescent="0.25">
      <c r="A2753" t="s">
        <v>4379</v>
      </c>
      <c r="B2753" t="s">
        <v>4377</v>
      </c>
      <c r="C2753" t="s">
        <v>4378</v>
      </c>
      <c r="D2753" s="2">
        <v>45897</v>
      </c>
      <c r="E2753">
        <v>56</v>
      </c>
      <c r="F2753">
        <v>2</v>
      </c>
    </row>
    <row r="2754" spans="1:6" x14ac:dyDescent="0.25">
      <c r="A2754" t="s">
        <v>4380</v>
      </c>
      <c r="B2754" t="s">
        <v>4377</v>
      </c>
      <c r="C2754" t="s">
        <v>4378</v>
      </c>
      <c r="D2754" s="2">
        <v>45954</v>
      </c>
      <c r="E2754">
        <v>56</v>
      </c>
      <c r="F2754">
        <v>3</v>
      </c>
    </row>
    <row r="2755" spans="1:6" x14ac:dyDescent="0.25">
      <c r="A2755" t="s">
        <v>4381</v>
      </c>
      <c r="B2755" t="s">
        <v>4382</v>
      </c>
      <c r="C2755" t="s">
        <v>4383</v>
      </c>
      <c r="D2755" s="2">
        <v>45822</v>
      </c>
      <c r="E2755">
        <v>28</v>
      </c>
      <c r="F2755">
        <v>1</v>
      </c>
    </row>
    <row r="2756" spans="1:6" x14ac:dyDescent="0.25">
      <c r="A2756" t="s">
        <v>4384</v>
      </c>
      <c r="B2756" t="s">
        <v>4382</v>
      </c>
      <c r="C2756" t="s">
        <v>4383</v>
      </c>
      <c r="D2756" s="2">
        <v>45851</v>
      </c>
      <c r="E2756">
        <v>28</v>
      </c>
      <c r="F2756">
        <v>2</v>
      </c>
    </row>
    <row r="2757" spans="1:6" x14ac:dyDescent="0.25">
      <c r="A2757" t="s">
        <v>4385</v>
      </c>
      <c r="B2757" t="s">
        <v>4382</v>
      </c>
      <c r="C2757" t="s">
        <v>4383</v>
      </c>
      <c r="D2757" s="2">
        <v>45876</v>
      </c>
      <c r="E2757">
        <v>28</v>
      </c>
      <c r="F2757">
        <v>3</v>
      </c>
    </row>
    <row r="2758" spans="1:6" x14ac:dyDescent="0.25">
      <c r="A2758" t="s">
        <v>4386</v>
      </c>
      <c r="B2758" t="s">
        <v>4382</v>
      </c>
      <c r="C2758" t="s">
        <v>4383</v>
      </c>
      <c r="D2758" s="2">
        <v>45901</v>
      </c>
      <c r="E2758">
        <v>28</v>
      </c>
      <c r="F2758">
        <v>4</v>
      </c>
    </row>
    <row r="2759" spans="1:6" x14ac:dyDescent="0.25">
      <c r="A2759" t="s">
        <v>4387</v>
      </c>
      <c r="B2759" t="s">
        <v>4382</v>
      </c>
      <c r="C2759" t="s">
        <v>4383</v>
      </c>
      <c r="D2759" s="2">
        <v>45929</v>
      </c>
      <c r="E2759">
        <v>28</v>
      </c>
      <c r="F2759">
        <v>5</v>
      </c>
    </row>
    <row r="2760" spans="1:6" x14ac:dyDescent="0.25">
      <c r="A2760" t="s">
        <v>4388</v>
      </c>
      <c r="B2760" t="s">
        <v>4382</v>
      </c>
      <c r="C2760" t="s">
        <v>4383</v>
      </c>
      <c r="D2760" s="2">
        <v>45960</v>
      </c>
      <c r="E2760">
        <v>28</v>
      </c>
      <c r="F2760">
        <v>6</v>
      </c>
    </row>
    <row r="2761" spans="1:6" x14ac:dyDescent="0.25">
      <c r="A2761" t="s">
        <v>4389</v>
      </c>
      <c r="B2761" t="s">
        <v>4390</v>
      </c>
      <c r="C2761" t="s">
        <v>4391</v>
      </c>
      <c r="D2761" s="2">
        <v>45818</v>
      </c>
      <c r="E2761">
        <v>28</v>
      </c>
      <c r="F2761">
        <v>1</v>
      </c>
    </row>
    <row r="2762" spans="1:6" x14ac:dyDescent="0.25">
      <c r="A2762" t="s">
        <v>4392</v>
      </c>
      <c r="B2762" t="s">
        <v>4390</v>
      </c>
      <c r="C2762" t="s">
        <v>4391</v>
      </c>
      <c r="D2762" s="2">
        <v>45847</v>
      </c>
      <c r="E2762">
        <v>28</v>
      </c>
      <c r="F2762">
        <v>2</v>
      </c>
    </row>
    <row r="2763" spans="1:6" x14ac:dyDescent="0.25">
      <c r="A2763" t="s">
        <v>4393</v>
      </c>
      <c r="B2763" t="s">
        <v>4390</v>
      </c>
      <c r="C2763" t="s">
        <v>4391</v>
      </c>
      <c r="D2763" s="2">
        <v>45875</v>
      </c>
      <c r="E2763">
        <v>28</v>
      </c>
      <c r="F2763">
        <v>3</v>
      </c>
    </row>
    <row r="2764" spans="1:6" x14ac:dyDescent="0.25">
      <c r="A2764" t="s">
        <v>4394</v>
      </c>
      <c r="B2764" t="s">
        <v>4390</v>
      </c>
      <c r="C2764" t="s">
        <v>4391</v>
      </c>
      <c r="D2764" s="2">
        <v>45906</v>
      </c>
      <c r="E2764">
        <v>28</v>
      </c>
      <c r="F2764">
        <v>4</v>
      </c>
    </row>
    <row r="2765" spans="1:6" x14ac:dyDescent="0.25">
      <c r="A2765" t="s">
        <v>4395</v>
      </c>
      <c r="B2765" t="s">
        <v>4390</v>
      </c>
      <c r="C2765" t="s">
        <v>4391</v>
      </c>
      <c r="D2765" s="2">
        <v>45937</v>
      </c>
      <c r="E2765">
        <v>28</v>
      </c>
      <c r="F2765">
        <v>5</v>
      </c>
    </row>
    <row r="2766" spans="1:6" x14ac:dyDescent="0.25">
      <c r="A2766" t="s">
        <v>4396</v>
      </c>
      <c r="B2766" t="s">
        <v>4397</v>
      </c>
      <c r="C2766" t="s">
        <v>4398</v>
      </c>
      <c r="D2766" s="2">
        <v>45921</v>
      </c>
      <c r="E2766">
        <v>28</v>
      </c>
      <c r="F2766">
        <v>1</v>
      </c>
    </row>
    <row r="2767" spans="1:6" x14ac:dyDescent="0.25">
      <c r="A2767" t="s">
        <v>4399</v>
      </c>
      <c r="B2767" t="s">
        <v>4397</v>
      </c>
      <c r="C2767" t="s">
        <v>4398</v>
      </c>
      <c r="D2767" s="2">
        <v>45947</v>
      </c>
      <c r="E2767">
        <v>28</v>
      </c>
      <c r="F2767">
        <v>2</v>
      </c>
    </row>
    <row r="2768" spans="1:6" x14ac:dyDescent="0.25">
      <c r="A2768" t="s">
        <v>4400</v>
      </c>
      <c r="B2768" t="s">
        <v>4401</v>
      </c>
      <c r="C2768" t="s">
        <v>4402</v>
      </c>
      <c r="D2768" s="2">
        <v>45896</v>
      </c>
      <c r="E2768">
        <v>21</v>
      </c>
      <c r="F2768">
        <v>1</v>
      </c>
    </row>
    <row r="2769" spans="1:6" x14ac:dyDescent="0.25">
      <c r="A2769" t="s">
        <v>4403</v>
      </c>
      <c r="B2769" t="s">
        <v>4401</v>
      </c>
      <c r="C2769" t="s">
        <v>4402</v>
      </c>
      <c r="D2769" s="2">
        <v>45914</v>
      </c>
      <c r="E2769">
        <v>21</v>
      </c>
      <c r="F2769">
        <v>2</v>
      </c>
    </row>
    <row r="2770" spans="1:6" x14ac:dyDescent="0.25">
      <c r="A2770" t="s">
        <v>4404</v>
      </c>
      <c r="B2770" t="s">
        <v>4401</v>
      </c>
      <c r="C2770" t="s">
        <v>4402</v>
      </c>
      <c r="D2770" s="2">
        <v>45937</v>
      </c>
      <c r="E2770">
        <v>21</v>
      </c>
      <c r="F2770">
        <v>3</v>
      </c>
    </row>
    <row r="2771" spans="1:6" x14ac:dyDescent="0.25">
      <c r="A2771" t="s">
        <v>4405</v>
      </c>
      <c r="B2771" t="s">
        <v>4401</v>
      </c>
      <c r="C2771" t="s">
        <v>4402</v>
      </c>
      <c r="D2771" s="2">
        <v>45956</v>
      </c>
      <c r="E2771">
        <v>21</v>
      </c>
      <c r="F2771">
        <v>4</v>
      </c>
    </row>
    <row r="2772" spans="1:6" x14ac:dyDescent="0.25">
      <c r="A2772" t="s">
        <v>4406</v>
      </c>
      <c r="B2772" t="s">
        <v>4407</v>
      </c>
      <c r="C2772" t="s">
        <v>4408</v>
      </c>
      <c r="D2772" s="2">
        <v>45881</v>
      </c>
      <c r="E2772">
        <v>28</v>
      </c>
      <c r="F2772">
        <v>1</v>
      </c>
    </row>
    <row r="2773" spans="1:6" x14ac:dyDescent="0.25">
      <c r="A2773" t="s">
        <v>4409</v>
      </c>
      <c r="B2773" t="s">
        <v>4410</v>
      </c>
      <c r="C2773" t="s">
        <v>4411</v>
      </c>
      <c r="D2773" s="2">
        <v>45825</v>
      </c>
      <c r="E2773">
        <v>28</v>
      </c>
      <c r="F2773">
        <v>1</v>
      </c>
    </row>
    <row r="2774" spans="1:6" x14ac:dyDescent="0.25">
      <c r="A2774" t="s">
        <v>4412</v>
      </c>
      <c r="B2774" t="s">
        <v>4413</v>
      </c>
      <c r="C2774" t="s">
        <v>4414</v>
      </c>
      <c r="D2774" s="2">
        <v>45941</v>
      </c>
      <c r="E2774">
        <v>28</v>
      </c>
      <c r="F2774">
        <v>1</v>
      </c>
    </row>
    <row r="2775" spans="1:6" x14ac:dyDescent="0.25">
      <c r="A2775" t="s">
        <v>4415</v>
      </c>
      <c r="B2775" t="s">
        <v>4416</v>
      </c>
      <c r="C2775" t="s">
        <v>4417</v>
      </c>
      <c r="D2775" s="2">
        <v>45888</v>
      </c>
      <c r="E2775">
        <v>14</v>
      </c>
      <c r="F2775">
        <v>1</v>
      </c>
    </row>
    <row r="2776" spans="1:6" x14ac:dyDescent="0.25">
      <c r="A2776" t="s">
        <v>4418</v>
      </c>
      <c r="B2776" t="s">
        <v>4419</v>
      </c>
      <c r="C2776" t="s">
        <v>4420</v>
      </c>
      <c r="D2776" s="2">
        <v>45785</v>
      </c>
      <c r="E2776">
        <v>14</v>
      </c>
      <c r="F2776">
        <v>1</v>
      </c>
    </row>
    <row r="2777" spans="1:6" x14ac:dyDescent="0.25">
      <c r="A2777" t="s">
        <v>4421</v>
      </c>
      <c r="B2777" t="s">
        <v>4419</v>
      </c>
      <c r="C2777" t="s">
        <v>4420</v>
      </c>
      <c r="D2777" s="2">
        <v>45799</v>
      </c>
      <c r="E2777">
        <v>14</v>
      </c>
      <c r="F2777">
        <v>2</v>
      </c>
    </row>
    <row r="2778" spans="1:6" x14ac:dyDescent="0.25">
      <c r="A2778" t="s">
        <v>4422</v>
      </c>
      <c r="B2778" t="s">
        <v>4419</v>
      </c>
      <c r="C2778" t="s">
        <v>4420</v>
      </c>
      <c r="D2778" s="2">
        <v>45814</v>
      </c>
      <c r="E2778">
        <v>14</v>
      </c>
      <c r="F2778">
        <v>3</v>
      </c>
    </row>
    <row r="2779" spans="1:6" x14ac:dyDescent="0.25">
      <c r="A2779" t="s">
        <v>4423</v>
      </c>
      <c r="B2779" t="s">
        <v>4419</v>
      </c>
      <c r="C2779" t="s">
        <v>4420</v>
      </c>
      <c r="D2779" s="2">
        <v>45829</v>
      </c>
      <c r="E2779">
        <v>14</v>
      </c>
      <c r="F2779">
        <v>4</v>
      </c>
    </row>
    <row r="2780" spans="1:6" x14ac:dyDescent="0.25">
      <c r="A2780" t="s">
        <v>960</v>
      </c>
      <c r="B2780" t="s">
        <v>4419</v>
      </c>
      <c r="C2780" t="s">
        <v>4420</v>
      </c>
      <c r="D2780" s="2">
        <v>45843</v>
      </c>
      <c r="E2780">
        <v>14</v>
      </c>
      <c r="F2780">
        <v>5</v>
      </c>
    </row>
    <row r="2781" spans="1:6" x14ac:dyDescent="0.25">
      <c r="A2781" t="s">
        <v>4424</v>
      </c>
      <c r="B2781" t="s">
        <v>4419</v>
      </c>
      <c r="C2781" t="s">
        <v>4420</v>
      </c>
      <c r="D2781" s="2">
        <v>45860</v>
      </c>
      <c r="E2781">
        <v>14</v>
      </c>
      <c r="F2781">
        <v>6</v>
      </c>
    </row>
    <row r="2782" spans="1:6" x14ac:dyDescent="0.25">
      <c r="A2782" t="s">
        <v>4425</v>
      </c>
      <c r="B2782" t="s">
        <v>4419</v>
      </c>
      <c r="C2782" t="s">
        <v>4420</v>
      </c>
      <c r="D2782" s="2">
        <v>45877</v>
      </c>
      <c r="E2782">
        <v>14</v>
      </c>
      <c r="F2782">
        <v>7</v>
      </c>
    </row>
    <row r="2783" spans="1:6" x14ac:dyDescent="0.25">
      <c r="A2783" t="s">
        <v>4426</v>
      </c>
      <c r="B2783" t="s">
        <v>4419</v>
      </c>
      <c r="C2783" t="s">
        <v>4420</v>
      </c>
      <c r="D2783" s="2">
        <v>45891</v>
      </c>
      <c r="E2783">
        <v>14</v>
      </c>
      <c r="F2783">
        <v>8</v>
      </c>
    </row>
    <row r="2784" spans="1:6" x14ac:dyDescent="0.25">
      <c r="A2784" t="s">
        <v>4427</v>
      </c>
      <c r="B2784" t="s">
        <v>4419</v>
      </c>
      <c r="C2784" t="s">
        <v>4420</v>
      </c>
      <c r="D2784" s="2">
        <v>45908</v>
      </c>
      <c r="E2784">
        <v>14</v>
      </c>
      <c r="F2784">
        <v>9</v>
      </c>
    </row>
    <row r="2785" spans="1:6" x14ac:dyDescent="0.25">
      <c r="A2785" t="s">
        <v>4428</v>
      </c>
      <c r="B2785" t="s">
        <v>4419</v>
      </c>
      <c r="C2785" t="s">
        <v>4420</v>
      </c>
      <c r="D2785" s="2">
        <v>45921</v>
      </c>
      <c r="E2785">
        <v>14</v>
      </c>
      <c r="F2785">
        <v>10</v>
      </c>
    </row>
    <row r="2786" spans="1:6" x14ac:dyDescent="0.25">
      <c r="A2786" t="s">
        <v>4429</v>
      </c>
      <c r="B2786" t="s">
        <v>4419</v>
      </c>
      <c r="C2786" t="s">
        <v>4420</v>
      </c>
      <c r="D2786" s="2">
        <v>45935</v>
      </c>
      <c r="E2786">
        <v>14</v>
      </c>
      <c r="F2786">
        <v>11</v>
      </c>
    </row>
    <row r="2787" spans="1:6" x14ac:dyDescent="0.25">
      <c r="A2787" t="s">
        <v>4430</v>
      </c>
      <c r="B2787" t="s">
        <v>4419</v>
      </c>
      <c r="C2787" t="s">
        <v>4420</v>
      </c>
      <c r="D2787" s="2">
        <v>45951</v>
      </c>
      <c r="E2787">
        <v>14</v>
      </c>
      <c r="F2787">
        <v>12</v>
      </c>
    </row>
    <row r="2788" spans="1:6" x14ac:dyDescent="0.25">
      <c r="A2788" t="s">
        <v>4431</v>
      </c>
      <c r="B2788" t="s">
        <v>4432</v>
      </c>
      <c r="C2788" t="s">
        <v>4433</v>
      </c>
      <c r="D2788" s="2">
        <v>45935</v>
      </c>
      <c r="E2788">
        <v>28</v>
      </c>
      <c r="F2788">
        <v>1</v>
      </c>
    </row>
    <row r="2789" spans="1:6" x14ac:dyDescent="0.25">
      <c r="A2789" t="s">
        <v>4434</v>
      </c>
      <c r="B2789" t="s">
        <v>4432</v>
      </c>
      <c r="C2789" t="s">
        <v>4433</v>
      </c>
      <c r="D2789" s="2">
        <v>45960</v>
      </c>
      <c r="E2789">
        <v>28</v>
      </c>
      <c r="F2789">
        <v>2</v>
      </c>
    </row>
    <row r="2790" spans="1:6" x14ac:dyDescent="0.25">
      <c r="A2790" t="s">
        <v>4435</v>
      </c>
      <c r="B2790" t="s">
        <v>4436</v>
      </c>
      <c r="C2790" t="s">
        <v>4437</v>
      </c>
      <c r="D2790" s="2">
        <v>45893</v>
      </c>
      <c r="E2790">
        <v>28</v>
      </c>
      <c r="F2790">
        <v>1</v>
      </c>
    </row>
    <row r="2791" spans="1:6" x14ac:dyDescent="0.25">
      <c r="A2791" t="s">
        <v>4438</v>
      </c>
      <c r="B2791" t="s">
        <v>4436</v>
      </c>
      <c r="C2791" t="s">
        <v>4437</v>
      </c>
      <c r="D2791" s="2">
        <v>45922</v>
      </c>
      <c r="E2791">
        <v>28</v>
      </c>
      <c r="F2791">
        <v>2</v>
      </c>
    </row>
    <row r="2792" spans="1:6" x14ac:dyDescent="0.25">
      <c r="A2792" t="s">
        <v>4439</v>
      </c>
      <c r="B2792" t="s">
        <v>4436</v>
      </c>
      <c r="C2792" t="s">
        <v>4437</v>
      </c>
      <c r="D2792" s="2">
        <v>45949</v>
      </c>
      <c r="E2792">
        <v>28</v>
      </c>
      <c r="F2792">
        <v>3</v>
      </c>
    </row>
    <row r="2793" spans="1:6" x14ac:dyDescent="0.25">
      <c r="A2793" t="s">
        <v>4440</v>
      </c>
      <c r="B2793" t="s">
        <v>4441</v>
      </c>
      <c r="C2793" t="s">
        <v>4442</v>
      </c>
      <c r="D2793" s="2">
        <v>45887</v>
      </c>
      <c r="E2793">
        <v>28</v>
      </c>
      <c r="F2793">
        <v>1</v>
      </c>
    </row>
    <row r="2794" spans="1:6" x14ac:dyDescent="0.25">
      <c r="A2794" t="s">
        <v>4443</v>
      </c>
      <c r="B2794" t="s">
        <v>4441</v>
      </c>
      <c r="C2794" t="s">
        <v>4442</v>
      </c>
      <c r="D2794" s="2">
        <v>45917</v>
      </c>
      <c r="E2794">
        <v>28</v>
      </c>
      <c r="F2794">
        <v>2</v>
      </c>
    </row>
    <row r="2795" spans="1:6" x14ac:dyDescent="0.25">
      <c r="A2795" t="s">
        <v>4444</v>
      </c>
      <c r="B2795" t="s">
        <v>4441</v>
      </c>
      <c r="C2795" t="s">
        <v>4442</v>
      </c>
      <c r="D2795" s="2">
        <v>45946</v>
      </c>
      <c r="E2795">
        <v>28</v>
      </c>
      <c r="F2795">
        <v>3</v>
      </c>
    </row>
    <row r="2796" spans="1:6" x14ac:dyDescent="0.25">
      <c r="A2796" t="s">
        <v>4445</v>
      </c>
      <c r="B2796" t="s">
        <v>4446</v>
      </c>
      <c r="C2796" t="s">
        <v>4447</v>
      </c>
      <c r="D2796" s="2">
        <v>45779</v>
      </c>
      <c r="E2796">
        <v>30</v>
      </c>
      <c r="F2796">
        <v>1</v>
      </c>
    </row>
    <row r="2797" spans="1:6" x14ac:dyDescent="0.25">
      <c r="A2797" t="s">
        <v>4448</v>
      </c>
      <c r="B2797" t="s">
        <v>4449</v>
      </c>
      <c r="C2797" t="s">
        <v>4450</v>
      </c>
      <c r="D2797" s="2">
        <v>45832</v>
      </c>
      <c r="E2797">
        <v>30</v>
      </c>
      <c r="F2797">
        <v>1</v>
      </c>
    </row>
    <row r="2798" spans="1:6" x14ac:dyDescent="0.25">
      <c r="A2798" t="s">
        <v>4451</v>
      </c>
      <c r="B2798" t="s">
        <v>4449</v>
      </c>
      <c r="C2798" t="s">
        <v>4450</v>
      </c>
      <c r="D2798" s="2">
        <v>45864</v>
      </c>
      <c r="E2798">
        <v>30</v>
      </c>
      <c r="F2798">
        <v>2</v>
      </c>
    </row>
    <row r="2799" spans="1:6" x14ac:dyDescent="0.25">
      <c r="A2799" t="s">
        <v>4452</v>
      </c>
      <c r="B2799" t="s">
        <v>4449</v>
      </c>
      <c r="C2799" t="s">
        <v>4450</v>
      </c>
      <c r="D2799" s="2">
        <v>45895</v>
      </c>
      <c r="E2799">
        <v>30</v>
      </c>
      <c r="F2799">
        <v>3</v>
      </c>
    </row>
    <row r="2800" spans="1:6" x14ac:dyDescent="0.25">
      <c r="A2800" t="s">
        <v>4453</v>
      </c>
      <c r="B2800" t="s">
        <v>4449</v>
      </c>
      <c r="C2800" t="s">
        <v>4450</v>
      </c>
      <c r="D2800" s="2">
        <v>45924</v>
      </c>
      <c r="E2800">
        <v>30</v>
      </c>
      <c r="F2800">
        <v>4</v>
      </c>
    </row>
    <row r="2801" spans="1:6" x14ac:dyDescent="0.25">
      <c r="A2801" t="s">
        <v>4454</v>
      </c>
      <c r="B2801" t="s">
        <v>4449</v>
      </c>
      <c r="C2801" t="s">
        <v>4450</v>
      </c>
      <c r="D2801" s="2">
        <v>45951</v>
      </c>
      <c r="E2801">
        <v>30</v>
      </c>
      <c r="F2801">
        <v>5</v>
      </c>
    </row>
    <row r="2802" spans="1:6" x14ac:dyDescent="0.25">
      <c r="A2802" t="s">
        <v>4455</v>
      </c>
      <c r="B2802" t="s">
        <v>4456</v>
      </c>
      <c r="C2802" t="s">
        <v>4457</v>
      </c>
      <c r="D2802" s="2">
        <v>45849</v>
      </c>
      <c r="E2802">
        <v>28</v>
      </c>
      <c r="F2802">
        <v>1</v>
      </c>
    </row>
    <row r="2803" spans="1:6" x14ac:dyDescent="0.25">
      <c r="A2803" t="s">
        <v>4458</v>
      </c>
      <c r="B2803" t="s">
        <v>4456</v>
      </c>
      <c r="C2803" t="s">
        <v>4457</v>
      </c>
      <c r="D2803" s="2">
        <v>45874</v>
      </c>
      <c r="E2803">
        <v>28</v>
      </c>
      <c r="F2803">
        <v>2</v>
      </c>
    </row>
    <row r="2804" spans="1:6" x14ac:dyDescent="0.25">
      <c r="A2804" t="s">
        <v>4459</v>
      </c>
      <c r="B2804" t="s">
        <v>4456</v>
      </c>
      <c r="C2804" t="s">
        <v>4457</v>
      </c>
      <c r="D2804" s="2">
        <v>45902</v>
      </c>
      <c r="E2804">
        <v>28</v>
      </c>
      <c r="F2804">
        <v>3</v>
      </c>
    </row>
    <row r="2805" spans="1:6" x14ac:dyDescent="0.25">
      <c r="A2805" t="s">
        <v>4460</v>
      </c>
      <c r="B2805" t="s">
        <v>4456</v>
      </c>
      <c r="C2805" t="s">
        <v>4457</v>
      </c>
      <c r="D2805" s="2">
        <v>45930</v>
      </c>
      <c r="E2805">
        <v>28</v>
      </c>
      <c r="F2805">
        <v>4</v>
      </c>
    </row>
    <row r="2806" spans="1:6" x14ac:dyDescent="0.25">
      <c r="A2806" t="s">
        <v>4461</v>
      </c>
      <c r="B2806" t="s">
        <v>4456</v>
      </c>
      <c r="C2806" t="s">
        <v>4457</v>
      </c>
      <c r="D2806" s="2">
        <v>45955</v>
      </c>
      <c r="E2806">
        <v>28</v>
      </c>
      <c r="F2806">
        <v>5</v>
      </c>
    </row>
    <row r="2807" spans="1:6" x14ac:dyDescent="0.25">
      <c r="A2807" t="s">
        <v>4462</v>
      </c>
      <c r="B2807" t="s">
        <v>4463</v>
      </c>
      <c r="C2807" t="s">
        <v>4464</v>
      </c>
      <c r="D2807" s="2">
        <v>45958</v>
      </c>
      <c r="E2807">
        <v>28</v>
      </c>
      <c r="F2807">
        <v>1</v>
      </c>
    </row>
    <row r="2808" spans="1:6" x14ac:dyDescent="0.25">
      <c r="A2808" t="s">
        <v>4465</v>
      </c>
      <c r="B2808" t="s">
        <v>4466</v>
      </c>
      <c r="C2808" t="s">
        <v>4467</v>
      </c>
      <c r="D2808" s="2">
        <v>45794</v>
      </c>
      <c r="E2808">
        <v>28</v>
      </c>
      <c r="F2808">
        <v>1</v>
      </c>
    </row>
    <row r="2809" spans="1:6" x14ac:dyDescent="0.25">
      <c r="A2809" t="s">
        <v>4468</v>
      </c>
      <c r="B2809" t="s">
        <v>4466</v>
      </c>
      <c r="C2809" t="s">
        <v>4467</v>
      </c>
      <c r="D2809" s="2">
        <v>45824</v>
      </c>
      <c r="E2809">
        <v>28</v>
      </c>
      <c r="F2809">
        <v>2</v>
      </c>
    </row>
    <row r="2810" spans="1:6" x14ac:dyDescent="0.25">
      <c r="A2810" t="s">
        <v>4469</v>
      </c>
      <c r="B2810" t="s">
        <v>4466</v>
      </c>
      <c r="C2810" t="s">
        <v>4467</v>
      </c>
      <c r="D2810" s="2">
        <v>45853</v>
      </c>
      <c r="E2810">
        <v>28</v>
      </c>
      <c r="F2810">
        <v>3</v>
      </c>
    </row>
    <row r="2811" spans="1:6" x14ac:dyDescent="0.25">
      <c r="A2811" t="s">
        <v>4470</v>
      </c>
      <c r="B2811" t="s">
        <v>4466</v>
      </c>
      <c r="C2811" t="s">
        <v>4467</v>
      </c>
      <c r="D2811" s="2">
        <v>45884</v>
      </c>
      <c r="E2811">
        <v>28</v>
      </c>
      <c r="F2811">
        <v>4</v>
      </c>
    </row>
    <row r="2812" spans="1:6" x14ac:dyDescent="0.25">
      <c r="A2812" t="s">
        <v>4471</v>
      </c>
      <c r="B2812" t="s">
        <v>4466</v>
      </c>
      <c r="C2812" t="s">
        <v>4467</v>
      </c>
      <c r="D2812" s="2">
        <v>45910</v>
      </c>
      <c r="E2812">
        <v>28</v>
      </c>
      <c r="F2812">
        <v>5</v>
      </c>
    </row>
    <row r="2813" spans="1:6" x14ac:dyDescent="0.25">
      <c r="A2813" t="s">
        <v>4472</v>
      </c>
      <c r="B2813" t="s">
        <v>4466</v>
      </c>
      <c r="C2813" t="s">
        <v>4467</v>
      </c>
      <c r="D2813" s="2">
        <v>45936</v>
      </c>
      <c r="E2813">
        <v>28</v>
      </c>
      <c r="F2813">
        <v>6</v>
      </c>
    </row>
    <row r="2814" spans="1:6" x14ac:dyDescent="0.25">
      <c r="A2814" t="s">
        <v>4473</v>
      </c>
      <c r="B2814" t="s">
        <v>4466</v>
      </c>
      <c r="C2814" t="s">
        <v>4467</v>
      </c>
      <c r="D2814" s="2">
        <v>45961</v>
      </c>
      <c r="E2814">
        <v>28</v>
      </c>
      <c r="F2814">
        <v>7</v>
      </c>
    </row>
    <row r="2815" spans="1:6" x14ac:dyDescent="0.25">
      <c r="A2815" t="s">
        <v>4474</v>
      </c>
      <c r="B2815" t="s">
        <v>4475</v>
      </c>
      <c r="C2815" t="s">
        <v>4476</v>
      </c>
      <c r="D2815" s="2">
        <v>45804</v>
      </c>
      <c r="E2815">
        <v>30</v>
      </c>
      <c r="F2815">
        <v>1</v>
      </c>
    </row>
    <row r="2816" spans="1:6" x14ac:dyDescent="0.25">
      <c r="A2816" t="s">
        <v>4477</v>
      </c>
      <c r="B2816" t="s">
        <v>4475</v>
      </c>
      <c r="C2816" t="s">
        <v>4476</v>
      </c>
      <c r="D2816" s="2">
        <v>45837</v>
      </c>
      <c r="E2816">
        <v>30</v>
      </c>
      <c r="F2816">
        <v>2</v>
      </c>
    </row>
    <row r="2817" spans="1:6" x14ac:dyDescent="0.25">
      <c r="A2817" t="s">
        <v>4478</v>
      </c>
      <c r="B2817" t="s">
        <v>4475</v>
      </c>
      <c r="C2817" t="s">
        <v>4476</v>
      </c>
      <c r="D2817" s="2">
        <v>45870</v>
      </c>
      <c r="E2817">
        <v>30</v>
      </c>
      <c r="F2817">
        <v>3</v>
      </c>
    </row>
    <row r="2818" spans="1:6" x14ac:dyDescent="0.25">
      <c r="A2818" t="s">
        <v>4479</v>
      </c>
      <c r="B2818" t="s">
        <v>4475</v>
      </c>
      <c r="C2818" t="s">
        <v>4476</v>
      </c>
      <c r="D2818" s="2">
        <v>45898</v>
      </c>
      <c r="E2818">
        <v>30</v>
      </c>
      <c r="F2818">
        <v>4</v>
      </c>
    </row>
    <row r="2819" spans="1:6" x14ac:dyDescent="0.25">
      <c r="A2819" t="s">
        <v>4480</v>
      </c>
      <c r="B2819" t="s">
        <v>4475</v>
      </c>
      <c r="C2819" t="s">
        <v>4476</v>
      </c>
      <c r="D2819" s="2">
        <v>45930</v>
      </c>
      <c r="E2819">
        <v>30</v>
      </c>
      <c r="F2819">
        <v>5</v>
      </c>
    </row>
    <row r="2820" spans="1:6" x14ac:dyDescent="0.25">
      <c r="A2820" t="s">
        <v>4481</v>
      </c>
      <c r="B2820" t="s">
        <v>4475</v>
      </c>
      <c r="C2820" t="s">
        <v>4476</v>
      </c>
      <c r="D2820" s="2">
        <v>45958</v>
      </c>
      <c r="E2820">
        <v>30</v>
      </c>
      <c r="F2820">
        <v>6</v>
      </c>
    </row>
    <row r="2821" spans="1:6" x14ac:dyDescent="0.25">
      <c r="A2821" t="s">
        <v>4482</v>
      </c>
      <c r="B2821" t="s">
        <v>4483</v>
      </c>
      <c r="C2821" t="s">
        <v>4484</v>
      </c>
      <c r="D2821" s="2">
        <v>45915</v>
      </c>
      <c r="E2821">
        <v>56</v>
      </c>
      <c r="F2821">
        <v>1</v>
      </c>
    </row>
    <row r="2822" spans="1:6" x14ac:dyDescent="0.25">
      <c r="A2822" t="s">
        <v>4485</v>
      </c>
      <c r="B2822" t="s">
        <v>4486</v>
      </c>
      <c r="C2822" t="s">
        <v>4487</v>
      </c>
      <c r="D2822" s="2">
        <v>45871</v>
      </c>
      <c r="E2822">
        <v>28</v>
      </c>
      <c r="F2822">
        <v>1</v>
      </c>
    </row>
    <row r="2823" spans="1:6" x14ac:dyDescent="0.25">
      <c r="A2823" t="s">
        <v>4488</v>
      </c>
      <c r="B2823" t="s">
        <v>4486</v>
      </c>
      <c r="C2823" t="s">
        <v>4487</v>
      </c>
      <c r="D2823" s="2">
        <v>45899</v>
      </c>
      <c r="E2823">
        <v>28</v>
      </c>
      <c r="F2823">
        <v>2</v>
      </c>
    </row>
    <row r="2824" spans="1:6" x14ac:dyDescent="0.25">
      <c r="A2824" t="s">
        <v>4489</v>
      </c>
      <c r="B2824" t="s">
        <v>4486</v>
      </c>
      <c r="C2824" t="s">
        <v>4487</v>
      </c>
      <c r="D2824" s="2">
        <v>45924</v>
      </c>
      <c r="E2824">
        <v>28</v>
      </c>
      <c r="F2824">
        <v>3</v>
      </c>
    </row>
    <row r="2825" spans="1:6" x14ac:dyDescent="0.25">
      <c r="A2825" t="s">
        <v>4490</v>
      </c>
      <c r="B2825" t="s">
        <v>4486</v>
      </c>
      <c r="C2825" t="s">
        <v>4487</v>
      </c>
      <c r="D2825" s="2">
        <v>45951</v>
      </c>
      <c r="E2825">
        <v>28</v>
      </c>
      <c r="F2825">
        <v>4</v>
      </c>
    </row>
    <row r="2826" spans="1:6" x14ac:dyDescent="0.25">
      <c r="A2826" t="s">
        <v>4491</v>
      </c>
      <c r="B2826" t="s">
        <v>4492</v>
      </c>
      <c r="C2826" t="s">
        <v>4493</v>
      </c>
      <c r="D2826" s="2">
        <v>45828</v>
      </c>
      <c r="E2826">
        <v>30</v>
      </c>
      <c r="F2826">
        <v>1</v>
      </c>
    </row>
    <row r="2827" spans="1:6" x14ac:dyDescent="0.25">
      <c r="A2827" t="s">
        <v>4494</v>
      </c>
      <c r="B2827" t="s">
        <v>4492</v>
      </c>
      <c r="C2827" t="s">
        <v>4493</v>
      </c>
      <c r="D2827" s="2">
        <v>45859</v>
      </c>
      <c r="E2827">
        <v>30</v>
      </c>
      <c r="F2827">
        <v>2</v>
      </c>
    </row>
    <row r="2828" spans="1:6" x14ac:dyDescent="0.25">
      <c r="A2828" t="s">
        <v>4495</v>
      </c>
      <c r="B2828" t="s">
        <v>4496</v>
      </c>
      <c r="C2828" t="s">
        <v>4497</v>
      </c>
      <c r="D2828" s="2">
        <v>45807</v>
      </c>
      <c r="E2828">
        <v>28</v>
      </c>
      <c r="F2828">
        <v>1</v>
      </c>
    </row>
    <row r="2829" spans="1:6" x14ac:dyDescent="0.25">
      <c r="A2829" t="s">
        <v>4498</v>
      </c>
      <c r="B2829" t="s">
        <v>4496</v>
      </c>
      <c r="C2829" t="s">
        <v>4497</v>
      </c>
      <c r="D2829" s="2">
        <v>45836</v>
      </c>
      <c r="E2829">
        <v>28</v>
      </c>
      <c r="F2829">
        <v>2</v>
      </c>
    </row>
    <row r="2830" spans="1:6" x14ac:dyDescent="0.25">
      <c r="A2830" t="s">
        <v>4499</v>
      </c>
      <c r="B2830" t="s">
        <v>4496</v>
      </c>
      <c r="C2830" t="s">
        <v>4497</v>
      </c>
      <c r="D2830" s="2">
        <v>45863</v>
      </c>
      <c r="E2830">
        <v>28</v>
      </c>
      <c r="F2830">
        <v>3</v>
      </c>
    </row>
    <row r="2831" spans="1:6" x14ac:dyDescent="0.25">
      <c r="A2831" t="s">
        <v>4500</v>
      </c>
      <c r="B2831" t="s">
        <v>4501</v>
      </c>
      <c r="C2831" t="s">
        <v>4502</v>
      </c>
      <c r="D2831" s="2">
        <v>45949</v>
      </c>
      <c r="E2831">
        <v>56</v>
      </c>
      <c r="F2831">
        <v>1</v>
      </c>
    </row>
    <row r="2832" spans="1:6" x14ac:dyDescent="0.25">
      <c r="A2832" t="s">
        <v>4503</v>
      </c>
      <c r="B2832" t="s">
        <v>4504</v>
      </c>
      <c r="C2832" t="s">
        <v>4505</v>
      </c>
      <c r="D2832" s="2">
        <v>45913</v>
      </c>
      <c r="E2832">
        <v>28</v>
      </c>
      <c r="F2832">
        <v>1</v>
      </c>
    </row>
    <row r="2833" spans="1:6" x14ac:dyDescent="0.25">
      <c r="A2833" t="s">
        <v>4506</v>
      </c>
      <c r="B2833" t="s">
        <v>4504</v>
      </c>
      <c r="C2833" t="s">
        <v>4505</v>
      </c>
      <c r="D2833" s="2">
        <v>45943</v>
      </c>
      <c r="E2833">
        <v>28</v>
      </c>
      <c r="F2833">
        <v>2</v>
      </c>
    </row>
    <row r="2834" spans="1:6" x14ac:dyDescent="0.25">
      <c r="A2834" t="s">
        <v>4507</v>
      </c>
      <c r="B2834" t="s">
        <v>4508</v>
      </c>
      <c r="C2834" t="s">
        <v>4509</v>
      </c>
      <c r="D2834" s="2">
        <v>45858</v>
      </c>
      <c r="E2834">
        <v>30</v>
      </c>
      <c r="F2834">
        <v>1</v>
      </c>
    </row>
    <row r="2835" spans="1:6" x14ac:dyDescent="0.25">
      <c r="A2835" t="s">
        <v>4510</v>
      </c>
      <c r="B2835" t="s">
        <v>4508</v>
      </c>
      <c r="C2835" t="s">
        <v>4509</v>
      </c>
      <c r="D2835" s="2">
        <v>45888</v>
      </c>
      <c r="E2835">
        <v>30</v>
      </c>
      <c r="F2835">
        <v>2</v>
      </c>
    </row>
    <row r="2836" spans="1:6" x14ac:dyDescent="0.25">
      <c r="A2836" t="s">
        <v>4511</v>
      </c>
      <c r="B2836" t="s">
        <v>4508</v>
      </c>
      <c r="C2836" t="s">
        <v>4509</v>
      </c>
      <c r="D2836" s="2">
        <v>45915</v>
      </c>
      <c r="E2836">
        <v>30</v>
      </c>
      <c r="F2836">
        <v>3</v>
      </c>
    </row>
    <row r="2837" spans="1:6" x14ac:dyDescent="0.25">
      <c r="A2837" t="s">
        <v>4512</v>
      </c>
      <c r="B2837" t="s">
        <v>4508</v>
      </c>
      <c r="C2837" t="s">
        <v>4509</v>
      </c>
      <c r="D2837" s="2">
        <v>45943</v>
      </c>
      <c r="E2837">
        <v>30</v>
      </c>
      <c r="F2837">
        <v>4</v>
      </c>
    </row>
    <row r="2838" spans="1:6" x14ac:dyDescent="0.25">
      <c r="A2838" t="s">
        <v>4513</v>
      </c>
      <c r="B2838" t="s">
        <v>4514</v>
      </c>
      <c r="C2838" t="s">
        <v>4515</v>
      </c>
      <c r="D2838" s="2">
        <v>45877</v>
      </c>
      <c r="E2838">
        <v>56</v>
      </c>
      <c r="F2838">
        <v>1</v>
      </c>
    </row>
    <row r="2839" spans="1:6" x14ac:dyDescent="0.25">
      <c r="A2839" t="s">
        <v>4516</v>
      </c>
      <c r="B2839" t="s">
        <v>4517</v>
      </c>
      <c r="C2839" t="s">
        <v>4518</v>
      </c>
      <c r="D2839" s="2">
        <v>45878</v>
      </c>
      <c r="E2839">
        <v>28</v>
      </c>
      <c r="F2839">
        <v>1</v>
      </c>
    </row>
    <row r="2840" spans="1:6" x14ac:dyDescent="0.25">
      <c r="A2840" t="s">
        <v>4519</v>
      </c>
      <c r="B2840" t="s">
        <v>4517</v>
      </c>
      <c r="C2840" t="s">
        <v>4518</v>
      </c>
      <c r="D2840" s="2">
        <v>45903</v>
      </c>
      <c r="E2840">
        <v>28</v>
      </c>
      <c r="F2840">
        <v>2</v>
      </c>
    </row>
    <row r="2841" spans="1:6" x14ac:dyDescent="0.25">
      <c r="A2841" t="s">
        <v>4520</v>
      </c>
      <c r="B2841" t="s">
        <v>4517</v>
      </c>
      <c r="C2841" t="s">
        <v>4518</v>
      </c>
      <c r="D2841" s="2">
        <v>45929</v>
      </c>
      <c r="E2841">
        <v>28</v>
      </c>
      <c r="F2841">
        <v>3</v>
      </c>
    </row>
    <row r="2842" spans="1:6" x14ac:dyDescent="0.25">
      <c r="A2842" t="s">
        <v>4521</v>
      </c>
      <c r="B2842" t="s">
        <v>4517</v>
      </c>
      <c r="C2842" t="s">
        <v>4518</v>
      </c>
      <c r="D2842" s="2">
        <v>45955</v>
      </c>
      <c r="E2842">
        <v>28</v>
      </c>
      <c r="F2842">
        <v>4</v>
      </c>
    </row>
    <row r="2843" spans="1:6" x14ac:dyDescent="0.25">
      <c r="A2843" t="s">
        <v>4522</v>
      </c>
      <c r="B2843" t="s">
        <v>4523</v>
      </c>
      <c r="C2843" t="s">
        <v>4524</v>
      </c>
      <c r="D2843" s="2">
        <v>45807</v>
      </c>
      <c r="E2843">
        <v>21</v>
      </c>
      <c r="F2843">
        <v>1</v>
      </c>
    </row>
    <row r="2844" spans="1:6" x14ac:dyDescent="0.25">
      <c r="A2844" t="s">
        <v>4525</v>
      </c>
      <c r="B2844" t="s">
        <v>4523</v>
      </c>
      <c r="C2844" t="s">
        <v>4524</v>
      </c>
      <c r="D2844" s="2">
        <v>45830</v>
      </c>
      <c r="E2844">
        <v>21</v>
      </c>
      <c r="F2844">
        <v>2</v>
      </c>
    </row>
    <row r="2845" spans="1:6" x14ac:dyDescent="0.25">
      <c r="A2845" t="s">
        <v>4526</v>
      </c>
      <c r="B2845" t="s">
        <v>4523</v>
      </c>
      <c r="C2845" t="s">
        <v>4524</v>
      </c>
      <c r="D2845" s="2">
        <v>45850</v>
      </c>
      <c r="E2845">
        <v>21</v>
      </c>
      <c r="F2845">
        <v>3</v>
      </c>
    </row>
    <row r="2846" spans="1:6" x14ac:dyDescent="0.25">
      <c r="A2846" t="s">
        <v>4527</v>
      </c>
      <c r="B2846" t="s">
        <v>4523</v>
      </c>
      <c r="C2846" t="s">
        <v>4524</v>
      </c>
      <c r="D2846" s="2">
        <v>45873</v>
      </c>
      <c r="E2846">
        <v>21</v>
      </c>
      <c r="F2846">
        <v>4</v>
      </c>
    </row>
    <row r="2847" spans="1:6" x14ac:dyDescent="0.25">
      <c r="A2847" t="s">
        <v>4528</v>
      </c>
      <c r="B2847" t="s">
        <v>4523</v>
      </c>
      <c r="C2847" t="s">
        <v>4524</v>
      </c>
      <c r="D2847" s="2">
        <v>45892</v>
      </c>
      <c r="E2847">
        <v>21</v>
      </c>
      <c r="F2847">
        <v>5</v>
      </c>
    </row>
    <row r="2848" spans="1:6" x14ac:dyDescent="0.25">
      <c r="A2848" t="s">
        <v>4529</v>
      </c>
      <c r="B2848" t="s">
        <v>4523</v>
      </c>
      <c r="C2848" t="s">
        <v>4524</v>
      </c>
      <c r="D2848" s="2">
        <v>45912</v>
      </c>
      <c r="E2848">
        <v>21</v>
      </c>
      <c r="F2848">
        <v>6</v>
      </c>
    </row>
    <row r="2849" spans="1:6" x14ac:dyDescent="0.25">
      <c r="A2849" t="s">
        <v>4530</v>
      </c>
      <c r="B2849" t="s">
        <v>4523</v>
      </c>
      <c r="C2849" t="s">
        <v>4524</v>
      </c>
      <c r="D2849" s="2">
        <v>45933</v>
      </c>
      <c r="E2849">
        <v>21</v>
      </c>
      <c r="F2849">
        <v>7</v>
      </c>
    </row>
    <row r="2850" spans="1:6" x14ac:dyDescent="0.25">
      <c r="A2850" t="s">
        <v>4531</v>
      </c>
      <c r="B2850" t="s">
        <v>4523</v>
      </c>
      <c r="C2850" t="s">
        <v>4524</v>
      </c>
      <c r="D2850" s="2">
        <v>45956</v>
      </c>
      <c r="E2850">
        <v>21</v>
      </c>
      <c r="F2850">
        <v>8</v>
      </c>
    </row>
    <row r="2851" spans="1:6" x14ac:dyDescent="0.25">
      <c r="A2851" t="s">
        <v>4532</v>
      </c>
      <c r="B2851" t="s">
        <v>4533</v>
      </c>
      <c r="C2851" t="s">
        <v>4534</v>
      </c>
      <c r="D2851" s="2">
        <v>45868</v>
      </c>
      <c r="E2851">
        <v>30</v>
      </c>
      <c r="F2851">
        <v>1</v>
      </c>
    </row>
    <row r="2852" spans="1:6" x14ac:dyDescent="0.25">
      <c r="A2852" t="s">
        <v>4535</v>
      </c>
      <c r="B2852" t="s">
        <v>4533</v>
      </c>
      <c r="C2852" t="s">
        <v>4534</v>
      </c>
      <c r="D2852" s="2">
        <v>45895</v>
      </c>
      <c r="E2852">
        <v>30</v>
      </c>
      <c r="F2852">
        <v>2</v>
      </c>
    </row>
    <row r="2853" spans="1:6" x14ac:dyDescent="0.25">
      <c r="A2853" t="s">
        <v>4536</v>
      </c>
      <c r="B2853" t="s">
        <v>4533</v>
      </c>
      <c r="C2853" t="s">
        <v>4534</v>
      </c>
      <c r="D2853" s="2">
        <v>45928</v>
      </c>
      <c r="E2853">
        <v>30</v>
      </c>
      <c r="F2853">
        <v>3</v>
      </c>
    </row>
    <row r="2854" spans="1:6" x14ac:dyDescent="0.25">
      <c r="A2854" t="s">
        <v>4537</v>
      </c>
      <c r="B2854" t="s">
        <v>4533</v>
      </c>
      <c r="C2854" t="s">
        <v>4534</v>
      </c>
      <c r="D2854" s="2">
        <v>45956</v>
      </c>
      <c r="E2854">
        <v>30</v>
      </c>
      <c r="F2854">
        <v>4</v>
      </c>
    </row>
    <row r="2855" spans="1:6" x14ac:dyDescent="0.25">
      <c r="A2855" t="s">
        <v>4538</v>
      </c>
      <c r="B2855" t="s">
        <v>4539</v>
      </c>
      <c r="C2855" t="s">
        <v>4540</v>
      </c>
      <c r="D2855" s="2">
        <v>45895</v>
      </c>
      <c r="E2855">
        <v>28</v>
      </c>
      <c r="F2855">
        <v>1</v>
      </c>
    </row>
    <row r="2856" spans="1:6" x14ac:dyDescent="0.25">
      <c r="A2856" t="s">
        <v>4541</v>
      </c>
      <c r="B2856" t="s">
        <v>4539</v>
      </c>
      <c r="C2856" t="s">
        <v>4540</v>
      </c>
      <c r="D2856" s="2">
        <v>45923</v>
      </c>
      <c r="E2856">
        <v>28</v>
      </c>
      <c r="F2856">
        <v>2</v>
      </c>
    </row>
    <row r="2857" spans="1:6" x14ac:dyDescent="0.25">
      <c r="A2857" t="s">
        <v>4542</v>
      </c>
      <c r="B2857" t="s">
        <v>4543</v>
      </c>
      <c r="C2857" t="s">
        <v>4544</v>
      </c>
      <c r="D2857" s="2">
        <v>45822</v>
      </c>
      <c r="E2857">
        <v>30</v>
      </c>
      <c r="F2857">
        <v>1</v>
      </c>
    </row>
    <row r="2858" spans="1:6" x14ac:dyDescent="0.25">
      <c r="A2858" t="s">
        <v>4545</v>
      </c>
      <c r="B2858" t="s">
        <v>4543</v>
      </c>
      <c r="C2858" t="s">
        <v>4544</v>
      </c>
      <c r="D2858" s="2">
        <v>45855</v>
      </c>
      <c r="E2858">
        <v>30</v>
      </c>
      <c r="F2858">
        <v>2</v>
      </c>
    </row>
    <row r="2859" spans="1:6" x14ac:dyDescent="0.25">
      <c r="A2859" t="s">
        <v>4546</v>
      </c>
      <c r="B2859" t="s">
        <v>4547</v>
      </c>
      <c r="C2859" t="s">
        <v>4548</v>
      </c>
      <c r="D2859" s="2">
        <v>45950</v>
      </c>
      <c r="E2859">
        <v>28</v>
      </c>
      <c r="F2859">
        <v>1</v>
      </c>
    </row>
    <row r="2860" spans="1:6" x14ac:dyDescent="0.25">
      <c r="A2860" t="s">
        <v>4549</v>
      </c>
      <c r="B2860" t="s">
        <v>4550</v>
      </c>
      <c r="C2860" t="s">
        <v>4551</v>
      </c>
      <c r="D2860" s="2">
        <v>45854</v>
      </c>
      <c r="E2860">
        <v>28</v>
      </c>
      <c r="F2860">
        <v>1</v>
      </c>
    </row>
    <row r="2861" spans="1:6" x14ac:dyDescent="0.25">
      <c r="A2861" t="s">
        <v>4552</v>
      </c>
      <c r="B2861" t="s">
        <v>4550</v>
      </c>
      <c r="C2861" t="s">
        <v>4551</v>
      </c>
      <c r="D2861" s="2">
        <v>45883</v>
      </c>
      <c r="E2861">
        <v>28</v>
      </c>
      <c r="F2861">
        <v>2</v>
      </c>
    </row>
    <row r="2862" spans="1:6" x14ac:dyDescent="0.25">
      <c r="A2862" t="s">
        <v>4553</v>
      </c>
      <c r="B2862" t="s">
        <v>4550</v>
      </c>
      <c r="C2862" t="s">
        <v>4551</v>
      </c>
      <c r="D2862" s="2">
        <v>45912</v>
      </c>
      <c r="E2862">
        <v>28</v>
      </c>
      <c r="F2862">
        <v>3</v>
      </c>
    </row>
    <row r="2863" spans="1:6" x14ac:dyDescent="0.25">
      <c r="A2863" t="s">
        <v>4554</v>
      </c>
      <c r="B2863" t="s">
        <v>4550</v>
      </c>
      <c r="C2863" t="s">
        <v>4551</v>
      </c>
      <c r="D2863" s="2">
        <v>45940</v>
      </c>
      <c r="E2863">
        <v>28</v>
      </c>
      <c r="F2863">
        <v>4</v>
      </c>
    </row>
    <row r="2864" spans="1:6" x14ac:dyDescent="0.25">
      <c r="A2864" t="s">
        <v>4555</v>
      </c>
      <c r="B2864" t="s">
        <v>4556</v>
      </c>
      <c r="C2864" t="s">
        <v>4557</v>
      </c>
      <c r="D2864" s="2">
        <v>45929</v>
      </c>
      <c r="E2864">
        <v>28</v>
      </c>
      <c r="F2864">
        <v>1</v>
      </c>
    </row>
    <row r="2865" spans="1:6" x14ac:dyDescent="0.25">
      <c r="A2865" t="s">
        <v>4558</v>
      </c>
      <c r="B2865" t="s">
        <v>4556</v>
      </c>
      <c r="C2865" t="s">
        <v>4557</v>
      </c>
      <c r="D2865" s="2">
        <v>45960</v>
      </c>
      <c r="E2865">
        <v>28</v>
      </c>
      <c r="F2865">
        <v>2</v>
      </c>
    </row>
    <row r="2866" spans="1:6" x14ac:dyDescent="0.25">
      <c r="A2866" t="s">
        <v>4559</v>
      </c>
      <c r="B2866" t="s">
        <v>4560</v>
      </c>
      <c r="C2866" t="s">
        <v>4561</v>
      </c>
      <c r="D2866" s="2">
        <v>45950</v>
      </c>
      <c r="E2866">
        <v>28</v>
      </c>
      <c r="F2866">
        <v>1</v>
      </c>
    </row>
    <row r="2867" spans="1:6" x14ac:dyDescent="0.25">
      <c r="A2867" t="s">
        <v>4562</v>
      </c>
      <c r="B2867" t="s">
        <v>4563</v>
      </c>
      <c r="C2867" t="s">
        <v>4564</v>
      </c>
      <c r="D2867" s="2">
        <v>45858</v>
      </c>
      <c r="E2867">
        <v>28</v>
      </c>
      <c r="F2867">
        <v>1</v>
      </c>
    </row>
    <row r="2868" spans="1:6" x14ac:dyDescent="0.25">
      <c r="A2868" t="s">
        <v>4565</v>
      </c>
      <c r="B2868" t="s">
        <v>4563</v>
      </c>
      <c r="C2868" t="s">
        <v>4564</v>
      </c>
      <c r="D2868" s="2">
        <v>45886</v>
      </c>
      <c r="E2868">
        <v>28</v>
      </c>
      <c r="F2868">
        <v>2</v>
      </c>
    </row>
    <row r="2869" spans="1:6" x14ac:dyDescent="0.25">
      <c r="A2869" t="s">
        <v>4566</v>
      </c>
      <c r="B2869" t="s">
        <v>4563</v>
      </c>
      <c r="C2869" t="s">
        <v>4564</v>
      </c>
      <c r="D2869" s="2">
        <v>45913</v>
      </c>
      <c r="E2869">
        <v>28</v>
      </c>
      <c r="F2869">
        <v>3</v>
      </c>
    </row>
    <row r="2870" spans="1:6" x14ac:dyDescent="0.25">
      <c r="A2870" t="s">
        <v>4567</v>
      </c>
      <c r="B2870" t="s">
        <v>4563</v>
      </c>
      <c r="C2870" t="s">
        <v>4564</v>
      </c>
      <c r="D2870" s="2">
        <v>45944</v>
      </c>
      <c r="E2870">
        <v>28</v>
      </c>
      <c r="F2870">
        <v>4</v>
      </c>
    </row>
    <row r="2871" spans="1:6" x14ac:dyDescent="0.25">
      <c r="A2871" t="s">
        <v>4568</v>
      </c>
      <c r="B2871" t="s">
        <v>4569</v>
      </c>
      <c r="C2871" t="s">
        <v>4570</v>
      </c>
      <c r="D2871" s="2">
        <v>45839</v>
      </c>
      <c r="E2871">
        <v>30</v>
      </c>
      <c r="F2871">
        <v>1</v>
      </c>
    </row>
    <row r="2872" spans="1:6" x14ac:dyDescent="0.25">
      <c r="A2872" t="s">
        <v>4571</v>
      </c>
      <c r="B2872" t="s">
        <v>4569</v>
      </c>
      <c r="C2872" t="s">
        <v>4570</v>
      </c>
      <c r="D2872" s="2">
        <v>45868</v>
      </c>
      <c r="E2872">
        <v>30</v>
      </c>
      <c r="F2872">
        <v>2</v>
      </c>
    </row>
    <row r="2873" spans="1:6" x14ac:dyDescent="0.25">
      <c r="A2873" t="s">
        <v>4572</v>
      </c>
      <c r="B2873" t="s">
        <v>4569</v>
      </c>
      <c r="C2873" t="s">
        <v>4570</v>
      </c>
      <c r="D2873" s="2">
        <v>45896</v>
      </c>
      <c r="E2873">
        <v>30</v>
      </c>
      <c r="F2873">
        <v>3</v>
      </c>
    </row>
    <row r="2874" spans="1:6" x14ac:dyDescent="0.25">
      <c r="A2874" t="s">
        <v>4573</v>
      </c>
      <c r="B2874" t="s">
        <v>4569</v>
      </c>
      <c r="C2874" t="s">
        <v>4570</v>
      </c>
      <c r="D2874" s="2">
        <v>45924</v>
      </c>
      <c r="E2874">
        <v>30</v>
      </c>
      <c r="F2874">
        <v>4</v>
      </c>
    </row>
    <row r="2875" spans="1:6" x14ac:dyDescent="0.25">
      <c r="A2875" t="s">
        <v>4574</v>
      </c>
      <c r="B2875" t="s">
        <v>4569</v>
      </c>
      <c r="C2875" t="s">
        <v>4570</v>
      </c>
      <c r="D2875" s="2">
        <v>45955</v>
      </c>
      <c r="E2875">
        <v>30</v>
      </c>
      <c r="F2875">
        <v>5</v>
      </c>
    </row>
    <row r="2876" spans="1:6" x14ac:dyDescent="0.25">
      <c r="A2876" t="s">
        <v>4575</v>
      </c>
      <c r="B2876" t="s">
        <v>4576</v>
      </c>
      <c r="C2876" t="s">
        <v>4577</v>
      </c>
      <c r="D2876" s="2">
        <v>45807</v>
      </c>
      <c r="E2876">
        <v>30</v>
      </c>
      <c r="F2876">
        <v>1</v>
      </c>
    </row>
    <row r="2877" spans="1:6" x14ac:dyDescent="0.25">
      <c r="A2877" t="s">
        <v>4578</v>
      </c>
      <c r="B2877" t="s">
        <v>4576</v>
      </c>
      <c r="C2877" t="s">
        <v>4577</v>
      </c>
      <c r="D2877" s="2">
        <v>45840</v>
      </c>
      <c r="E2877">
        <v>30</v>
      </c>
      <c r="F2877">
        <v>2</v>
      </c>
    </row>
    <row r="2878" spans="1:6" x14ac:dyDescent="0.25">
      <c r="A2878" t="s">
        <v>4579</v>
      </c>
      <c r="B2878" t="s">
        <v>4576</v>
      </c>
      <c r="C2878" t="s">
        <v>4577</v>
      </c>
      <c r="D2878" s="2">
        <v>45872</v>
      </c>
      <c r="E2878">
        <v>30</v>
      </c>
      <c r="F2878">
        <v>3</v>
      </c>
    </row>
    <row r="2879" spans="1:6" x14ac:dyDescent="0.25">
      <c r="A2879" t="s">
        <v>4580</v>
      </c>
      <c r="B2879" t="s">
        <v>4576</v>
      </c>
      <c r="C2879" t="s">
        <v>4577</v>
      </c>
      <c r="D2879" s="2">
        <v>45904</v>
      </c>
      <c r="E2879">
        <v>30</v>
      </c>
      <c r="F2879">
        <v>4</v>
      </c>
    </row>
    <row r="2880" spans="1:6" x14ac:dyDescent="0.25">
      <c r="A2880" t="s">
        <v>4581</v>
      </c>
      <c r="B2880" t="s">
        <v>4576</v>
      </c>
      <c r="C2880" t="s">
        <v>4577</v>
      </c>
      <c r="D2880" s="2">
        <v>45932</v>
      </c>
      <c r="E2880">
        <v>30</v>
      </c>
      <c r="F2880">
        <v>5</v>
      </c>
    </row>
    <row r="2881" spans="1:6" x14ac:dyDescent="0.25">
      <c r="A2881" t="s">
        <v>4582</v>
      </c>
      <c r="B2881" t="s">
        <v>4576</v>
      </c>
      <c r="C2881" t="s">
        <v>4577</v>
      </c>
      <c r="D2881" s="2">
        <v>45960</v>
      </c>
      <c r="E2881">
        <v>30</v>
      </c>
      <c r="F2881">
        <v>6</v>
      </c>
    </row>
    <row r="2882" spans="1:6" x14ac:dyDescent="0.25">
      <c r="A2882" t="s">
        <v>4583</v>
      </c>
      <c r="B2882" t="s">
        <v>4584</v>
      </c>
      <c r="C2882" t="s">
        <v>4585</v>
      </c>
      <c r="D2882" s="2">
        <v>45873</v>
      </c>
      <c r="E2882">
        <v>56</v>
      </c>
      <c r="F2882">
        <v>1</v>
      </c>
    </row>
    <row r="2883" spans="1:6" x14ac:dyDescent="0.25">
      <c r="A2883" t="s">
        <v>4586</v>
      </c>
      <c r="B2883" t="s">
        <v>4584</v>
      </c>
      <c r="C2883" t="s">
        <v>4585</v>
      </c>
      <c r="D2883" s="2">
        <v>45930</v>
      </c>
      <c r="E2883">
        <v>56</v>
      </c>
      <c r="F2883">
        <v>2</v>
      </c>
    </row>
    <row r="2884" spans="1:6" x14ac:dyDescent="0.25">
      <c r="A2884" t="s">
        <v>4587</v>
      </c>
      <c r="B2884" t="s">
        <v>4588</v>
      </c>
      <c r="C2884" t="s">
        <v>4589</v>
      </c>
      <c r="D2884" s="2">
        <v>45814</v>
      </c>
      <c r="E2884">
        <v>28</v>
      </c>
      <c r="F2884">
        <v>1</v>
      </c>
    </row>
    <row r="2885" spans="1:6" x14ac:dyDescent="0.25">
      <c r="A2885" t="s">
        <v>4590</v>
      </c>
      <c r="B2885" t="s">
        <v>4588</v>
      </c>
      <c r="C2885" t="s">
        <v>4589</v>
      </c>
      <c r="D2885" s="2">
        <v>45840</v>
      </c>
      <c r="E2885">
        <v>28</v>
      </c>
      <c r="F2885">
        <v>2</v>
      </c>
    </row>
    <row r="2886" spans="1:6" x14ac:dyDescent="0.25">
      <c r="A2886" t="s">
        <v>4591</v>
      </c>
      <c r="B2886" t="s">
        <v>4588</v>
      </c>
      <c r="C2886" t="s">
        <v>4589</v>
      </c>
      <c r="D2886" s="2">
        <v>45870</v>
      </c>
      <c r="E2886">
        <v>28</v>
      </c>
      <c r="F2886">
        <v>3</v>
      </c>
    </row>
    <row r="2887" spans="1:6" x14ac:dyDescent="0.25">
      <c r="A2887" t="s">
        <v>4592</v>
      </c>
      <c r="B2887" t="s">
        <v>4593</v>
      </c>
      <c r="C2887" t="s">
        <v>4594</v>
      </c>
      <c r="D2887" s="2">
        <v>45877</v>
      </c>
      <c r="E2887">
        <v>28</v>
      </c>
      <c r="F2887">
        <v>1</v>
      </c>
    </row>
    <row r="2888" spans="1:6" x14ac:dyDescent="0.25">
      <c r="A2888" t="s">
        <v>4595</v>
      </c>
      <c r="B2888" t="s">
        <v>4593</v>
      </c>
      <c r="C2888" t="s">
        <v>4594</v>
      </c>
      <c r="D2888" s="2">
        <v>45904</v>
      </c>
      <c r="E2888">
        <v>28</v>
      </c>
      <c r="F2888">
        <v>2</v>
      </c>
    </row>
    <row r="2889" spans="1:6" x14ac:dyDescent="0.25">
      <c r="A2889" t="s">
        <v>4596</v>
      </c>
      <c r="B2889" t="s">
        <v>4593</v>
      </c>
      <c r="C2889" t="s">
        <v>4594</v>
      </c>
      <c r="D2889" s="2">
        <v>45931</v>
      </c>
      <c r="E2889">
        <v>28</v>
      </c>
      <c r="F2889">
        <v>3</v>
      </c>
    </row>
    <row r="2890" spans="1:6" x14ac:dyDescent="0.25">
      <c r="A2890" t="s">
        <v>4597</v>
      </c>
      <c r="B2890" t="s">
        <v>4593</v>
      </c>
      <c r="C2890" t="s">
        <v>4594</v>
      </c>
      <c r="D2890" s="2">
        <v>45960</v>
      </c>
      <c r="E2890">
        <v>28</v>
      </c>
      <c r="F2890">
        <v>4</v>
      </c>
    </row>
    <row r="2891" spans="1:6" x14ac:dyDescent="0.25">
      <c r="A2891" t="s">
        <v>4598</v>
      </c>
      <c r="B2891" t="s">
        <v>4599</v>
      </c>
      <c r="C2891" t="s">
        <v>4600</v>
      </c>
      <c r="D2891" s="2">
        <v>45930</v>
      </c>
      <c r="E2891">
        <v>28</v>
      </c>
      <c r="F2891">
        <v>1</v>
      </c>
    </row>
    <row r="2892" spans="1:6" x14ac:dyDescent="0.25">
      <c r="A2892" t="s">
        <v>4601</v>
      </c>
      <c r="B2892" t="s">
        <v>4602</v>
      </c>
      <c r="C2892" t="s">
        <v>4603</v>
      </c>
      <c r="D2892" s="2">
        <v>45925</v>
      </c>
      <c r="E2892">
        <v>56</v>
      </c>
      <c r="F2892">
        <v>1</v>
      </c>
    </row>
    <row r="2893" spans="1:6" x14ac:dyDescent="0.25">
      <c r="A2893" t="s">
        <v>4604</v>
      </c>
      <c r="B2893" t="s">
        <v>4605</v>
      </c>
      <c r="C2893" t="s">
        <v>4606</v>
      </c>
      <c r="D2893" s="2">
        <v>45886</v>
      </c>
      <c r="E2893">
        <v>28</v>
      </c>
      <c r="F2893">
        <v>1</v>
      </c>
    </row>
    <row r="2894" spans="1:6" x14ac:dyDescent="0.25">
      <c r="A2894" t="s">
        <v>4607</v>
      </c>
      <c r="B2894" t="s">
        <v>4605</v>
      </c>
      <c r="C2894" t="s">
        <v>4606</v>
      </c>
      <c r="D2894" s="2">
        <v>45914</v>
      </c>
      <c r="E2894">
        <v>28</v>
      </c>
      <c r="F2894">
        <v>2</v>
      </c>
    </row>
    <row r="2895" spans="1:6" x14ac:dyDescent="0.25">
      <c r="A2895" t="s">
        <v>4608</v>
      </c>
      <c r="B2895" t="s">
        <v>4605</v>
      </c>
      <c r="C2895" t="s">
        <v>4606</v>
      </c>
      <c r="D2895" s="2">
        <v>45940</v>
      </c>
      <c r="E2895">
        <v>28</v>
      </c>
      <c r="F2895">
        <v>3</v>
      </c>
    </row>
    <row r="2896" spans="1:6" x14ac:dyDescent="0.25">
      <c r="A2896" t="s">
        <v>4609</v>
      </c>
      <c r="B2896" t="s">
        <v>4610</v>
      </c>
      <c r="C2896" t="s">
        <v>4611</v>
      </c>
      <c r="D2896" s="2">
        <v>45902</v>
      </c>
      <c r="E2896">
        <v>30</v>
      </c>
      <c r="F2896">
        <v>1</v>
      </c>
    </row>
    <row r="2897" spans="1:6" x14ac:dyDescent="0.25">
      <c r="A2897" t="s">
        <v>4612</v>
      </c>
      <c r="B2897" t="s">
        <v>4610</v>
      </c>
      <c r="C2897" t="s">
        <v>4611</v>
      </c>
      <c r="D2897" s="2">
        <v>45930</v>
      </c>
      <c r="E2897">
        <v>30</v>
      </c>
      <c r="F2897">
        <v>2</v>
      </c>
    </row>
    <row r="2898" spans="1:6" x14ac:dyDescent="0.25">
      <c r="A2898" t="s">
        <v>4613</v>
      </c>
      <c r="B2898" t="s">
        <v>4610</v>
      </c>
      <c r="C2898" t="s">
        <v>4611</v>
      </c>
      <c r="D2898" s="2">
        <v>45961</v>
      </c>
      <c r="E2898">
        <v>30</v>
      </c>
      <c r="F2898">
        <v>3</v>
      </c>
    </row>
    <row r="2899" spans="1:6" x14ac:dyDescent="0.25">
      <c r="A2899" t="s">
        <v>4614</v>
      </c>
      <c r="B2899" t="s">
        <v>4615</v>
      </c>
      <c r="C2899" t="s">
        <v>4616</v>
      </c>
      <c r="D2899" s="2">
        <v>45915</v>
      </c>
      <c r="E2899">
        <v>21</v>
      </c>
      <c r="F2899">
        <v>1</v>
      </c>
    </row>
    <row r="2900" spans="1:6" x14ac:dyDescent="0.25">
      <c r="A2900" t="s">
        <v>4617</v>
      </c>
      <c r="B2900" t="s">
        <v>4615</v>
      </c>
      <c r="C2900" t="s">
        <v>4616</v>
      </c>
      <c r="D2900" s="2">
        <v>45938</v>
      </c>
      <c r="E2900">
        <v>21</v>
      </c>
      <c r="F2900">
        <v>2</v>
      </c>
    </row>
    <row r="2901" spans="1:6" x14ac:dyDescent="0.25">
      <c r="A2901" t="s">
        <v>4618</v>
      </c>
      <c r="B2901" t="s">
        <v>4615</v>
      </c>
      <c r="C2901" t="s">
        <v>4616</v>
      </c>
      <c r="D2901" s="2">
        <v>45959</v>
      </c>
      <c r="E2901">
        <v>21</v>
      </c>
      <c r="F2901">
        <v>3</v>
      </c>
    </row>
    <row r="2902" spans="1:6" x14ac:dyDescent="0.25">
      <c r="A2902" t="s">
        <v>4619</v>
      </c>
      <c r="B2902" t="s">
        <v>4620</v>
      </c>
      <c r="C2902" t="s">
        <v>4621</v>
      </c>
      <c r="D2902" s="2">
        <v>45943</v>
      </c>
      <c r="E2902">
        <v>21</v>
      </c>
      <c r="F2902">
        <v>1</v>
      </c>
    </row>
    <row r="2903" spans="1:6" x14ac:dyDescent="0.25">
      <c r="A2903" t="s">
        <v>4622</v>
      </c>
      <c r="B2903" t="s">
        <v>4623</v>
      </c>
      <c r="C2903" t="s">
        <v>4624</v>
      </c>
      <c r="D2903" s="2">
        <v>45920</v>
      </c>
      <c r="E2903">
        <v>28</v>
      </c>
      <c r="F2903">
        <v>1</v>
      </c>
    </row>
    <row r="2904" spans="1:6" x14ac:dyDescent="0.25">
      <c r="A2904" t="s">
        <v>4625</v>
      </c>
      <c r="B2904" t="s">
        <v>4623</v>
      </c>
      <c r="C2904" t="s">
        <v>4624</v>
      </c>
      <c r="D2904" s="2">
        <v>45951</v>
      </c>
      <c r="E2904">
        <v>28</v>
      </c>
      <c r="F2904">
        <v>2</v>
      </c>
    </row>
    <row r="2905" spans="1:6" x14ac:dyDescent="0.25">
      <c r="A2905" t="s">
        <v>4626</v>
      </c>
      <c r="B2905" t="s">
        <v>4627</v>
      </c>
      <c r="C2905" t="s">
        <v>4628</v>
      </c>
      <c r="D2905" s="2">
        <v>45903</v>
      </c>
      <c r="E2905">
        <v>28</v>
      </c>
      <c r="F2905">
        <v>1</v>
      </c>
    </row>
    <row r="2906" spans="1:6" x14ac:dyDescent="0.25">
      <c r="A2906" t="s">
        <v>4629</v>
      </c>
      <c r="B2906" t="s">
        <v>4627</v>
      </c>
      <c r="C2906" t="s">
        <v>4628</v>
      </c>
      <c r="D2906" s="2">
        <v>45931</v>
      </c>
      <c r="E2906">
        <v>28</v>
      </c>
      <c r="F2906">
        <v>2</v>
      </c>
    </row>
    <row r="2907" spans="1:6" x14ac:dyDescent="0.25">
      <c r="A2907" t="s">
        <v>4630</v>
      </c>
      <c r="B2907" t="s">
        <v>4627</v>
      </c>
      <c r="C2907" t="s">
        <v>4628</v>
      </c>
      <c r="D2907" s="2">
        <v>45961</v>
      </c>
      <c r="E2907">
        <v>28</v>
      </c>
      <c r="F2907">
        <v>3</v>
      </c>
    </row>
    <row r="2908" spans="1:6" x14ac:dyDescent="0.25">
      <c r="A2908" t="s">
        <v>4631</v>
      </c>
      <c r="B2908" t="s">
        <v>4632</v>
      </c>
      <c r="C2908" t="s">
        <v>4633</v>
      </c>
      <c r="D2908" s="2">
        <v>45813</v>
      </c>
      <c r="E2908">
        <v>14</v>
      </c>
      <c r="F2908">
        <v>1</v>
      </c>
    </row>
    <row r="2909" spans="1:6" x14ac:dyDescent="0.25">
      <c r="A2909" t="s">
        <v>4634</v>
      </c>
      <c r="B2909" t="s">
        <v>4632</v>
      </c>
      <c r="C2909" t="s">
        <v>4633</v>
      </c>
      <c r="D2909" s="2">
        <v>45824</v>
      </c>
      <c r="E2909">
        <v>14</v>
      </c>
      <c r="F2909">
        <v>2</v>
      </c>
    </row>
    <row r="2910" spans="1:6" x14ac:dyDescent="0.25">
      <c r="A2910" t="s">
        <v>4635</v>
      </c>
      <c r="B2910" t="s">
        <v>4632</v>
      </c>
      <c r="C2910" t="s">
        <v>4633</v>
      </c>
      <c r="D2910" s="2">
        <v>45840</v>
      </c>
      <c r="E2910">
        <v>14</v>
      </c>
      <c r="F2910">
        <v>3</v>
      </c>
    </row>
    <row r="2911" spans="1:6" x14ac:dyDescent="0.25">
      <c r="A2911" t="s">
        <v>4636</v>
      </c>
      <c r="B2911" t="s">
        <v>4632</v>
      </c>
      <c r="C2911" t="s">
        <v>4633</v>
      </c>
      <c r="D2911" s="2">
        <v>45851</v>
      </c>
      <c r="E2911">
        <v>14</v>
      </c>
      <c r="F2911">
        <v>4</v>
      </c>
    </row>
    <row r="2912" spans="1:6" x14ac:dyDescent="0.25">
      <c r="A2912" t="s">
        <v>4637</v>
      </c>
      <c r="B2912" t="s">
        <v>4632</v>
      </c>
      <c r="C2912" t="s">
        <v>4633</v>
      </c>
      <c r="D2912" s="2">
        <v>45862</v>
      </c>
      <c r="E2912">
        <v>14</v>
      </c>
      <c r="F2912">
        <v>5</v>
      </c>
    </row>
    <row r="2913" spans="1:6" x14ac:dyDescent="0.25">
      <c r="A2913" t="s">
        <v>4638</v>
      </c>
      <c r="B2913" t="s">
        <v>4632</v>
      </c>
      <c r="C2913" t="s">
        <v>4633</v>
      </c>
      <c r="D2913" s="2">
        <v>45877</v>
      </c>
      <c r="E2913">
        <v>14</v>
      </c>
      <c r="F2913">
        <v>6</v>
      </c>
    </row>
    <row r="2914" spans="1:6" x14ac:dyDescent="0.25">
      <c r="A2914" t="s">
        <v>4639</v>
      </c>
      <c r="B2914" t="s">
        <v>4632</v>
      </c>
      <c r="C2914" t="s">
        <v>4633</v>
      </c>
      <c r="D2914" s="2">
        <v>45889</v>
      </c>
      <c r="E2914">
        <v>14</v>
      </c>
      <c r="F2914">
        <v>7</v>
      </c>
    </row>
    <row r="2915" spans="1:6" x14ac:dyDescent="0.25">
      <c r="A2915" t="s">
        <v>4640</v>
      </c>
      <c r="B2915" t="s">
        <v>4632</v>
      </c>
      <c r="C2915" t="s">
        <v>4633</v>
      </c>
      <c r="D2915" s="2">
        <v>45902</v>
      </c>
      <c r="E2915">
        <v>14</v>
      </c>
      <c r="F2915">
        <v>8</v>
      </c>
    </row>
    <row r="2916" spans="1:6" x14ac:dyDescent="0.25">
      <c r="A2916" t="s">
        <v>4641</v>
      </c>
      <c r="B2916" t="s">
        <v>4632</v>
      </c>
      <c r="C2916" t="s">
        <v>4633</v>
      </c>
      <c r="D2916" s="2">
        <v>45915</v>
      </c>
      <c r="E2916">
        <v>14</v>
      </c>
      <c r="F2916">
        <v>9</v>
      </c>
    </row>
    <row r="2917" spans="1:6" x14ac:dyDescent="0.25">
      <c r="A2917" t="s">
        <v>4642</v>
      </c>
      <c r="B2917" t="s">
        <v>4632</v>
      </c>
      <c r="C2917" t="s">
        <v>4633</v>
      </c>
      <c r="D2917" s="2">
        <v>45930</v>
      </c>
      <c r="E2917">
        <v>14</v>
      </c>
      <c r="F2917">
        <v>10</v>
      </c>
    </row>
    <row r="2918" spans="1:6" x14ac:dyDescent="0.25">
      <c r="A2918" t="s">
        <v>4643</v>
      </c>
      <c r="B2918" t="s">
        <v>4632</v>
      </c>
      <c r="C2918" t="s">
        <v>4633</v>
      </c>
      <c r="D2918" s="2">
        <v>45942</v>
      </c>
      <c r="E2918">
        <v>14</v>
      </c>
      <c r="F2918">
        <v>11</v>
      </c>
    </row>
    <row r="2919" spans="1:6" x14ac:dyDescent="0.25">
      <c r="A2919" t="s">
        <v>4644</v>
      </c>
      <c r="B2919" t="s">
        <v>4632</v>
      </c>
      <c r="C2919" t="s">
        <v>4633</v>
      </c>
      <c r="D2919" s="2">
        <v>45957</v>
      </c>
      <c r="E2919">
        <v>14</v>
      </c>
      <c r="F2919">
        <v>12</v>
      </c>
    </row>
    <row r="2920" spans="1:6" x14ac:dyDescent="0.25">
      <c r="A2920" t="s">
        <v>4645</v>
      </c>
      <c r="B2920" t="s">
        <v>4646</v>
      </c>
      <c r="C2920" t="s">
        <v>4647</v>
      </c>
      <c r="D2920" s="2">
        <v>45858</v>
      </c>
      <c r="E2920">
        <v>28</v>
      </c>
      <c r="F2920">
        <v>1</v>
      </c>
    </row>
    <row r="2921" spans="1:6" x14ac:dyDescent="0.25">
      <c r="A2921" t="s">
        <v>4648</v>
      </c>
      <c r="B2921" t="s">
        <v>4646</v>
      </c>
      <c r="C2921" t="s">
        <v>4647</v>
      </c>
      <c r="D2921" s="2">
        <v>45889</v>
      </c>
      <c r="E2921">
        <v>28</v>
      </c>
      <c r="F2921">
        <v>2</v>
      </c>
    </row>
    <row r="2922" spans="1:6" x14ac:dyDescent="0.25">
      <c r="A2922" t="s">
        <v>4649</v>
      </c>
      <c r="B2922" t="s">
        <v>4646</v>
      </c>
      <c r="C2922" t="s">
        <v>4647</v>
      </c>
      <c r="D2922" s="2">
        <v>45915</v>
      </c>
      <c r="E2922">
        <v>28</v>
      </c>
      <c r="F2922">
        <v>3</v>
      </c>
    </row>
    <row r="2923" spans="1:6" x14ac:dyDescent="0.25">
      <c r="A2923" t="s">
        <v>4650</v>
      </c>
      <c r="B2923" t="s">
        <v>4646</v>
      </c>
      <c r="C2923" t="s">
        <v>4647</v>
      </c>
      <c r="D2923" s="2">
        <v>45940</v>
      </c>
      <c r="E2923">
        <v>28</v>
      </c>
      <c r="F2923">
        <v>4</v>
      </c>
    </row>
    <row r="2924" spans="1:6" x14ac:dyDescent="0.25">
      <c r="A2924" t="s">
        <v>4651</v>
      </c>
      <c r="B2924" t="s">
        <v>4652</v>
      </c>
      <c r="C2924" t="s">
        <v>4653</v>
      </c>
      <c r="D2924" s="2">
        <v>45893</v>
      </c>
      <c r="E2924">
        <v>28</v>
      </c>
      <c r="F2924">
        <v>1</v>
      </c>
    </row>
    <row r="2925" spans="1:6" x14ac:dyDescent="0.25">
      <c r="A2925" t="s">
        <v>4654</v>
      </c>
      <c r="B2925" t="s">
        <v>4652</v>
      </c>
      <c r="C2925" t="s">
        <v>4653</v>
      </c>
      <c r="D2925" s="2">
        <v>45923</v>
      </c>
      <c r="E2925">
        <v>28</v>
      </c>
      <c r="F2925">
        <v>2</v>
      </c>
    </row>
    <row r="2926" spans="1:6" x14ac:dyDescent="0.25">
      <c r="A2926" t="s">
        <v>4655</v>
      </c>
      <c r="B2926" t="s">
        <v>4652</v>
      </c>
      <c r="C2926" t="s">
        <v>4653</v>
      </c>
      <c r="D2926" s="2">
        <v>45948</v>
      </c>
      <c r="E2926">
        <v>28</v>
      </c>
      <c r="F2926">
        <v>3</v>
      </c>
    </row>
    <row r="2927" spans="1:6" x14ac:dyDescent="0.25">
      <c r="A2927" t="s">
        <v>4656</v>
      </c>
      <c r="B2927" t="s">
        <v>4657</v>
      </c>
      <c r="C2927" t="s">
        <v>4658</v>
      </c>
      <c r="D2927" s="2">
        <v>45791</v>
      </c>
      <c r="E2927">
        <v>28</v>
      </c>
      <c r="F2927">
        <v>1</v>
      </c>
    </row>
    <row r="2928" spans="1:6" x14ac:dyDescent="0.25">
      <c r="A2928" t="s">
        <v>4659</v>
      </c>
      <c r="B2928" t="s">
        <v>4657</v>
      </c>
      <c r="C2928" t="s">
        <v>4658</v>
      </c>
      <c r="D2928" s="2">
        <v>45819</v>
      </c>
      <c r="E2928">
        <v>28</v>
      </c>
      <c r="F2928">
        <v>2</v>
      </c>
    </row>
    <row r="2929" spans="1:6" x14ac:dyDescent="0.25">
      <c r="A2929" t="s">
        <v>4660</v>
      </c>
      <c r="B2929" t="s">
        <v>4657</v>
      </c>
      <c r="C2929" t="s">
        <v>4658</v>
      </c>
      <c r="D2929" s="2">
        <v>45848</v>
      </c>
      <c r="E2929">
        <v>28</v>
      </c>
      <c r="F2929">
        <v>3</v>
      </c>
    </row>
    <row r="2930" spans="1:6" x14ac:dyDescent="0.25">
      <c r="A2930" t="s">
        <v>4661</v>
      </c>
      <c r="B2930" t="s">
        <v>4657</v>
      </c>
      <c r="C2930" t="s">
        <v>4658</v>
      </c>
      <c r="D2930" s="2">
        <v>45877</v>
      </c>
      <c r="E2930">
        <v>28</v>
      </c>
      <c r="F2930">
        <v>4</v>
      </c>
    </row>
    <row r="2931" spans="1:6" x14ac:dyDescent="0.25">
      <c r="A2931" t="s">
        <v>4662</v>
      </c>
      <c r="B2931" t="s">
        <v>4657</v>
      </c>
      <c r="C2931" t="s">
        <v>4658</v>
      </c>
      <c r="D2931" s="2">
        <v>45902</v>
      </c>
      <c r="E2931">
        <v>28</v>
      </c>
      <c r="F2931">
        <v>5</v>
      </c>
    </row>
    <row r="2932" spans="1:6" x14ac:dyDescent="0.25">
      <c r="A2932" t="s">
        <v>4663</v>
      </c>
      <c r="B2932" t="s">
        <v>4657</v>
      </c>
      <c r="C2932" t="s">
        <v>4658</v>
      </c>
      <c r="D2932" s="2">
        <v>45932</v>
      </c>
      <c r="E2932">
        <v>28</v>
      </c>
      <c r="F2932">
        <v>6</v>
      </c>
    </row>
    <row r="2933" spans="1:6" x14ac:dyDescent="0.25">
      <c r="A2933" t="s">
        <v>4664</v>
      </c>
      <c r="B2933" t="s">
        <v>4657</v>
      </c>
      <c r="C2933" t="s">
        <v>4658</v>
      </c>
      <c r="D2933" s="2">
        <v>45960</v>
      </c>
      <c r="E2933">
        <v>28</v>
      </c>
      <c r="F2933">
        <v>7</v>
      </c>
    </row>
    <row r="2934" spans="1:6" x14ac:dyDescent="0.25">
      <c r="A2934" t="s">
        <v>4665</v>
      </c>
      <c r="B2934" t="s">
        <v>4666</v>
      </c>
      <c r="C2934" t="s">
        <v>4667</v>
      </c>
      <c r="D2934" s="2">
        <v>45780</v>
      </c>
      <c r="E2934">
        <v>28</v>
      </c>
      <c r="F2934">
        <v>1</v>
      </c>
    </row>
    <row r="2935" spans="1:6" x14ac:dyDescent="0.25">
      <c r="A2935" t="s">
        <v>4668</v>
      </c>
      <c r="B2935" t="s">
        <v>4666</v>
      </c>
      <c r="C2935" t="s">
        <v>4667</v>
      </c>
      <c r="D2935" s="2">
        <v>45808</v>
      </c>
      <c r="E2935">
        <v>28</v>
      </c>
      <c r="F2935">
        <v>2</v>
      </c>
    </row>
    <row r="2936" spans="1:6" x14ac:dyDescent="0.25">
      <c r="A2936" t="s">
        <v>4669</v>
      </c>
      <c r="B2936" t="s">
        <v>4666</v>
      </c>
      <c r="C2936" t="s">
        <v>4667</v>
      </c>
      <c r="D2936" s="2">
        <v>45836</v>
      </c>
      <c r="E2936">
        <v>28</v>
      </c>
      <c r="F2936">
        <v>3</v>
      </c>
    </row>
    <row r="2937" spans="1:6" x14ac:dyDescent="0.25">
      <c r="A2937" t="s">
        <v>4670</v>
      </c>
      <c r="B2937" t="s">
        <v>4666</v>
      </c>
      <c r="C2937" t="s">
        <v>4667</v>
      </c>
      <c r="D2937" s="2">
        <v>45861</v>
      </c>
      <c r="E2937">
        <v>28</v>
      </c>
      <c r="F2937">
        <v>4</v>
      </c>
    </row>
    <row r="2938" spans="1:6" x14ac:dyDescent="0.25">
      <c r="A2938" t="s">
        <v>4671</v>
      </c>
      <c r="B2938" t="s">
        <v>4666</v>
      </c>
      <c r="C2938" t="s">
        <v>4667</v>
      </c>
      <c r="D2938" s="2">
        <v>45888</v>
      </c>
      <c r="E2938">
        <v>28</v>
      </c>
      <c r="F2938">
        <v>5</v>
      </c>
    </row>
    <row r="2939" spans="1:6" x14ac:dyDescent="0.25">
      <c r="A2939" t="s">
        <v>4672</v>
      </c>
      <c r="B2939" t="s">
        <v>4666</v>
      </c>
      <c r="C2939" t="s">
        <v>4667</v>
      </c>
      <c r="D2939" s="2">
        <v>45915</v>
      </c>
      <c r="E2939">
        <v>28</v>
      </c>
      <c r="F2939">
        <v>6</v>
      </c>
    </row>
    <row r="2940" spans="1:6" x14ac:dyDescent="0.25">
      <c r="A2940" t="s">
        <v>4673</v>
      </c>
      <c r="B2940" t="s">
        <v>4666</v>
      </c>
      <c r="C2940" t="s">
        <v>4667</v>
      </c>
      <c r="D2940" s="2">
        <v>45946</v>
      </c>
      <c r="E2940">
        <v>28</v>
      </c>
      <c r="F2940">
        <v>7</v>
      </c>
    </row>
    <row r="2941" spans="1:6" x14ac:dyDescent="0.25">
      <c r="A2941" t="s">
        <v>4674</v>
      </c>
      <c r="B2941" t="s">
        <v>4675</v>
      </c>
      <c r="C2941" t="s">
        <v>4676</v>
      </c>
      <c r="D2941" s="2">
        <v>45812</v>
      </c>
      <c r="E2941">
        <v>21</v>
      </c>
      <c r="F2941">
        <v>1</v>
      </c>
    </row>
    <row r="2942" spans="1:6" x14ac:dyDescent="0.25">
      <c r="A2942" t="s">
        <v>4677</v>
      </c>
      <c r="B2942" t="s">
        <v>4675</v>
      </c>
      <c r="C2942" t="s">
        <v>4676</v>
      </c>
      <c r="D2942" s="2">
        <v>45835</v>
      </c>
      <c r="E2942">
        <v>21</v>
      </c>
      <c r="F2942">
        <v>2</v>
      </c>
    </row>
    <row r="2943" spans="1:6" x14ac:dyDescent="0.25">
      <c r="A2943" t="s">
        <v>4678</v>
      </c>
      <c r="B2943" t="s">
        <v>4675</v>
      </c>
      <c r="C2943" t="s">
        <v>4676</v>
      </c>
      <c r="D2943" s="2">
        <v>45856</v>
      </c>
      <c r="E2943">
        <v>21</v>
      </c>
      <c r="F2943">
        <v>3</v>
      </c>
    </row>
    <row r="2944" spans="1:6" x14ac:dyDescent="0.25">
      <c r="A2944" t="s">
        <v>4679</v>
      </c>
      <c r="B2944" t="s">
        <v>4675</v>
      </c>
      <c r="C2944" t="s">
        <v>4676</v>
      </c>
      <c r="D2944" s="2">
        <v>45877</v>
      </c>
      <c r="E2944">
        <v>21</v>
      </c>
      <c r="F2944">
        <v>4</v>
      </c>
    </row>
    <row r="2945" spans="1:6" x14ac:dyDescent="0.25">
      <c r="A2945" t="s">
        <v>4680</v>
      </c>
      <c r="B2945" t="s">
        <v>4675</v>
      </c>
      <c r="C2945" t="s">
        <v>4676</v>
      </c>
      <c r="D2945" s="2">
        <v>45898</v>
      </c>
      <c r="E2945">
        <v>21</v>
      </c>
      <c r="F2945">
        <v>5</v>
      </c>
    </row>
    <row r="2946" spans="1:6" x14ac:dyDescent="0.25">
      <c r="A2946" t="s">
        <v>4681</v>
      </c>
      <c r="B2946" t="s">
        <v>4675</v>
      </c>
      <c r="C2946" t="s">
        <v>4676</v>
      </c>
      <c r="D2946" s="2">
        <v>45917</v>
      </c>
      <c r="E2946">
        <v>21</v>
      </c>
      <c r="F2946">
        <v>6</v>
      </c>
    </row>
    <row r="2947" spans="1:6" x14ac:dyDescent="0.25">
      <c r="A2947" t="s">
        <v>4682</v>
      </c>
      <c r="B2947" t="s">
        <v>4675</v>
      </c>
      <c r="C2947" t="s">
        <v>4676</v>
      </c>
      <c r="D2947" s="2">
        <v>45940</v>
      </c>
      <c r="E2947">
        <v>21</v>
      </c>
      <c r="F2947">
        <v>7</v>
      </c>
    </row>
    <row r="2948" spans="1:6" x14ac:dyDescent="0.25">
      <c r="A2948" t="s">
        <v>4683</v>
      </c>
      <c r="B2948" t="s">
        <v>4675</v>
      </c>
      <c r="C2948" t="s">
        <v>4676</v>
      </c>
      <c r="D2948" s="2">
        <v>45961</v>
      </c>
      <c r="E2948">
        <v>21</v>
      </c>
      <c r="F2948">
        <v>8</v>
      </c>
    </row>
    <row r="2949" spans="1:6" x14ac:dyDescent="0.25">
      <c r="A2949" t="s">
        <v>4684</v>
      </c>
      <c r="B2949" t="s">
        <v>4685</v>
      </c>
      <c r="C2949" t="s">
        <v>4686</v>
      </c>
      <c r="D2949" s="2">
        <v>45876</v>
      </c>
      <c r="E2949">
        <v>30</v>
      </c>
      <c r="F2949">
        <v>1</v>
      </c>
    </row>
    <row r="2950" spans="1:6" x14ac:dyDescent="0.25">
      <c r="A2950" t="s">
        <v>4687</v>
      </c>
      <c r="B2950" t="s">
        <v>4685</v>
      </c>
      <c r="C2950" t="s">
        <v>4686</v>
      </c>
      <c r="D2950" s="2">
        <v>45907</v>
      </c>
      <c r="E2950">
        <v>30</v>
      </c>
      <c r="F2950">
        <v>2</v>
      </c>
    </row>
    <row r="2951" spans="1:6" x14ac:dyDescent="0.25">
      <c r="A2951" t="s">
        <v>4688</v>
      </c>
      <c r="B2951" t="s">
        <v>4689</v>
      </c>
      <c r="C2951" t="s">
        <v>4690</v>
      </c>
      <c r="D2951" s="2">
        <v>45907</v>
      </c>
      <c r="E2951">
        <v>30</v>
      </c>
      <c r="F2951">
        <v>1</v>
      </c>
    </row>
    <row r="2952" spans="1:6" x14ac:dyDescent="0.25">
      <c r="A2952" t="s">
        <v>4691</v>
      </c>
      <c r="B2952" t="s">
        <v>4689</v>
      </c>
      <c r="C2952" t="s">
        <v>4690</v>
      </c>
      <c r="D2952" s="2">
        <v>45936</v>
      </c>
      <c r="E2952">
        <v>30</v>
      </c>
      <c r="F2952">
        <v>2</v>
      </c>
    </row>
    <row r="2953" spans="1:6" x14ac:dyDescent="0.25">
      <c r="A2953" t="s">
        <v>4692</v>
      </c>
      <c r="B2953" t="s">
        <v>4693</v>
      </c>
      <c r="C2953" t="s">
        <v>4694</v>
      </c>
      <c r="D2953" s="2">
        <v>45904</v>
      </c>
      <c r="E2953">
        <v>30</v>
      </c>
      <c r="F2953">
        <v>1</v>
      </c>
    </row>
    <row r="2954" spans="1:6" x14ac:dyDescent="0.25">
      <c r="A2954" t="s">
        <v>4695</v>
      </c>
      <c r="B2954" t="s">
        <v>4693</v>
      </c>
      <c r="C2954" t="s">
        <v>4694</v>
      </c>
      <c r="D2954" s="2">
        <v>45933</v>
      </c>
      <c r="E2954">
        <v>30</v>
      </c>
      <c r="F2954">
        <v>2</v>
      </c>
    </row>
    <row r="2955" spans="1:6" x14ac:dyDescent="0.25">
      <c r="A2955" t="s">
        <v>4696</v>
      </c>
      <c r="B2955" t="s">
        <v>4697</v>
      </c>
      <c r="C2955" t="s">
        <v>4698</v>
      </c>
      <c r="D2955" s="2">
        <v>45953</v>
      </c>
      <c r="E2955">
        <v>21</v>
      </c>
      <c r="F2955">
        <v>1</v>
      </c>
    </row>
    <row r="2956" spans="1:6" x14ac:dyDescent="0.25">
      <c r="A2956" t="s">
        <v>4699</v>
      </c>
      <c r="B2956" t="s">
        <v>4700</v>
      </c>
      <c r="C2956" t="s">
        <v>4701</v>
      </c>
      <c r="D2956" s="2">
        <v>45884</v>
      </c>
      <c r="E2956">
        <v>28</v>
      </c>
      <c r="F2956">
        <v>1</v>
      </c>
    </row>
    <row r="2957" spans="1:6" x14ac:dyDescent="0.25">
      <c r="A2957" t="s">
        <v>4702</v>
      </c>
      <c r="B2957" t="s">
        <v>4700</v>
      </c>
      <c r="C2957" t="s">
        <v>4701</v>
      </c>
      <c r="D2957" s="2">
        <v>45914</v>
      </c>
      <c r="E2957">
        <v>28</v>
      </c>
      <c r="F2957">
        <v>2</v>
      </c>
    </row>
    <row r="2958" spans="1:6" x14ac:dyDescent="0.25">
      <c r="A2958" t="s">
        <v>4703</v>
      </c>
      <c r="B2958" t="s">
        <v>4704</v>
      </c>
      <c r="C2958" t="s">
        <v>4705</v>
      </c>
      <c r="D2958" s="2">
        <v>45891</v>
      </c>
      <c r="E2958">
        <v>28</v>
      </c>
      <c r="F2958">
        <v>1</v>
      </c>
    </row>
    <row r="2959" spans="1:6" x14ac:dyDescent="0.25">
      <c r="A2959" t="s">
        <v>4706</v>
      </c>
      <c r="B2959" t="s">
        <v>4707</v>
      </c>
      <c r="C2959" t="s">
        <v>4708</v>
      </c>
      <c r="D2959" s="2">
        <v>45820</v>
      </c>
      <c r="E2959">
        <v>30</v>
      </c>
      <c r="F2959">
        <v>1</v>
      </c>
    </row>
    <row r="2960" spans="1:6" x14ac:dyDescent="0.25">
      <c r="A2960" t="s">
        <v>4709</v>
      </c>
      <c r="B2960" t="s">
        <v>4707</v>
      </c>
      <c r="C2960" t="s">
        <v>4708</v>
      </c>
      <c r="D2960" s="2">
        <v>45852</v>
      </c>
      <c r="E2960">
        <v>30</v>
      </c>
      <c r="F2960">
        <v>2</v>
      </c>
    </row>
    <row r="2961" spans="1:6" x14ac:dyDescent="0.25">
      <c r="A2961" t="s">
        <v>4710</v>
      </c>
      <c r="B2961" t="s">
        <v>4711</v>
      </c>
      <c r="C2961" t="s">
        <v>4712</v>
      </c>
      <c r="D2961" s="2">
        <v>45922</v>
      </c>
      <c r="E2961">
        <v>28</v>
      </c>
      <c r="F2961">
        <v>1</v>
      </c>
    </row>
    <row r="2962" spans="1:6" x14ac:dyDescent="0.25">
      <c r="A2962" t="s">
        <v>4713</v>
      </c>
      <c r="B2962" t="s">
        <v>4711</v>
      </c>
      <c r="C2962" t="s">
        <v>4712</v>
      </c>
      <c r="D2962" s="2">
        <v>45948</v>
      </c>
      <c r="E2962">
        <v>28</v>
      </c>
      <c r="F2962">
        <v>2</v>
      </c>
    </row>
    <row r="2963" spans="1:6" x14ac:dyDescent="0.25">
      <c r="A2963" t="s">
        <v>4714</v>
      </c>
      <c r="B2963" t="s">
        <v>4715</v>
      </c>
      <c r="C2963" t="s">
        <v>4716</v>
      </c>
      <c r="D2963" s="2">
        <v>45834</v>
      </c>
      <c r="E2963">
        <v>28</v>
      </c>
      <c r="F2963">
        <v>1</v>
      </c>
    </row>
    <row r="2964" spans="1:6" x14ac:dyDescent="0.25">
      <c r="A2964" t="s">
        <v>4717</v>
      </c>
      <c r="B2964" t="s">
        <v>4715</v>
      </c>
      <c r="C2964" t="s">
        <v>4716</v>
      </c>
      <c r="D2964" s="2">
        <v>45862</v>
      </c>
      <c r="E2964">
        <v>28</v>
      </c>
      <c r="F2964">
        <v>2</v>
      </c>
    </row>
    <row r="2965" spans="1:6" x14ac:dyDescent="0.25">
      <c r="A2965" t="s">
        <v>4718</v>
      </c>
      <c r="B2965" t="s">
        <v>4719</v>
      </c>
      <c r="C2965" t="s">
        <v>4720</v>
      </c>
      <c r="D2965" s="2">
        <v>45786</v>
      </c>
      <c r="E2965">
        <v>28</v>
      </c>
      <c r="F2965">
        <v>1</v>
      </c>
    </row>
    <row r="2966" spans="1:6" x14ac:dyDescent="0.25">
      <c r="A2966" t="s">
        <v>4721</v>
      </c>
      <c r="B2966" t="s">
        <v>4719</v>
      </c>
      <c r="C2966" t="s">
        <v>4720</v>
      </c>
      <c r="D2966" s="2">
        <v>45815</v>
      </c>
      <c r="E2966">
        <v>28</v>
      </c>
      <c r="F2966">
        <v>2</v>
      </c>
    </row>
    <row r="2967" spans="1:6" x14ac:dyDescent="0.25">
      <c r="A2967" t="s">
        <v>4722</v>
      </c>
      <c r="B2967" t="s">
        <v>4719</v>
      </c>
      <c r="C2967" t="s">
        <v>4720</v>
      </c>
      <c r="D2967" s="2">
        <v>45843</v>
      </c>
      <c r="E2967">
        <v>28</v>
      </c>
      <c r="F2967">
        <v>3</v>
      </c>
    </row>
    <row r="2968" spans="1:6" x14ac:dyDescent="0.25">
      <c r="A2968" t="s">
        <v>4723</v>
      </c>
      <c r="B2968" t="s">
        <v>4719</v>
      </c>
      <c r="C2968" t="s">
        <v>4720</v>
      </c>
      <c r="D2968" s="2">
        <v>45873</v>
      </c>
      <c r="E2968">
        <v>28</v>
      </c>
      <c r="F2968">
        <v>4</v>
      </c>
    </row>
    <row r="2969" spans="1:6" x14ac:dyDescent="0.25">
      <c r="A2969" t="s">
        <v>4724</v>
      </c>
      <c r="B2969" t="s">
        <v>4719</v>
      </c>
      <c r="C2969" t="s">
        <v>4720</v>
      </c>
      <c r="D2969" s="2">
        <v>45899</v>
      </c>
      <c r="E2969">
        <v>28</v>
      </c>
      <c r="F2969">
        <v>5</v>
      </c>
    </row>
    <row r="2970" spans="1:6" x14ac:dyDescent="0.25">
      <c r="A2970" t="s">
        <v>4725</v>
      </c>
      <c r="B2970" t="s">
        <v>4719</v>
      </c>
      <c r="C2970" t="s">
        <v>4720</v>
      </c>
      <c r="D2970" s="2">
        <v>45930</v>
      </c>
      <c r="E2970">
        <v>28</v>
      </c>
      <c r="F2970">
        <v>6</v>
      </c>
    </row>
    <row r="2971" spans="1:6" x14ac:dyDescent="0.25">
      <c r="A2971" t="s">
        <v>4726</v>
      </c>
      <c r="B2971" t="s">
        <v>4719</v>
      </c>
      <c r="C2971" t="s">
        <v>4720</v>
      </c>
      <c r="D2971" s="2">
        <v>45956</v>
      </c>
      <c r="E2971">
        <v>28</v>
      </c>
      <c r="F2971">
        <v>7</v>
      </c>
    </row>
    <row r="2972" spans="1:6" x14ac:dyDescent="0.25">
      <c r="A2972" t="s">
        <v>4727</v>
      </c>
      <c r="B2972" t="s">
        <v>4728</v>
      </c>
      <c r="C2972" t="s">
        <v>4729</v>
      </c>
      <c r="D2972" s="2">
        <v>45835</v>
      </c>
      <c r="E2972">
        <v>28</v>
      </c>
      <c r="F2972">
        <v>1</v>
      </c>
    </row>
    <row r="2973" spans="1:6" x14ac:dyDescent="0.25">
      <c r="A2973" t="s">
        <v>4730</v>
      </c>
      <c r="B2973" t="s">
        <v>4728</v>
      </c>
      <c r="C2973" t="s">
        <v>4729</v>
      </c>
      <c r="D2973" s="2">
        <v>45863</v>
      </c>
      <c r="E2973">
        <v>28</v>
      </c>
      <c r="F2973">
        <v>2</v>
      </c>
    </row>
    <row r="2974" spans="1:6" x14ac:dyDescent="0.25">
      <c r="A2974" t="s">
        <v>4731</v>
      </c>
      <c r="B2974" t="s">
        <v>4728</v>
      </c>
      <c r="C2974" t="s">
        <v>4729</v>
      </c>
      <c r="D2974" s="2">
        <v>45893</v>
      </c>
      <c r="E2974">
        <v>28</v>
      </c>
      <c r="F2974">
        <v>3</v>
      </c>
    </row>
    <row r="2975" spans="1:6" x14ac:dyDescent="0.25">
      <c r="A2975" t="s">
        <v>4732</v>
      </c>
      <c r="B2975" t="s">
        <v>4733</v>
      </c>
      <c r="C2975" t="s">
        <v>4734</v>
      </c>
      <c r="D2975" s="2">
        <v>45851</v>
      </c>
      <c r="E2975">
        <v>30</v>
      </c>
      <c r="F2975">
        <v>1</v>
      </c>
    </row>
    <row r="2976" spans="1:6" x14ac:dyDescent="0.25">
      <c r="A2976" t="s">
        <v>4735</v>
      </c>
      <c r="B2976" t="s">
        <v>4736</v>
      </c>
      <c r="C2976" t="s">
        <v>4737</v>
      </c>
      <c r="D2976" s="2">
        <v>45895</v>
      </c>
      <c r="E2976">
        <v>28</v>
      </c>
      <c r="F2976">
        <v>1</v>
      </c>
    </row>
    <row r="2977" spans="1:6" x14ac:dyDescent="0.25">
      <c r="A2977" t="s">
        <v>4738</v>
      </c>
      <c r="B2977" t="s">
        <v>4736</v>
      </c>
      <c r="C2977" t="s">
        <v>4737</v>
      </c>
      <c r="D2977" s="2">
        <v>45925</v>
      </c>
      <c r="E2977">
        <v>28</v>
      </c>
      <c r="F2977">
        <v>2</v>
      </c>
    </row>
    <row r="2978" spans="1:6" x14ac:dyDescent="0.25">
      <c r="A2978" t="s">
        <v>4739</v>
      </c>
      <c r="B2978" t="s">
        <v>4736</v>
      </c>
      <c r="C2978" t="s">
        <v>4737</v>
      </c>
      <c r="D2978" s="2">
        <v>45951</v>
      </c>
      <c r="E2978">
        <v>28</v>
      </c>
      <c r="F2978">
        <v>3</v>
      </c>
    </row>
    <row r="2979" spans="1:6" x14ac:dyDescent="0.25">
      <c r="A2979" t="s">
        <v>4740</v>
      </c>
      <c r="B2979" t="s">
        <v>4741</v>
      </c>
      <c r="C2979" t="s">
        <v>4742</v>
      </c>
      <c r="D2979" s="2">
        <v>45904</v>
      </c>
      <c r="E2979">
        <v>30</v>
      </c>
      <c r="F2979">
        <v>1</v>
      </c>
    </row>
    <row r="2980" spans="1:6" x14ac:dyDescent="0.25">
      <c r="A2980" t="s">
        <v>4743</v>
      </c>
      <c r="B2980" t="s">
        <v>4741</v>
      </c>
      <c r="C2980" t="s">
        <v>4742</v>
      </c>
      <c r="D2980" s="2">
        <v>45933</v>
      </c>
      <c r="E2980">
        <v>30</v>
      </c>
      <c r="F2980">
        <v>2</v>
      </c>
    </row>
    <row r="2981" spans="1:6" x14ac:dyDescent="0.25">
      <c r="A2981" t="s">
        <v>4744</v>
      </c>
      <c r="B2981" t="s">
        <v>4741</v>
      </c>
      <c r="C2981" t="s">
        <v>4742</v>
      </c>
      <c r="D2981" s="2">
        <v>45960</v>
      </c>
      <c r="E2981">
        <v>30</v>
      </c>
      <c r="F2981">
        <v>3</v>
      </c>
    </row>
    <row r="2982" spans="1:6" x14ac:dyDescent="0.25">
      <c r="A2982" t="s">
        <v>4745</v>
      </c>
      <c r="B2982" t="s">
        <v>4746</v>
      </c>
      <c r="C2982" t="s">
        <v>4747</v>
      </c>
      <c r="D2982" s="2">
        <v>45908</v>
      </c>
      <c r="E2982">
        <v>28</v>
      </c>
      <c r="F2982">
        <v>1</v>
      </c>
    </row>
    <row r="2983" spans="1:6" x14ac:dyDescent="0.25">
      <c r="A2983" t="s">
        <v>4748</v>
      </c>
      <c r="B2983" t="s">
        <v>4746</v>
      </c>
      <c r="C2983" t="s">
        <v>4747</v>
      </c>
      <c r="D2983" s="2">
        <v>45937</v>
      </c>
      <c r="E2983">
        <v>28</v>
      </c>
      <c r="F2983">
        <v>2</v>
      </c>
    </row>
    <row r="2984" spans="1:6" x14ac:dyDescent="0.25">
      <c r="A2984" t="s">
        <v>4749</v>
      </c>
      <c r="B2984" t="s">
        <v>4750</v>
      </c>
      <c r="C2984" t="s">
        <v>4751</v>
      </c>
      <c r="D2984" s="2">
        <v>45924</v>
      </c>
      <c r="E2984">
        <v>28</v>
      </c>
      <c r="F2984">
        <v>1</v>
      </c>
    </row>
    <row r="2985" spans="1:6" x14ac:dyDescent="0.25">
      <c r="A2985" t="s">
        <v>4752</v>
      </c>
      <c r="B2985" t="s">
        <v>4750</v>
      </c>
      <c r="C2985" t="s">
        <v>4751</v>
      </c>
      <c r="D2985" s="2">
        <v>45955</v>
      </c>
      <c r="E2985">
        <v>28</v>
      </c>
      <c r="F2985">
        <v>2</v>
      </c>
    </row>
    <row r="2986" spans="1:6" x14ac:dyDescent="0.25">
      <c r="A2986" t="s">
        <v>4753</v>
      </c>
      <c r="B2986" t="s">
        <v>4754</v>
      </c>
      <c r="C2986" t="s">
        <v>4755</v>
      </c>
      <c r="D2986" s="2">
        <v>45846</v>
      </c>
      <c r="E2986">
        <v>28</v>
      </c>
      <c r="F2986">
        <v>1</v>
      </c>
    </row>
    <row r="2987" spans="1:6" x14ac:dyDescent="0.25">
      <c r="A2987" t="s">
        <v>4756</v>
      </c>
      <c r="B2987" t="s">
        <v>4754</v>
      </c>
      <c r="C2987" t="s">
        <v>4755</v>
      </c>
      <c r="D2987" s="2">
        <v>45874</v>
      </c>
      <c r="E2987">
        <v>28</v>
      </c>
      <c r="F2987">
        <v>2</v>
      </c>
    </row>
    <row r="2988" spans="1:6" x14ac:dyDescent="0.25">
      <c r="A2988" t="s">
        <v>4757</v>
      </c>
      <c r="B2988" t="s">
        <v>4754</v>
      </c>
      <c r="C2988" t="s">
        <v>4755</v>
      </c>
      <c r="D2988" s="2">
        <v>45905</v>
      </c>
      <c r="E2988">
        <v>28</v>
      </c>
      <c r="F2988">
        <v>3</v>
      </c>
    </row>
    <row r="2989" spans="1:6" x14ac:dyDescent="0.25">
      <c r="A2989" t="s">
        <v>4758</v>
      </c>
      <c r="B2989" t="s">
        <v>4754</v>
      </c>
      <c r="C2989" t="s">
        <v>4755</v>
      </c>
      <c r="D2989" s="2">
        <v>45932</v>
      </c>
      <c r="E2989">
        <v>28</v>
      </c>
      <c r="F2989">
        <v>4</v>
      </c>
    </row>
    <row r="2990" spans="1:6" x14ac:dyDescent="0.25">
      <c r="A2990" t="s">
        <v>4759</v>
      </c>
      <c r="B2990" t="s">
        <v>4760</v>
      </c>
      <c r="C2990" t="s">
        <v>4761</v>
      </c>
      <c r="D2990" s="2">
        <v>45917</v>
      </c>
      <c r="E2990">
        <v>30</v>
      </c>
      <c r="F2990">
        <v>1</v>
      </c>
    </row>
    <row r="2991" spans="1:6" x14ac:dyDescent="0.25">
      <c r="A2991" t="s">
        <v>4762</v>
      </c>
      <c r="B2991" t="s">
        <v>4760</v>
      </c>
      <c r="C2991" t="s">
        <v>4761</v>
      </c>
      <c r="D2991" s="2">
        <v>45944</v>
      </c>
      <c r="E2991">
        <v>30</v>
      </c>
      <c r="F2991">
        <v>2</v>
      </c>
    </row>
    <row r="2992" spans="1:6" x14ac:dyDescent="0.25">
      <c r="A2992" t="s">
        <v>4763</v>
      </c>
      <c r="B2992" t="s">
        <v>4764</v>
      </c>
      <c r="C2992" t="s">
        <v>4765</v>
      </c>
      <c r="D2992" s="2">
        <v>45871</v>
      </c>
      <c r="E2992">
        <v>28</v>
      </c>
      <c r="F2992">
        <v>1</v>
      </c>
    </row>
    <row r="2993" spans="1:6" x14ac:dyDescent="0.25">
      <c r="A2993" t="s">
        <v>4766</v>
      </c>
      <c r="B2993" t="s">
        <v>4764</v>
      </c>
      <c r="C2993" t="s">
        <v>4765</v>
      </c>
      <c r="D2993" s="2">
        <v>45900</v>
      </c>
      <c r="E2993">
        <v>28</v>
      </c>
      <c r="F2993">
        <v>2</v>
      </c>
    </row>
    <row r="2994" spans="1:6" x14ac:dyDescent="0.25">
      <c r="A2994" t="s">
        <v>4767</v>
      </c>
      <c r="B2994" t="s">
        <v>4764</v>
      </c>
      <c r="C2994" t="s">
        <v>4765</v>
      </c>
      <c r="D2994" s="2">
        <v>45926</v>
      </c>
      <c r="E2994">
        <v>28</v>
      </c>
      <c r="F2994">
        <v>3</v>
      </c>
    </row>
    <row r="2995" spans="1:6" x14ac:dyDescent="0.25">
      <c r="A2995" t="s">
        <v>4768</v>
      </c>
      <c r="B2995" t="s">
        <v>4764</v>
      </c>
      <c r="C2995" t="s">
        <v>4765</v>
      </c>
      <c r="D2995" s="2">
        <v>45954</v>
      </c>
      <c r="E2995">
        <v>28</v>
      </c>
      <c r="F2995">
        <v>4</v>
      </c>
    </row>
    <row r="2996" spans="1:6" x14ac:dyDescent="0.25">
      <c r="A2996" t="s">
        <v>4769</v>
      </c>
      <c r="B2996" t="s">
        <v>4770</v>
      </c>
      <c r="C2996" t="s">
        <v>4771</v>
      </c>
      <c r="D2996" s="2">
        <v>45788</v>
      </c>
      <c r="E2996">
        <v>21</v>
      </c>
      <c r="F2996">
        <v>1</v>
      </c>
    </row>
    <row r="2997" spans="1:6" x14ac:dyDescent="0.25">
      <c r="A2997" t="s">
        <v>4772</v>
      </c>
      <c r="B2997" t="s">
        <v>4770</v>
      </c>
      <c r="C2997" t="s">
        <v>4771</v>
      </c>
      <c r="D2997" s="2">
        <v>45807</v>
      </c>
      <c r="E2997">
        <v>21</v>
      </c>
      <c r="F2997">
        <v>2</v>
      </c>
    </row>
    <row r="2998" spans="1:6" x14ac:dyDescent="0.25">
      <c r="A2998" t="s">
        <v>4773</v>
      </c>
      <c r="B2998" t="s">
        <v>4774</v>
      </c>
      <c r="C2998" t="s">
        <v>4775</v>
      </c>
      <c r="D2998" s="2">
        <v>45890</v>
      </c>
      <c r="E2998">
        <v>28</v>
      </c>
      <c r="F2998">
        <v>1</v>
      </c>
    </row>
    <row r="2999" spans="1:6" x14ac:dyDescent="0.25">
      <c r="A2999" t="s">
        <v>4776</v>
      </c>
      <c r="B2999" t="s">
        <v>4774</v>
      </c>
      <c r="C2999" t="s">
        <v>4775</v>
      </c>
      <c r="D2999" s="2">
        <v>45918</v>
      </c>
      <c r="E2999">
        <v>28</v>
      </c>
      <c r="F2999">
        <v>2</v>
      </c>
    </row>
    <row r="3000" spans="1:6" x14ac:dyDescent="0.25">
      <c r="A3000" t="s">
        <v>4777</v>
      </c>
      <c r="B3000" t="s">
        <v>4774</v>
      </c>
      <c r="C3000" t="s">
        <v>4775</v>
      </c>
      <c r="D3000" s="2">
        <v>45945</v>
      </c>
      <c r="E3000">
        <v>28</v>
      </c>
      <c r="F3000">
        <v>3</v>
      </c>
    </row>
    <row r="3001" spans="1:6" x14ac:dyDescent="0.25">
      <c r="A3001" t="s">
        <v>4778</v>
      </c>
      <c r="B3001" t="s">
        <v>4779</v>
      </c>
      <c r="C3001" t="s">
        <v>4780</v>
      </c>
      <c r="D3001" s="2">
        <v>45833</v>
      </c>
      <c r="E3001">
        <v>28</v>
      </c>
      <c r="F3001">
        <v>1</v>
      </c>
    </row>
    <row r="3002" spans="1:6" x14ac:dyDescent="0.25">
      <c r="A3002" t="s">
        <v>4781</v>
      </c>
      <c r="B3002" t="s">
        <v>4779</v>
      </c>
      <c r="C3002" t="s">
        <v>4780</v>
      </c>
      <c r="D3002" s="2">
        <v>45863</v>
      </c>
      <c r="E3002">
        <v>28</v>
      </c>
      <c r="F3002">
        <v>2</v>
      </c>
    </row>
    <row r="3003" spans="1:6" x14ac:dyDescent="0.25">
      <c r="A3003" t="s">
        <v>4782</v>
      </c>
      <c r="B3003" t="s">
        <v>4783</v>
      </c>
      <c r="C3003" t="s">
        <v>4784</v>
      </c>
      <c r="D3003" s="2">
        <v>45804</v>
      </c>
      <c r="E3003">
        <v>14</v>
      </c>
      <c r="F3003">
        <v>1</v>
      </c>
    </row>
    <row r="3004" spans="1:6" x14ac:dyDescent="0.25">
      <c r="A3004" t="s">
        <v>4785</v>
      </c>
      <c r="B3004" t="s">
        <v>4783</v>
      </c>
      <c r="C3004" t="s">
        <v>4784</v>
      </c>
      <c r="D3004" s="2">
        <v>45816</v>
      </c>
      <c r="E3004">
        <v>14</v>
      </c>
      <c r="F3004">
        <v>2</v>
      </c>
    </row>
    <row r="3005" spans="1:6" x14ac:dyDescent="0.25">
      <c r="A3005" t="s">
        <v>4786</v>
      </c>
      <c r="B3005" t="s">
        <v>4783</v>
      </c>
      <c r="C3005" t="s">
        <v>4784</v>
      </c>
      <c r="D3005" s="2">
        <v>45832</v>
      </c>
      <c r="E3005">
        <v>14</v>
      </c>
      <c r="F3005">
        <v>3</v>
      </c>
    </row>
    <row r="3006" spans="1:6" x14ac:dyDescent="0.25">
      <c r="A3006" t="s">
        <v>4787</v>
      </c>
      <c r="B3006" t="s">
        <v>4783</v>
      </c>
      <c r="C3006" t="s">
        <v>4784</v>
      </c>
      <c r="D3006" s="2">
        <v>45849</v>
      </c>
      <c r="E3006">
        <v>14</v>
      </c>
      <c r="F3006">
        <v>4</v>
      </c>
    </row>
    <row r="3007" spans="1:6" x14ac:dyDescent="0.25">
      <c r="A3007" t="s">
        <v>4788</v>
      </c>
      <c r="B3007" t="s">
        <v>4783</v>
      </c>
      <c r="C3007" t="s">
        <v>4784</v>
      </c>
      <c r="D3007" s="2">
        <v>45864</v>
      </c>
      <c r="E3007">
        <v>14</v>
      </c>
      <c r="F3007">
        <v>5</v>
      </c>
    </row>
    <row r="3008" spans="1:6" x14ac:dyDescent="0.25">
      <c r="A3008" t="s">
        <v>4789</v>
      </c>
      <c r="B3008" t="s">
        <v>4783</v>
      </c>
      <c r="C3008" t="s">
        <v>4784</v>
      </c>
      <c r="D3008" s="2">
        <v>45876</v>
      </c>
      <c r="E3008">
        <v>14</v>
      </c>
      <c r="F3008">
        <v>6</v>
      </c>
    </row>
    <row r="3009" spans="1:6" x14ac:dyDescent="0.25">
      <c r="A3009" t="s">
        <v>4790</v>
      </c>
      <c r="B3009" t="s">
        <v>4783</v>
      </c>
      <c r="C3009" t="s">
        <v>4784</v>
      </c>
      <c r="D3009" s="2">
        <v>45889</v>
      </c>
      <c r="E3009">
        <v>14</v>
      </c>
      <c r="F3009">
        <v>7</v>
      </c>
    </row>
    <row r="3010" spans="1:6" x14ac:dyDescent="0.25">
      <c r="A3010" t="s">
        <v>4791</v>
      </c>
      <c r="B3010" t="s">
        <v>4783</v>
      </c>
      <c r="C3010" t="s">
        <v>4784</v>
      </c>
      <c r="D3010" s="2">
        <v>45902</v>
      </c>
      <c r="E3010">
        <v>14</v>
      </c>
      <c r="F3010">
        <v>8</v>
      </c>
    </row>
    <row r="3011" spans="1:6" x14ac:dyDescent="0.25">
      <c r="A3011" t="s">
        <v>4792</v>
      </c>
      <c r="B3011" t="s">
        <v>4783</v>
      </c>
      <c r="C3011" t="s">
        <v>4784</v>
      </c>
      <c r="D3011" s="2">
        <v>45919</v>
      </c>
      <c r="E3011">
        <v>14</v>
      </c>
      <c r="F3011">
        <v>9</v>
      </c>
    </row>
    <row r="3012" spans="1:6" x14ac:dyDescent="0.25">
      <c r="A3012" t="s">
        <v>4793</v>
      </c>
      <c r="B3012" t="s">
        <v>4783</v>
      </c>
      <c r="C3012" t="s">
        <v>4784</v>
      </c>
      <c r="D3012" s="2">
        <v>45936</v>
      </c>
      <c r="E3012">
        <v>14</v>
      </c>
      <c r="F3012">
        <v>10</v>
      </c>
    </row>
    <row r="3013" spans="1:6" x14ac:dyDescent="0.25">
      <c r="A3013" t="s">
        <v>4794</v>
      </c>
      <c r="B3013" t="s">
        <v>4783</v>
      </c>
      <c r="C3013" t="s">
        <v>4784</v>
      </c>
      <c r="D3013" s="2">
        <v>45949</v>
      </c>
      <c r="E3013">
        <v>14</v>
      </c>
      <c r="F3013">
        <v>11</v>
      </c>
    </row>
    <row r="3014" spans="1:6" x14ac:dyDescent="0.25">
      <c r="A3014" t="s">
        <v>4795</v>
      </c>
      <c r="B3014" t="s">
        <v>4796</v>
      </c>
      <c r="C3014" t="s">
        <v>4797</v>
      </c>
      <c r="D3014" s="2">
        <v>45945</v>
      </c>
      <c r="E3014">
        <v>28</v>
      </c>
      <c r="F3014">
        <v>1</v>
      </c>
    </row>
    <row r="3015" spans="1:6" x14ac:dyDescent="0.25">
      <c r="A3015" t="s">
        <v>4798</v>
      </c>
      <c r="B3015" t="s">
        <v>4799</v>
      </c>
      <c r="C3015" t="s">
        <v>4800</v>
      </c>
      <c r="D3015" s="2">
        <v>45841</v>
      </c>
      <c r="E3015">
        <v>30</v>
      </c>
      <c r="F3015">
        <v>1</v>
      </c>
    </row>
    <row r="3016" spans="1:6" x14ac:dyDescent="0.25">
      <c r="A3016" t="s">
        <v>4801</v>
      </c>
      <c r="B3016" t="s">
        <v>4799</v>
      </c>
      <c r="C3016" t="s">
        <v>4800</v>
      </c>
      <c r="D3016" s="2">
        <v>45872</v>
      </c>
      <c r="E3016">
        <v>30</v>
      </c>
      <c r="F3016">
        <v>2</v>
      </c>
    </row>
    <row r="3017" spans="1:6" x14ac:dyDescent="0.25">
      <c r="A3017" t="s">
        <v>4802</v>
      </c>
      <c r="B3017" t="s">
        <v>4799</v>
      </c>
      <c r="C3017" t="s">
        <v>4800</v>
      </c>
      <c r="D3017" s="2">
        <v>45901</v>
      </c>
      <c r="E3017">
        <v>30</v>
      </c>
      <c r="F3017">
        <v>3</v>
      </c>
    </row>
    <row r="3018" spans="1:6" x14ac:dyDescent="0.25">
      <c r="A3018" t="s">
        <v>4803</v>
      </c>
      <c r="B3018" t="s">
        <v>4799</v>
      </c>
      <c r="C3018" t="s">
        <v>4800</v>
      </c>
      <c r="D3018" s="2">
        <v>45929</v>
      </c>
      <c r="E3018">
        <v>30</v>
      </c>
      <c r="F3018">
        <v>4</v>
      </c>
    </row>
    <row r="3019" spans="1:6" x14ac:dyDescent="0.25">
      <c r="A3019" t="s">
        <v>4804</v>
      </c>
      <c r="B3019" t="s">
        <v>4799</v>
      </c>
      <c r="C3019" t="s">
        <v>4800</v>
      </c>
      <c r="D3019" s="2">
        <v>45957</v>
      </c>
      <c r="E3019">
        <v>30</v>
      </c>
      <c r="F3019">
        <v>5</v>
      </c>
    </row>
    <row r="3020" spans="1:6" x14ac:dyDescent="0.25">
      <c r="A3020" t="s">
        <v>4805</v>
      </c>
      <c r="B3020" t="s">
        <v>4806</v>
      </c>
      <c r="C3020" t="s">
        <v>4807</v>
      </c>
      <c r="D3020" s="2">
        <v>45786</v>
      </c>
      <c r="E3020">
        <v>30</v>
      </c>
      <c r="F3020">
        <v>1</v>
      </c>
    </row>
    <row r="3021" spans="1:6" x14ac:dyDescent="0.25">
      <c r="A3021" t="s">
        <v>4808</v>
      </c>
      <c r="B3021" t="s">
        <v>4806</v>
      </c>
      <c r="C3021" t="s">
        <v>4807</v>
      </c>
      <c r="D3021" s="2">
        <v>45819</v>
      </c>
      <c r="E3021">
        <v>30</v>
      </c>
      <c r="F3021">
        <v>2</v>
      </c>
    </row>
    <row r="3022" spans="1:6" x14ac:dyDescent="0.25">
      <c r="A3022" t="s">
        <v>4809</v>
      </c>
      <c r="B3022" t="s">
        <v>4806</v>
      </c>
      <c r="C3022" t="s">
        <v>4807</v>
      </c>
      <c r="D3022" s="2">
        <v>45849</v>
      </c>
      <c r="E3022">
        <v>30</v>
      </c>
      <c r="F3022">
        <v>3</v>
      </c>
    </row>
    <row r="3023" spans="1:6" x14ac:dyDescent="0.25">
      <c r="A3023" t="s">
        <v>4810</v>
      </c>
      <c r="B3023" t="s">
        <v>4806</v>
      </c>
      <c r="C3023" t="s">
        <v>4807</v>
      </c>
      <c r="D3023" s="2">
        <v>45877</v>
      </c>
      <c r="E3023">
        <v>30</v>
      </c>
      <c r="F3023">
        <v>4</v>
      </c>
    </row>
    <row r="3024" spans="1:6" x14ac:dyDescent="0.25">
      <c r="A3024" t="s">
        <v>4811</v>
      </c>
      <c r="B3024" t="s">
        <v>4806</v>
      </c>
      <c r="C3024" t="s">
        <v>4807</v>
      </c>
      <c r="D3024" s="2">
        <v>45905</v>
      </c>
      <c r="E3024">
        <v>30</v>
      </c>
      <c r="F3024">
        <v>5</v>
      </c>
    </row>
    <row r="3025" spans="1:6" x14ac:dyDescent="0.25">
      <c r="A3025" t="s">
        <v>4812</v>
      </c>
      <c r="B3025" t="s">
        <v>4806</v>
      </c>
      <c r="C3025" t="s">
        <v>4807</v>
      </c>
      <c r="D3025" s="2">
        <v>45936</v>
      </c>
      <c r="E3025">
        <v>30</v>
      </c>
      <c r="F3025">
        <v>6</v>
      </c>
    </row>
    <row r="3026" spans="1:6" x14ac:dyDescent="0.25">
      <c r="A3026" t="s">
        <v>4813</v>
      </c>
      <c r="B3026" t="s">
        <v>4814</v>
      </c>
      <c r="C3026" t="s">
        <v>4815</v>
      </c>
      <c r="D3026" s="2">
        <v>45845</v>
      </c>
      <c r="E3026">
        <v>30</v>
      </c>
      <c r="F3026">
        <v>1</v>
      </c>
    </row>
    <row r="3027" spans="1:6" x14ac:dyDescent="0.25">
      <c r="A3027" t="s">
        <v>4816</v>
      </c>
      <c r="B3027" t="s">
        <v>4814</v>
      </c>
      <c r="C3027" t="s">
        <v>4815</v>
      </c>
      <c r="D3027" s="2">
        <v>45876</v>
      </c>
      <c r="E3027">
        <v>30</v>
      </c>
      <c r="F3027">
        <v>2</v>
      </c>
    </row>
    <row r="3028" spans="1:6" x14ac:dyDescent="0.25">
      <c r="A3028" t="s">
        <v>4817</v>
      </c>
      <c r="B3028" t="s">
        <v>4814</v>
      </c>
      <c r="C3028" t="s">
        <v>4815</v>
      </c>
      <c r="D3028" s="2">
        <v>45909</v>
      </c>
      <c r="E3028">
        <v>30</v>
      </c>
      <c r="F3028">
        <v>3</v>
      </c>
    </row>
    <row r="3029" spans="1:6" x14ac:dyDescent="0.25">
      <c r="A3029" t="s">
        <v>4818</v>
      </c>
      <c r="B3029" t="s">
        <v>4819</v>
      </c>
      <c r="C3029" t="s">
        <v>4820</v>
      </c>
      <c r="D3029" s="2">
        <v>45800</v>
      </c>
      <c r="E3029">
        <v>14</v>
      </c>
      <c r="F3029">
        <v>1</v>
      </c>
    </row>
    <row r="3030" spans="1:6" x14ac:dyDescent="0.25">
      <c r="A3030" t="s">
        <v>4821</v>
      </c>
      <c r="B3030" t="s">
        <v>4819</v>
      </c>
      <c r="C3030" t="s">
        <v>4820</v>
      </c>
      <c r="D3030" s="2">
        <v>45816</v>
      </c>
      <c r="E3030">
        <v>14</v>
      </c>
      <c r="F3030">
        <v>2</v>
      </c>
    </row>
    <row r="3031" spans="1:6" x14ac:dyDescent="0.25">
      <c r="A3031" t="s">
        <v>4822</v>
      </c>
      <c r="B3031" t="s">
        <v>4819</v>
      </c>
      <c r="C3031" t="s">
        <v>4820</v>
      </c>
      <c r="D3031" s="2">
        <v>45833</v>
      </c>
      <c r="E3031">
        <v>14</v>
      </c>
      <c r="F3031">
        <v>3</v>
      </c>
    </row>
    <row r="3032" spans="1:6" x14ac:dyDescent="0.25">
      <c r="A3032" t="s">
        <v>4823</v>
      </c>
      <c r="B3032" t="s">
        <v>4819</v>
      </c>
      <c r="C3032" t="s">
        <v>4820</v>
      </c>
      <c r="D3032" s="2">
        <v>45847</v>
      </c>
      <c r="E3032">
        <v>14</v>
      </c>
      <c r="F3032">
        <v>4</v>
      </c>
    </row>
    <row r="3033" spans="1:6" x14ac:dyDescent="0.25">
      <c r="A3033" t="s">
        <v>4824</v>
      </c>
      <c r="B3033" t="s">
        <v>4819</v>
      </c>
      <c r="C3033" t="s">
        <v>4820</v>
      </c>
      <c r="D3033" s="2">
        <v>45858</v>
      </c>
      <c r="E3033">
        <v>14</v>
      </c>
      <c r="F3033">
        <v>5</v>
      </c>
    </row>
    <row r="3034" spans="1:6" x14ac:dyDescent="0.25">
      <c r="A3034" t="s">
        <v>4825</v>
      </c>
      <c r="B3034" t="s">
        <v>4819</v>
      </c>
      <c r="C3034" t="s">
        <v>4820</v>
      </c>
      <c r="D3034" s="2">
        <v>45875</v>
      </c>
      <c r="E3034">
        <v>14</v>
      </c>
      <c r="F3034">
        <v>6</v>
      </c>
    </row>
    <row r="3035" spans="1:6" x14ac:dyDescent="0.25">
      <c r="A3035" t="s">
        <v>4826</v>
      </c>
      <c r="B3035" t="s">
        <v>4819</v>
      </c>
      <c r="C3035" t="s">
        <v>4820</v>
      </c>
      <c r="D3035" s="2">
        <v>45886</v>
      </c>
      <c r="E3035">
        <v>14</v>
      </c>
      <c r="F3035">
        <v>7</v>
      </c>
    </row>
    <row r="3036" spans="1:6" x14ac:dyDescent="0.25">
      <c r="A3036" t="s">
        <v>4827</v>
      </c>
      <c r="B3036" t="s">
        <v>4819</v>
      </c>
      <c r="C3036" t="s">
        <v>4820</v>
      </c>
      <c r="D3036" s="2">
        <v>45899</v>
      </c>
      <c r="E3036">
        <v>14</v>
      </c>
      <c r="F3036">
        <v>8</v>
      </c>
    </row>
    <row r="3037" spans="1:6" x14ac:dyDescent="0.25">
      <c r="A3037" t="s">
        <v>4828</v>
      </c>
      <c r="B3037" t="s">
        <v>4819</v>
      </c>
      <c r="C3037" t="s">
        <v>4820</v>
      </c>
      <c r="D3037" s="2">
        <v>45915</v>
      </c>
      <c r="E3037">
        <v>14</v>
      </c>
      <c r="F3037">
        <v>9</v>
      </c>
    </row>
    <row r="3038" spans="1:6" x14ac:dyDescent="0.25">
      <c r="A3038" t="s">
        <v>4829</v>
      </c>
      <c r="B3038" t="s">
        <v>4819</v>
      </c>
      <c r="C3038" t="s">
        <v>4820</v>
      </c>
      <c r="D3038" s="2">
        <v>45927</v>
      </c>
      <c r="E3038">
        <v>14</v>
      </c>
      <c r="F3038">
        <v>10</v>
      </c>
    </row>
    <row r="3039" spans="1:6" x14ac:dyDescent="0.25">
      <c r="A3039" t="s">
        <v>4830</v>
      </c>
      <c r="B3039" t="s">
        <v>4819</v>
      </c>
      <c r="C3039" t="s">
        <v>4820</v>
      </c>
      <c r="D3039" s="2">
        <v>45941</v>
      </c>
      <c r="E3039">
        <v>14</v>
      </c>
      <c r="F3039">
        <v>11</v>
      </c>
    </row>
    <row r="3040" spans="1:6" x14ac:dyDescent="0.25">
      <c r="A3040" t="s">
        <v>4831</v>
      </c>
      <c r="B3040" t="s">
        <v>4819</v>
      </c>
      <c r="C3040" t="s">
        <v>4820</v>
      </c>
      <c r="D3040" s="2">
        <v>45956</v>
      </c>
      <c r="E3040">
        <v>14</v>
      </c>
      <c r="F3040">
        <v>12</v>
      </c>
    </row>
    <row r="3041" spans="1:6" x14ac:dyDescent="0.25">
      <c r="A3041" t="s">
        <v>4832</v>
      </c>
      <c r="B3041" t="s">
        <v>4833</v>
      </c>
      <c r="C3041" t="s">
        <v>4834</v>
      </c>
      <c r="D3041" s="2">
        <v>45808</v>
      </c>
      <c r="E3041">
        <v>28</v>
      </c>
      <c r="F3041">
        <v>1</v>
      </c>
    </row>
    <row r="3042" spans="1:6" x14ac:dyDescent="0.25">
      <c r="A3042" t="s">
        <v>4835</v>
      </c>
      <c r="B3042" t="s">
        <v>4833</v>
      </c>
      <c r="C3042" t="s">
        <v>4834</v>
      </c>
      <c r="D3042" s="2">
        <v>45834</v>
      </c>
      <c r="E3042">
        <v>28</v>
      </c>
      <c r="F3042">
        <v>2</v>
      </c>
    </row>
    <row r="3043" spans="1:6" x14ac:dyDescent="0.25">
      <c r="A3043" t="s">
        <v>4836</v>
      </c>
      <c r="B3043" t="s">
        <v>4833</v>
      </c>
      <c r="C3043" t="s">
        <v>4834</v>
      </c>
      <c r="D3043" s="2">
        <v>45861</v>
      </c>
      <c r="E3043">
        <v>28</v>
      </c>
      <c r="F3043">
        <v>3</v>
      </c>
    </row>
    <row r="3044" spans="1:6" x14ac:dyDescent="0.25">
      <c r="A3044" t="s">
        <v>4837</v>
      </c>
      <c r="B3044" t="s">
        <v>4833</v>
      </c>
      <c r="C3044" t="s">
        <v>4834</v>
      </c>
      <c r="D3044" s="2">
        <v>45891</v>
      </c>
      <c r="E3044">
        <v>28</v>
      </c>
      <c r="F3044">
        <v>4</v>
      </c>
    </row>
    <row r="3045" spans="1:6" x14ac:dyDescent="0.25">
      <c r="A3045" t="s">
        <v>4838</v>
      </c>
      <c r="B3045" t="s">
        <v>4833</v>
      </c>
      <c r="C3045" t="s">
        <v>4834</v>
      </c>
      <c r="D3045" s="2">
        <v>45916</v>
      </c>
      <c r="E3045">
        <v>28</v>
      </c>
      <c r="F3045">
        <v>5</v>
      </c>
    </row>
    <row r="3046" spans="1:6" x14ac:dyDescent="0.25">
      <c r="A3046" t="s">
        <v>4839</v>
      </c>
      <c r="B3046" t="s">
        <v>4833</v>
      </c>
      <c r="C3046" t="s">
        <v>4834</v>
      </c>
      <c r="D3046" s="2">
        <v>45942</v>
      </c>
      <c r="E3046">
        <v>28</v>
      </c>
      <c r="F3046">
        <v>6</v>
      </c>
    </row>
    <row r="3047" spans="1:6" x14ac:dyDescent="0.25">
      <c r="A3047" t="s">
        <v>4840</v>
      </c>
      <c r="B3047" t="s">
        <v>4841</v>
      </c>
      <c r="C3047" t="s">
        <v>4842</v>
      </c>
      <c r="D3047" s="2">
        <v>45838</v>
      </c>
      <c r="E3047">
        <v>28</v>
      </c>
      <c r="F3047">
        <v>1</v>
      </c>
    </row>
    <row r="3048" spans="1:6" x14ac:dyDescent="0.25">
      <c r="A3048" t="s">
        <v>4843</v>
      </c>
      <c r="B3048" t="s">
        <v>4841</v>
      </c>
      <c r="C3048" t="s">
        <v>4842</v>
      </c>
      <c r="D3048" s="2">
        <v>45868</v>
      </c>
      <c r="E3048">
        <v>28</v>
      </c>
      <c r="F3048">
        <v>2</v>
      </c>
    </row>
    <row r="3049" spans="1:6" x14ac:dyDescent="0.25">
      <c r="A3049" t="s">
        <v>4844</v>
      </c>
      <c r="B3049" t="s">
        <v>4841</v>
      </c>
      <c r="C3049" t="s">
        <v>4842</v>
      </c>
      <c r="D3049" s="2">
        <v>45895</v>
      </c>
      <c r="E3049">
        <v>28</v>
      </c>
      <c r="F3049">
        <v>3</v>
      </c>
    </row>
    <row r="3050" spans="1:6" x14ac:dyDescent="0.25">
      <c r="A3050" t="s">
        <v>4845</v>
      </c>
      <c r="B3050" t="s">
        <v>4841</v>
      </c>
      <c r="C3050" t="s">
        <v>4842</v>
      </c>
      <c r="D3050" s="2">
        <v>45921</v>
      </c>
      <c r="E3050">
        <v>28</v>
      </c>
      <c r="F3050">
        <v>4</v>
      </c>
    </row>
    <row r="3051" spans="1:6" x14ac:dyDescent="0.25">
      <c r="A3051" t="s">
        <v>4846</v>
      </c>
      <c r="B3051" t="s">
        <v>4841</v>
      </c>
      <c r="C3051" t="s">
        <v>4842</v>
      </c>
      <c r="D3051" s="2">
        <v>45946</v>
      </c>
      <c r="E3051">
        <v>28</v>
      </c>
      <c r="F3051">
        <v>5</v>
      </c>
    </row>
    <row r="3052" spans="1:6" x14ac:dyDescent="0.25">
      <c r="A3052" t="s">
        <v>4847</v>
      </c>
      <c r="B3052" t="s">
        <v>4848</v>
      </c>
      <c r="C3052" t="s">
        <v>4849</v>
      </c>
      <c r="D3052" s="2">
        <v>45928</v>
      </c>
      <c r="E3052">
        <v>28</v>
      </c>
      <c r="F3052">
        <v>1</v>
      </c>
    </row>
    <row r="3053" spans="1:6" x14ac:dyDescent="0.25">
      <c r="A3053" t="s">
        <v>4850</v>
      </c>
      <c r="B3053" t="s">
        <v>4851</v>
      </c>
      <c r="C3053" t="s">
        <v>4852</v>
      </c>
      <c r="D3053" s="2">
        <v>45867</v>
      </c>
      <c r="E3053">
        <v>30</v>
      </c>
      <c r="F3053">
        <v>1</v>
      </c>
    </row>
    <row r="3054" spans="1:6" x14ac:dyDescent="0.25">
      <c r="A3054" t="s">
        <v>4853</v>
      </c>
      <c r="B3054" t="s">
        <v>4851</v>
      </c>
      <c r="C3054" t="s">
        <v>4852</v>
      </c>
      <c r="D3054" s="2">
        <v>45894</v>
      </c>
      <c r="E3054">
        <v>30</v>
      </c>
      <c r="F3054">
        <v>2</v>
      </c>
    </row>
    <row r="3055" spans="1:6" x14ac:dyDescent="0.25">
      <c r="A3055" t="s">
        <v>4854</v>
      </c>
      <c r="B3055" t="s">
        <v>4851</v>
      </c>
      <c r="C3055" t="s">
        <v>4852</v>
      </c>
      <c r="D3055" s="2">
        <v>45924</v>
      </c>
      <c r="E3055">
        <v>30</v>
      </c>
      <c r="F3055">
        <v>3</v>
      </c>
    </row>
    <row r="3056" spans="1:6" x14ac:dyDescent="0.25">
      <c r="A3056" t="s">
        <v>4855</v>
      </c>
      <c r="B3056" t="s">
        <v>4851</v>
      </c>
      <c r="C3056" t="s">
        <v>4852</v>
      </c>
      <c r="D3056" s="2">
        <v>45954</v>
      </c>
      <c r="E3056">
        <v>30</v>
      </c>
      <c r="F3056">
        <v>4</v>
      </c>
    </row>
    <row r="3057" spans="1:6" x14ac:dyDescent="0.25">
      <c r="A3057" t="s">
        <v>4856</v>
      </c>
      <c r="B3057" t="s">
        <v>4857</v>
      </c>
      <c r="C3057" t="s">
        <v>4858</v>
      </c>
      <c r="D3057" s="2">
        <v>45934</v>
      </c>
      <c r="E3057">
        <v>28</v>
      </c>
      <c r="F3057">
        <v>1</v>
      </c>
    </row>
    <row r="3058" spans="1:6" x14ac:dyDescent="0.25">
      <c r="A3058" t="s">
        <v>4859</v>
      </c>
      <c r="B3058" t="s">
        <v>4857</v>
      </c>
      <c r="C3058" t="s">
        <v>4858</v>
      </c>
      <c r="D3058" s="2">
        <v>45959</v>
      </c>
      <c r="E3058">
        <v>28</v>
      </c>
      <c r="F3058">
        <v>2</v>
      </c>
    </row>
    <row r="3059" spans="1:6" x14ac:dyDescent="0.25">
      <c r="A3059" t="s">
        <v>4860</v>
      </c>
      <c r="B3059" t="s">
        <v>4861</v>
      </c>
      <c r="C3059" t="s">
        <v>4862</v>
      </c>
      <c r="D3059" s="2">
        <v>45887</v>
      </c>
      <c r="E3059">
        <v>28</v>
      </c>
      <c r="F3059">
        <v>1</v>
      </c>
    </row>
    <row r="3060" spans="1:6" x14ac:dyDescent="0.25">
      <c r="A3060" t="s">
        <v>4863</v>
      </c>
      <c r="B3060" t="s">
        <v>4861</v>
      </c>
      <c r="C3060" t="s">
        <v>4862</v>
      </c>
      <c r="D3060" s="2">
        <v>45916</v>
      </c>
      <c r="E3060">
        <v>28</v>
      </c>
      <c r="F3060">
        <v>2</v>
      </c>
    </row>
    <row r="3061" spans="1:6" x14ac:dyDescent="0.25">
      <c r="A3061" t="s">
        <v>4864</v>
      </c>
      <c r="B3061" t="s">
        <v>4861</v>
      </c>
      <c r="C3061" t="s">
        <v>4862</v>
      </c>
      <c r="D3061" s="2">
        <v>45944</v>
      </c>
      <c r="E3061">
        <v>28</v>
      </c>
      <c r="F3061">
        <v>3</v>
      </c>
    </row>
    <row r="3062" spans="1:6" x14ac:dyDescent="0.25">
      <c r="A3062" t="s">
        <v>4865</v>
      </c>
      <c r="B3062" t="s">
        <v>4866</v>
      </c>
      <c r="C3062" t="s">
        <v>4867</v>
      </c>
      <c r="D3062" s="2">
        <v>45935</v>
      </c>
      <c r="E3062">
        <v>28</v>
      </c>
      <c r="F3062">
        <v>1</v>
      </c>
    </row>
    <row r="3063" spans="1:6" x14ac:dyDescent="0.25">
      <c r="A3063" t="s">
        <v>4868</v>
      </c>
      <c r="B3063" t="s">
        <v>4866</v>
      </c>
      <c r="C3063" t="s">
        <v>4867</v>
      </c>
      <c r="D3063" s="2">
        <v>45960</v>
      </c>
      <c r="E3063">
        <v>28</v>
      </c>
      <c r="F3063">
        <v>2</v>
      </c>
    </row>
    <row r="3064" spans="1:6" x14ac:dyDescent="0.25">
      <c r="A3064" t="s">
        <v>4869</v>
      </c>
      <c r="B3064" t="s">
        <v>4870</v>
      </c>
      <c r="C3064" t="s">
        <v>4871</v>
      </c>
      <c r="D3064" s="2">
        <v>45830</v>
      </c>
      <c r="E3064">
        <v>28</v>
      </c>
      <c r="F3064">
        <v>1</v>
      </c>
    </row>
    <row r="3065" spans="1:6" x14ac:dyDescent="0.25">
      <c r="A3065" t="s">
        <v>4872</v>
      </c>
      <c r="B3065" t="s">
        <v>4870</v>
      </c>
      <c r="C3065" t="s">
        <v>4871</v>
      </c>
      <c r="D3065" s="2">
        <v>45861</v>
      </c>
      <c r="E3065">
        <v>28</v>
      </c>
      <c r="F3065">
        <v>2</v>
      </c>
    </row>
    <row r="3066" spans="1:6" x14ac:dyDescent="0.25">
      <c r="A3066" t="s">
        <v>4873</v>
      </c>
      <c r="B3066" t="s">
        <v>4870</v>
      </c>
      <c r="C3066" t="s">
        <v>4871</v>
      </c>
      <c r="D3066" s="2">
        <v>45892</v>
      </c>
      <c r="E3066">
        <v>28</v>
      </c>
      <c r="F3066">
        <v>3</v>
      </c>
    </row>
    <row r="3067" spans="1:6" x14ac:dyDescent="0.25">
      <c r="A3067" t="s">
        <v>4874</v>
      </c>
      <c r="B3067" t="s">
        <v>4870</v>
      </c>
      <c r="C3067" t="s">
        <v>4871</v>
      </c>
      <c r="D3067" s="2">
        <v>45921</v>
      </c>
      <c r="E3067">
        <v>28</v>
      </c>
      <c r="F3067">
        <v>4</v>
      </c>
    </row>
    <row r="3068" spans="1:6" x14ac:dyDescent="0.25">
      <c r="A3068" t="s">
        <v>4875</v>
      </c>
      <c r="B3068" t="s">
        <v>4870</v>
      </c>
      <c r="C3068" t="s">
        <v>4871</v>
      </c>
      <c r="D3068" s="2">
        <v>45950</v>
      </c>
      <c r="E3068">
        <v>28</v>
      </c>
      <c r="F3068">
        <v>5</v>
      </c>
    </row>
    <row r="3069" spans="1:6" x14ac:dyDescent="0.25">
      <c r="A3069" t="s">
        <v>4876</v>
      </c>
      <c r="B3069" t="s">
        <v>4877</v>
      </c>
      <c r="C3069" t="s">
        <v>4878</v>
      </c>
      <c r="D3069" s="2">
        <v>45830</v>
      </c>
      <c r="E3069">
        <v>28</v>
      </c>
      <c r="F3069">
        <v>1</v>
      </c>
    </row>
    <row r="3070" spans="1:6" x14ac:dyDescent="0.25">
      <c r="A3070" t="s">
        <v>4879</v>
      </c>
      <c r="B3070" t="s">
        <v>4877</v>
      </c>
      <c r="C3070" t="s">
        <v>4878</v>
      </c>
      <c r="D3070" s="2">
        <v>45857</v>
      </c>
      <c r="E3070">
        <v>28</v>
      </c>
      <c r="F3070">
        <v>2</v>
      </c>
    </row>
    <row r="3071" spans="1:6" x14ac:dyDescent="0.25">
      <c r="A3071" t="s">
        <v>4880</v>
      </c>
      <c r="B3071" t="s">
        <v>4881</v>
      </c>
      <c r="C3071" t="s">
        <v>4882</v>
      </c>
      <c r="D3071" s="2">
        <v>45793</v>
      </c>
      <c r="E3071">
        <v>30</v>
      </c>
      <c r="F3071">
        <v>1</v>
      </c>
    </row>
    <row r="3072" spans="1:6" x14ac:dyDescent="0.25">
      <c r="A3072" t="s">
        <v>4883</v>
      </c>
      <c r="B3072" t="s">
        <v>4881</v>
      </c>
      <c r="C3072" t="s">
        <v>4882</v>
      </c>
      <c r="D3072" s="2">
        <v>45826</v>
      </c>
      <c r="E3072">
        <v>30</v>
      </c>
      <c r="F3072">
        <v>2</v>
      </c>
    </row>
    <row r="3073" spans="1:6" x14ac:dyDescent="0.25">
      <c r="A3073" t="s">
        <v>4884</v>
      </c>
      <c r="B3073" t="s">
        <v>4881</v>
      </c>
      <c r="C3073" t="s">
        <v>4882</v>
      </c>
      <c r="D3073" s="2">
        <v>45855</v>
      </c>
      <c r="E3073">
        <v>30</v>
      </c>
      <c r="F3073">
        <v>3</v>
      </c>
    </row>
    <row r="3074" spans="1:6" x14ac:dyDescent="0.25">
      <c r="A3074" t="s">
        <v>4885</v>
      </c>
      <c r="B3074" t="s">
        <v>4881</v>
      </c>
      <c r="C3074" t="s">
        <v>4882</v>
      </c>
      <c r="D3074" s="2">
        <v>45886</v>
      </c>
      <c r="E3074">
        <v>30</v>
      </c>
      <c r="F3074">
        <v>4</v>
      </c>
    </row>
    <row r="3075" spans="1:6" x14ac:dyDescent="0.25">
      <c r="A3075" t="s">
        <v>4886</v>
      </c>
      <c r="B3075" t="s">
        <v>4881</v>
      </c>
      <c r="C3075" t="s">
        <v>4882</v>
      </c>
      <c r="D3075" s="2">
        <v>45915</v>
      </c>
      <c r="E3075">
        <v>30</v>
      </c>
      <c r="F3075">
        <v>5</v>
      </c>
    </row>
    <row r="3076" spans="1:6" x14ac:dyDescent="0.25">
      <c r="A3076" t="s">
        <v>4887</v>
      </c>
      <c r="B3076" t="s">
        <v>4881</v>
      </c>
      <c r="C3076" t="s">
        <v>4882</v>
      </c>
      <c r="D3076" s="2">
        <v>45948</v>
      </c>
      <c r="E3076">
        <v>30</v>
      </c>
      <c r="F3076">
        <v>6</v>
      </c>
    </row>
    <row r="3077" spans="1:6" x14ac:dyDescent="0.25">
      <c r="A3077" t="s">
        <v>4888</v>
      </c>
      <c r="B3077" t="s">
        <v>4889</v>
      </c>
      <c r="C3077" t="s">
        <v>4890</v>
      </c>
      <c r="D3077" s="2">
        <v>45867</v>
      </c>
      <c r="E3077">
        <v>28</v>
      </c>
      <c r="F3077">
        <v>1</v>
      </c>
    </row>
    <row r="3078" spans="1:6" x14ac:dyDescent="0.25">
      <c r="A3078" t="s">
        <v>4891</v>
      </c>
      <c r="B3078" t="s">
        <v>4889</v>
      </c>
      <c r="C3078" t="s">
        <v>4890</v>
      </c>
      <c r="D3078" s="2">
        <v>45896</v>
      </c>
      <c r="E3078">
        <v>28</v>
      </c>
      <c r="F3078">
        <v>2</v>
      </c>
    </row>
    <row r="3079" spans="1:6" x14ac:dyDescent="0.25">
      <c r="A3079" t="s">
        <v>4892</v>
      </c>
      <c r="B3079" t="s">
        <v>4889</v>
      </c>
      <c r="C3079" t="s">
        <v>4890</v>
      </c>
      <c r="D3079" s="2">
        <v>45925</v>
      </c>
      <c r="E3079">
        <v>28</v>
      </c>
      <c r="F3079">
        <v>3</v>
      </c>
    </row>
    <row r="3080" spans="1:6" x14ac:dyDescent="0.25">
      <c r="A3080" t="s">
        <v>4893</v>
      </c>
      <c r="B3080" t="s">
        <v>4889</v>
      </c>
      <c r="C3080" t="s">
        <v>4890</v>
      </c>
      <c r="D3080" s="2">
        <v>45950</v>
      </c>
      <c r="E3080">
        <v>28</v>
      </c>
      <c r="F3080">
        <v>4</v>
      </c>
    </row>
    <row r="3081" spans="1:6" x14ac:dyDescent="0.25">
      <c r="A3081" t="s">
        <v>4894</v>
      </c>
      <c r="B3081" t="s">
        <v>4895</v>
      </c>
      <c r="C3081" t="s">
        <v>4896</v>
      </c>
      <c r="D3081" s="2">
        <v>45849</v>
      </c>
      <c r="E3081">
        <v>28</v>
      </c>
      <c r="F3081">
        <v>1</v>
      </c>
    </row>
    <row r="3082" spans="1:6" x14ac:dyDescent="0.25">
      <c r="A3082" t="s">
        <v>4897</v>
      </c>
      <c r="B3082" t="s">
        <v>4898</v>
      </c>
      <c r="C3082" t="s">
        <v>4899</v>
      </c>
      <c r="D3082" s="2">
        <v>45915</v>
      </c>
      <c r="E3082">
        <v>28</v>
      </c>
      <c r="F3082">
        <v>1</v>
      </c>
    </row>
    <row r="3083" spans="1:6" x14ac:dyDescent="0.25">
      <c r="A3083" t="s">
        <v>4900</v>
      </c>
      <c r="B3083" t="s">
        <v>4898</v>
      </c>
      <c r="C3083" t="s">
        <v>4899</v>
      </c>
      <c r="D3083" s="2">
        <v>45941</v>
      </c>
      <c r="E3083">
        <v>28</v>
      </c>
      <c r="F3083">
        <v>2</v>
      </c>
    </row>
    <row r="3084" spans="1:6" x14ac:dyDescent="0.25">
      <c r="A3084" t="s">
        <v>4901</v>
      </c>
      <c r="B3084" t="s">
        <v>4902</v>
      </c>
      <c r="C3084" t="s">
        <v>4903</v>
      </c>
      <c r="D3084" s="2">
        <v>45860</v>
      </c>
      <c r="E3084">
        <v>28</v>
      </c>
      <c r="F3084">
        <v>1</v>
      </c>
    </row>
    <row r="3085" spans="1:6" x14ac:dyDescent="0.25">
      <c r="A3085" t="s">
        <v>4904</v>
      </c>
      <c r="B3085" t="s">
        <v>4902</v>
      </c>
      <c r="C3085" t="s">
        <v>4903</v>
      </c>
      <c r="D3085" s="2">
        <v>45886</v>
      </c>
      <c r="E3085">
        <v>28</v>
      </c>
      <c r="F3085">
        <v>2</v>
      </c>
    </row>
    <row r="3086" spans="1:6" x14ac:dyDescent="0.25">
      <c r="A3086" t="s">
        <v>4905</v>
      </c>
      <c r="B3086" t="s">
        <v>4902</v>
      </c>
      <c r="C3086" t="s">
        <v>4903</v>
      </c>
      <c r="D3086" s="2">
        <v>45917</v>
      </c>
      <c r="E3086">
        <v>28</v>
      </c>
      <c r="F3086">
        <v>3</v>
      </c>
    </row>
    <row r="3087" spans="1:6" x14ac:dyDescent="0.25">
      <c r="A3087" t="s">
        <v>4906</v>
      </c>
      <c r="B3087" t="s">
        <v>4902</v>
      </c>
      <c r="C3087" t="s">
        <v>4903</v>
      </c>
      <c r="D3087" s="2">
        <v>45942</v>
      </c>
      <c r="E3087">
        <v>28</v>
      </c>
      <c r="F3087">
        <v>4</v>
      </c>
    </row>
    <row r="3088" spans="1:6" x14ac:dyDescent="0.25">
      <c r="A3088" t="s">
        <v>4907</v>
      </c>
      <c r="B3088" t="s">
        <v>4908</v>
      </c>
      <c r="C3088" t="s">
        <v>4909</v>
      </c>
      <c r="D3088" s="2">
        <v>45852</v>
      </c>
      <c r="E3088">
        <v>28</v>
      </c>
      <c r="F3088">
        <v>1</v>
      </c>
    </row>
    <row r="3089" spans="1:6" x14ac:dyDescent="0.25">
      <c r="A3089" t="s">
        <v>4910</v>
      </c>
      <c r="B3089" t="s">
        <v>4908</v>
      </c>
      <c r="C3089" t="s">
        <v>4909</v>
      </c>
      <c r="D3089" s="2">
        <v>45878</v>
      </c>
      <c r="E3089">
        <v>28</v>
      </c>
      <c r="F3089">
        <v>2</v>
      </c>
    </row>
    <row r="3090" spans="1:6" x14ac:dyDescent="0.25">
      <c r="A3090" t="s">
        <v>4911</v>
      </c>
      <c r="B3090" t="s">
        <v>4908</v>
      </c>
      <c r="C3090" t="s">
        <v>4909</v>
      </c>
      <c r="D3090" s="2">
        <v>45907</v>
      </c>
      <c r="E3090">
        <v>28</v>
      </c>
      <c r="F3090">
        <v>3</v>
      </c>
    </row>
    <row r="3091" spans="1:6" x14ac:dyDescent="0.25">
      <c r="A3091" t="s">
        <v>4912</v>
      </c>
      <c r="B3091" t="s">
        <v>4908</v>
      </c>
      <c r="C3091" t="s">
        <v>4909</v>
      </c>
      <c r="D3091" s="2">
        <v>45937</v>
      </c>
      <c r="E3091">
        <v>28</v>
      </c>
      <c r="F3091">
        <v>4</v>
      </c>
    </row>
    <row r="3092" spans="1:6" x14ac:dyDescent="0.25">
      <c r="A3092" t="s">
        <v>4913</v>
      </c>
      <c r="B3092" t="s">
        <v>4914</v>
      </c>
      <c r="C3092" t="s">
        <v>4915</v>
      </c>
      <c r="D3092" s="2">
        <v>45924</v>
      </c>
      <c r="E3092">
        <v>21</v>
      </c>
      <c r="F3092">
        <v>1</v>
      </c>
    </row>
    <row r="3093" spans="1:6" x14ac:dyDescent="0.25">
      <c r="A3093" t="s">
        <v>4916</v>
      </c>
      <c r="B3093" t="s">
        <v>4914</v>
      </c>
      <c r="C3093" t="s">
        <v>4915</v>
      </c>
      <c r="D3093" s="2">
        <v>45943</v>
      </c>
      <c r="E3093">
        <v>21</v>
      </c>
      <c r="F3093">
        <v>2</v>
      </c>
    </row>
    <row r="3094" spans="1:6" x14ac:dyDescent="0.25">
      <c r="A3094" t="s">
        <v>4917</v>
      </c>
      <c r="B3094" t="s">
        <v>4914</v>
      </c>
      <c r="C3094" t="s">
        <v>4915</v>
      </c>
      <c r="D3094" s="2">
        <v>45961</v>
      </c>
      <c r="E3094">
        <v>21</v>
      </c>
      <c r="F3094">
        <v>3</v>
      </c>
    </row>
    <row r="3095" spans="1:6" x14ac:dyDescent="0.25">
      <c r="A3095" t="s">
        <v>4918</v>
      </c>
      <c r="B3095" t="s">
        <v>4919</v>
      </c>
      <c r="C3095" t="s">
        <v>4920</v>
      </c>
      <c r="D3095" s="2">
        <v>45909</v>
      </c>
      <c r="E3095">
        <v>28</v>
      </c>
      <c r="F3095">
        <v>1</v>
      </c>
    </row>
    <row r="3096" spans="1:6" x14ac:dyDescent="0.25">
      <c r="A3096" t="s">
        <v>4921</v>
      </c>
      <c r="B3096" t="s">
        <v>4919</v>
      </c>
      <c r="C3096" t="s">
        <v>4920</v>
      </c>
      <c r="D3096" s="2">
        <v>45937</v>
      </c>
      <c r="E3096">
        <v>28</v>
      </c>
      <c r="F3096">
        <v>2</v>
      </c>
    </row>
    <row r="3097" spans="1:6" x14ac:dyDescent="0.25">
      <c r="A3097" t="s">
        <v>4922</v>
      </c>
      <c r="B3097" t="s">
        <v>4923</v>
      </c>
      <c r="C3097" t="s">
        <v>4924</v>
      </c>
      <c r="D3097" s="2">
        <v>45802</v>
      </c>
      <c r="E3097">
        <v>28</v>
      </c>
      <c r="F3097">
        <v>1</v>
      </c>
    </row>
    <row r="3098" spans="1:6" x14ac:dyDescent="0.25">
      <c r="A3098" t="s">
        <v>4925</v>
      </c>
      <c r="B3098" t="s">
        <v>4923</v>
      </c>
      <c r="C3098" t="s">
        <v>4924</v>
      </c>
      <c r="D3098" s="2">
        <v>45830</v>
      </c>
      <c r="E3098">
        <v>28</v>
      </c>
      <c r="F3098">
        <v>2</v>
      </c>
    </row>
    <row r="3099" spans="1:6" x14ac:dyDescent="0.25">
      <c r="A3099" t="s">
        <v>4926</v>
      </c>
      <c r="B3099" t="s">
        <v>4923</v>
      </c>
      <c r="C3099" t="s">
        <v>4924</v>
      </c>
      <c r="D3099" s="2">
        <v>45861</v>
      </c>
      <c r="E3099">
        <v>28</v>
      </c>
      <c r="F3099">
        <v>3</v>
      </c>
    </row>
    <row r="3100" spans="1:6" x14ac:dyDescent="0.25">
      <c r="A3100" t="s">
        <v>4927</v>
      </c>
      <c r="B3100" t="s">
        <v>4923</v>
      </c>
      <c r="C3100" t="s">
        <v>4924</v>
      </c>
      <c r="D3100" s="2">
        <v>45886</v>
      </c>
      <c r="E3100">
        <v>28</v>
      </c>
      <c r="F3100">
        <v>4</v>
      </c>
    </row>
    <row r="3101" spans="1:6" x14ac:dyDescent="0.25">
      <c r="A3101" t="s">
        <v>4928</v>
      </c>
      <c r="B3101" t="s">
        <v>4923</v>
      </c>
      <c r="C3101" t="s">
        <v>4924</v>
      </c>
      <c r="D3101" s="2">
        <v>45911</v>
      </c>
      <c r="E3101">
        <v>28</v>
      </c>
      <c r="F3101">
        <v>5</v>
      </c>
    </row>
    <row r="3102" spans="1:6" x14ac:dyDescent="0.25">
      <c r="A3102" t="s">
        <v>4929</v>
      </c>
      <c r="B3102" t="s">
        <v>4923</v>
      </c>
      <c r="C3102" t="s">
        <v>4924</v>
      </c>
      <c r="D3102" s="2">
        <v>45937</v>
      </c>
      <c r="E3102">
        <v>28</v>
      </c>
      <c r="F3102">
        <v>6</v>
      </c>
    </row>
    <row r="3103" spans="1:6" x14ac:dyDescent="0.25">
      <c r="A3103" t="s">
        <v>4930</v>
      </c>
      <c r="B3103" t="s">
        <v>4931</v>
      </c>
      <c r="C3103" t="s">
        <v>4932</v>
      </c>
      <c r="D3103" s="2">
        <v>45883</v>
      </c>
      <c r="E3103">
        <v>28</v>
      </c>
      <c r="F3103">
        <v>1</v>
      </c>
    </row>
    <row r="3104" spans="1:6" x14ac:dyDescent="0.25">
      <c r="A3104" t="s">
        <v>4933</v>
      </c>
      <c r="B3104" t="s">
        <v>4931</v>
      </c>
      <c r="C3104" t="s">
        <v>4932</v>
      </c>
      <c r="D3104" s="2">
        <v>45913</v>
      </c>
      <c r="E3104">
        <v>28</v>
      </c>
      <c r="F3104">
        <v>2</v>
      </c>
    </row>
    <row r="3105" spans="1:6" x14ac:dyDescent="0.25">
      <c r="A3105" t="s">
        <v>4934</v>
      </c>
      <c r="B3105" t="s">
        <v>4931</v>
      </c>
      <c r="C3105" t="s">
        <v>4932</v>
      </c>
      <c r="D3105" s="2">
        <v>45942</v>
      </c>
      <c r="E3105">
        <v>28</v>
      </c>
      <c r="F3105">
        <v>3</v>
      </c>
    </row>
    <row r="3106" spans="1:6" x14ac:dyDescent="0.25">
      <c r="A3106" t="s">
        <v>4935</v>
      </c>
      <c r="B3106" t="s">
        <v>4936</v>
      </c>
      <c r="C3106" t="s">
        <v>4937</v>
      </c>
      <c r="D3106" s="2">
        <v>45848</v>
      </c>
      <c r="E3106">
        <v>30</v>
      </c>
      <c r="F3106">
        <v>1</v>
      </c>
    </row>
    <row r="3107" spans="1:6" x14ac:dyDescent="0.25">
      <c r="A3107" t="s">
        <v>4938</v>
      </c>
      <c r="B3107" t="s">
        <v>4936</v>
      </c>
      <c r="C3107" t="s">
        <v>4937</v>
      </c>
      <c r="D3107" s="2">
        <v>45877</v>
      </c>
      <c r="E3107">
        <v>30</v>
      </c>
      <c r="F3107">
        <v>2</v>
      </c>
    </row>
    <row r="3108" spans="1:6" x14ac:dyDescent="0.25">
      <c r="A3108" t="s">
        <v>4939</v>
      </c>
      <c r="B3108" t="s">
        <v>4936</v>
      </c>
      <c r="C3108" t="s">
        <v>4937</v>
      </c>
      <c r="D3108" s="2">
        <v>45904</v>
      </c>
      <c r="E3108">
        <v>30</v>
      </c>
      <c r="F3108">
        <v>3</v>
      </c>
    </row>
    <row r="3109" spans="1:6" x14ac:dyDescent="0.25">
      <c r="A3109" t="s">
        <v>4940</v>
      </c>
      <c r="B3109" t="s">
        <v>4936</v>
      </c>
      <c r="C3109" t="s">
        <v>4937</v>
      </c>
      <c r="D3109" s="2">
        <v>45933</v>
      </c>
      <c r="E3109">
        <v>30</v>
      </c>
      <c r="F3109">
        <v>4</v>
      </c>
    </row>
    <row r="3110" spans="1:6" x14ac:dyDescent="0.25">
      <c r="A3110" t="s">
        <v>4941</v>
      </c>
      <c r="B3110" t="s">
        <v>4942</v>
      </c>
      <c r="C3110" t="s">
        <v>4943</v>
      </c>
      <c r="D3110" s="2">
        <v>45810</v>
      </c>
      <c r="E3110">
        <v>28</v>
      </c>
      <c r="F3110">
        <v>1</v>
      </c>
    </row>
    <row r="3111" spans="1:6" x14ac:dyDescent="0.25">
      <c r="A3111" t="s">
        <v>4944</v>
      </c>
      <c r="B3111" t="s">
        <v>4942</v>
      </c>
      <c r="C3111" t="s">
        <v>4943</v>
      </c>
      <c r="D3111" s="2">
        <v>45840</v>
      </c>
      <c r="E3111">
        <v>28</v>
      </c>
      <c r="F3111">
        <v>2</v>
      </c>
    </row>
    <row r="3112" spans="1:6" x14ac:dyDescent="0.25">
      <c r="A3112" t="s">
        <v>4945</v>
      </c>
      <c r="B3112" t="s">
        <v>4946</v>
      </c>
      <c r="C3112" t="s">
        <v>4947</v>
      </c>
      <c r="D3112" s="2">
        <v>45811</v>
      </c>
      <c r="E3112">
        <v>28</v>
      </c>
      <c r="F3112">
        <v>1</v>
      </c>
    </row>
    <row r="3113" spans="1:6" x14ac:dyDescent="0.25">
      <c r="A3113" t="s">
        <v>4948</v>
      </c>
      <c r="B3113" t="s">
        <v>4946</v>
      </c>
      <c r="C3113" t="s">
        <v>4947</v>
      </c>
      <c r="D3113" s="2">
        <v>45840</v>
      </c>
      <c r="E3113">
        <v>28</v>
      </c>
      <c r="F3113">
        <v>2</v>
      </c>
    </row>
    <row r="3114" spans="1:6" x14ac:dyDescent="0.25">
      <c r="A3114" t="s">
        <v>4949</v>
      </c>
      <c r="B3114" t="s">
        <v>4946</v>
      </c>
      <c r="C3114" t="s">
        <v>4947</v>
      </c>
      <c r="D3114" s="2">
        <v>45867</v>
      </c>
      <c r="E3114">
        <v>28</v>
      </c>
      <c r="F3114">
        <v>3</v>
      </c>
    </row>
    <row r="3115" spans="1:6" x14ac:dyDescent="0.25">
      <c r="A3115" t="s">
        <v>4950</v>
      </c>
      <c r="B3115" t="s">
        <v>4946</v>
      </c>
      <c r="C3115" t="s">
        <v>4947</v>
      </c>
      <c r="D3115" s="2">
        <v>45895</v>
      </c>
      <c r="E3115">
        <v>28</v>
      </c>
      <c r="F3115">
        <v>4</v>
      </c>
    </row>
    <row r="3116" spans="1:6" x14ac:dyDescent="0.25">
      <c r="A3116" t="s">
        <v>4951</v>
      </c>
      <c r="B3116" t="s">
        <v>4946</v>
      </c>
      <c r="C3116" t="s">
        <v>4947</v>
      </c>
      <c r="D3116" s="2">
        <v>45926</v>
      </c>
      <c r="E3116">
        <v>28</v>
      </c>
      <c r="F3116">
        <v>5</v>
      </c>
    </row>
    <row r="3117" spans="1:6" x14ac:dyDescent="0.25">
      <c r="A3117" t="s">
        <v>4952</v>
      </c>
      <c r="B3117" t="s">
        <v>4946</v>
      </c>
      <c r="C3117" t="s">
        <v>4947</v>
      </c>
      <c r="D3117" s="2">
        <v>45957</v>
      </c>
      <c r="E3117">
        <v>28</v>
      </c>
      <c r="F3117">
        <v>6</v>
      </c>
    </row>
    <row r="3118" spans="1:6" x14ac:dyDescent="0.25">
      <c r="A3118" t="s">
        <v>4953</v>
      </c>
      <c r="B3118" t="s">
        <v>4954</v>
      </c>
      <c r="C3118" t="s">
        <v>4955</v>
      </c>
      <c r="D3118" s="2">
        <v>45815</v>
      </c>
      <c r="E3118">
        <v>28</v>
      </c>
      <c r="F3118">
        <v>1</v>
      </c>
    </row>
    <row r="3119" spans="1:6" x14ac:dyDescent="0.25">
      <c r="A3119" t="s">
        <v>4956</v>
      </c>
      <c r="B3119" t="s">
        <v>4954</v>
      </c>
      <c r="C3119" t="s">
        <v>4955</v>
      </c>
      <c r="D3119" s="2">
        <v>45845</v>
      </c>
      <c r="E3119">
        <v>28</v>
      </c>
      <c r="F3119">
        <v>2</v>
      </c>
    </row>
    <row r="3120" spans="1:6" x14ac:dyDescent="0.25">
      <c r="A3120" t="s">
        <v>4957</v>
      </c>
      <c r="B3120" t="s">
        <v>4954</v>
      </c>
      <c r="C3120" t="s">
        <v>4955</v>
      </c>
      <c r="D3120" s="2">
        <v>45871</v>
      </c>
      <c r="E3120">
        <v>28</v>
      </c>
      <c r="F3120">
        <v>3</v>
      </c>
    </row>
    <row r="3121" spans="1:6" x14ac:dyDescent="0.25">
      <c r="A3121" t="s">
        <v>4958</v>
      </c>
      <c r="B3121" t="s">
        <v>4954</v>
      </c>
      <c r="C3121" t="s">
        <v>4955</v>
      </c>
      <c r="D3121" s="2">
        <v>45901</v>
      </c>
      <c r="E3121">
        <v>28</v>
      </c>
      <c r="F3121">
        <v>4</v>
      </c>
    </row>
    <row r="3122" spans="1:6" x14ac:dyDescent="0.25">
      <c r="A3122" t="s">
        <v>4959</v>
      </c>
      <c r="B3122" t="s">
        <v>4954</v>
      </c>
      <c r="C3122" t="s">
        <v>4955</v>
      </c>
      <c r="D3122" s="2">
        <v>45931</v>
      </c>
      <c r="E3122">
        <v>28</v>
      </c>
      <c r="F3122">
        <v>5</v>
      </c>
    </row>
    <row r="3123" spans="1:6" x14ac:dyDescent="0.25">
      <c r="A3123" t="s">
        <v>4960</v>
      </c>
      <c r="B3123" t="s">
        <v>4954</v>
      </c>
      <c r="C3123" t="s">
        <v>4955</v>
      </c>
      <c r="D3123" s="2">
        <v>45959</v>
      </c>
      <c r="E3123">
        <v>28</v>
      </c>
      <c r="F3123">
        <v>6</v>
      </c>
    </row>
    <row r="3124" spans="1:6" x14ac:dyDescent="0.25">
      <c r="A3124" t="s">
        <v>4961</v>
      </c>
      <c r="B3124" t="s">
        <v>4962</v>
      </c>
      <c r="C3124" t="s">
        <v>4963</v>
      </c>
      <c r="D3124" s="2">
        <v>45860</v>
      </c>
      <c r="E3124">
        <v>21</v>
      </c>
      <c r="F3124">
        <v>1</v>
      </c>
    </row>
    <row r="3125" spans="1:6" x14ac:dyDescent="0.25">
      <c r="A3125" t="s">
        <v>4964</v>
      </c>
      <c r="B3125" t="s">
        <v>4962</v>
      </c>
      <c r="C3125" t="s">
        <v>4963</v>
      </c>
      <c r="D3125" s="2">
        <v>45883</v>
      </c>
      <c r="E3125">
        <v>21</v>
      </c>
      <c r="F3125">
        <v>2</v>
      </c>
    </row>
    <row r="3126" spans="1:6" x14ac:dyDescent="0.25">
      <c r="A3126" t="s">
        <v>4965</v>
      </c>
      <c r="B3126" t="s">
        <v>4962</v>
      </c>
      <c r="C3126" t="s">
        <v>4963</v>
      </c>
      <c r="D3126" s="2">
        <v>45901</v>
      </c>
      <c r="E3126">
        <v>21</v>
      </c>
      <c r="F3126">
        <v>3</v>
      </c>
    </row>
    <row r="3127" spans="1:6" x14ac:dyDescent="0.25">
      <c r="A3127" t="s">
        <v>4966</v>
      </c>
      <c r="B3127" t="s">
        <v>4962</v>
      </c>
      <c r="C3127" t="s">
        <v>4963</v>
      </c>
      <c r="D3127" s="2">
        <v>45922</v>
      </c>
      <c r="E3127">
        <v>21</v>
      </c>
      <c r="F3127">
        <v>4</v>
      </c>
    </row>
    <row r="3128" spans="1:6" x14ac:dyDescent="0.25">
      <c r="A3128" t="s">
        <v>4967</v>
      </c>
      <c r="B3128" t="s">
        <v>4962</v>
      </c>
      <c r="C3128" t="s">
        <v>4963</v>
      </c>
      <c r="D3128" s="2">
        <v>45945</v>
      </c>
      <c r="E3128">
        <v>21</v>
      </c>
      <c r="F3128">
        <v>5</v>
      </c>
    </row>
    <row r="3129" spans="1:6" x14ac:dyDescent="0.25">
      <c r="A3129" t="s">
        <v>4968</v>
      </c>
      <c r="B3129" t="s">
        <v>4969</v>
      </c>
      <c r="C3129" t="s">
        <v>4970</v>
      </c>
      <c r="D3129" s="2">
        <v>45841</v>
      </c>
      <c r="E3129">
        <v>28</v>
      </c>
      <c r="F3129">
        <v>1</v>
      </c>
    </row>
    <row r="3130" spans="1:6" x14ac:dyDescent="0.25">
      <c r="A3130" t="s">
        <v>4971</v>
      </c>
      <c r="B3130" t="s">
        <v>4969</v>
      </c>
      <c r="C3130" t="s">
        <v>4970</v>
      </c>
      <c r="D3130" s="2">
        <v>45867</v>
      </c>
      <c r="E3130">
        <v>28</v>
      </c>
      <c r="F3130">
        <v>2</v>
      </c>
    </row>
    <row r="3131" spans="1:6" x14ac:dyDescent="0.25">
      <c r="A3131" t="s">
        <v>4972</v>
      </c>
      <c r="B3131" t="s">
        <v>4969</v>
      </c>
      <c r="C3131" t="s">
        <v>4970</v>
      </c>
      <c r="D3131" s="2">
        <v>45894</v>
      </c>
      <c r="E3131">
        <v>28</v>
      </c>
      <c r="F3131">
        <v>3</v>
      </c>
    </row>
    <row r="3132" spans="1:6" x14ac:dyDescent="0.25">
      <c r="A3132" t="s">
        <v>4973</v>
      </c>
      <c r="B3132" t="s">
        <v>4969</v>
      </c>
      <c r="C3132" t="s">
        <v>4970</v>
      </c>
      <c r="D3132" s="2">
        <v>45921</v>
      </c>
      <c r="E3132">
        <v>28</v>
      </c>
      <c r="F3132">
        <v>4</v>
      </c>
    </row>
    <row r="3133" spans="1:6" x14ac:dyDescent="0.25">
      <c r="A3133" t="s">
        <v>4974</v>
      </c>
      <c r="B3133" t="s">
        <v>4969</v>
      </c>
      <c r="C3133" t="s">
        <v>4970</v>
      </c>
      <c r="D3133" s="2">
        <v>45950</v>
      </c>
      <c r="E3133">
        <v>28</v>
      </c>
      <c r="F3133">
        <v>5</v>
      </c>
    </row>
    <row r="3134" spans="1:6" x14ac:dyDescent="0.25">
      <c r="A3134" t="s">
        <v>4975</v>
      </c>
      <c r="B3134" t="s">
        <v>4976</v>
      </c>
      <c r="C3134" t="s">
        <v>4977</v>
      </c>
      <c r="D3134" s="2">
        <v>45951</v>
      </c>
      <c r="E3134">
        <v>28</v>
      </c>
      <c r="F3134">
        <v>1</v>
      </c>
    </row>
    <row r="3135" spans="1:6" x14ac:dyDescent="0.25">
      <c r="A3135" t="s">
        <v>4978</v>
      </c>
      <c r="B3135" t="s">
        <v>4979</v>
      </c>
      <c r="C3135" t="s">
        <v>4980</v>
      </c>
      <c r="D3135" s="2">
        <v>45903</v>
      </c>
      <c r="E3135">
        <v>28</v>
      </c>
      <c r="F3135">
        <v>1</v>
      </c>
    </row>
    <row r="3136" spans="1:6" x14ac:dyDescent="0.25">
      <c r="A3136" t="s">
        <v>4981</v>
      </c>
      <c r="B3136" t="s">
        <v>4979</v>
      </c>
      <c r="C3136" t="s">
        <v>4980</v>
      </c>
      <c r="D3136" s="2">
        <v>45931</v>
      </c>
      <c r="E3136">
        <v>28</v>
      </c>
      <c r="F3136">
        <v>2</v>
      </c>
    </row>
    <row r="3137" spans="1:6" x14ac:dyDescent="0.25">
      <c r="A3137" t="s">
        <v>4982</v>
      </c>
      <c r="B3137" t="s">
        <v>4979</v>
      </c>
      <c r="C3137" t="s">
        <v>4980</v>
      </c>
      <c r="D3137" s="2">
        <v>45959</v>
      </c>
      <c r="E3137">
        <v>28</v>
      </c>
      <c r="F3137">
        <v>3</v>
      </c>
    </row>
    <row r="3138" spans="1:6" x14ac:dyDescent="0.25">
      <c r="A3138" t="s">
        <v>4983</v>
      </c>
      <c r="B3138" t="s">
        <v>4984</v>
      </c>
      <c r="C3138" t="s">
        <v>4985</v>
      </c>
      <c r="D3138" s="2">
        <v>45925</v>
      </c>
      <c r="E3138">
        <v>28</v>
      </c>
      <c r="F3138">
        <v>1</v>
      </c>
    </row>
    <row r="3139" spans="1:6" x14ac:dyDescent="0.25">
      <c r="A3139" t="s">
        <v>4986</v>
      </c>
      <c r="B3139" t="s">
        <v>4984</v>
      </c>
      <c r="C3139" t="s">
        <v>4985</v>
      </c>
      <c r="D3139" s="2">
        <v>45956</v>
      </c>
      <c r="E3139">
        <v>28</v>
      </c>
      <c r="F3139">
        <v>2</v>
      </c>
    </row>
    <row r="3140" spans="1:6" x14ac:dyDescent="0.25">
      <c r="A3140" t="s">
        <v>4987</v>
      </c>
      <c r="B3140" t="s">
        <v>4988</v>
      </c>
      <c r="C3140" t="s">
        <v>4989</v>
      </c>
      <c r="D3140" s="2">
        <v>45846</v>
      </c>
      <c r="E3140">
        <v>28</v>
      </c>
      <c r="F3140">
        <v>1</v>
      </c>
    </row>
    <row r="3141" spans="1:6" x14ac:dyDescent="0.25">
      <c r="A3141" t="s">
        <v>4990</v>
      </c>
      <c r="B3141" t="s">
        <v>4988</v>
      </c>
      <c r="C3141" t="s">
        <v>4989</v>
      </c>
      <c r="D3141" s="2">
        <v>45877</v>
      </c>
      <c r="E3141">
        <v>28</v>
      </c>
      <c r="F3141">
        <v>2</v>
      </c>
    </row>
    <row r="3142" spans="1:6" x14ac:dyDescent="0.25">
      <c r="A3142" t="s">
        <v>4991</v>
      </c>
      <c r="B3142" t="s">
        <v>4988</v>
      </c>
      <c r="C3142" t="s">
        <v>4989</v>
      </c>
      <c r="D3142" s="2">
        <v>45908</v>
      </c>
      <c r="E3142">
        <v>28</v>
      </c>
      <c r="F3142">
        <v>3</v>
      </c>
    </row>
    <row r="3143" spans="1:6" x14ac:dyDescent="0.25">
      <c r="A3143" t="s">
        <v>4992</v>
      </c>
      <c r="B3143" t="s">
        <v>4988</v>
      </c>
      <c r="C3143" t="s">
        <v>4989</v>
      </c>
      <c r="D3143" s="2">
        <v>45936</v>
      </c>
      <c r="E3143">
        <v>28</v>
      </c>
      <c r="F3143">
        <v>4</v>
      </c>
    </row>
    <row r="3144" spans="1:6" x14ac:dyDescent="0.25">
      <c r="A3144" t="s">
        <v>4993</v>
      </c>
      <c r="B3144" t="s">
        <v>4994</v>
      </c>
      <c r="C3144" t="s">
        <v>4995</v>
      </c>
      <c r="D3144" s="2">
        <v>45884</v>
      </c>
      <c r="E3144">
        <v>28</v>
      </c>
      <c r="F3144">
        <v>1</v>
      </c>
    </row>
    <row r="3145" spans="1:6" x14ac:dyDescent="0.25">
      <c r="A3145" t="s">
        <v>4996</v>
      </c>
      <c r="B3145" t="s">
        <v>4994</v>
      </c>
      <c r="C3145" t="s">
        <v>4995</v>
      </c>
      <c r="D3145" s="2">
        <v>45912</v>
      </c>
      <c r="E3145">
        <v>28</v>
      </c>
      <c r="F3145">
        <v>2</v>
      </c>
    </row>
    <row r="3146" spans="1:6" x14ac:dyDescent="0.25">
      <c r="A3146" t="s">
        <v>4997</v>
      </c>
      <c r="B3146" t="s">
        <v>4994</v>
      </c>
      <c r="C3146" t="s">
        <v>4995</v>
      </c>
      <c r="D3146" s="2">
        <v>45939</v>
      </c>
      <c r="E3146">
        <v>28</v>
      </c>
      <c r="F3146">
        <v>3</v>
      </c>
    </row>
    <row r="3147" spans="1:6" x14ac:dyDescent="0.25">
      <c r="A3147" t="s">
        <v>4998</v>
      </c>
      <c r="B3147" t="s">
        <v>4999</v>
      </c>
      <c r="C3147" t="s">
        <v>5000</v>
      </c>
      <c r="D3147" s="2">
        <v>45893</v>
      </c>
      <c r="E3147">
        <v>14</v>
      </c>
      <c r="F3147">
        <v>1</v>
      </c>
    </row>
    <row r="3148" spans="1:6" x14ac:dyDescent="0.25">
      <c r="A3148" t="s">
        <v>5001</v>
      </c>
      <c r="B3148" t="s">
        <v>5002</v>
      </c>
      <c r="C3148" t="s">
        <v>5003</v>
      </c>
      <c r="D3148" s="2">
        <v>45940</v>
      </c>
      <c r="E3148">
        <v>14</v>
      </c>
      <c r="F3148">
        <v>1</v>
      </c>
    </row>
    <row r="3149" spans="1:6" x14ac:dyDescent="0.25">
      <c r="A3149" t="s">
        <v>5004</v>
      </c>
      <c r="B3149" t="s">
        <v>5002</v>
      </c>
      <c r="C3149" t="s">
        <v>5003</v>
      </c>
      <c r="D3149" s="2">
        <v>45954</v>
      </c>
      <c r="E3149">
        <v>14</v>
      </c>
      <c r="F3149">
        <v>2</v>
      </c>
    </row>
    <row r="3150" spans="1:6" x14ac:dyDescent="0.25">
      <c r="A3150" t="s">
        <v>5005</v>
      </c>
      <c r="B3150" t="s">
        <v>5006</v>
      </c>
      <c r="C3150" t="s">
        <v>5007</v>
      </c>
      <c r="D3150" s="2">
        <v>45801</v>
      </c>
      <c r="E3150">
        <v>14</v>
      </c>
      <c r="F3150">
        <v>1</v>
      </c>
    </row>
    <row r="3151" spans="1:6" x14ac:dyDescent="0.25">
      <c r="A3151" t="s">
        <v>5008</v>
      </c>
      <c r="B3151" t="s">
        <v>5006</v>
      </c>
      <c r="C3151" t="s">
        <v>5007</v>
      </c>
      <c r="D3151" s="2">
        <v>45813</v>
      </c>
      <c r="E3151">
        <v>14</v>
      </c>
      <c r="F3151">
        <v>2</v>
      </c>
    </row>
    <row r="3152" spans="1:6" x14ac:dyDescent="0.25">
      <c r="A3152" t="s">
        <v>5009</v>
      </c>
      <c r="B3152" t="s">
        <v>5006</v>
      </c>
      <c r="C3152" t="s">
        <v>5007</v>
      </c>
      <c r="D3152" s="2">
        <v>45824</v>
      </c>
      <c r="E3152">
        <v>14</v>
      </c>
      <c r="F3152">
        <v>3</v>
      </c>
    </row>
    <row r="3153" spans="1:6" x14ac:dyDescent="0.25">
      <c r="A3153" t="s">
        <v>5010</v>
      </c>
      <c r="B3153" t="s">
        <v>5006</v>
      </c>
      <c r="C3153" t="s">
        <v>5007</v>
      </c>
      <c r="D3153" s="2">
        <v>45835</v>
      </c>
      <c r="E3153">
        <v>14</v>
      </c>
      <c r="F3153">
        <v>4</v>
      </c>
    </row>
    <row r="3154" spans="1:6" x14ac:dyDescent="0.25">
      <c r="A3154" t="s">
        <v>5011</v>
      </c>
      <c r="B3154" t="s">
        <v>5006</v>
      </c>
      <c r="C3154" t="s">
        <v>5007</v>
      </c>
      <c r="D3154" s="2">
        <v>45846</v>
      </c>
      <c r="E3154">
        <v>14</v>
      </c>
      <c r="F3154">
        <v>5</v>
      </c>
    </row>
    <row r="3155" spans="1:6" x14ac:dyDescent="0.25">
      <c r="A3155" t="s">
        <v>5012</v>
      </c>
      <c r="B3155" t="s">
        <v>5006</v>
      </c>
      <c r="C3155" t="s">
        <v>5007</v>
      </c>
      <c r="D3155" s="2">
        <v>45862</v>
      </c>
      <c r="E3155">
        <v>14</v>
      </c>
      <c r="F3155">
        <v>6</v>
      </c>
    </row>
    <row r="3156" spans="1:6" x14ac:dyDescent="0.25">
      <c r="A3156" t="s">
        <v>5013</v>
      </c>
      <c r="B3156" t="s">
        <v>5006</v>
      </c>
      <c r="C3156" t="s">
        <v>5007</v>
      </c>
      <c r="D3156" s="2">
        <v>45874</v>
      </c>
      <c r="E3156">
        <v>14</v>
      </c>
      <c r="F3156">
        <v>7</v>
      </c>
    </row>
    <row r="3157" spans="1:6" x14ac:dyDescent="0.25">
      <c r="A3157" t="s">
        <v>5014</v>
      </c>
      <c r="B3157" t="s">
        <v>5006</v>
      </c>
      <c r="C3157" t="s">
        <v>5007</v>
      </c>
      <c r="D3157" s="2">
        <v>45889</v>
      </c>
      <c r="E3157">
        <v>14</v>
      </c>
      <c r="F3157">
        <v>8</v>
      </c>
    </row>
    <row r="3158" spans="1:6" x14ac:dyDescent="0.25">
      <c r="A3158" t="s">
        <v>5015</v>
      </c>
      <c r="B3158" t="s">
        <v>5006</v>
      </c>
      <c r="C3158" t="s">
        <v>5007</v>
      </c>
      <c r="D3158" s="2">
        <v>45902</v>
      </c>
      <c r="E3158">
        <v>14</v>
      </c>
      <c r="F3158">
        <v>9</v>
      </c>
    </row>
    <row r="3159" spans="1:6" x14ac:dyDescent="0.25">
      <c r="A3159" t="s">
        <v>5016</v>
      </c>
      <c r="B3159" t="s">
        <v>5006</v>
      </c>
      <c r="C3159" t="s">
        <v>5007</v>
      </c>
      <c r="D3159" s="2">
        <v>45915</v>
      </c>
      <c r="E3159">
        <v>14</v>
      </c>
      <c r="F3159">
        <v>10</v>
      </c>
    </row>
    <row r="3160" spans="1:6" x14ac:dyDescent="0.25">
      <c r="A3160" t="s">
        <v>5017</v>
      </c>
      <c r="B3160" t="s">
        <v>5006</v>
      </c>
      <c r="C3160" t="s">
        <v>5007</v>
      </c>
      <c r="D3160" s="2">
        <v>45930</v>
      </c>
      <c r="E3160">
        <v>14</v>
      </c>
      <c r="F3160">
        <v>11</v>
      </c>
    </row>
    <row r="3161" spans="1:6" x14ac:dyDescent="0.25">
      <c r="A3161" t="s">
        <v>5018</v>
      </c>
      <c r="B3161" t="s">
        <v>5006</v>
      </c>
      <c r="C3161" t="s">
        <v>5007</v>
      </c>
      <c r="D3161" s="2">
        <v>45947</v>
      </c>
      <c r="E3161">
        <v>14</v>
      </c>
      <c r="F3161">
        <v>12</v>
      </c>
    </row>
    <row r="3162" spans="1:6" x14ac:dyDescent="0.25">
      <c r="A3162" t="s">
        <v>5019</v>
      </c>
      <c r="B3162" t="s">
        <v>5020</v>
      </c>
      <c r="C3162" t="s">
        <v>5021</v>
      </c>
      <c r="D3162" s="2">
        <v>45909</v>
      </c>
      <c r="E3162">
        <v>30</v>
      </c>
      <c r="F3162">
        <v>1</v>
      </c>
    </row>
    <row r="3163" spans="1:6" x14ac:dyDescent="0.25">
      <c r="A3163" t="s">
        <v>5022</v>
      </c>
      <c r="B3163" t="s">
        <v>5020</v>
      </c>
      <c r="C3163" t="s">
        <v>5021</v>
      </c>
      <c r="D3163" s="2">
        <v>45940</v>
      </c>
      <c r="E3163">
        <v>30</v>
      </c>
      <c r="F3163">
        <v>2</v>
      </c>
    </row>
    <row r="3164" spans="1:6" x14ac:dyDescent="0.25">
      <c r="A3164" t="s">
        <v>5023</v>
      </c>
      <c r="B3164" t="s">
        <v>5024</v>
      </c>
      <c r="C3164" t="s">
        <v>5025</v>
      </c>
      <c r="D3164" s="2">
        <v>45849</v>
      </c>
      <c r="E3164">
        <v>28</v>
      </c>
      <c r="F3164">
        <v>1</v>
      </c>
    </row>
    <row r="3165" spans="1:6" x14ac:dyDescent="0.25">
      <c r="A3165" t="s">
        <v>5026</v>
      </c>
      <c r="B3165" t="s">
        <v>5024</v>
      </c>
      <c r="C3165" t="s">
        <v>5025</v>
      </c>
      <c r="D3165" s="2">
        <v>45877</v>
      </c>
      <c r="E3165">
        <v>28</v>
      </c>
      <c r="F3165">
        <v>2</v>
      </c>
    </row>
    <row r="3166" spans="1:6" x14ac:dyDescent="0.25">
      <c r="A3166" t="s">
        <v>5027</v>
      </c>
      <c r="B3166" t="s">
        <v>5024</v>
      </c>
      <c r="C3166" t="s">
        <v>5025</v>
      </c>
      <c r="D3166" s="2">
        <v>45904</v>
      </c>
      <c r="E3166">
        <v>28</v>
      </c>
      <c r="F3166">
        <v>3</v>
      </c>
    </row>
    <row r="3167" spans="1:6" x14ac:dyDescent="0.25">
      <c r="A3167" t="s">
        <v>5028</v>
      </c>
      <c r="B3167" t="s">
        <v>5024</v>
      </c>
      <c r="C3167" t="s">
        <v>5025</v>
      </c>
      <c r="D3167" s="2">
        <v>45932</v>
      </c>
      <c r="E3167">
        <v>28</v>
      </c>
      <c r="F3167">
        <v>4</v>
      </c>
    </row>
    <row r="3168" spans="1:6" x14ac:dyDescent="0.25">
      <c r="A3168" t="s">
        <v>5029</v>
      </c>
      <c r="B3168" t="s">
        <v>5024</v>
      </c>
      <c r="C3168" t="s">
        <v>5025</v>
      </c>
      <c r="D3168" s="2">
        <v>45961</v>
      </c>
      <c r="E3168">
        <v>28</v>
      </c>
      <c r="F3168">
        <v>5</v>
      </c>
    </row>
    <row r="3169" spans="1:6" x14ac:dyDescent="0.25">
      <c r="A3169" t="s">
        <v>5030</v>
      </c>
      <c r="B3169" t="s">
        <v>5031</v>
      </c>
      <c r="C3169" t="s">
        <v>5032</v>
      </c>
      <c r="D3169" s="2">
        <v>45872</v>
      </c>
      <c r="E3169">
        <v>28</v>
      </c>
      <c r="F3169">
        <v>1</v>
      </c>
    </row>
    <row r="3170" spans="1:6" x14ac:dyDescent="0.25">
      <c r="A3170" t="s">
        <v>5033</v>
      </c>
      <c r="B3170" t="s">
        <v>5031</v>
      </c>
      <c r="C3170" t="s">
        <v>5032</v>
      </c>
      <c r="D3170" s="2">
        <v>45903</v>
      </c>
      <c r="E3170">
        <v>28</v>
      </c>
      <c r="F3170">
        <v>2</v>
      </c>
    </row>
    <row r="3171" spans="1:6" x14ac:dyDescent="0.25">
      <c r="A3171" t="s">
        <v>5034</v>
      </c>
      <c r="B3171" t="s">
        <v>5031</v>
      </c>
      <c r="C3171" t="s">
        <v>5032</v>
      </c>
      <c r="D3171" s="2">
        <v>45932</v>
      </c>
      <c r="E3171">
        <v>28</v>
      </c>
      <c r="F3171">
        <v>3</v>
      </c>
    </row>
    <row r="3172" spans="1:6" x14ac:dyDescent="0.25">
      <c r="A3172" t="s">
        <v>5035</v>
      </c>
      <c r="B3172" t="s">
        <v>5031</v>
      </c>
      <c r="C3172" t="s">
        <v>5032</v>
      </c>
      <c r="D3172" s="2">
        <v>45957</v>
      </c>
      <c r="E3172">
        <v>28</v>
      </c>
      <c r="F3172">
        <v>4</v>
      </c>
    </row>
    <row r="3173" spans="1:6" x14ac:dyDescent="0.25">
      <c r="A3173" t="s">
        <v>5036</v>
      </c>
      <c r="B3173" t="s">
        <v>5037</v>
      </c>
      <c r="C3173" t="s">
        <v>5038</v>
      </c>
      <c r="D3173" s="2">
        <v>45902</v>
      </c>
      <c r="E3173">
        <v>30</v>
      </c>
      <c r="F3173">
        <v>1</v>
      </c>
    </row>
    <row r="3174" spans="1:6" x14ac:dyDescent="0.25">
      <c r="A3174" t="s">
        <v>5039</v>
      </c>
      <c r="B3174" t="s">
        <v>5037</v>
      </c>
      <c r="C3174" t="s">
        <v>5038</v>
      </c>
      <c r="D3174" s="2">
        <v>45932</v>
      </c>
      <c r="E3174">
        <v>30</v>
      </c>
      <c r="F3174">
        <v>2</v>
      </c>
    </row>
    <row r="3175" spans="1:6" x14ac:dyDescent="0.25">
      <c r="A3175" t="s">
        <v>5040</v>
      </c>
      <c r="B3175" t="s">
        <v>5037</v>
      </c>
      <c r="C3175" t="s">
        <v>5038</v>
      </c>
      <c r="D3175" s="2">
        <v>45959</v>
      </c>
      <c r="E3175">
        <v>30</v>
      </c>
      <c r="F3175">
        <v>3</v>
      </c>
    </row>
    <row r="3176" spans="1:6" x14ac:dyDescent="0.25">
      <c r="A3176" t="s">
        <v>5041</v>
      </c>
      <c r="B3176" t="s">
        <v>5042</v>
      </c>
      <c r="C3176" t="s">
        <v>5043</v>
      </c>
      <c r="D3176" s="2">
        <v>45926</v>
      </c>
      <c r="E3176">
        <v>28</v>
      </c>
      <c r="F3176">
        <v>1</v>
      </c>
    </row>
    <row r="3177" spans="1:6" x14ac:dyDescent="0.25">
      <c r="A3177" t="s">
        <v>5044</v>
      </c>
      <c r="B3177" t="s">
        <v>5042</v>
      </c>
      <c r="C3177" t="s">
        <v>5043</v>
      </c>
      <c r="D3177" s="2">
        <v>45954</v>
      </c>
      <c r="E3177">
        <v>28</v>
      </c>
      <c r="F3177">
        <v>2</v>
      </c>
    </row>
    <row r="3178" spans="1:6" x14ac:dyDescent="0.25">
      <c r="A3178" t="s">
        <v>5045</v>
      </c>
      <c r="B3178" t="s">
        <v>5046</v>
      </c>
      <c r="C3178" t="s">
        <v>5047</v>
      </c>
      <c r="D3178" s="2">
        <v>45801</v>
      </c>
      <c r="E3178">
        <v>28</v>
      </c>
      <c r="F3178">
        <v>1</v>
      </c>
    </row>
    <row r="3179" spans="1:6" x14ac:dyDescent="0.25">
      <c r="A3179" t="s">
        <v>5048</v>
      </c>
      <c r="B3179" t="s">
        <v>5046</v>
      </c>
      <c r="C3179" t="s">
        <v>5047</v>
      </c>
      <c r="D3179" s="2">
        <v>45827</v>
      </c>
      <c r="E3179">
        <v>28</v>
      </c>
      <c r="F3179">
        <v>2</v>
      </c>
    </row>
    <row r="3180" spans="1:6" x14ac:dyDescent="0.25">
      <c r="A3180" t="s">
        <v>5049</v>
      </c>
      <c r="B3180" t="s">
        <v>5046</v>
      </c>
      <c r="C3180" t="s">
        <v>5047</v>
      </c>
      <c r="D3180" s="2">
        <v>45857</v>
      </c>
      <c r="E3180">
        <v>28</v>
      </c>
      <c r="F3180">
        <v>3</v>
      </c>
    </row>
    <row r="3181" spans="1:6" x14ac:dyDescent="0.25">
      <c r="A3181" t="s">
        <v>5050</v>
      </c>
      <c r="B3181" t="s">
        <v>5046</v>
      </c>
      <c r="C3181" t="s">
        <v>5047</v>
      </c>
      <c r="D3181" s="2">
        <v>45888</v>
      </c>
      <c r="E3181">
        <v>28</v>
      </c>
      <c r="F3181">
        <v>4</v>
      </c>
    </row>
    <row r="3182" spans="1:6" x14ac:dyDescent="0.25">
      <c r="A3182" t="s">
        <v>5051</v>
      </c>
      <c r="B3182" t="s">
        <v>5046</v>
      </c>
      <c r="C3182" t="s">
        <v>5047</v>
      </c>
      <c r="D3182" s="2">
        <v>45918</v>
      </c>
      <c r="E3182">
        <v>28</v>
      </c>
      <c r="F3182">
        <v>5</v>
      </c>
    </row>
    <row r="3183" spans="1:6" x14ac:dyDescent="0.25">
      <c r="A3183" t="s">
        <v>5052</v>
      </c>
      <c r="B3183" t="s">
        <v>5046</v>
      </c>
      <c r="C3183" t="s">
        <v>5047</v>
      </c>
      <c r="D3183" s="2">
        <v>45946</v>
      </c>
      <c r="E3183">
        <v>28</v>
      </c>
      <c r="F3183">
        <v>6</v>
      </c>
    </row>
    <row r="3184" spans="1:6" x14ac:dyDescent="0.25">
      <c r="A3184" t="s">
        <v>5053</v>
      </c>
      <c r="B3184" t="s">
        <v>5054</v>
      </c>
      <c r="C3184" t="s">
        <v>5055</v>
      </c>
      <c r="D3184" s="2">
        <v>45895</v>
      </c>
      <c r="E3184">
        <v>28</v>
      </c>
      <c r="F3184">
        <v>1</v>
      </c>
    </row>
    <row r="3185" spans="1:6" x14ac:dyDescent="0.25">
      <c r="A3185" t="s">
        <v>5056</v>
      </c>
      <c r="B3185" t="s">
        <v>5054</v>
      </c>
      <c r="C3185" t="s">
        <v>5055</v>
      </c>
      <c r="D3185" s="2">
        <v>45925</v>
      </c>
      <c r="E3185">
        <v>28</v>
      </c>
      <c r="F3185">
        <v>2</v>
      </c>
    </row>
    <row r="3186" spans="1:6" x14ac:dyDescent="0.25">
      <c r="A3186" t="s">
        <v>5057</v>
      </c>
      <c r="B3186" t="s">
        <v>5054</v>
      </c>
      <c r="C3186" t="s">
        <v>5055</v>
      </c>
      <c r="D3186" s="2">
        <v>45953</v>
      </c>
      <c r="E3186">
        <v>28</v>
      </c>
      <c r="F3186">
        <v>3</v>
      </c>
    </row>
    <row r="3187" spans="1:6" x14ac:dyDescent="0.25">
      <c r="A3187" t="s">
        <v>5058</v>
      </c>
      <c r="B3187" t="s">
        <v>5059</v>
      </c>
      <c r="C3187" t="s">
        <v>5060</v>
      </c>
      <c r="D3187" s="2">
        <v>45948</v>
      </c>
      <c r="E3187">
        <v>30</v>
      </c>
      <c r="F3187">
        <v>1</v>
      </c>
    </row>
    <row r="3188" spans="1:6" x14ac:dyDescent="0.25">
      <c r="A3188" t="s">
        <v>5061</v>
      </c>
      <c r="B3188" t="s">
        <v>5062</v>
      </c>
      <c r="C3188" t="s">
        <v>5063</v>
      </c>
      <c r="D3188" s="2">
        <v>45869</v>
      </c>
      <c r="E3188">
        <v>28</v>
      </c>
      <c r="F3188">
        <v>1</v>
      </c>
    </row>
    <row r="3189" spans="1:6" x14ac:dyDescent="0.25">
      <c r="A3189" t="s">
        <v>5064</v>
      </c>
      <c r="B3189" t="s">
        <v>5062</v>
      </c>
      <c r="C3189" t="s">
        <v>5063</v>
      </c>
      <c r="D3189" s="2">
        <v>45898</v>
      </c>
      <c r="E3189">
        <v>28</v>
      </c>
      <c r="F3189">
        <v>2</v>
      </c>
    </row>
    <row r="3190" spans="1:6" x14ac:dyDescent="0.25">
      <c r="A3190" t="s">
        <v>5065</v>
      </c>
      <c r="B3190" t="s">
        <v>5062</v>
      </c>
      <c r="C3190" t="s">
        <v>5063</v>
      </c>
      <c r="D3190" s="2">
        <v>45927</v>
      </c>
      <c r="E3190">
        <v>28</v>
      </c>
      <c r="F3190">
        <v>3</v>
      </c>
    </row>
    <row r="3191" spans="1:6" x14ac:dyDescent="0.25">
      <c r="A3191" t="s">
        <v>5066</v>
      </c>
      <c r="B3191" t="s">
        <v>5067</v>
      </c>
      <c r="C3191" t="s">
        <v>5068</v>
      </c>
      <c r="D3191" s="2">
        <v>45794</v>
      </c>
      <c r="E3191">
        <v>30</v>
      </c>
      <c r="F3191">
        <v>1</v>
      </c>
    </row>
    <row r="3192" spans="1:6" x14ac:dyDescent="0.25">
      <c r="A3192" t="s">
        <v>5069</v>
      </c>
      <c r="B3192" t="s">
        <v>5067</v>
      </c>
      <c r="C3192" t="s">
        <v>5068</v>
      </c>
      <c r="D3192" s="2">
        <v>45827</v>
      </c>
      <c r="E3192">
        <v>30</v>
      </c>
      <c r="F3192">
        <v>2</v>
      </c>
    </row>
    <row r="3193" spans="1:6" x14ac:dyDescent="0.25">
      <c r="A3193" t="s">
        <v>5070</v>
      </c>
      <c r="B3193" t="s">
        <v>5067</v>
      </c>
      <c r="C3193" t="s">
        <v>5068</v>
      </c>
      <c r="D3193" s="2">
        <v>45858</v>
      </c>
      <c r="E3193">
        <v>30</v>
      </c>
      <c r="F3193">
        <v>3</v>
      </c>
    </row>
    <row r="3194" spans="1:6" x14ac:dyDescent="0.25">
      <c r="A3194" t="s">
        <v>5071</v>
      </c>
      <c r="B3194" t="s">
        <v>5067</v>
      </c>
      <c r="C3194" t="s">
        <v>5068</v>
      </c>
      <c r="D3194" s="2">
        <v>45888</v>
      </c>
      <c r="E3194">
        <v>30</v>
      </c>
      <c r="F3194">
        <v>4</v>
      </c>
    </row>
    <row r="3195" spans="1:6" x14ac:dyDescent="0.25">
      <c r="A3195" t="s">
        <v>5072</v>
      </c>
      <c r="B3195" t="s">
        <v>5067</v>
      </c>
      <c r="C3195" t="s">
        <v>5068</v>
      </c>
      <c r="D3195" s="2">
        <v>45918</v>
      </c>
      <c r="E3195">
        <v>30</v>
      </c>
      <c r="F3195">
        <v>5</v>
      </c>
    </row>
    <row r="3196" spans="1:6" x14ac:dyDescent="0.25">
      <c r="A3196" t="s">
        <v>5073</v>
      </c>
      <c r="B3196" t="s">
        <v>5067</v>
      </c>
      <c r="C3196" t="s">
        <v>5068</v>
      </c>
      <c r="D3196" s="2">
        <v>45948</v>
      </c>
      <c r="E3196">
        <v>30</v>
      </c>
      <c r="F3196">
        <v>6</v>
      </c>
    </row>
    <row r="3197" spans="1:6" x14ac:dyDescent="0.25">
      <c r="A3197" t="s">
        <v>5074</v>
      </c>
      <c r="B3197" t="s">
        <v>5075</v>
      </c>
      <c r="C3197" t="s">
        <v>5076</v>
      </c>
      <c r="D3197" s="2">
        <v>45914</v>
      </c>
      <c r="E3197">
        <v>28</v>
      </c>
      <c r="F3197">
        <v>1</v>
      </c>
    </row>
    <row r="3198" spans="1:6" x14ac:dyDescent="0.25">
      <c r="A3198" t="s">
        <v>5077</v>
      </c>
      <c r="B3198" t="s">
        <v>5075</v>
      </c>
      <c r="C3198" t="s">
        <v>5076</v>
      </c>
      <c r="D3198" s="2">
        <v>45945</v>
      </c>
      <c r="E3198">
        <v>28</v>
      </c>
      <c r="F3198">
        <v>2</v>
      </c>
    </row>
    <row r="3199" spans="1:6" x14ac:dyDescent="0.25">
      <c r="A3199" t="s">
        <v>5078</v>
      </c>
      <c r="B3199" t="s">
        <v>5079</v>
      </c>
      <c r="C3199" t="s">
        <v>5080</v>
      </c>
      <c r="D3199" s="2">
        <v>45833</v>
      </c>
      <c r="E3199">
        <v>30</v>
      </c>
      <c r="F3199">
        <v>1</v>
      </c>
    </row>
    <row r="3200" spans="1:6" x14ac:dyDescent="0.25">
      <c r="A3200" t="s">
        <v>5081</v>
      </c>
      <c r="B3200" t="s">
        <v>5079</v>
      </c>
      <c r="C3200" t="s">
        <v>5080</v>
      </c>
      <c r="D3200" s="2">
        <v>45860</v>
      </c>
      <c r="E3200">
        <v>30</v>
      </c>
      <c r="F3200">
        <v>2</v>
      </c>
    </row>
    <row r="3201" spans="1:6" x14ac:dyDescent="0.25">
      <c r="A3201" t="s">
        <v>5082</v>
      </c>
      <c r="B3201" t="s">
        <v>5079</v>
      </c>
      <c r="C3201" t="s">
        <v>5080</v>
      </c>
      <c r="D3201" s="2">
        <v>45887</v>
      </c>
      <c r="E3201">
        <v>30</v>
      </c>
      <c r="F3201">
        <v>3</v>
      </c>
    </row>
    <row r="3202" spans="1:6" x14ac:dyDescent="0.25">
      <c r="A3202" t="s">
        <v>5083</v>
      </c>
      <c r="B3202" t="s">
        <v>5079</v>
      </c>
      <c r="C3202" t="s">
        <v>5080</v>
      </c>
      <c r="D3202" s="2">
        <v>45920</v>
      </c>
      <c r="E3202">
        <v>30</v>
      </c>
      <c r="F3202">
        <v>4</v>
      </c>
    </row>
    <row r="3203" spans="1:6" x14ac:dyDescent="0.25">
      <c r="A3203" t="s">
        <v>5084</v>
      </c>
      <c r="B3203" t="s">
        <v>5079</v>
      </c>
      <c r="C3203" t="s">
        <v>5080</v>
      </c>
      <c r="D3203" s="2">
        <v>45949</v>
      </c>
      <c r="E3203">
        <v>30</v>
      </c>
      <c r="F3203">
        <v>5</v>
      </c>
    </row>
    <row r="3204" spans="1:6" x14ac:dyDescent="0.25">
      <c r="A3204" t="s">
        <v>5085</v>
      </c>
      <c r="B3204" t="s">
        <v>5086</v>
      </c>
      <c r="C3204" t="s">
        <v>5087</v>
      </c>
      <c r="D3204" s="2">
        <v>45832</v>
      </c>
      <c r="E3204">
        <v>21</v>
      </c>
      <c r="F3204">
        <v>1</v>
      </c>
    </row>
    <row r="3205" spans="1:6" x14ac:dyDescent="0.25">
      <c r="A3205" t="s">
        <v>5088</v>
      </c>
      <c r="B3205" t="s">
        <v>5086</v>
      </c>
      <c r="C3205" t="s">
        <v>5087</v>
      </c>
      <c r="D3205" s="2">
        <v>45850</v>
      </c>
      <c r="E3205">
        <v>21</v>
      </c>
      <c r="F3205">
        <v>2</v>
      </c>
    </row>
    <row r="3206" spans="1:6" x14ac:dyDescent="0.25">
      <c r="A3206" t="s">
        <v>5089</v>
      </c>
      <c r="B3206" t="s">
        <v>5086</v>
      </c>
      <c r="C3206" t="s">
        <v>5087</v>
      </c>
      <c r="D3206" s="2">
        <v>45873</v>
      </c>
      <c r="E3206">
        <v>21</v>
      </c>
      <c r="F3206">
        <v>3</v>
      </c>
    </row>
    <row r="3207" spans="1:6" x14ac:dyDescent="0.25">
      <c r="A3207" t="s">
        <v>5090</v>
      </c>
      <c r="B3207" t="s">
        <v>5086</v>
      </c>
      <c r="C3207" t="s">
        <v>5087</v>
      </c>
      <c r="D3207" s="2">
        <v>45894</v>
      </c>
      <c r="E3207">
        <v>21</v>
      </c>
      <c r="F3207">
        <v>4</v>
      </c>
    </row>
    <row r="3208" spans="1:6" x14ac:dyDescent="0.25">
      <c r="A3208" t="s">
        <v>5091</v>
      </c>
      <c r="B3208" t="s">
        <v>5086</v>
      </c>
      <c r="C3208" t="s">
        <v>5087</v>
      </c>
      <c r="D3208" s="2">
        <v>45915</v>
      </c>
      <c r="E3208">
        <v>21</v>
      </c>
      <c r="F3208">
        <v>5</v>
      </c>
    </row>
    <row r="3209" spans="1:6" x14ac:dyDescent="0.25">
      <c r="A3209" t="s">
        <v>5092</v>
      </c>
      <c r="B3209" t="s">
        <v>5086</v>
      </c>
      <c r="C3209" t="s">
        <v>5087</v>
      </c>
      <c r="D3209" s="2">
        <v>45935</v>
      </c>
      <c r="E3209">
        <v>21</v>
      </c>
      <c r="F3209">
        <v>6</v>
      </c>
    </row>
    <row r="3210" spans="1:6" x14ac:dyDescent="0.25">
      <c r="A3210" t="s">
        <v>5093</v>
      </c>
      <c r="B3210" t="s">
        <v>5086</v>
      </c>
      <c r="C3210" t="s">
        <v>5087</v>
      </c>
      <c r="D3210" s="2">
        <v>45955</v>
      </c>
      <c r="E3210">
        <v>21</v>
      </c>
      <c r="F3210">
        <v>7</v>
      </c>
    </row>
    <row r="3211" spans="1:6" x14ac:dyDescent="0.25">
      <c r="A3211" t="s">
        <v>5094</v>
      </c>
      <c r="B3211" t="s">
        <v>5095</v>
      </c>
      <c r="C3211" t="s">
        <v>5096</v>
      </c>
      <c r="D3211" s="2">
        <v>45846</v>
      </c>
      <c r="E3211">
        <v>28</v>
      </c>
      <c r="F3211">
        <v>1</v>
      </c>
    </row>
    <row r="3212" spans="1:6" x14ac:dyDescent="0.25">
      <c r="A3212" t="s">
        <v>5097</v>
      </c>
      <c r="B3212" t="s">
        <v>5098</v>
      </c>
      <c r="C3212" t="s">
        <v>5099</v>
      </c>
      <c r="D3212" s="2">
        <v>45850</v>
      </c>
      <c r="E3212">
        <v>28</v>
      </c>
      <c r="F3212">
        <v>1</v>
      </c>
    </row>
    <row r="3213" spans="1:6" x14ac:dyDescent="0.25">
      <c r="A3213" t="s">
        <v>5100</v>
      </c>
      <c r="B3213" t="s">
        <v>5098</v>
      </c>
      <c r="C3213" t="s">
        <v>5099</v>
      </c>
      <c r="D3213" s="2">
        <v>45877</v>
      </c>
      <c r="E3213">
        <v>28</v>
      </c>
      <c r="F3213">
        <v>2</v>
      </c>
    </row>
    <row r="3214" spans="1:6" x14ac:dyDescent="0.25">
      <c r="A3214" t="s">
        <v>5101</v>
      </c>
      <c r="B3214" t="s">
        <v>5102</v>
      </c>
      <c r="C3214" t="s">
        <v>5103</v>
      </c>
      <c r="D3214" s="2">
        <v>45918</v>
      </c>
      <c r="E3214">
        <v>30</v>
      </c>
      <c r="F3214">
        <v>1</v>
      </c>
    </row>
    <row r="3215" spans="1:6" x14ac:dyDescent="0.25">
      <c r="A3215" t="s">
        <v>5104</v>
      </c>
      <c r="B3215" t="s">
        <v>5102</v>
      </c>
      <c r="C3215" t="s">
        <v>5103</v>
      </c>
      <c r="D3215" s="2">
        <v>45945</v>
      </c>
      <c r="E3215">
        <v>30</v>
      </c>
      <c r="F3215">
        <v>2</v>
      </c>
    </row>
    <row r="3216" spans="1:6" x14ac:dyDescent="0.25">
      <c r="A3216" t="s">
        <v>5105</v>
      </c>
      <c r="B3216" t="s">
        <v>5106</v>
      </c>
      <c r="C3216" t="s">
        <v>5107</v>
      </c>
      <c r="D3216" s="2">
        <v>45811</v>
      </c>
      <c r="E3216">
        <v>56</v>
      </c>
      <c r="F3216">
        <v>1</v>
      </c>
    </row>
    <row r="3217" spans="1:6" x14ac:dyDescent="0.25">
      <c r="A3217" t="s">
        <v>5108</v>
      </c>
      <c r="B3217" t="s">
        <v>5106</v>
      </c>
      <c r="C3217" t="s">
        <v>5107</v>
      </c>
      <c r="D3217" s="2">
        <v>45865</v>
      </c>
      <c r="E3217">
        <v>56</v>
      </c>
      <c r="F3217">
        <v>2</v>
      </c>
    </row>
    <row r="3218" spans="1:6" x14ac:dyDescent="0.25">
      <c r="A3218" t="s">
        <v>5109</v>
      </c>
      <c r="B3218" t="s">
        <v>5106</v>
      </c>
      <c r="C3218" t="s">
        <v>5107</v>
      </c>
      <c r="D3218" s="2">
        <v>45920</v>
      </c>
      <c r="E3218">
        <v>56</v>
      </c>
      <c r="F3218">
        <v>3</v>
      </c>
    </row>
    <row r="3219" spans="1:6" x14ac:dyDescent="0.25">
      <c r="A3219" t="s">
        <v>5110</v>
      </c>
      <c r="B3219" t="s">
        <v>5111</v>
      </c>
      <c r="C3219" t="s">
        <v>5112</v>
      </c>
      <c r="D3219" s="2">
        <v>45902</v>
      </c>
      <c r="E3219">
        <v>14</v>
      </c>
      <c r="F3219">
        <v>1</v>
      </c>
    </row>
    <row r="3220" spans="1:6" x14ac:dyDescent="0.25">
      <c r="A3220" t="s">
        <v>5113</v>
      </c>
      <c r="B3220" t="s">
        <v>5111</v>
      </c>
      <c r="C3220" t="s">
        <v>5112</v>
      </c>
      <c r="D3220" s="2">
        <v>45919</v>
      </c>
      <c r="E3220">
        <v>14</v>
      </c>
      <c r="F3220">
        <v>2</v>
      </c>
    </row>
    <row r="3221" spans="1:6" x14ac:dyDescent="0.25">
      <c r="A3221" t="s">
        <v>5114</v>
      </c>
      <c r="B3221" t="s">
        <v>5111</v>
      </c>
      <c r="C3221" t="s">
        <v>5112</v>
      </c>
      <c r="D3221" s="2">
        <v>45934</v>
      </c>
      <c r="E3221">
        <v>14</v>
      </c>
      <c r="F3221">
        <v>3</v>
      </c>
    </row>
    <row r="3222" spans="1:6" x14ac:dyDescent="0.25">
      <c r="A3222" t="s">
        <v>5115</v>
      </c>
      <c r="B3222" t="s">
        <v>5111</v>
      </c>
      <c r="C3222" t="s">
        <v>5112</v>
      </c>
      <c r="D3222" s="2">
        <v>45948</v>
      </c>
      <c r="E3222">
        <v>14</v>
      </c>
      <c r="F3222">
        <v>4</v>
      </c>
    </row>
    <row r="3223" spans="1:6" x14ac:dyDescent="0.25">
      <c r="A3223" t="s">
        <v>5116</v>
      </c>
      <c r="B3223" t="s">
        <v>5111</v>
      </c>
      <c r="C3223" t="s">
        <v>5112</v>
      </c>
      <c r="D3223" s="2">
        <v>45959</v>
      </c>
      <c r="E3223">
        <v>14</v>
      </c>
      <c r="F3223">
        <v>5</v>
      </c>
    </row>
    <row r="3224" spans="1:6" x14ac:dyDescent="0.25">
      <c r="A3224" t="s">
        <v>5117</v>
      </c>
      <c r="B3224" t="s">
        <v>5118</v>
      </c>
      <c r="C3224" t="s">
        <v>5119</v>
      </c>
      <c r="D3224" s="2">
        <v>45865</v>
      </c>
      <c r="E3224">
        <v>28</v>
      </c>
      <c r="F3224">
        <v>1</v>
      </c>
    </row>
    <row r="3225" spans="1:6" x14ac:dyDescent="0.25">
      <c r="A3225" t="s">
        <v>5120</v>
      </c>
      <c r="B3225" t="s">
        <v>5121</v>
      </c>
      <c r="C3225" t="s">
        <v>5122</v>
      </c>
      <c r="D3225" s="2">
        <v>45790</v>
      </c>
      <c r="E3225">
        <v>30</v>
      </c>
      <c r="F3225">
        <v>1</v>
      </c>
    </row>
    <row r="3226" spans="1:6" x14ac:dyDescent="0.25">
      <c r="A3226" t="s">
        <v>5123</v>
      </c>
      <c r="B3226" t="s">
        <v>5121</v>
      </c>
      <c r="C3226" t="s">
        <v>5122</v>
      </c>
      <c r="D3226" s="2">
        <v>45821</v>
      </c>
      <c r="E3226">
        <v>30</v>
      </c>
      <c r="F3226">
        <v>2</v>
      </c>
    </row>
    <row r="3227" spans="1:6" x14ac:dyDescent="0.25">
      <c r="A3227" t="s">
        <v>5124</v>
      </c>
      <c r="B3227" t="s">
        <v>5125</v>
      </c>
      <c r="C3227" t="s">
        <v>5126</v>
      </c>
      <c r="D3227" s="2">
        <v>45803</v>
      </c>
      <c r="E3227">
        <v>21</v>
      </c>
      <c r="F3227">
        <v>1</v>
      </c>
    </row>
    <row r="3228" spans="1:6" x14ac:dyDescent="0.25">
      <c r="A3228" t="s">
        <v>5127</v>
      </c>
      <c r="B3228" t="s">
        <v>5125</v>
      </c>
      <c r="C3228" t="s">
        <v>5126</v>
      </c>
      <c r="D3228" s="2">
        <v>45821</v>
      </c>
      <c r="E3228">
        <v>21</v>
      </c>
      <c r="F3228">
        <v>2</v>
      </c>
    </row>
    <row r="3229" spans="1:6" x14ac:dyDescent="0.25">
      <c r="A3229" t="s">
        <v>5128</v>
      </c>
      <c r="B3229" t="s">
        <v>5125</v>
      </c>
      <c r="C3229" t="s">
        <v>5126</v>
      </c>
      <c r="D3229" s="2">
        <v>45842</v>
      </c>
      <c r="E3229">
        <v>21</v>
      </c>
      <c r="F3229">
        <v>3</v>
      </c>
    </row>
    <row r="3230" spans="1:6" x14ac:dyDescent="0.25">
      <c r="A3230" t="s">
        <v>5129</v>
      </c>
      <c r="B3230" t="s">
        <v>5125</v>
      </c>
      <c r="C3230" t="s">
        <v>5126</v>
      </c>
      <c r="D3230" s="2">
        <v>45865</v>
      </c>
      <c r="E3230">
        <v>21</v>
      </c>
      <c r="F3230">
        <v>4</v>
      </c>
    </row>
    <row r="3231" spans="1:6" x14ac:dyDescent="0.25">
      <c r="A3231" t="s">
        <v>5130</v>
      </c>
      <c r="B3231" t="s">
        <v>5125</v>
      </c>
      <c r="C3231" t="s">
        <v>5126</v>
      </c>
      <c r="D3231" s="2">
        <v>45884</v>
      </c>
      <c r="E3231">
        <v>21</v>
      </c>
      <c r="F3231">
        <v>5</v>
      </c>
    </row>
    <row r="3232" spans="1:6" x14ac:dyDescent="0.25">
      <c r="A3232" t="s">
        <v>5131</v>
      </c>
      <c r="B3232" t="s">
        <v>5125</v>
      </c>
      <c r="C3232" t="s">
        <v>5126</v>
      </c>
      <c r="D3232" s="2">
        <v>45905</v>
      </c>
      <c r="E3232">
        <v>21</v>
      </c>
      <c r="F3232">
        <v>6</v>
      </c>
    </row>
    <row r="3233" spans="1:6" x14ac:dyDescent="0.25">
      <c r="A3233" t="s">
        <v>5132</v>
      </c>
      <c r="B3233" t="s">
        <v>5125</v>
      </c>
      <c r="C3233" t="s">
        <v>5126</v>
      </c>
      <c r="D3233" s="2">
        <v>45929</v>
      </c>
      <c r="E3233">
        <v>21</v>
      </c>
      <c r="F3233">
        <v>7</v>
      </c>
    </row>
    <row r="3234" spans="1:6" x14ac:dyDescent="0.25">
      <c r="A3234" t="s">
        <v>5133</v>
      </c>
      <c r="B3234" t="s">
        <v>5125</v>
      </c>
      <c r="C3234" t="s">
        <v>5126</v>
      </c>
      <c r="D3234" s="2">
        <v>45952</v>
      </c>
      <c r="E3234">
        <v>21</v>
      </c>
      <c r="F3234">
        <v>8</v>
      </c>
    </row>
    <row r="3235" spans="1:6" x14ac:dyDescent="0.25">
      <c r="A3235" t="s">
        <v>5134</v>
      </c>
      <c r="B3235" t="s">
        <v>5135</v>
      </c>
      <c r="C3235" t="s">
        <v>5136</v>
      </c>
      <c r="D3235" s="2">
        <v>45895</v>
      </c>
      <c r="E3235">
        <v>28</v>
      </c>
      <c r="F3235">
        <v>1</v>
      </c>
    </row>
    <row r="3236" spans="1:6" x14ac:dyDescent="0.25">
      <c r="A3236" t="s">
        <v>5137</v>
      </c>
      <c r="B3236" t="s">
        <v>5135</v>
      </c>
      <c r="C3236" t="s">
        <v>5136</v>
      </c>
      <c r="D3236" s="2">
        <v>45922</v>
      </c>
      <c r="E3236">
        <v>28</v>
      </c>
      <c r="F3236">
        <v>2</v>
      </c>
    </row>
    <row r="3237" spans="1:6" x14ac:dyDescent="0.25">
      <c r="A3237" t="s">
        <v>5138</v>
      </c>
      <c r="B3237" t="s">
        <v>5139</v>
      </c>
      <c r="C3237" t="s">
        <v>5140</v>
      </c>
      <c r="D3237" s="2">
        <v>45809</v>
      </c>
      <c r="E3237">
        <v>21</v>
      </c>
      <c r="F3237">
        <v>1</v>
      </c>
    </row>
    <row r="3238" spans="1:6" x14ac:dyDescent="0.25">
      <c r="A3238" t="s">
        <v>5141</v>
      </c>
      <c r="B3238" t="s">
        <v>5139</v>
      </c>
      <c r="C3238" t="s">
        <v>5140</v>
      </c>
      <c r="D3238" s="2">
        <v>45832</v>
      </c>
      <c r="E3238">
        <v>21</v>
      </c>
      <c r="F3238">
        <v>2</v>
      </c>
    </row>
    <row r="3239" spans="1:6" x14ac:dyDescent="0.25">
      <c r="A3239" t="s">
        <v>5142</v>
      </c>
      <c r="B3239" t="s">
        <v>5139</v>
      </c>
      <c r="C3239" t="s">
        <v>5140</v>
      </c>
      <c r="D3239" s="2">
        <v>45856</v>
      </c>
      <c r="E3239">
        <v>21</v>
      </c>
      <c r="F3239">
        <v>3</v>
      </c>
    </row>
    <row r="3240" spans="1:6" x14ac:dyDescent="0.25">
      <c r="A3240" t="s">
        <v>5143</v>
      </c>
      <c r="B3240" t="s">
        <v>5139</v>
      </c>
      <c r="C3240" t="s">
        <v>5140</v>
      </c>
      <c r="D3240" s="2">
        <v>45880</v>
      </c>
      <c r="E3240">
        <v>21</v>
      </c>
      <c r="F3240">
        <v>4</v>
      </c>
    </row>
    <row r="3241" spans="1:6" x14ac:dyDescent="0.25">
      <c r="A3241" t="s">
        <v>5144</v>
      </c>
      <c r="B3241" t="s">
        <v>5139</v>
      </c>
      <c r="C3241" t="s">
        <v>5140</v>
      </c>
      <c r="D3241" s="2">
        <v>45902</v>
      </c>
      <c r="E3241">
        <v>21</v>
      </c>
      <c r="F3241">
        <v>5</v>
      </c>
    </row>
    <row r="3242" spans="1:6" x14ac:dyDescent="0.25">
      <c r="A3242" t="s">
        <v>5145</v>
      </c>
      <c r="B3242" t="s">
        <v>5139</v>
      </c>
      <c r="C3242" t="s">
        <v>5140</v>
      </c>
      <c r="D3242" s="2">
        <v>45922</v>
      </c>
      <c r="E3242">
        <v>21</v>
      </c>
      <c r="F3242">
        <v>6</v>
      </c>
    </row>
    <row r="3243" spans="1:6" x14ac:dyDescent="0.25">
      <c r="A3243" t="s">
        <v>5146</v>
      </c>
      <c r="B3243" t="s">
        <v>5139</v>
      </c>
      <c r="C3243" t="s">
        <v>5140</v>
      </c>
      <c r="D3243" s="2">
        <v>45940</v>
      </c>
      <c r="E3243">
        <v>21</v>
      </c>
      <c r="F3243">
        <v>7</v>
      </c>
    </row>
    <row r="3244" spans="1:6" x14ac:dyDescent="0.25">
      <c r="A3244" t="s">
        <v>5147</v>
      </c>
      <c r="B3244" t="s">
        <v>5148</v>
      </c>
      <c r="C3244" t="s">
        <v>5149</v>
      </c>
      <c r="D3244" s="2">
        <v>45818</v>
      </c>
      <c r="E3244">
        <v>28</v>
      </c>
      <c r="F3244">
        <v>1</v>
      </c>
    </row>
    <row r="3245" spans="1:6" x14ac:dyDescent="0.25">
      <c r="A3245" t="s">
        <v>5150</v>
      </c>
      <c r="B3245" t="s">
        <v>5151</v>
      </c>
      <c r="C3245" t="s">
        <v>5152</v>
      </c>
      <c r="D3245" s="2">
        <v>45894</v>
      </c>
      <c r="E3245">
        <v>28</v>
      </c>
      <c r="F3245">
        <v>1</v>
      </c>
    </row>
    <row r="3246" spans="1:6" x14ac:dyDescent="0.25">
      <c r="A3246" t="s">
        <v>5153</v>
      </c>
      <c r="B3246" t="s">
        <v>5151</v>
      </c>
      <c r="C3246" t="s">
        <v>5152</v>
      </c>
      <c r="D3246" s="2">
        <v>45924</v>
      </c>
      <c r="E3246">
        <v>28</v>
      </c>
      <c r="F3246">
        <v>2</v>
      </c>
    </row>
    <row r="3247" spans="1:6" x14ac:dyDescent="0.25">
      <c r="A3247" t="s">
        <v>5154</v>
      </c>
      <c r="B3247" t="s">
        <v>5151</v>
      </c>
      <c r="C3247" t="s">
        <v>5152</v>
      </c>
      <c r="D3247" s="2">
        <v>45954</v>
      </c>
      <c r="E3247">
        <v>28</v>
      </c>
      <c r="F3247">
        <v>3</v>
      </c>
    </row>
    <row r="3248" spans="1:6" x14ac:dyDescent="0.25">
      <c r="A3248" t="s">
        <v>5155</v>
      </c>
      <c r="B3248" t="s">
        <v>5156</v>
      </c>
      <c r="C3248" t="s">
        <v>5157</v>
      </c>
      <c r="D3248" s="2">
        <v>45887</v>
      </c>
      <c r="E3248">
        <v>21</v>
      </c>
      <c r="F3248">
        <v>1</v>
      </c>
    </row>
    <row r="3249" spans="1:6" x14ac:dyDescent="0.25">
      <c r="A3249" t="s">
        <v>5158</v>
      </c>
      <c r="B3249" t="s">
        <v>5156</v>
      </c>
      <c r="C3249" t="s">
        <v>5157</v>
      </c>
      <c r="D3249" s="2">
        <v>45909</v>
      </c>
      <c r="E3249">
        <v>21</v>
      </c>
      <c r="F3249">
        <v>2</v>
      </c>
    </row>
    <row r="3250" spans="1:6" x14ac:dyDescent="0.25">
      <c r="A3250" t="s">
        <v>5159</v>
      </c>
      <c r="B3250" t="s">
        <v>5156</v>
      </c>
      <c r="C3250" t="s">
        <v>5157</v>
      </c>
      <c r="D3250" s="2">
        <v>45929</v>
      </c>
      <c r="E3250">
        <v>21</v>
      </c>
      <c r="F3250">
        <v>3</v>
      </c>
    </row>
    <row r="3251" spans="1:6" x14ac:dyDescent="0.25">
      <c r="A3251" t="s">
        <v>5160</v>
      </c>
      <c r="B3251" t="s">
        <v>5156</v>
      </c>
      <c r="C3251" t="s">
        <v>5157</v>
      </c>
      <c r="D3251" s="2">
        <v>45951</v>
      </c>
      <c r="E3251">
        <v>21</v>
      </c>
      <c r="F3251">
        <v>4</v>
      </c>
    </row>
    <row r="3252" spans="1:6" x14ac:dyDescent="0.25">
      <c r="A3252" t="s">
        <v>5161</v>
      </c>
      <c r="B3252" t="s">
        <v>5162</v>
      </c>
      <c r="C3252" t="s">
        <v>5163</v>
      </c>
      <c r="D3252" s="2">
        <v>45954</v>
      </c>
      <c r="E3252">
        <v>14</v>
      </c>
      <c r="F3252">
        <v>1</v>
      </c>
    </row>
    <row r="3253" spans="1:6" x14ac:dyDescent="0.25">
      <c r="A3253" t="s">
        <v>5164</v>
      </c>
      <c r="B3253" t="s">
        <v>5165</v>
      </c>
      <c r="C3253" t="s">
        <v>5166</v>
      </c>
      <c r="D3253" s="2">
        <v>45944</v>
      </c>
      <c r="E3253">
        <v>30</v>
      </c>
      <c r="F3253">
        <v>1</v>
      </c>
    </row>
    <row r="3254" spans="1:6" x14ac:dyDescent="0.25">
      <c r="A3254" t="s">
        <v>5167</v>
      </c>
      <c r="B3254" t="s">
        <v>5168</v>
      </c>
      <c r="C3254" t="s">
        <v>5169</v>
      </c>
      <c r="D3254" s="2">
        <v>45818</v>
      </c>
      <c r="E3254">
        <v>28</v>
      </c>
      <c r="F3254">
        <v>1</v>
      </c>
    </row>
    <row r="3255" spans="1:6" x14ac:dyDescent="0.25">
      <c r="A3255" t="s">
        <v>5170</v>
      </c>
      <c r="B3255" t="s">
        <v>5168</v>
      </c>
      <c r="C3255" t="s">
        <v>5169</v>
      </c>
      <c r="D3255" s="2">
        <v>45843</v>
      </c>
      <c r="E3255">
        <v>28</v>
      </c>
      <c r="F3255">
        <v>2</v>
      </c>
    </row>
    <row r="3256" spans="1:6" x14ac:dyDescent="0.25">
      <c r="A3256" t="s">
        <v>5171</v>
      </c>
      <c r="B3256" t="s">
        <v>5168</v>
      </c>
      <c r="C3256" t="s">
        <v>5169</v>
      </c>
      <c r="D3256" s="2">
        <v>45874</v>
      </c>
      <c r="E3256">
        <v>28</v>
      </c>
      <c r="F3256">
        <v>3</v>
      </c>
    </row>
    <row r="3257" spans="1:6" x14ac:dyDescent="0.25">
      <c r="A3257" t="s">
        <v>5172</v>
      </c>
      <c r="B3257" t="s">
        <v>5168</v>
      </c>
      <c r="C3257" t="s">
        <v>5169</v>
      </c>
      <c r="D3257" s="2">
        <v>45903</v>
      </c>
      <c r="E3257">
        <v>28</v>
      </c>
      <c r="F3257">
        <v>4</v>
      </c>
    </row>
    <row r="3258" spans="1:6" x14ac:dyDescent="0.25">
      <c r="A3258" t="s">
        <v>5173</v>
      </c>
      <c r="B3258" t="s">
        <v>5168</v>
      </c>
      <c r="C3258" t="s">
        <v>5169</v>
      </c>
      <c r="D3258" s="2">
        <v>45930</v>
      </c>
      <c r="E3258">
        <v>28</v>
      </c>
      <c r="F3258">
        <v>5</v>
      </c>
    </row>
    <row r="3259" spans="1:6" x14ac:dyDescent="0.25">
      <c r="A3259" t="s">
        <v>5174</v>
      </c>
      <c r="B3259" t="s">
        <v>5168</v>
      </c>
      <c r="C3259" t="s">
        <v>5169</v>
      </c>
      <c r="D3259" s="2">
        <v>45960</v>
      </c>
      <c r="E3259">
        <v>28</v>
      </c>
      <c r="F3259">
        <v>6</v>
      </c>
    </row>
    <row r="3260" spans="1:6" x14ac:dyDescent="0.25">
      <c r="A3260" t="s">
        <v>5175</v>
      </c>
      <c r="B3260" t="s">
        <v>5176</v>
      </c>
      <c r="C3260" t="s">
        <v>5177</v>
      </c>
      <c r="D3260" s="2">
        <v>45801</v>
      </c>
      <c r="E3260">
        <v>30</v>
      </c>
      <c r="F3260">
        <v>1</v>
      </c>
    </row>
    <row r="3261" spans="1:6" x14ac:dyDescent="0.25">
      <c r="A3261" t="s">
        <v>5178</v>
      </c>
      <c r="B3261" t="s">
        <v>5176</v>
      </c>
      <c r="C3261" t="s">
        <v>5177</v>
      </c>
      <c r="D3261" s="2">
        <v>45831</v>
      </c>
      <c r="E3261">
        <v>30</v>
      </c>
      <c r="F3261">
        <v>2</v>
      </c>
    </row>
    <row r="3262" spans="1:6" x14ac:dyDescent="0.25">
      <c r="A3262" t="s">
        <v>5179</v>
      </c>
      <c r="B3262" t="s">
        <v>5176</v>
      </c>
      <c r="C3262" t="s">
        <v>5177</v>
      </c>
      <c r="D3262" s="2">
        <v>45862</v>
      </c>
      <c r="E3262">
        <v>30</v>
      </c>
      <c r="F3262">
        <v>3</v>
      </c>
    </row>
    <row r="3263" spans="1:6" x14ac:dyDescent="0.25">
      <c r="A3263" t="s">
        <v>5180</v>
      </c>
      <c r="B3263" t="s">
        <v>5181</v>
      </c>
      <c r="C3263" t="s">
        <v>5182</v>
      </c>
      <c r="D3263" s="2">
        <v>45870</v>
      </c>
      <c r="E3263">
        <v>28</v>
      </c>
      <c r="F3263">
        <v>1</v>
      </c>
    </row>
    <row r="3264" spans="1:6" x14ac:dyDescent="0.25">
      <c r="A3264" t="s">
        <v>5183</v>
      </c>
      <c r="B3264" t="s">
        <v>5181</v>
      </c>
      <c r="C3264" t="s">
        <v>5182</v>
      </c>
      <c r="D3264" s="2">
        <v>45896</v>
      </c>
      <c r="E3264">
        <v>28</v>
      </c>
      <c r="F3264">
        <v>2</v>
      </c>
    </row>
    <row r="3265" spans="1:6" x14ac:dyDescent="0.25">
      <c r="A3265" t="s">
        <v>5184</v>
      </c>
      <c r="B3265" t="s">
        <v>5185</v>
      </c>
      <c r="C3265" t="s">
        <v>5186</v>
      </c>
      <c r="D3265" s="2">
        <v>45799</v>
      </c>
      <c r="E3265">
        <v>28</v>
      </c>
      <c r="F3265">
        <v>1</v>
      </c>
    </row>
    <row r="3266" spans="1:6" x14ac:dyDescent="0.25">
      <c r="A3266" t="s">
        <v>5187</v>
      </c>
      <c r="B3266" t="s">
        <v>5185</v>
      </c>
      <c r="C3266" t="s">
        <v>5186</v>
      </c>
      <c r="D3266" s="2">
        <v>45828</v>
      </c>
      <c r="E3266">
        <v>28</v>
      </c>
      <c r="F3266">
        <v>2</v>
      </c>
    </row>
    <row r="3267" spans="1:6" x14ac:dyDescent="0.25">
      <c r="A3267" t="s">
        <v>5188</v>
      </c>
      <c r="B3267" t="s">
        <v>5189</v>
      </c>
      <c r="C3267" t="s">
        <v>5190</v>
      </c>
      <c r="D3267" s="2">
        <v>45948</v>
      </c>
      <c r="E3267">
        <v>28</v>
      </c>
      <c r="F3267">
        <v>1</v>
      </c>
    </row>
    <row r="3268" spans="1:6" x14ac:dyDescent="0.25">
      <c r="A3268" t="s">
        <v>5191</v>
      </c>
      <c r="B3268" t="s">
        <v>5192</v>
      </c>
      <c r="C3268" t="s">
        <v>5193</v>
      </c>
      <c r="D3268" s="2">
        <v>45820</v>
      </c>
      <c r="E3268">
        <v>28</v>
      </c>
      <c r="F3268">
        <v>1</v>
      </c>
    </row>
    <row r="3269" spans="1:6" x14ac:dyDescent="0.25">
      <c r="A3269" t="s">
        <v>5194</v>
      </c>
      <c r="B3269" t="s">
        <v>5192</v>
      </c>
      <c r="C3269" t="s">
        <v>5193</v>
      </c>
      <c r="D3269" s="2">
        <v>45851</v>
      </c>
      <c r="E3269">
        <v>28</v>
      </c>
      <c r="F3269">
        <v>2</v>
      </c>
    </row>
    <row r="3270" spans="1:6" x14ac:dyDescent="0.25">
      <c r="A3270" t="s">
        <v>5195</v>
      </c>
      <c r="B3270" t="s">
        <v>5192</v>
      </c>
      <c r="C3270" t="s">
        <v>5193</v>
      </c>
      <c r="D3270" s="2">
        <v>45879</v>
      </c>
      <c r="E3270">
        <v>28</v>
      </c>
      <c r="F3270">
        <v>3</v>
      </c>
    </row>
    <row r="3271" spans="1:6" x14ac:dyDescent="0.25">
      <c r="A3271" t="s">
        <v>5196</v>
      </c>
      <c r="B3271" t="s">
        <v>5192</v>
      </c>
      <c r="C3271" t="s">
        <v>5193</v>
      </c>
      <c r="D3271" s="2">
        <v>45909</v>
      </c>
      <c r="E3271">
        <v>28</v>
      </c>
      <c r="F3271">
        <v>4</v>
      </c>
    </row>
    <row r="3272" spans="1:6" x14ac:dyDescent="0.25">
      <c r="A3272" t="s">
        <v>5197</v>
      </c>
      <c r="B3272" t="s">
        <v>5192</v>
      </c>
      <c r="C3272" t="s">
        <v>5193</v>
      </c>
      <c r="D3272" s="2">
        <v>45940</v>
      </c>
      <c r="E3272">
        <v>28</v>
      </c>
      <c r="F3272">
        <v>5</v>
      </c>
    </row>
    <row r="3273" spans="1:6" x14ac:dyDescent="0.25">
      <c r="A3273" t="s">
        <v>5198</v>
      </c>
      <c r="B3273" t="s">
        <v>5199</v>
      </c>
      <c r="C3273" t="s">
        <v>5200</v>
      </c>
      <c r="D3273" s="2">
        <v>45879</v>
      </c>
      <c r="E3273">
        <v>30</v>
      </c>
      <c r="F3273">
        <v>1</v>
      </c>
    </row>
    <row r="3274" spans="1:6" x14ac:dyDescent="0.25">
      <c r="A3274" t="s">
        <v>5201</v>
      </c>
      <c r="B3274" t="s">
        <v>5199</v>
      </c>
      <c r="C3274" t="s">
        <v>5200</v>
      </c>
      <c r="D3274" s="2">
        <v>45910</v>
      </c>
      <c r="E3274">
        <v>30</v>
      </c>
      <c r="F3274">
        <v>2</v>
      </c>
    </row>
    <row r="3275" spans="1:6" x14ac:dyDescent="0.25">
      <c r="A3275" t="s">
        <v>5202</v>
      </c>
      <c r="B3275" t="s">
        <v>5199</v>
      </c>
      <c r="C3275" t="s">
        <v>5200</v>
      </c>
      <c r="D3275" s="2">
        <v>45937</v>
      </c>
      <c r="E3275">
        <v>30</v>
      </c>
      <c r="F3275">
        <v>3</v>
      </c>
    </row>
    <row r="3276" spans="1:6" x14ac:dyDescent="0.25">
      <c r="A3276" t="s">
        <v>5203</v>
      </c>
      <c r="B3276" t="s">
        <v>5204</v>
      </c>
      <c r="C3276" t="s">
        <v>5205</v>
      </c>
      <c r="D3276" s="2">
        <v>45856</v>
      </c>
      <c r="E3276">
        <v>28</v>
      </c>
      <c r="F3276">
        <v>1</v>
      </c>
    </row>
    <row r="3277" spans="1:6" x14ac:dyDescent="0.25">
      <c r="A3277" t="s">
        <v>5206</v>
      </c>
      <c r="B3277" t="s">
        <v>5204</v>
      </c>
      <c r="C3277" t="s">
        <v>5205</v>
      </c>
      <c r="D3277" s="2">
        <v>45884</v>
      </c>
      <c r="E3277">
        <v>28</v>
      </c>
      <c r="F3277">
        <v>2</v>
      </c>
    </row>
    <row r="3278" spans="1:6" x14ac:dyDescent="0.25">
      <c r="A3278" t="s">
        <v>5207</v>
      </c>
      <c r="B3278" t="s">
        <v>5204</v>
      </c>
      <c r="C3278" t="s">
        <v>5205</v>
      </c>
      <c r="D3278" s="2">
        <v>45910</v>
      </c>
      <c r="E3278">
        <v>28</v>
      </c>
      <c r="F3278">
        <v>3</v>
      </c>
    </row>
    <row r="3279" spans="1:6" x14ac:dyDescent="0.25">
      <c r="A3279" t="s">
        <v>5208</v>
      </c>
      <c r="B3279" t="s">
        <v>5204</v>
      </c>
      <c r="C3279" t="s">
        <v>5205</v>
      </c>
      <c r="D3279" s="2">
        <v>45940</v>
      </c>
      <c r="E3279">
        <v>28</v>
      </c>
      <c r="F3279">
        <v>4</v>
      </c>
    </row>
    <row r="3280" spans="1:6" x14ac:dyDescent="0.25">
      <c r="A3280" t="s">
        <v>5209</v>
      </c>
      <c r="B3280" t="s">
        <v>5210</v>
      </c>
      <c r="C3280" t="s">
        <v>5211</v>
      </c>
      <c r="D3280" s="2">
        <v>45957</v>
      </c>
      <c r="E3280">
        <v>28</v>
      </c>
      <c r="F3280">
        <v>1</v>
      </c>
    </row>
    <row r="3281" spans="1:6" x14ac:dyDescent="0.25">
      <c r="A3281" t="s">
        <v>5212</v>
      </c>
      <c r="B3281" t="s">
        <v>5213</v>
      </c>
      <c r="C3281" t="s">
        <v>5214</v>
      </c>
      <c r="D3281" s="2">
        <v>45837</v>
      </c>
      <c r="E3281">
        <v>30</v>
      </c>
      <c r="F3281">
        <v>1</v>
      </c>
    </row>
    <row r="3282" spans="1:6" x14ac:dyDescent="0.25">
      <c r="A3282" t="s">
        <v>5215</v>
      </c>
      <c r="B3282" t="s">
        <v>5213</v>
      </c>
      <c r="C3282" t="s">
        <v>5214</v>
      </c>
      <c r="D3282" s="2">
        <v>45866</v>
      </c>
      <c r="E3282">
        <v>30</v>
      </c>
      <c r="F3282">
        <v>2</v>
      </c>
    </row>
    <row r="3283" spans="1:6" x14ac:dyDescent="0.25">
      <c r="A3283" t="s">
        <v>5216</v>
      </c>
      <c r="B3283" t="s">
        <v>5217</v>
      </c>
      <c r="C3283" t="s">
        <v>5218</v>
      </c>
      <c r="D3283" s="2">
        <v>45945</v>
      </c>
      <c r="E3283">
        <v>30</v>
      </c>
      <c r="F3283">
        <v>1</v>
      </c>
    </row>
    <row r="3284" spans="1:6" x14ac:dyDescent="0.25">
      <c r="A3284" t="s">
        <v>5219</v>
      </c>
      <c r="B3284" t="s">
        <v>5220</v>
      </c>
      <c r="C3284" t="s">
        <v>5221</v>
      </c>
      <c r="D3284" s="2">
        <v>45958</v>
      </c>
      <c r="E3284">
        <v>28</v>
      </c>
      <c r="F3284">
        <v>1</v>
      </c>
    </row>
    <row r="3285" spans="1:6" x14ac:dyDescent="0.25">
      <c r="A3285" t="s">
        <v>5222</v>
      </c>
      <c r="B3285" t="s">
        <v>5223</v>
      </c>
      <c r="C3285" t="s">
        <v>5224</v>
      </c>
      <c r="D3285" s="2">
        <v>45778</v>
      </c>
      <c r="E3285">
        <v>21</v>
      </c>
      <c r="F3285">
        <v>1</v>
      </c>
    </row>
    <row r="3286" spans="1:6" x14ac:dyDescent="0.25">
      <c r="A3286" t="s">
        <v>5225</v>
      </c>
      <c r="B3286" t="s">
        <v>5223</v>
      </c>
      <c r="C3286" t="s">
        <v>5224</v>
      </c>
      <c r="D3286" s="2">
        <v>45802</v>
      </c>
      <c r="E3286">
        <v>21</v>
      </c>
      <c r="F3286">
        <v>2</v>
      </c>
    </row>
    <row r="3287" spans="1:6" x14ac:dyDescent="0.25">
      <c r="A3287" t="s">
        <v>5226</v>
      </c>
      <c r="B3287" t="s">
        <v>5223</v>
      </c>
      <c r="C3287" t="s">
        <v>5224</v>
      </c>
      <c r="D3287" s="2">
        <v>45825</v>
      </c>
      <c r="E3287">
        <v>21</v>
      </c>
      <c r="F3287">
        <v>3</v>
      </c>
    </row>
    <row r="3288" spans="1:6" x14ac:dyDescent="0.25">
      <c r="A3288" t="s">
        <v>5227</v>
      </c>
      <c r="B3288" t="s">
        <v>5223</v>
      </c>
      <c r="C3288" t="s">
        <v>5224</v>
      </c>
      <c r="D3288" s="2">
        <v>45845</v>
      </c>
      <c r="E3288">
        <v>21</v>
      </c>
      <c r="F3288">
        <v>4</v>
      </c>
    </row>
    <row r="3289" spans="1:6" x14ac:dyDescent="0.25">
      <c r="A3289" t="s">
        <v>5228</v>
      </c>
      <c r="B3289" t="s">
        <v>5223</v>
      </c>
      <c r="C3289" t="s">
        <v>5224</v>
      </c>
      <c r="D3289" s="2">
        <v>45867</v>
      </c>
      <c r="E3289">
        <v>21</v>
      </c>
      <c r="F3289">
        <v>5</v>
      </c>
    </row>
    <row r="3290" spans="1:6" x14ac:dyDescent="0.25">
      <c r="A3290" t="s">
        <v>5229</v>
      </c>
      <c r="B3290" t="s">
        <v>5223</v>
      </c>
      <c r="C3290" t="s">
        <v>5224</v>
      </c>
      <c r="D3290" s="2">
        <v>45888</v>
      </c>
      <c r="E3290">
        <v>21</v>
      </c>
      <c r="F3290">
        <v>6</v>
      </c>
    </row>
    <row r="3291" spans="1:6" x14ac:dyDescent="0.25">
      <c r="A3291" t="s">
        <v>5230</v>
      </c>
      <c r="B3291" t="s">
        <v>5223</v>
      </c>
      <c r="C3291" t="s">
        <v>5224</v>
      </c>
      <c r="D3291" s="2">
        <v>45906</v>
      </c>
      <c r="E3291">
        <v>21</v>
      </c>
      <c r="F3291">
        <v>7</v>
      </c>
    </row>
    <row r="3292" spans="1:6" x14ac:dyDescent="0.25">
      <c r="A3292" t="s">
        <v>5231</v>
      </c>
      <c r="B3292" t="s">
        <v>5223</v>
      </c>
      <c r="C3292" t="s">
        <v>5224</v>
      </c>
      <c r="D3292" s="2">
        <v>45925</v>
      </c>
      <c r="E3292">
        <v>21</v>
      </c>
      <c r="F3292">
        <v>8</v>
      </c>
    </row>
    <row r="3293" spans="1:6" x14ac:dyDescent="0.25">
      <c r="A3293" t="s">
        <v>5232</v>
      </c>
      <c r="B3293" t="s">
        <v>5223</v>
      </c>
      <c r="C3293" t="s">
        <v>5224</v>
      </c>
      <c r="D3293" s="2">
        <v>45944</v>
      </c>
      <c r="E3293">
        <v>21</v>
      </c>
      <c r="F3293">
        <v>9</v>
      </c>
    </row>
    <row r="3294" spans="1:6" x14ac:dyDescent="0.25">
      <c r="A3294" t="s">
        <v>5233</v>
      </c>
      <c r="B3294" t="s">
        <v>5234</v>
      </c>
      <c r="C3294" t="s">
        <v>5235</v>
      </c>
      <c r="D3294" s="2">
        <v>45900</v>
      </c>
      <c r="E3294">
        <v>28</v>
      </c>
      <c r="F3294">
        <v>1</v>
      </c>
    </row>
    <row r="3295" spans="1:6" x14ac:dyDescent="0.25">
      <c r="A3295" t="s">
        <v>5236</v>
      </c>
      <c r="B3295" t="s">
        <v>5234</v>
      </c>
      <c r="C3295" t="s">
        <v>5235</v>
      </c>
      <c r="D3295" s="2">
        <v>45928</v>
      </c>
      <c r="E3295">
        <v>28</v>
      </c>
      <c r="F3295">
        <v>2</v>
      </c>
    </row>
    <row r="3296" spans="1:6" x14ac:dyDescent="0.25">
      <c r="A3296" t="s">
        <v>5237</v>
      </c>
      <c r="B3296" t="s">
        <v>5234</v>
      </c>
      <c r="C3296" t="s">
        <v>5235</v>
      </c>
      <c r="D3296" s="2">
        <v>45957</v>
      </c>
      <c r="E3296">
        <v>28</v>
      </c>
      <c r="F3296">
        <v>3</v>
      </c>
    </row>
    <row r="3297" spans="1:6" x14ac:dyDescent="0.25">
      <c r="A3297" t="s">
        <v>5238</v>
      </c>
      <c r="B3297" t="s">
        <v>5239</v>
      </c>
      <c r="C3297" t="s">
        <v>5240</v>
      </c>
      <c r="D3297" s="2">
        <v>45811</v>
      </c>
      <c r="E3297">
        <v>28</v>
      </c>
      <c r="F3297">
        <v>1</v>
      </c>
    </row>
    <row r="3298" spans="1:6" x14ac:dyDescent="0.25">
      <c r="A3298" t="s">
        <v>5241</v>
      </c>
      <c r="B3298" t="s">
        <v>5242</v>
      </c>
      <c r="C3298" t="s">
        <v>5243</v>
      </c>
      <c r="D3298" s="2">
        <v>45835</v>
      </c>
      <c r="E3298">
        <v>28</v>
      </c>
      <c r="F3298">
        <v>1</v>
      </c>
    </row>
    <row r="3299" spans="1:6" x14ac:dyDescent="0.25">
      <c r="A3299" t="s">
        <v>5244</v>
      </c>
      <c r="B3299" t="s">
        <v>5242</v>
      </c>
      <c r="C3299" t="s">
        <v>5243</v>
      </c>
      <c r="D3299" s="2">
        <v>45861</v>
      </c>
      <c r="E3299">
        <v>28</v>
      </c>
      <c r="F3299">
        <v>2</v>
      </c>
    </row>
    <row r="3300" spans="1:6" x14ac:dyDescent="0.25">
      <c r="A3300" t="s">
        <v>5245</v>
      </c>
      <c r="B3300" t="s">
        <v>5242</v>
      </c>
      <c r="C3300" t="s">
        <v>5243</v>
      </c>
      <c r="D3300" s="2">
        <v>45887</v>
      </c>
      <c r="E3300">
        <v>28</v>
      </c>
      <c r="F3300">
        <v>3</v>
      </c>
    </row>
    <row r="3301" spans="1:6" x14ac:dyDescent="0.25">
      <c r="A3301" t="s">
        <v>5246</v>
      </c>
      <c r="B3301" t="s">
        <v>5242</v>
      </c>
      <c r="C3301" t="s">
        <v>5243</v>
      </c>
      <c r="D3301" s="2">
        <v>45914</v>
      </c>
      <c r="E3301">
        <v>28</v>
      </c>
      <c r="F3301">
        <v>4</v>
      </c>
    </row>
    <row r="3302" spans="1:6" x14ac:dyDescent="0.25">
      <c r="A3302" t="s">
        <v>5247</v>
      </c>
      <c r="B3302" t="s">
        <v>5242</v>
      </c>
      <c r="C3302" t="s">
        <v>5243</v>
      </c>
      <c r="D3302" s="2">
        <v>45945</v>
      </c>
      <c r="E3302">
        <v>28</v>
      </c>
      <c r="F3302">
        <v>5</v>
      </c>
    </row>
    <row r="3303" spans="1:6" x14ac:dyDescent="0.25">
      <c r="A3303" t="s">
        <v>5248</v>
      </c>
      <c r="B3303" t="s">
        <v>5249</v>
      </c>
      <c r="C3303" t="s">
        <v>5250</v>
      </c>
      <c r="D3303" s="2">
        <v>45952</v>
      </c>
      <c r="E3303">
        <v>28</v>
      </c>
      <c r="F3303">
        <v>1</v>
      </c>
    </row>
    <row r="3304" spans="1:6" x14ac:dyDescent="0.25">
      <c r="A3304" t="s">
        <v>5251</v>
      </c>
      <c r="B3304" t="s">
        <v>5252</v>
      </c>
      <c r="C3304" t="s">
        <v>5253</v>
      </c>
      <c r="D3304" s="2">
        <v>45780</v>
      </c>
      <c r="E3304">
        <v>21</v>
      </c>
      <c r="F3304">
        <v>1</v>
      </c>
    </row>
    <row r="3305" spans="1:6" x14ac:dyDescent="0.25">
      <c r="A3305" t="s">
        <v>5254</v>
      </c>
      <c r="B3305" t="s">
        <v>5255</v>
      </c>
      <c r="C3305" t="s">
        <v>5256</v>
      </c>
      <c r="D3305" s="2">
        <v>45956</v>
      </c>
      <c r="E3305">
        <v>30</v>
      </c>
      <c r="F3305">
        <v>1</v>
      </c>
    </row>
    <row r="3306" spans="1:6" x14ac:dyDescent="0.25">
      <c r="A3306" t="s">
        <v>5257</v>
      </c>
      <c r="B3306" t="s">
        <v>5258</v>
      </c>
      <c r="C3306" t="s">
        <v>5259</v>
      </c>
      <c r="D3306" s="2">
        <v>45808</v>
      </c>
      <c r="E3306">
        <v>28</v>
      </c>
      <c r="F3306">
        <v>1</v>
      </c>
    </row>
    <row r="3307" spans="1:6" x14ac:dyDescent="0.25">
      <c r="A3307" t="s">
        <v>5260</v>
      </c>
      <c r="B3307" t="s">
        <v>5258</v>
      </c>
      <c r="C3307" t="s">
        <v>5259</v>
      </c>
      <c r="D3307" s="2">
        <v>45833</v>
      </c>
      <c r="E3307">
        <v>28</v>
      </c>
      <c r="F3307">
        <v>2</v>
      </c>
    </row>
    <row r="3308" spans="1:6" x14ac:dyDescent="0.25">
      <c r="A3308" t="s">
        <v>5261</v>
      </c>
      <c r="B3308" t="s">
        <v>5258</v>
      </c>
      <c r="C3308" t="s">
        <v>5259</v>
      </c>
      <c r="D3308" s="2">
        <v>45858</v>
      </c>
      <c r="E3308">
        <v>28</v>
      </c>
      <c r="F3308">
        <v>3</v>
      </c>
    </row>
    <row r="3309" spans="1:6" x14ac:dyDescent="0.25">
      <c r="A3309" t="s">
        <v>5262</v>
      </c>
      <c r="B3309" t="s">
        <v>5258</v>
      </c>
      <c r="C3309" t="s">
        <v>5259</v>
      </c>
      <c r="D3309" s="2">
        <v>45887</v>
      </c>
      <c r="E3309">
        <v>28</v>
      </c>
      <c r="F3309">
        <v>4</v>
      </c>
    </row>
    <row r="3310" spans="1:6" x14ac:dyDescent="0.25">
      <c r="A3310" t="s">
        <v>5263</v>
      </c>
      <c r="B3310" t="s">
        <v>5258</v>
      </c>
      <c r="C3310" t="s">
        <v>5259</v>
      </c>
      <c r="D3310" s="2">
        <v>45918</v>
      </c>
      <c r="E3310">
        <v>28</v>
      </c>
      <c r="F3310">
        <v>5</v>
      </c>
    </row>
    <row r="3311" spans="1:6" x14ac:dyDescent="0.25">
      <c r="A3311" t="s">
        <v>5264</v>
      </c>
      <c r="B3311" t="s">
        <v>5258</v>
      </c>
      <c r="C3311" t="s">
        <v>5259</v>
      </c>
      <c r="D3311" s="2">
        <v>45946</v>
      </c>
      <c r="E3311">
        <v>28</v>
      </c>
      <c r="F3311">
        <v>6</v>
      </c>
    </row>
    <row r="3312" spans="1:6" x14ac:dyDescent="0.25">
      <c r="A3312" t="s">
        <v>5265</v>
      </c>
      <c r="B3312" t="s">
        <v>5266</v>
      </c>
      <c r="C3312" t="s">
        <v>5267</v>
      </c>
      <c r="D3312" s="2">
        <v>45955</v>
      </c>
      <c r="E3312">
        <v>28</v>
      </c>
      <c r="F3312">
        <v>1</v>
      </c>
    </row>
    <row r="3313" spans="1:6" x14ac:dyDescent="0.25">
      <c r="A3313" t="s">
        <v>5268</v>
      </c>
      <c r="B3313" t="s">
        <v>5269</v>
      </c>
      <c r="C3313" t="s">
        <v>5270</v>
      </c>
      <c r="D3313" s="2">
        <v>45900</v>
      </c>
      <c r="E3313">
        <v>30</v>
      </c>
      <c r="F3313">
        <v>1</v>
      </c>
    </row>
    <row r="3314" spans="1:6" x14ac:dyDescent="0.25">
      <c r="A3314" t="s">
        <v>5271</v>
      </c>
      <c r="B3314" t="s">
        <v>5269</v>
      </c>
      <c r="C3314" t="s">
        <v>5270</v>
      </c>
      <c r="D3314" s="2">
        <v>45933</v>
      </c>
      <c r="E3314">
        <v>30</v>
      </c>
      <c r="F3314">
        <v>2</v>
      </c>
    </row>
    <row r="3315" spans="1:6" x14ac:dyDescent="0.25">
      <c r="A3315" t="s">
        <v>5272</v>
      </c>
      <c r="B3315" t="s">
        <v>5273</v>
      </c>
      <c r="C3315" t="s">
        <v>5274</v>
      </c>
      <c r="D3315" s="2">
        <v>45836</v>
      </c>
      <c r="E3315">
        <v>28</v>
      </c>
      <c r="F3315">
        <v>1</v>
      </c>
    </row>
    <row r="3316" spans="1:6" x14ac:dyDescent="0.25">
      <c r="A3316" t="s">
        <v>5275</v>
      </c>
      <c r="B3316" t="s">
        <v>5273</v>
      </c>
      <c r="C3316" t="s">
        <v>5274</v>
      </c>
      <c r="D3316" s="2">
        <v>45865</v>
      </c>
      <c r="E3316">
        <v>28</v>
      </c>
      <c r="F3316">
        <v>2</v>
      </c>
    </row>
    <row r="3317" spans="1:6" x14ac:dyDescent="0.25">
      <c r="A3317" t="s">
        <v>5276</v>
      </c>
      <c r="B3317" t="s">
        <v>5273</v>
      </c>
      <c r="C3317" t="s">
        <v>5274</v>
      </c>
      <c r="D3317" s="2">
        <v>45894</v>
      </c>
      <c r="E3317">
        <v>28</v>
      </c>
      <c r="F3317">
        <v>3</v>
      </c>
    </row>
    <row r="3318" spans="1:6" x14ac:dyDescent="0.25">
      <c r="A3318" t="s">
        <v>5277</v>
      </c>
      <c r="B3318" t="s">
        <v>5273</v>
      </c>
      <c r="C3318" t="s">
        <v>5274</v>
      </c>
      <c r="D3318" s="2">
        <v>45919</v>
      </c>
      <c r="E3318">
        <v>28</v>
      </c>
      <c r="F3318">
        <v>4</v>
      </c>
    </row>
    <row r="3319" spans="1:6" x14ac:dyDescent="0.25">
      <c r="A3319" t="s">
        <v>5278</v>
      </c>
      <c r="B3319" t="s">
        <v>5273</v>
      </c>
      <c r="C3319" t="s">
        <v>5274</v>
      </c>
      <c r="D3319" s="2">
        <v>45949</v>
      </c>
      <c r="E3319">
        <v>28</v>
      </c>
      <c r="F3319">
        <v>5</v>
      </c>
    </row>
    <row r="3320" spans="1:6" x14ac:dyDescent="0.25">
      <c r="A3320" t="s">
        <v>5279</v>
      </c>
      <c r="B3320" t="s">
        <v>5280</v>
      </c>
      <c r="C3320" t="s">
        <v>5281</v>
      </c>
      <c r="D3320" s="2">
        <v>45800</v>
      </c>
      <c r="E3320">
        <v>28</v>
      </c>
      <c r="F3320">
        <v>1</v>
      </c>
    </row>
    <row r="3321" spans="1:6" x14ac:dyDescent="0.25">
      <c r="A3321" t="s">
        <v>5282</v>
      </c>
      <c r="B3321" t="s">
        <v>5280</v>
      </c>
      <c r="C3321" t="s">
        <v>5281</v>
      </c>
      <c r="D3321" s="2">
        <v>45827</v>
      </c>
      <c r="E3321">
        <v>28</v>
      </c>
      <c r="F3321">
        <v>2</v>
      </c>
    </row>
    <row r="3322" spans="1:6" x14ac:dyDescent="0.25">
      <c r="A3322" t="s">
        <v>5283</v>
      </c>
      <c r="B3322" t="s">
        <v>5284</v>
      </c>
      <c r="C3322" t="s">
        <v>5285</v>
      </c>
      <c r="D3322" s="2">
        <v>45804</v>
      </c>
      <c r="E3322">
        <v>21</v>
      </c>
      <c r="F3322">
        <v>1</v>
      </c>
    </row>
    <row r="3323" spans="1:6" x14ac:dyDescent="0.25">
      <c r="A3323" t="s">
        <v>5286</v>
      </c>
      <c r="B3323" t="s">
        <v>5284</v>
      </c>
      <c r="C3323" t="s">
        <v>5285</v>
      </c>
      <c r="D3323" s="2">
        <v>45826</v>
      </c>
      <c r="E3323">
        <v>21</v>
      </c>
      <c r="F3323">
        <v>2</v>
      </c>
    </row>
    <row r="3324" spans="1:6" x14ac:dyDescent="0.25">
      <c r="A3324" t="s">
        <v>5287</v>
      </c>
      <c r="B3324" t="s">
        <v>5284</v>
      </c>
      <c r="C3324" t="s">
        <v>5285</v>
      </c>
      <c r="D3324" s="2">
        <v>45850</v>
      </c>
      <c r="E3324">
        <v>21</v>
      </c>
      <c r="F3324">
        <v>3</v>
      </c>
    </row>
    <row r="3325" spans="1:6" x14ac:dyDescent="0.25">
      <c r="A3325" t="s">
        <v>5288</v>
      </c>
      <c r="B3325" t="s">
        <v>5284</v>
      </c>
      <c r="C3325" t="s">
        <v>5285</v>
      </c>
      <c r="D3325" s="2">
        <v>45870</v>
      </c>
      <c r="E3325">
        <v>21</v>
      </c>
      <c r="F3325">
        <v>4</v>
      </c>
    </row>
    <row r="3326" spans="1:6" x14ac:dyDescent="0.25">
      <c r="A3326" t="s">
        <v>5289</v>
      </c>
      <c r="B3326" t="s">
        <v>5284</v>
      </c>
      <c r="C3326" t="s">
        <v>5285</v>
      </c>
      <c r="D3326" s="2">
        <v>45894</v>
      </c>
      <c r="E3326">
        <v>21</v>
      </c>
      <c r="F3326">
        <v>5</v>
      </c>
    </row>
    <row r="3327" spans="1:6" x14ac:dyDescent="0.25">
      <c r="A3327" t="s">
        <v>5290</v>
      </c>
      <c r="B3327" t="s">
        <v>5284</v>
      </c>
      <c r="C3327" t="s">
        <v>5285</v>
      </c>
      <c r="D3327" s="2">
        <v>45917</v>
      </c>
      <c r="E3327">
        <v>21</v>
      </c>
      <c r="F3327">
        <v>6</v>
      </c>
    </row>
    <row r="3328" spans="1:6" x14ac:dyDescent="0.25">
      <c r="A3328" t="s">
        <v>5291</v>
      </c>
      <c r="B3328" t="s">
        <v>5284</v>
      </c>
      <c r="C3328" t="s">
        <v>5285</v>
      </c>
      <c r="D3328" s="2">
        <v>45941</v>
      </c>
      <c r="E3328">
        <v>21</v>
      </c>
      <c r="F3328">
        <v>7</v>
      </c>
    </row>
    <row r="3329" spans="1:6" x14ac:dyDescent="0.25">
      <c r="A3329" t="s">
        <v>5292</v>
      </c>
      <c r="B3329" t="s">
        <v>5293</v>
      </c>
      <c r="C3329" t="s">
        <v>5294</v>
      </c>
      <c r="D3329" s="2">
        <v>45858</v>
      </c>
      <c r="E3329">
        <v>28</v>
      </c>
      <c r="F3329">
        <v>1</v>
      </c>
    </row>
    <row r="3330" spans="1:6" x14ac:dyDescent="0.25">
      <c r="A3330" t="s">
        <v>5295</v>
      </c>
      <c r="B3330" t="s">
        <v>5293</v>
      </c>
      <c r="C3330" t="s">
        <v>5294</v>
      </c>
      <c r="D3330" s="2">
        <v>45884</v>
      </c>
      <c r="E3330">
        <v>28</v>
      </c>
      <c r="F3330">
        <v>2</v>
      </c>
    </row>
    <row r="3331" spans="1:6" x14ac:dyDescent="0.25">
      <c r="A3331" t="s">
        <v>5296</v>
      </c>
      <c r="B3331" t="s">
        <v>5297</v>
      </c>
      <c r="C3331" t="s">
        <v>5298</v>
      </c>
      <c r="D3331" s="2">
        <v>45854</v>
      </c>
      <c r="E3331">
        <v>28</v>
      </c>
      <c r="F3331">
        <v>1</v>
      </c>
    </row>
    <row r="3332" spans="1:6" x14ac:dyDescent="0.25">
      <c r="A3332" t="s">
        <v>5299</v>
      </c>
      <c r="B3332" t="s">
        <v>5297</v>
      </c>
      <c r="C3332" t="s">
        <v>5298</v>
      </c>
      <c r="D3332" s="2">
        <v>45880</v>
      </c>
      <c r="E3332">
        <v>28</v>
      </c>
      <c r="F3332">
        <v>2</v>
      </c>
    </row>
    <row r="3333" spans="1:6" x14ac:dyDescent="0.25">
      <c r="A3333" t="s">
        <v>5300</v>
      </c>
      <c r="B3333" t="s">
        <v>5297</v>
      </c>
      <c r="C3333" t="s">
        <v>5298</v>
      </c>
      <c r="D3333" s="2">
        <v>45908</v>
      </c>
      <c r="E3333">
        <v>28</v>
      </c>
      <c r="F3333">
        <v>3</v>
      </c>
    </row>
    <row r="3334" spans="1:6" x14ac:dyDescent="0.25">
      <c r="A3334" t="s">
        <v>5301</v>
      </c>
      <c r="B3334" t="s">
        <v>5297</v>
      </c>
      <c r="C3334" t="s">
        <v>5298</v>
      </c>
      <c r="D3334" s="2">
        <v>45935</v>
      </c>
      <c r="E3334">
        <v>28</v>
      </c>
      <c r="F3334">
        <v>4</v>
      </c>
    </row>
    <row r="3335" spans="1:6" x14ac:dyDescent="0.25">
      <c r="A3335" t="s">
        <v>5302</v>
      </c>
      <c r="B3335" t="s">
        <v>5303</v>
      </c>
      <c r="C3335" t="s">
        <v>5304</v>
      </c>
      <c r="D3335" s="2">
        <v>45875</v>
      </c>
      <c r="E3335">
        <v>28</v>
      </c>
      <c r="F3335">
        <v>1</v>
      </c>
    </row>
    <row r="3336" spans="1:6" x14ac:dyDescent="0.25">
      <c r="A3336" t="s">
        <v>5305</v>
      </c>
      <c r="B3336" t="s">
        <v>5303</v>
      </c>
      <c r="C3336" t="s">
        <v>5304</v>
      </c>
      <c r="D3336" s="2">
        <v>45904</v>
      </c>
      <c r="E3336">
        <v>28</v>
      </c>
      <c r="F3336">
        <v>2</v>
      </c>
    </row>
    <row r="3337" spans="1:6" x14ac:dyDescent="0.25">
      <c r="A3337" t="s">
        <v>5306</v>
      </c>
      <c r="B3337" t="s">
        <v>5303</v>
      </c>
      <c r="C3337" t="s">
        <v>5304</v>
      </c>
      <c r="D3337" s="2">
        <v>45929</v>
      </c>
      <c r="E3337">
        <v>28</v>
      </c>
      <c r="F3337">
        <v>3</v>
      </c>
    </row>
    <row r="3338" spans="1:6" x14ac:dyDescent="0.25">
      <c r="A3338" t="s">
        <v>5307</v>
      </c>
      <c r="B3338" t="s">
        <v>5308</v>
      </c>
      <c r="C3338" t="s">
        <v>5309</v>
      </c>
      <c r="D3338" s="2">
        <v>45812</v>
      </c>
      <c r="E3338">
        <v>28</v>
      </c>
      <c r="F3338">
        <v>1</v>
      </c>
    </row>
    <row r="3339" spans="1:6" x14ac:dyDescent="0.25">
      <c r="A3339" t="s">
        <v>5310</v>
      </c>
      <c r="B3339" t="s">
        <v>5308</v>
      </c>
      <c r="C3339" t="s">
        <v>5309</v>
      </c>
      <c r="D3339" s="2">
        <v>45840</v>
      </c>
      <c r="E3339">
        <v>28</v>
      </c>
      <c r="F3339">
        <v>2</v>
      </c>
    </row>
    <row r="3340" spans="1:6" x14ac:dyDescent="0.25">
      <c r="A3340" t="s">
        <v>5311</v>
      </c>
      <c r="B3340" t="s">
        <v>5308</v>
      </c>
      <c r="C3340" t="s">
        <v>5309</v>
      </c>
      <c r="D3340" s="2">
        <v>45866</v>
      </c>
      <c r="E3340">
        <v>28</v>
      </c>
      <c r="F3340">
        <v>3</v>
      </c>
    </row>
    <row r="3341" spans="1:6" x14ac:dyDescent="0.25">
      <c r="A3341" t="s">
        <v>5312</v>
      </c>
      <c r="B3341" t="s">
        <v>5308</v>
      </c>
      <c r="C3341" t="s">
        <v>5309</v>
      </c>
      <c r="D3341" s="2">
        <v>45897</v>
      </c>
      <c r="E3341">
        <v>28</v>
      </c>
      <c r="F3341">
        <v>4</v>
      </c>
    </row>
    <row r="3342" spans="1:6" x14ac:dyDescent="0.25">
      <c r="A3342" t="s">
        <v>5313</v>
      </c>
      <c r="B3342" t="s">
        <v>5308</v>
      </c>
      <c r="C3342" t="s">
        <v>5309</v>
      </c>
      <c r="D3342" s="2">
        <v>45923</v>
      </c>
      <c r="E3342">
        <v>28</v>
      </c>
      <c r="F3342">
        <v>5</v>
      </c>
    </row>
    <row r="3343" spans="1:6" x14ac:dyDescent="0.25">
      <c r="A3343" t="s">
        <v>5314</v>
      </c>
      <c r="B3343" t="s">
        <v>5308</v>
      </c>
      <c r="C3343" t="s">
        <v>5309</v>
      </c>
      <c r="D3343" s="2">
        <v>45951</v>
      </c>
      <c r="E3343">
        <v>28</v>
      </c>
      <c r="F3343">
        <v>6</v>
      </c>
    </row>
    <row r="3344" spans="1:6" x14ac:dyDescent="0.25">
      <c r="A3344" t="s">
        <v>5315</v>
      </c>
      <c r="B3344" t="s">
        <v>5316</v>
      </c>
      <c r="C3344" t="s">
        <v>5317</v>
      </c>
      <c r="D3344" s="2">
        <v>45951</v>
      </c>
      <c r="E3344">
        <v>30</v>
      </c>
      <c r="F3344">
        <v>1</v>
      </c>
    </row>
    <row r="3345" spans="1:6" x14ac:dyDescent="0.25">
      <c r="A3345" t="s">
        <v>5318</v>
      </c>
      <c r="B3345" t="s">
        <v>5319</v>
      </c>
      <c r="C3345" t="s">
        <v>5320</v>
      </c>
      <c r="D3345" s="2">
        <v>45795</v>
      </c>
      <c r="E3345">
        <v>30</v>
      </c>
      <c r="F3345">
        <v>1</v>
      </c>
    </row>
    <row r="3346" spans="1:6" x14ac:dyDescent="0.25">
      <c r="A3346" t="s">
        <v>5321</v>
      </c>
      <c r="B3346" t="s">
        <v>5319</v>
      </c>
      <c r="C3346" t="s">
        <v>5320</v>
      </c>
      <c r="D3346" s="2">
        <v>45826</v>
      </c>
      <c r="E3346">
        <v>30</v>
      </c>
      <c r="F3346">
        <v>2</v>
      </c>
    </row>
    <row r="3347" spans="1:6" x14ac:dyDescent="0.25">
      <c r="A3347" t="s">
        <v>5322</v>
      </c>
      <c r="B3347" t="s">
        <v>5319</v>
      </c>
      <c r="C3347" t="s">
        <v>5320</v>
      </c>
      <c r="D3347" s="2">
        <v>45858</v>
      </c>
      <c r="E3347">
        <v>30</v>
      </c>
      <c r="F3347">
        <v>3</v>
      </c>
    </row>
    <row r="3348" spans="1:6" x14ac:dyDescent="0.25">
      <c r="A3348" t="s">
        <v>5323</v>
      </c>
      <c r="B3348" t="s">
        <v>5324</v>
      </c>
      <c r="C3348" t="s">
        <v>5325</v>
      </c>
      <c r="D3348" s="2">
        <v>45922</v>
      </c>
      <c r="E3348">
        <v>21</v>
      </c>
      <c r="F3348">
        <v>1</v>
      </c>
    </row>
    <row r="3349" spans="1:6" x14ac:dyDescent="0.25">
      <c r="A3349" t="s">
        <v>5326</v>
      </c>
      <c r="B3349" t="s">
        <v>5324</v>
      </c>
      <c r="C3349" t="s">
        <v>5325</v>
      </c>
      <c r="D3349" s="2">
        <v>45941</v>
      </c>
      <c r="E3349">
        <v>21</v>
      </c>
      <c r="F3349">
        <v>2</v>
      </c>
    </row>
    <row r="3350" spans="1:6" x14ac:dyDescent="0.25">
      <c r="A3350" t="s">
        <v>5327</v>
      </c>
      <c r="B3350" t="s">
        <v>5328</v>
      </c>
      <c r="C3350" t="s">
        <v>5329</v>
      </c>
      <c r="D3350" s="2">
        <v>45934</v>
      </c>
      <c r="E3350">
        <v>28</v>
      </c>
      <c r="F3350">
        <v>1</v>
      </c>
    </row>
    <row r="3351" spans="1:6" x14ac:dyDescent="0.25">
      <c r="A3351" t="s">
        <v>5330</v>
      </c>
      <c r="B3351" t="s">
        <v>5331</v>
      </c>
      <c r="C3351" t="s">
        <v>5332</v>
      </c>
      <c r="D3351" s="2">
        <v>45820</v>
      </c>
      <c r="E3351">
        <v>28</v>
      </c>
      <c r="F3351">
        <v>1</v>
      </c>
    </row>
    <row r="3352" spans="1:6" x14ac:dyDescent="0.25">
      <c r="A3352" t="s">
        <v>5333</v>
      </c>
      <c r="B3352" t="s">
        <v>5331</v>
      </c>
      <c r="C3352" t="s">
        <v>5332</v>
      </c>
      <c r="D3352" s="2">
        <v>45851</v>
      </c>
      <c r="E3352">
        <v>28</v>
      </c>
      <c r="F3352">
        <v>2</v>
      </c>
    </row>
    <row r="3353" spans="1:6" x14ac:dyDescent="0.25">
      <c r="A3353" t="s">
        <v>5334</v>
      </c>
      <c r="B3353" t="s">
        <v>5335</v>
      </c>
      <c r="C3353" t="s">
        <v>5336</v>
      </c>
      <c r="D3353" s="2">
        <v>45867</v>
      </c>
      <c r="E3353">
        <v>28</v>
      </c>
      <c r="F3353">
        <v>1</v>
      </c>
    </row>
    <row r="3354" spans="1:6" x14ac:dyDescent="0.25">
      <c r="A3354" t="s">
        <v>5337</v>
      </c>
      <c r="B3354" t="s">
        <v>5335</v>
      </c>
      <c r="C3354" t="s">
        <v>5336</v>
      </c>
      <c r="D3354" s="2">
        <v>45898</v>
      </c>
      <c r="E3354">
        <v>28</v>
      </c>
      <c r="F3354">
        <v>2</v>
      </c>
    </row>
    <row r="3355" spans="1:6" x14ac:dyDescent="0.25">
      <c r="A3355" t="s">
        <v>5338</v>
      </c>
      <c r="B3355" t="s">
        <v>5335</v>
      </c>
      <c r="C3355" t="s">
        <v>5336</v>
      </c>
      <c r="D3355" s="2">
        <v>45929</v>
      </c>
      <c r="E3355">
        <v>28</v>
      </c>
      <c r="F3355">
        <v>3</v>
      </c>
    </row>
    <row r="3356" spans="1:6" x14ac:dyDescent="0.25">
      <c r="A3356" t="s">
        <v>5339</v>
      </c>
      <c r="B3356" t="s">
        <v>5335</v>
      </c>
      <c r="C3356" t="s">
        <v>5336</v>
      </c>
      <c r="D3356" s="2">
        <v>45957</v>
      </c>
      <c r="E3356">
        <v>28</v>
      </c>
      <c r="F3356">
        <v>4</v>
      </c>
    </row>
    <row r="3357" spans="1:6" x14ac:dyDescent="0.25">
      <c r="A3357" t="s">
        <v>5340</v>
      </c>
      <c r="B3357" t="s">
        <v>5341</v>
      </c>
      <c r="C3357" t="s">
        <v>5342</v>
      </c>
      <c r="D3357" s="2">
        <v>45832</v>
      </c>
      <c r="E3357">
        <v>28</v>
      </c>
      <c r="F3357">
        <v>1</v>
      </c>
    </row>
    <row r="3358" spans="1:6" x14ac:dyDescent="0.25">
      <c r="A3358" t="s">
        <v>5343</v>
      </c>
      <c r="B3358" t="s">
        <v>5341</v>
      </c>
      <c r="C3358" t="s">
        <v>5342</v>
      </c>
      <c r="D3358" s="2">
        <v>45859</v>
      </c>
      <c r="E3358">
        <v>28</v>
      </c>
      <c r="F3358">
        <v>2</v>
      </c>
    </row>
    <row r="3359" spans="1:6" x14ac:dyDescent="0.25">
      <c r="A3359" t="s">
        <v>5344</v>
      </c>
      <c r="B3359" t="s">
        <v>5341</v>
      </c>
      <c r="C3359" t="s">
        <v>5342</v>
      </c>
      <c r="D3359" s="2">
        <v>45884</v>
      </c>
      <c r="E3359">
        <v>28</v>
      </c>
      <c r="F3359">
        <v>3</v>
      </c>
    </row>
    <row r="3360" spans="1:6" x14ac:dyDescent="0.25">
      <c r="A3360" t="s">
        <v>5345</v>
      </c>
      <c r="B3360" t="s">
        <v>5341</v>
      </c>
      <c r="C3360" t="s">
        <v>5342</v>
      </c>
      <c r="D3360" s="2">
        <v>45915</v>
      </c>
      <c r="E3360">
        <v>28</v>
      </c>
      <c r="F3360">
        <v>4</v>
      </c>
    </row>
    <row r="3361" spans="1:6" x14ac:dyDescent="0.25">
      <c r="A3361" t="s">
        <v>5346</v>
      </c>
      <c r="B3361" t="s">
        <v>5341</v>
      </c>
      <c r="C3361" t="s">
        <v>5342</v>
      </c>
      <c r="D3361" s="2">
        <v>45941</v>
      </c>
      <c r="E3361">
        <v>28</v>
      </c>
      <c r="F3361">
        <v>5</v>
      </c>
    </row>
    <row r="3362" spans="1:6" x14ac:dyDescent="0.25">
      <c r="A3362" t="s">
        <v>5347</v>
      </c>
      <c r="B3362" t="s">
        <v>5348</v>
      </c>
      <c r="C3362" t="s">
        <v>5349</v>
      </c>
      <c r="D3362" s="2">
        <v>45816</v>
      </c>
      <c r="E3362">
        <v>21</v>
      </c>
      <c r="F3362">
        <v>1</v>
      </c>
    </row>
    <row r="3363" spans="1:6" x14ac:dyDescent="0.25">
      <c r="A3363" t="s">
        <v>5350</v>
      </c>
      <c r="B3363" t="s">
        <v>5348</v>
      </c>
      <c r="C3363" t="s">
        <v>5349</v>
      </c>
      <c r="D3363" s="2">
        <v>45835</v>
      </c>
      <c r="E3363">
        <v>21</v>
      </c>
      <c r="F3363">
        <v>2</v>
      </c>
    </row>
    <row r="3364" spans="1:6" x14ac:dyDescent="0.25">
      <c r="A3364" t="s">
        <v>5351</v>
      </c>
      <c r="B3364" t="s">
        <v>5348</v>
      </c>
      <c r="C3364" t="s">
        <v>5349</v>
      </c>
      <c r="D3364" s="2">
        <v>45856</v>
      </c>
      <c r="E3364">
        <v>21</v>
      </c>
      <c r="F3364">
        <v>3</v>
      </c>
    </row>
    <row r="3365" spans="1:6" x14ac:dyDescent="0.25">
      <c r="A3365" t="s">
        <v>5352</v>
      </c>
      <c r="B3365" t="s">
        <v>5348</v>
      </c>
      <c r="C3365" t="s">
        <v>5349</v>
      </c>
      <c r="D3365" s="2">
        <v>45876</v>
      </c>
      <c r="E3365">
        <v>21</v>
      </c>
      <c r="F3365">
        <v>4</v>
      </c>
    </row>
    <row r="3366" spans="1:6" x14ac:dyDescent="0.25">
      <c r="A3366" t="s">
        <v>5353</v>
      </c>
      <c r="B3366" t="s">
        <v>5348</v>
      </c>
      <c r="C3366" t="s">
        <v>5349</v>
      </c>
      <c r="D3366" s="2">
        <v>45900</v>
      </c>
      <c r="E3366">
        <v>21</v>
      </c>
      <c r="F3366">
        <v>5</v>
      </c>
    </row>
    <row r="3367" spans="1:6" x14ac:dyDescent="0.25">
      <c r="A3367" t="s">
        <v>5354</v>
      </c>
      <c r="B3367" t="s">
        <v>5348</v>
      </c>
      <c r="C3367" t="s">
        <v>5349</v>
      </c>
      <c r="D3367" s="2">
        <v>45923</v>
      </c>
      <c r="E3367">
        <v>21</v>
      </c>
      <c r="F3367">
        <v>6</v>
      </c>
    </row>
    <row r="3368" spans="1:6" x14ac:dyDescent="0.25">
      <c r="A3368" t="s">
        <v>5355</v>
      </c>
      <c r="B3368" t="s">
        <v>5348</v>
      </c>
      <c r="C3368" t="s">
        <v>5349</v>
      </c>
      <c r="D3368" s="2">
        <v>45947</v>
      </c>
      <c r="E3368">
        <v>21</v>
      </c>
      <c r="F3368">
        <v>7</v>
      </c>
    </row>
    <row r="3369" spans="1:6" x14ac:dyDescent="0.25">
      <c r="A3369" t="s">
        <v>5356</v>
      </c>
      <c r="B3369" t="s">
        <v>5357</v>
      </c>
      <c r="C3369" t="s">
        <v>5358</v>
      </c>
      <c r="D3369" s="2">
        <v>45935</v>
      </c>
      <c r="E3369">
        <v>30</v>
      </c>
      <c r="F3369">
        <v>1</v>
      </c>
    </row>
    <row r="3370" spans="1:6" x14ac:dyDescent="0.25">
      <c r="A3370" t="s">
        <v>5359</v>
      </c>
      <c r="B3370" t="s">
        <v>5360</v>
      </c>
      <c r="C3370" t="s">
        <v>5361</v>
      </c>
      <c r="D3370" s="2">
        <v>45891</v>
      </c>
      <c r="E3370">
        <v>28</v>
      </c>
      <c r="F3370">
        <v>1</v>
      </c>
    </row>
    <row r="3371" spans="1:6" x14ac:dyDescent="0.25">
      <c r="A3371" t="s">
        <v>5362</v>
      </c>
      <c r="B3371" t="s">
        <v>5360</v>
      </c>
      <c r="C3371" t="s">
        <v>5361</v>
      </c>
      <c r="D3371" s="2">
        <v>45922</v>
      </c>
      <c r="E3371">
        <v>28</v>
      </c>
      <c r="F3371">
        <v>2</v>
      </c>
    </row>
    <row r="3372" spans="1:6" x14ac:dyDescent="0.25">
      <c r="A3372" t="s">
        <v>5363</v>
      </c>
      <c r="B3372" t="s">
        <v>5360</v>
      </c>
      <c r="C3372" t="s">
        <v>5361</v>
      </c>
      <c r="D3372" s="2">
        <v>45950</v>
      </c>
      <c r="E3372">
        <v>28</v>
      </c>
      <c r="F3372">
        <v>3</v>
      </c>
    </row>
    <row r="3373" spans="1:6" x14ac:dyDescent="0.25">
      <c r="A3373" t="s">
        <v>5364</v>
      </c>
      <c r="B3373" t="s">
        <v>5365</v>
      </c>
      <c r="C3373" t="s">
        <v>5366</v>
      </c>
      <c r="D3373" s="2">
        <v>45800</v>
      </c>
      <c r="E3373">
        <v>28</v>
      </c>
      <c r="F3373">
        <v>1</v>
      </c>
    </row>
    <row r="3374" spans="1:6" x14ac:dyDescent="0.25">
      <c r="A3374" t="s">
        <v>5367</v>
      </c>
      <c r="B3374" t="s">
        <v>5365</v>
      </c>
      <c r="C3374" t="s">
        <v>5366</v>
      </c>
      <c r="D3374" s="2">
        <v>45831</v>
      </c>
      <c r="E3374">
        <v>28</v>
      </c>
      <c r="F3374">
        <v>2</v>
      </c>
    </row>
    <row r="3375" spans="1:6" x14ac:dyDescent="0.25">
      <c r="A3375" t="s">
        <v>5368</v>
      </c>
      <c r="B3375" t="s">
        <v>5365</v>
      </c>
      <c r="C3375" t="s">
        <v>5366</v>
      </c>
      <c r="D3375" s="2">
        <v>45861</v>
      </c>
      <c r="E3375">
        <v>28</v>
      </c>
      <c r="F3375">
        <v>3</v>
      </c>
    </row>
    <row r="3376" spans="1:6" x14ac:dyDescent="0.25">
      <c r="A3376" t="s">
        <v>5369</v>
      </c>
      <c r="B3376" t="s">
        <v>5365</v>
      </c>
      <c r="C3376" t="s">
        <v>5366</v>
      </c>
      <c r="D3376" s="2">
        <v>45892</v>
      </c>
      <c r="E3376">
        <v>28</v>
      </c>
      <c r="F3376">
        <v>4</v>
      </c>
    </row>
    <row r="3377" spans="1:6" x14ac:dyDescent="0.25">
      <c r="A3377" t="s">
        <v>5370</v>
      </c>
      <c r="B3377" t="s">
        <v>5365</v>
      </c>
      <c r="C3377" t="s">
        <v>5366</v>
      </c>
      <c r="D3377" s="2">
        <v>45923</v>
      </c>
      <c r="E3377">
        <v>28</v>
      </c>
      <c r="F3377">
        <v>5</v>
      </c>
    </row>
    <row r="3378" spans="1:6" x14ac:dyDescent="0.25">
      <c r="A3378" t="s">
        <v>5371</v>
      </c>
      <c r="B3378" t="s">
        <v>5365</v>
      </c>
      <c r="C3378" t="s">
        <v>5366</v>
      </c>
      <c r="D3378" s="2">
        <v>45953</v>
      </c>
      <c r="E3378">
        <v>28</v>
      </c>
      <c r="F3378">
        <v>6</v>
      </c>
    </row>
    <row r="3379" spans="1:6" x14ac:dyDescent="0.25">
      <c r="A3379" t="s">
        <v>5372</v>
      </c>
      <c r="B3379" t="s">
        <v>5373</v>
      </c>
      <c r="C3379" t="s">
        <v>5374</v>
      </c>
      <c r="D3379" s="2">
        <v>45813</v>
      </c>
      <c r="E3379">
        <v>21</v>
      </c>
      <c r="F3379">
        <v>1</v>
      </c>
    </row>
    <row r="3380" spans="1:6" x14ac:dyDescent="0.25">
      <c r="A3380" t="s">
        <v>5375</v>
      </c>
      <c r="B3380" t="s">
        <v>5373</v>
      </c>
      <c r="C3380" t="s">
        <v>5374</v>
      </c>
      <c r="D3380" s="2">
        <v>45833</v>
      </c>
      <c r="E3380">
        <v>21</v>
      </c>
      <c r="F3380">
        <v>2</v>
      </c>
    </row>
    <row r="3381" spans="1:6" x14ac:dyDescent="0.25">
      <c r="A3381" t="s">
        <v>5376</v>
      </c>
      <c r="B3381" t="s">
        <v>5373</v>
      </c>
      <c r="C3381" t="s">
        <v>5374</v>
      </c>
      <c r="D3381" s="2">
        <v>45855</v>
      </c>
      <c r="E3381">
        <v>21</v>
      </c>
      <c r="F3381">
        <v>3</v>
      </c>
    </row>
    <row r="3382" spans="1:6" x14ac:dyDescent="0.25">
      <c r="A3382" t="s">
        <v>5377</v>
      </c>
      <c r="B3382" t="s">
        <v>5373</v>
      </c>
      <c r="C3382" t="s">
        <v>5374</v>
      </c>
      <c r="D3382" s="2">
        <v>45879</v>
      </c>
      <c r="E3382">
        <v>21</v>
      </c>
      <c r="F3382">
        <v>4</v>
      </c>
    </row>
    <row r="3383" spans="1:6" x14ac:dyDescent="0.25">
      <c r="A3383" t="s">
        <v>5378</v>
      </c>
      <c r="B3383" t="s">
        <v>5373</v>
      </c>
      <c r="C3383" t="s">
        <v>5374</v>
      </c>
      <c r="D3383" s="2">
        <v>45902</v>
      </c>
      <c r="E3383">
        <v>21</v>
      </c>
      <c r="F3383">
        <v>5</v>
      </c>
    </row>
    <row r="3384" spans="1:6" x14ac:dyDescent="0.25">
      <c r="A3384" t="s">
        <v>5379</v>
      </c>
      <c r="B3384" t="s">
        <v>5373</v>
      </c>
      <c r="C3384" t="s">
        <v>5374</v>
      </c>
      <c r="D3384" s="2">
        <v>45923</v>
      </c>
      <c r="E3384">
        <v>21</v>
      </c>
      <c r="F3384">
        <v>6</v>
      </c>
    </row>
    <row r="3385" spans="1:6" x14ac:dyDescent="0.25">
      <c r="A3385" t="s">
        <v>5380</v>
      </c>
      <c r="B3385" t="s">
        <v>5373</v>
      </c>
      <c r="C3385" t="s">
        <v>5374</v>
      </c>
      <c r="D3385" s="2">
        <v>45941</v>
      </c>
      <c r="E3385">
        <v>21</v>
      </c>
      <c r="F3385">
        <v>7</v>
      </c>
    </row>
    <row r="3386" spans="1:6" x14ac:dyDescent="0.25">
      <c r="A3386" t="s">
        <v>5381</v>
      </c>
      <c r="B3386" t="s">
        <v>5373</v>
      </c>
      <c r="C3386" t="s">
        <v>5374</v>
      </c>
      <c r="D3386" s="2">
        <v>45959</v>
      </c>
      <c r="E3386">
        <v>21</v>
      </c>
      <c r="F3386">
        <v>8</v>
      </c>
    </row>
    <row r="3387" spans="1:6" x14ac:dyDescent="0.25">
      <c r="A3387" t="s">
        <v>5382</v>
      </c>
      <c r="B3387" t="s">
        <v>5383</v>
      </c>
      <c r="C3387" t="s">
        <v>5384</v>
      </c>
      <c r="D3387" s="2">
        <v>45809</v>
      </c>
      <c r="E3387">
        <v>28</v>
      </c>
      <c r="F3387">
        <v>1</v>
      </c>
    </row>
    <row r="3388" spans="1:6" x14ac:dyDescent="0.25">
      <c r="A3388" t="s">
        <v>5385</v>
      </c>
      <c r="B3388" t="s">
        <v>5383</v>
      </c>
      <c r="C3388" t="s">
        <v>5384</v>
      </c>
      <c r="D3388" s="2">
        <v>45837</v>
      </c>
      <c r="E3388">
        <v>28</v>
      </c>
      <c r="F3388">
        <v>2</v>
      </c>
    </row>
    <row r="3389" spans="1:6" x14ac:dyDescent="0.25">
      <c r="A3389" t="s">
        <v>5386</v>
      </c>
      <c r="B3389" t="s">
        <v>5383</v>
      </c>
      <c r="C3389" t="s">
        <v>5384</v>
      </c>
      <c r="D3389" s="2">
        <v>45863</v>
      </c>
      <c r="E3389">
        <v>28</v>
      </c>
      <c r="F3389">
        <v>3</v>
      </c>
    </row>
    <row r="3390" spans="1:6" x14ac:dyDescent="0.25">
      <c r="A3390" t="s">
        <v>5387</v>
      </c>
      <c r="B3390" t="s">
        <v>5388</v>
      </c>
      <c r="C3390" t="s">
        <v>5389</v>
      </c>
      <c r="D3390" s="2">
        <v>45876</v>
      </c>
      <c r="E3390">
        <v>28</v>
      </c>
      <c r="F3390">
        <v>1</v>
      </c>
    </row>
    <row r="3391" spans="1:6" x14ac:dyDescent="0.25">
      <c r="A3391" t="s">
        <v>5390</v>
      </c>
      <c r="B3391" t="s">
        <v>5388</v>
      </c>
      <c r="C3391" t="s">
        <v>5389</v>
      </c>
      <c r="D3391" s="2">
        <v>45906</v>
      </c>
      <c r="E3391">
        <v>28</v>
      </c>
      <c r="F3391">
        <v>2</v>
      </c>
    </row>
    <row r="3392" spans="1:6" x14ac:dyDescent="0.25">
      <c r="A3392" t="s">
        <v>5391</v>
      </c>
      <c r="B3392" t="s">
        <v>5388</v>
      </c>
      <c r="C3392" t="s">
        <v>5389</v>
      </c>
      <c r="D3392" s="2">
        <v>45933</v>
      </c>
      <c r="E3392">
        <v>28</v>
      </c>
      <c r="F3392">
        <v>3</v>
      </c>
    </row>
    <row r="3393" spans="1:6" x14ac:dyDescent="0.25">
      <c r="A3393" t="s">
        <v>5392</v>
      </c>
      <c r="B3393" t="s">
        <v>5388</v>
      </c>
      <c r="C3393" t="s">
        <v>5389</v>
      </c>
      <c r="D3393" s="2">
        <v>45958</v>
      </c>
      <c r="E3393">
        <v>28</v>
      </c>
      <c r="F3393">
        <v>4</v>
      </c>
    </row>
    <row r="3394" spans="1:6" x14ac:dyDescent="0.25">
      <c r="A3394" t="s">
        <v>5393</v>
      </c>
      <c r="B3394" t="s">
        <v>5394</v>
      </c>
      <c r="C3394" t="s">
        <v>5395</v>
      </c>
      <c r="D3394" s="2">
        <v>45887</v>
      </c>
      <c r="E3394">
        <v>30</v>
      </c>
      <c r="F3394">
        <v>1</v>
      </c>
    </row>
    <row r="3395" spans="1:6" x14ac:dyDescent="0.25">
      <c r="A3395" t="s">
        <v>5396</v>
      </c>
      <c r="B3395" t="s">
        <v>5394</v>
      </c>
      <c r="C3395" t="s">
        <v>5395</v>
      </c>
      <c r="D3395" s="2">
        <v>45919</v>
      </c>
      <c r="E3395">
        <v>30</v>
      </c>
      <c r="F3395">
        <v>2</v>
      </c>
    </row>
    <row r="3396" spans="1:6" x14ac:dyDescent="0.25">
      <c r="A3396" t="s">
        <v>5397</v>
      </c>
      <c r="B3396" t="s">
        <v>5394</v>
      </c>
      <c r="C3396" t="s">
        <v>5395</v>
      </c>
      <c r="D3396" s="2">
        <v>45952</v>
      </c>
      <c r="E3396">
        <v>30</v>
      </c>
      <c r="F3396">
        <v>3</v>
      </c>
    </row>
    <row r="3397" spans="1:6" x14ac:dyDescent="0.25">
      <c r="A3397" t="s">
        <v>5398</v>
      </c>
      <c r="B3397" t="s">
        <v>5399</v>
      </c>
      <c r="C3397" t="s">
        <v>5400</v>
      </c>
      <c r="D3397" s="2">
        <v>45813</v>
      </c>
      <c r="E3397">
        <v>28</v>
      </c>
      <c r="F3397">
        <v>1</v>
      </c>
    </row>
    <row r="3398" spans="1:6" x14ac:dyDescent="0.25">
      <c r="A3398" t="s">
        <v>5401</v>
      </c>
      <c r="B3398" t="s">
        <v>5399</v>
      </c>
      <c r="C3398" t="s">
        <v>5400</v>
      </c>
      <c r="D3398" s="2">
        <v>45841</v>
      </c>
      <c r="E3398">
        <v>28</v>
      </c>
      <c r="F3398">
        <v>2</v>
      </c>
    </row>
    <row r="3399" spans="1:6" x14ac:dyDescent="0.25">
      <c r="A3399" t="s">
        <v>5402</v>
      </c>
      <c r="B3399" t="s">
        <v>5399</v>
      </c>
      <c r="C3399" t="s">
        <v>5400</v>
      </c>
      <c r="D3399" s="2">
        <v>45868</v>
      </c>
      <c r="E3399">
        <v>28</v>
      </c>
      <c r="F3399">
        <v>3</v>
      </c>
    </row>
    <row r="3400" spans="1:6" x14ac:dyDescent="0.25">
      <c r="A3400" t="s">
        <v>5403</v>
      </c>
      <c r="B3400" t="s">
        <v>5399</v>
      </c>
      <c r="C3400" t="s">
        <v>5400</v>
      </c>
      <c r="D3400" s="2">
        <v>45896</v>
      </c>
      <c r="E3400">
        <v>28</v>
      </c>
      <c r="F3400">
        <v>4</v>
      </c>
    </row>
    <row r="3401" spans="1:6" x14ac:dyDescent="0.25">
      <c r="A3401" t="s">
        <v>5404</v>
      </c>
      <c r="B3401" t="s">
        <v>5399</v>
      </c>
      <c r="C3401" t="s">
        <v>5400</v>
      </c>
      <c r="D3401" s="2">
        <v>45926</v>
      </c>
      <c r="E3401">
        <v>28</v>
      </c>
      <c r="F3401">
        <v>5</v>
      </c>
    </row>
    <row r="3402" spans="1:6" x14ac:dyDescent="0.25">
      <c r="A3402" t="s">
        <v>5405</v>
      </c>
      <c r="B3402" t="s">
        <v>5399</v>
      </c>
      <c r="C3402" t="s">
        <v>5400</v>
      </c>
      <c r="D3402" s="2">
        <v>45953</v>
      </c>
      <c r="E3402">
        <v>28</v>
      </c>
      <c r="F3402">
        <v>6</v>
      </c>
    </row>
    <row r="3403" spans="1:6" x14ac:dyDescent="0.25">
      <c r="A3403" t="s">
        <v>5406</v>
      </c>
      <c r="B3403" t="s">
        <v>5407</v>
      </c>
      <c r="C3403" t="s">
        <v>5408</v>
      </c>
      <c r="D3403" s="2">
        <v>45848</v>
      </c>
      <c r="E3403">
        <v>21</v>
      </c>
      <c r="F3403">
        <v>1</v>
      </c>
    </row>
    <row r="3404" spans="1:6" x14ac:dyDescent="0.25">
      <c r="A3404" t="s">
        <v>5409</v>
      </c>
      <c r="B3404" t="s">
        <v>5407</v>
      </c>
      <c r="C3404" t="s">
        <v>5408</v>
      </c>
      <c r="D3404" s="2">
        <v>45872</v>
      </c>
      <c r="E3404">
        <v>21</v>
      </c>
      <c r="F3404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19FE-815F-47A7-BA0A-D92C8AC76FDC}">
  <dimension ref="A1:I3404"/>
  <sheetViews>
    <sheetView workbookViewId="0">
      <selection activeCell="H2" sqref="H2"/>
    </sheetView>
  </sheetViews>
  <sheetFormatPr defaultRowHeight="15" x14ac:dyDescent="0.25"/>
  <cols>
    <col min="1" max="1" width="12.42578125" bestFit="1" customWidth="1"/>
    <col min="2" max="2" width="9.28515625" bestFit="1" customWidth="1"/>
    <col min="3" max="3" width="18.28515625" style="3" bestFit="1" customWidth="1"/>
    <col min="4" max="4" width="15.85546875" bestFit="1" customWidth="1"/>
    <col min="5" max="5" width="17.7109375" style="3" bestFit="1" customWidth="1"/>
    <col min="6" max="6" width="17.140625" style="3" bestFit="1" customWidth="1"/>
    <col min="7" max="7" width="11.42578125" bestFit="1" customWidth="1"/>
    <col min="8" max="8" width="22.85546875" bestFit="1" customWidth="1"/>
  </cols>
  <sheetData>
    <row r="1" spans="1:9" x14ac:dyDescent="0.25">
      <c r="A1" t="s">
        <v>1</v>
      </c>
      <c r="B1" t="s">
        <v>2</v>
      </c>
      <c r="C1" s="3" t="s">
        <v>3</v>
      </c>
      <c r="D1" t="s">
        <v>4</v>
      </c>
      <c r="E1" s="3" t="s">
        <v>5780</v>
      </c>
      <c r="F1" s="3" t="s">
        <v>6</v>
      </c>
      <c r="G1" t="s">
        <v>7</v>
      </c>
      <c r="H1" t="s">
        <v>5781</v>
      </c>
      <c r="I1" t="s">
        <v>5791</v>
      </c>
    </row>
    <row r="2" spans="1:9" x14ac:dyDescent="0.25">
      <c r="A2" t="s">
        <v>9</v>
      </c>
      <c r="B2" t="s">
        <v>10</v>
      </c>
      <c r="C2" s="3">
        <v>45951</v>
      </c>
      <c r="D2">
        <v>28</v>
      </c>
      <c r="E2" s="3" t="str">
        <f t="shared" ref="E2:E65" si="0">IF(A1=A2,C1,"")</f>
        <v/>
      </c>
      <c r="F2" s="3" t="str">
        <f>IF(TableRefills3[[#This Row],[prev_refill_days]]="","",TableRefills3[[#This Row],[prev_refill_days]]+TableRefills3[[#This Row],[quantity_days]])</f>
        <v/>
      </c>
      <c r="G2" t="str">
        <f>IF(TableRefills3[[#This Row],[prev_refill_end]]="","",TableRefills3[[#This Row],[refill_date]]-TableRefills3[[#This Row],[prev_refill_end]])</f>
        <v/>
      </c>
      <c r="H2">
        <f>IF(TableRefills3[[#This Row],[gap_days]]="",0,IF(TableRefills3[[#This Row],[gap_days]]&gt;2,1,0))</f>
        <v>0</v>
      </c>
      <c r="I2">
        <f>_xlfn.MAXIFS(TableRefills3[discountinuation_flag], TableRefills3[patient_id], A2)</f>
        <v>0</v>
      </c>
    </row>
    <row r="3" spans="1:9" x14ac:dyDescent="0.25">
      <c r="A3" t="s">
        <v>12</v>
      </c>
      <c r="B3" t="s">
        <v>13</v>
      </c>
      <c r="C3" s="3">
        <v>45838</v>
      </c>
      <c r="D3">
        <v>21</v>
      </c>
      <c r="E3" s="3" t="str">
        <f t="shared" si="0"/>
        <v/>
      </c>
      <c r="F3" s="3" t="str">
        <f>IF(TableRefills3[[#This Row],[prev_refill_days]]="","",TableRefills3[[#This Row],[prev_refill_days]]+TableRefills3[[#This Row],[quantity_days]])</f>
        <v/>
      </c>
      <c r="G3" t="str">
        <f>IF(TableRefills3[[#This Row],[prev_refill_end]]="","",TableRefills3[[#This Row],[refill_date]]-TableRefills3[[#This Row],[prev_refill_end]])</f>
        <v/>
      </c>
      <c r="H3">
        <f>IF(TableRefills3[[#This Row],[gap_days]]="",0,IF(TableRefills3[[#This Row],[gap_days]]&gt;2,1,0))</f>
        <v>0</v>
      </c>
      <c r="I3">
        <f>_xlfn.MAXIFS(TableRefills3[discountinuation_flag], TableRefills3[patient_id], A3)</f>
        <v>1</v>
      </c>
    </row>
    <row r="4" spans="1:9" x14ac:dyDescent="0.25">
      <c r="A4" t="s">
        <v>12</v>
      </c>
      <c r="B4" t="s">
        <v>13</v>
      </c>
      <c r="C4" s="3">
        <v>45860</v>
      </c>
      <c r="D4">
        <v>21</v>
      </c>
      <c r="E4" s="3">
        <f t="shared" si="0"/>
        <v>45838</v>
      </c>
      <c r="F4" s="3">
        <f>IF(TableRefills3[[#This Row],[prev_refill_days]]="","",TableRefills3[[#This Row],[prev_refill_days]]+TableRefills3[[#This Row],[quantity_days]])</f>
        <v>45859</v>
      </c>
      <c r="G4">
        <f>IF(TableRefills3[[#This Row],[prev_refill_end]]="","",TableRefills3[[#This Row],[refill_date]]-TableRefills3[[#This Row],[prev_refill_end]])</f>
        <v>1</v>
      </c>
      <c r="H4">
        <f>IF(TableRefills3[[#This Row],[gap_days]]="",0,IF(TableRefills3[[#This Row],[gap_days]]&gt;2,1,0))</f>
        <v>0</v>
      </c>
      <c r="I4">
        <f>_xlfn.MAXIFS(TableRefills3[discountinuation_flag], TableRefills3[patient_id], A4)</f>
        <v>1</v>
      </c>
    </row>
    <row r="5" spans="1:9" x14ac:dyDescent="0.25">
      <c r="A5" t="s">
        <v>12</v>
      </c>
      <c r="B5" t="s">
        <v>13</v>
      </c>
      <c r="C5" s="3">
        <v>45883</v>
      </c>
      <c r="D5">
        <v>21</v>
      </c>
      <c r="E5" s="3">
        <f t="shared" si="0"/>
        <v>45860</v>
      </c>
      <c r="F5" s="3">
        <f>IF(TableRefills3[[#This Row],[prev_refill_days]]="","",TableRefills3[[#This Row],[prev_refill_days]]+TableRefills3[[#This Row],[quantity_days]])</f>
        <v>45881</v>
      </c>
      <c r="G5">
        <f>IF(TableRefills3[[#This Row],[prev_refill_end]]="","",TableRefills3[[#This Row],[refill_date]]-TableRefills3[[#This Row],[prev_refill_end]])</f>
        <v>2</v>
      </c>
      <c r="H5">
        <f>IF(TableRefills3[[#This Row],[gap_days]]="",0,IF(TableRefills3[[#This Row],[gap_days]]&gt;2,1,0))</f>
        <v>0</v>
      </c>
      <c r="I5">
        <f>_xlfn.MAXIFS(TableRefills3[discountinuation_flag], TableRefills3[patient_id], A5)</f>
        <v>1</v>
      </c>
    </row>
    <row r="6" spans="1:9" x14ac:dyDescent="0.25">
      <c r="A6" t="s">
        <v>12</v>
      </c>
      <c r="B6" t="s">
        <v>13</v>
      </c>
      <c r="C6" s="3">
        <v>45903</v>
      </c>
      <c r="D6">
        <v>21</v>
      </c>
      <c r="E6" s="3">
        <f t="shared" si="0"/>
        <v>45883</v>
      </c>
      <c r="F6" s="3">
        <f>IF(TableRefills3[[#This Row],[prev_refill_days]]="","",TableRefills3[[#This Row],[prev_refill_days]]+TableRefills3[[#This Row],[quantity_days]])</f>
        <v>45904</v>
      </c>
      <c r="G6">
        <f>IF(TableRefills3[[#This Row],[prev_refill_end]]="","",TableRefills3[[#This Row],[refill_date]]-TableRefills3[[#This Row],[prev_refill_end]])</f>
        <v>-1</v>
      </c>
      <c r="H6">
        <f>IF(TableRefills3[[#This Row],[gap_days]]="",0,IF(TableRefills3[[#This Row],[gap_days]]&gt;2,1,0))</f>
        <v>0</v>
      </c>
      <c r="I6">
        <f>_xlfn.MAXIFS(TableRefills3[discountinuation_flag], TableRefills3[patient_id], A6)</f>
        <v>1</v>
      </c>
    </row>
    <row r="7" spans="1:9" x14ac:dyDescent="0.25">
      <c r="A7" t="s">
        <v>12</v>
      </c>
      <c r="B7" t="s">
        <v>13</v>
      </c>
      <c r="C7" s="3">
        <v>45926</v>
      </c>
      <c r="D7">
        <v>21</v>
      </c>
      <c r="E7" s="3">
        <f t="shared" si="0"/>
        <v>45903</v>
      </c>
      <c r="F7" s="3">
        <f>IF(TableRefills3[[#This Row],[prev_refill_days]]="","",TableRefills3[[#This Row],[prev_refill_days]]+TableRefills3[[#This Row],[quantity_days]])</f>
        <v>45924</v>
      </c>
      <c r="G7">
        <f>IF(TableRefills3[[#This Row],[prev_refill_end]]="","",TableRefills3[[#This Row],[refill_date]]-TableRefills3[[#This Row],[prev_refill_end]])</f>
        <v>2</v>
      </c>
      <c r="H7">
        <f>IF(TableRefills3[[#This Row],[gap_days]]="",0,IF(TableRefills3[[#This Row],[gap_days]]&gt;2,1,0))</f>
        <v>0</v>
      </c>
      <c r="I7">
        <f>_xlfn.MAXIFS(TableRefills3[discountinuation_flag], TableRefills3[patient_id], A7)</f>
        <v>1</v>
      </c>
    </row>
    <row r="8" spans="1:9" x14ac:dyDescent="0.25">
      <c r="A8" t="s">
        <v>12</v>
      </c>
      <c r="B8" t="s">
        <v>13</v>
      </c>
      <c r="C8" s="3">
        <v>45950</v>
      </c>
      <c r="D8">
        <v>21</v>
      </c>
      <c r="E8" s="3">
        <f t="shared" si="0"/>
        <v>45926</v>
      </c>
      <c r="F8" s="3">
        <f>IF(TableRefills3[[#This Row],[prev_refill_days]]="","",TableRefills3[[#This Row],[prev_refill_days]]+TableRefills3[[#This Row],[quantity_days]])</f>
        <v>45947</v>
      </c>
      <c r="G8">
        <f>IF(TableRefills3[[#This Row],[prev_refill_end]]="","",TableRefills3[[#This Row],[refill_date]]-TableRefills3[[#This Row],[prev_refill_end]])</f>
        <v>3</v>
      </c>
      <c r="H8">
        <f>IF(TableRefills3[[#This Row],[gap_days]]="",0,IF(TableRefills3[[#This Row],[gap_days]]&gt;2,1,0))</f>
        <v>1</v>
      </c>
      <c r="I8">
        <f>_xlfn.MAXIFS(TableRefills3[discountinuation_flag], TableRefills3[patient_id], A8)</f>
        <v>1</v>
      </c>
    </row>
    <row r="9" spans="1:9" x14ac:dyDescent="0.25">
      <c r="A9" t="s">
        <v>20</v>
      </c>
      <c r="B9" t="s">
        <v>21</v>
      </c>
      <c r="C9" s="3">
        <v>45934</v>
      </c>
      <c r="D9">
        <v>30</v>
      </c>
      <c r="E9" s="3" t="str">
        <f t="shared" si="0"/>
        <v/>
      </c>
      <c r="F9" s="3" t="str">
        <f>IF(TableRefills3[[#This Row],[prev_refill_days]]="","",TableRefills3[[#This Row],[prev_refill_days]]+TableRefills3[[#This Row],[quantity_days]])</f>
        <v/>
      </c>
      <c r="G9" t="str">
        <f>IF(TableRefills3[[#This Row],[prev_refill_end]]="","",TableRefills3[[#This Row],[refill_date]]-TableRefills3[[#This Row],[prev_refill_end]])</f>
        <v/>
      </c>
      <c r="H9">
        <f>IF(TableRefills3[[#This Row],[gap_days]]="",0,IF(TableRefills3[[#This Row],[gap_days]]&gt;2,1,0))</f>
        <v>0</v>
      </c>
      <c r="I9">
        <f>_xlfn.MAXIFS(TableRefills3[discountinuation_flag], TableRefills3[patient_id], A9)</f>
        <v>0</v>
      </c>
    </row>
    <row r="10" spans="1:9" x14ac:dyDescent="0.25">
      <c r="A10" t="s">
        <v>23</v>
      </c>
      <c r="B10" t="s">
        <v>24</v>
      </c>
      <c r="C10" s="3">
        <v>45892</v>
      </c>
      <c r="D10">
        <v>28</v>
      </c>
      <c r="E10" s="3" t="str">
        <f t="shared" si="0"/>
        <v/>
      </c>
      <c r="F10" s="3" t="str">
        <f>IF(TableRefills3[[#This Row],[prev_refill_days]]="","",TableRefills3[[#This Row],[prev_refill_days]]+TableRefills3[[#This Row],[quantity_days]])</f>
        <v/>
      </c>
      <c r="G10" t="str">
        <f>IF(TableRefills3[[#This Row],[prev_refill_end]]="","",TableRefills3[[#This Row],[refill_date]]-TableRefills3[[#This Row],[prev_refill_end]])</f>
        <v/>
      </c>
      <c r="H10">
        <f>IF(TableRefills3[[#This Row],[gap_days]]="",0,IF(TableRefills3[[#This Row],[gap_days]]&gt;2,1,0))</f>
        <v>0</v>
      </c>
      <c r="I10">
        <f>_xlfn.MAXIFS(TableRefills3[discountinuation_flag], TableRefills3[patient_id], A10)</f>
        <v>0</v>
      </c>
    </row>
    <row r="11" spans="1:9" x14ac:dyDescent="0.25">
      <c r="A11" t="s">
        <v>23</v>
      </c>
      <c r="B11" t="s">
        <v>24</v>
      </c>
      <c r="C11" s="3">
        <v>45921</v>
      </c>
      <c r="D11">
        <v>28</v>
      </c>
      <c r="E11" s="3">
        <f t="shared" si="0"/>
        <v>45892</v>
      </c>
      <c r="F11" s="3">
        <f>IF(TableRefills3[[#This Row],[prev_refill_days]]="","",TableRefills3[[#This Row],[prev_refill_days]]+TableRefills3[[#This Row],[quantity_days]])</f>
        <v>45920</v>
      </c>
      <c r="G11">
        <f>IF(TableRefills3[[#This Row],[prev_refill_end]]="","",TableRefills3[[#This Row],[refill_date]]-TableRefills3[[#This Row],[prev_refill_end]])</f>
        <v>1</v>
      </c>
      <c r="H11">
        <f>IF(TableRefills3[[#This Row],[gap_days]]="",0,IF(TableRefills3[[#This Row],[gap_days]]&gt;2,1,0))</f>
        <v>0</v>
      </c>
      <c r="I11">
        <f>_xlfn.MAXIFS(TableRefills3[discountinuation_flag], TableRefills3[patient_id], A11)</f>
        <v>0</v>
      </c>
    </row>
    <row r="12" spans="1:9" x14ac:dyDescent="0.25">
      <c r="A12" t="s">
        <v>23</v>
      </c>
      <c r="B12" t="s">
        <v>24</v>
      </c>
      <c r="C12" s="3">
        <v>45950</v>
      </c>
      <c r="D12">
        <v>28</v>
      </c>
      <c r="E12" s="3">
        <f t="shared" si="0"/>
        <v>45921</v>
      </c>
      <c r="F12" s="3">
        <f>IF(TableRefills3[[#This Row],[prev_refill_days]]="","",TableRefills3[[#This Row],[prev_refill_days]]+TableRefills3[[#This Row],[quantity_days]])</f>
        <v>45949</v>
      </c>
      <c r="G12">
        <f>IF(TableRefills3[[#This Row],[prev_refill_end]]="","",TableRefills3[[#This Row],[refill_date]]-TableRefills3[[#This Row],[prev_refill_end]])</f>
        <v>1</v>
      </c>
      <c r="H12" s="10">
        <f>IF(TableRefills3[[#This Row],[gap_days]]="",0,IF(TableRefills3[[#This Row],[gap_days]]&gt;2,1,0))</f>
        <v>0</v>
      </c>
      <c r="I12">
        <f>_xlfn.MAXIFS(TableRefills3[discountinuation_flag], TableRefills3[patient_id], A12)</f>
        <v>0</v>
      </c>
    </row>
    <row r="13" spans="1:9" x14ac:dyDescent="0.25">
      <c r="A13" t="s">
        <v>28</v>
      </c>
      <c r="B13" t="s">
        <v>29</v>
      </c>
      <c r="C13" s="3">
        <v>45914</v>
      </c>
      <c r="D13">
        <v>21</v>
      </c>
      <c r="E13" s="3" t="str">
        <f t="shared" si="0"/>
        <v/>
      </c>
      <c r="F13" s="3" t="str">
        <f>IF(TableRefills3[[#This Row],[prev_refill_days]]="","",TableRefills3[[#This Row],[prev_refill_days]]+TableRefills3[[#This Row],[quantity_days]])</f>
        <v/>
      </c>
      <c r="G13" t="str">
        <f>IF(TableRefills3[[#This Row],[prev_refill_end]]="","",TableRefills3[[#This Row],[refill_date]]-TableRefills3[[#This Row],[prev_refill_end]])</f>
        <v/>
      </c>
      <c r="H13" s="10">
        <f>IF(TableRefills3[[#This Row],[gap_days]]="",0,IF(TableRefills3[[#This Row],[gap_days]]&gt;2,1,0))</f>
        <v>0</v>
      </c>
      <c r="I13">
        <f>_xlfn.MAXIFS(TableRefills3[discountinuation_flag], TableRefills3[patient_id], A13)</f>
        <v>0</v>
      </c>
    </row>
    <row r="14" spans="1:9" x14ac:dyDescent="0.25">
      <c r="A14" t="s">
        <v>28</v>
      </c>
      <c r="B14" t="s">
        <v>29</v>
      </c>
      <c r="C14" s="3">
        <v>45934</v>
      </c>
      <c r="D14">
        <v>21</v>
      </c>
      <c r="E14" s="3">
        <f t="shared" si="0"/>
        <v>45914</v>
      </c>
      <c r="F14" s="3">
        <f>IF(TableRefills3[[#This Row],[prev_refill_days]]="","",TableRefills3[[#This Row],[prev_refill_days]]+TableRefills3[[#This Row],[quantity_days]])</f>
        <v>45935</v>
      </c>
      <c r="G14">
        <f>IF(TableRefills3[[#This Row],[prev_refill_end]]="","",TableRefills3[[#This Row],[refill_date]]-TableRefills3[[#This Row],[prev_refill_end]])</f>
        <v>-1</v>
      </c>
      <c r="H14" s="10">
        <f>IF(TableRefills3[[#This Row],[gap_days]]="",0,IF(TableRefills3[[#This Row],[gap_days]]&gt;2,1,0))</f>
        <v>0</v>
      </c>
      <c r="I14">
        <f>_xlfn.MAXIFS(TableRefills3[discountinuation_flag], TableRefills3[patient_id], A14)</f>
        <v>0</v>
      </c>
    </row>
    <row r="15" spans="1:9" x14ac:dyDescent="0.25">
      <c r="A15" t="s">
        <v>28</v>
      </c>
      <c r="B15" t="s">
        <v>29</v>
      </c>
      <c r="C15" s="3">
        <v>45952</v>
      </c>
      <c r="D15">
        <v>21</v>
      </c>
      <c r="E15" s="3">
        <f t="shared" si="0"/>
        <v>45934</v>
      </c>
      <c r="F15" s="3">
        <f>IF(TableRefills3[[#This Row],[prev_refill_days]]="","",TableRefills3[[#This Row],[prev_refill_days]]+TableRefills3[[#This Row],[quantity_days]])</f>
        <v>45955</v>
      </c>
      <c r="G15">
        <f>IF(TableRefills3[[#This Row],[prev_refill_end]]="","",TableRefills3[[#This Row],[refill_date]]-TableRefills3[[#This Row],[prev_refill_end]])</f>
        <v>-3</v>
      </c>
      <c r="H15" s="10">
        <f>IF(TableRefills3[[#This Row],[gap_days]]="",0,IF(TableRefills3[[#This Row],[gap_days]]&gt;2,1,0))</f>
        <v>0</v>
      </c>
      <c r="I15">
        <f>_xlfn.MAXIFS(TableRefills3[discountinuation_flag], TableRefills3[patient_id], A15)</f>
        <v>0</v>
      </c>
    </row>
    <row r="16" spans="1:9" x14ac:dyDescent="0.25">
      <c r="A16" t="s">
        <v>33</v>
      </c>
      <c r="B16" t="s">
        <v>34</v>
      </c>
      <c r="C16" s="3">
        <v>45857</v>
      </c>
      <c r="D16">
        <v>30</v>
      </c>
      <c r="E16" s="3" t="str">
        <f t="shared" si="0"/>
        <v/>
      </c>
      <c r="F16" s="3" t="str">
        <f>IF(TableRefills3[[#This Row],[prev_refill_days]]="","",TableRefills3[[#This Row],[prev_refill_days]]+TableRefills3[[#This Row],[quantity_days]])</f>
        <v/>
      </c>
      <c r="G16" t="str">
        <f>IF(TableRefills3[[#This Row],[prev_refill_end]]="","",TableRefills3[[#This Row],[refill_date]]-TableRefills3[[#This Row],[prev_refill_end]])</f>
        <v/>
      </c>
      <c r="H16" s="10">
        <f>IF(TableRefills3[[#This Row],[gap_days]]="",0,IF(TableRefills3[[#This Row],[gap_days]]&gt;2,1,0))</f>
        <v>0</v>
      </c>
      <c r="I16">
        <f>_xlfn.MAXIFS(TableRefills3[discountinuation_flag], TableRefills3[patient_id], A16)</f>
        <v>0</v>
      </c>
    </row>
    <row r="17" spans="1:9" x14ac:dyDescent="0.25">
      <c r="A17" t="s">
        <v>33</v>
      </c>
      <c r="B17" t="s">
        <v>34</v>
      </c>
      <c r="C17" s="3">
        <v>45887</v>
      </c>
      <c r="D17">
        <v>30</v>
      </c>
      <c r="E17" s="3">
        <f t="shared" si="0"/>
        <v>45857</v>
      </c>
      <c r="F17" s="3">
        <f>IF(TableRefills3[[#This Row],[prev_refill_days]]="","",TableRefills3[[#This Row],[prev_refill_days]]+TableRefills3[[#This Row],[quantity_days]])</f>
        <v>45887</v>
      </c>
      <c r="G17">
        <f>IF(TableRefills3[[#This Row],[prev_refill_end]]="","",TableRefills3[[#This Row],[refill_date]]-TableRefills3[[#This Row],[prev_refill_end]])</f>
        <v>0</v>
      </c>
      <c r="H17" s="10">
        <f>IF(TableRefills3[[#This Row],[gap_days]]="",0,IF(TableRefills3[[#This Row],[gap_days]]&gt;2,1,0))</f>
        <v>0</v>
      </c>
      <c r="I17">
        <f>_xlfn.MAXIFS(TableRefills3[discountinuation_flag], TableRefills3[patient_id], A17)</f>
        <v>0</v>
      </c>
    </row>
    <row r="18" spans="1:9" x14ac:dyDescent="0.25">
      <c r="A18" t="s">
        <v>33</v>
      </c>
      <c r="B18" t="s">
        <v>34</v>
      </c>
      <c r="C18" s="3">
        <v>45914</v>
      </c>
      <c r="D18">
        <v>30</v>
      </c>
      <c r="E18" s="3">
        <f t="shared" si="0"/>
        <v>45887</v>
      </c>
      <c r="F18" s="3">
        <f>IF(TableRefills3[[#This Row],[prev_refill_days]]="","",TableRefills3[[#This Row],[prev_refill_days]]+TableRefills3[[#This Row],[quantity_days]])</f>
        <v>45917</v>
      </c>
      <c r="G18">
        <f>IF(TableRefills3[[#This Row],[prev_refill_end]]="","",TableRefills3[[#This Row],[refill_date]]-TableRefills3[[#This Row],[prev_refill_end]])</f>
        <v>-3</v>
      </c>
      <c r="H18" s="10">
        <f>IF(TableRefills3[[#This Row],[gap_days]]="",0,IF(TableRefills3[[#This Row],[gap_days]]&gt;2,1,0))</f>
        <v>0</v>
      </c>
      <c r="I18">
        <f>_xlfn.MAXIFS(TableRefills3[discountinuation_flag], TableRefills3[patient_id], A18)</f>
        <v>0</v>
      </c>
    </row>
    <row r="19" spans="1:9" x14ac:dyDescent="0.25">
      <c r="A19" t="s">
        <v>33</v>
      </c>
      <c r="B19" t="s">
        <v>34</v>
      </c>
      <c r="C19" s="3">
        <v>45944</v>
      </c>
      <c r="D19">
        <v>30</v>
      </c>
      <c r="E19" s="3">
        <f t="shared" si="0"/>
        <v>45914</v>
      </c>
      <c r="F19" s="3">
        <f>IF(TableRefills3[[#This Row],[prev_refill_days]]="","",TableRefills3[[#This Row],[prev_refill_days]]+TableRefills3[[#This Row],[quantity_days]])</f>
        <v>45944</v>
      </c>
      <c r="G19">
        <f>IF(TableRefills3[[#This Row],[prev_refill_end]]="","",TableRefills3[[#This Row],[refill_date]]-TableRefills3[[#This Row],[prev_refill_end]])</f>
        <v>0</v>
      </c>
      <c r="H19" s="10">
        <f>IF(TableRefills3[[#This Row],[gap_days]]="",0,IF(TableRefills3[[#This Row],[gap_days]]&gt;2,1,0))</f>
        <v>0</v>
      </c>
      <c r="I19">
        <f>_xlfn.MAXIFS(TableRefills3[discountinuation_flag], TableRefills3[patient_id], A19)</f>
        <v>0</v>
      </c>
    </row>
    <row r="20" spans="1:9" x14ac:dyDescent="0.25">
      <c r="A20" t="s">
        <v>39</v>
      </c>
      <c r="B20" t="s">
        <v>40</v>
      </c>
      <c r="C20" s="3">
        <v>45898</v>
      </c>
      <c r="D20">
        <v>21</v>
      </c>
      <c r="E20" s="3" t="str">
        <f t="shared" si="0"/>
        <v/>
      </c>
      <c r="F20" s="3" t="str">
        <f>IF(TableRefills3[[#This Row],[prev_refill_days]]="","",TableRefills3[[#This Row],[prev_refill_days]]+TableRefills3[[#This Row],[quantity_days]])</f>
        <v/>
      </c>
      <c r="G20" t="str">
        <f>IF(TableRefills3[[#This Row],[prev_refill_end]]="","",TableRefills3[[#This Row],[refill_date]]-TableRefills3[[#This Row],[prev_refill_end]])</f>
        <v/>
      </c>
      <c r="H20" s="10">
        <f>IF(TableRefills3[[#This Row],[gap_days]]="",0,IF(TableRefills3[[#This Row],[gap_days]]&gt;2,1,0))</f>
        <v>0</v>
      </c>
      <c r="I20">
        <f>_xlfn.MAXIFS(TableRefills3[discountinuation_flag], TableRefills3[patient_id], A20)</f>
        <v>0</v>
      </c>
    </row>
    <row r="21" spans="1:9" x14ac:dyDescent="0.25">
      <c r="A21" t="s">
        <v>39</v>
      </c>
      <c r="B21" t="s">
        <v>40</v>
      </c>
      <c r="C21" s="3">
        <v>45916</v>
      </c>
      <c r="D21">
        <v>21</v>
      </c>
      <c r="E21" s="3">
        <f t="shared" si="0"/>
        <v>45898</v>
      </c>
      <c r="F21" s="3">
        <f>IF(TableRefills3[[#This Row],[prev_refill_days]]="","",TableRefills3[[#This Row],[prev_refill_days]]+TableRefills3[[#This Row],[quantity_days]])</f>
        <v>45919</v>
      </c>
      <c r="G21">
        <f>IF(TableRefills3[[#This Row],[prev_refill_end]]="","",TableRefills3[[#This Row],[refill_date]]-TableRefills3[[#This Row],[prev_refill_end]])</f>
        <v>-3</v>
      </c>
      <c r="H21" s="10">
        <f>IF(TableRefills3[[#This Row],[gap_days]]="",0,IF(TableRefills3[[#This Row],[gap_days]]&gt;2,1,0))</f>
        <v>0</v>
      </c>
      <c r="I21">
        <f>_xlfn.MAXIFS(TableRefills3[discountinuation_flag], TableRefills3[patient_id], A21)</f>
        <v>0</v>
      </c>
    </row>
    <row r="22" spans="1:9" x14ac:dyDescent="0.25">
      <c r="A22" t="s">
        <v>43</v>
      </c>
      <c r="B22" t="s">
        <v>44</v>
      </c>
      <c r="C22" s="3">
        <v>45827</v>
      </c>
      <c r="D22">
        <v>28</v>
      </c>
      <c r="E22" s="3" t="str">
        <f t="shared" si="0"/>
        <v/>
      </c>
      <c r="F22" s="3" t="str">
        <f>IF(TableRefills3[[#This Row],[prev_refill_days]]="","",TableRefills3[[#This Row],[prev_refill_days]]+TableRefills3[[#This Row],[quantity_days]])</f>
        <v/>
      </c>
      <c r="G22" t="str">
        <f>IF(TableRefills3[[#This Row],[prev_refill_end]]="","",TableRefills3[[#This Row],[refill_date]]-TableRefills3[[#This Row],[prev_refill_end]])</f>
        <v/>
      </c>
      <c r="H22" s="10">
        <f>IF(TableRefills3[[#This Row],[gap_days]]="",0,IF(TableRefills3[[#This Row],[gap_days]]&gt;2,1,0))</f>
        <v>0</v>
      </c>
      <c r="I22">
        <f>_xlfn.MAXIFS(TableRefills3[discountinuation_flag], TableRefills3[patient_id], A22)</f>
        <v>1</v>
      </c>
    </row>
    <row r="23" spans="1:9" x14ac:dyDescent="0.25">
      <c r="A23" t="s">
        <v>43</v>
      </c>
      <c r="B23" t="s">
        <v>44</v>
      </c>
      <c r="C23" s="3">
        <v>45855</v>
      </c>
      <c r="D23">
        <v>28</v>
      </c>
      <c r="E23" s="3">
        <f t="shared" si="0"/>
        <v>45827</v>
      </c>
      <c r="F23" s="3">
        <f>IF(TableRefills3[[#This Row],[prev_refill_days]]="","",TableRefills3[[#This Row],[prev_refill_days]]+TableRefills3[[#This Row],[quantity_days]])</f>
        <v>45855</v>
      </c>
      <c r="G23">
        <f>IF(TableRefills3[[#This Row],[prev_refill_end]]="","",TableRefills3[[#This Row],[refill_date]]-TableRefills3[[#This Row],[prev_refill_end]])</f>
        <v>0</v>
      </c>
      <c r="H23" s="10">
        <f>IF(TableRefills3[[#This Row],[gap_days]]="",0,IF(TableRefills3[[#This Row],[gap_days]]&gt;2,1,0))</f>
        <v>0</v>
      </c>
      <c r="I23">
        <f>_xlfn.MAXIFS(TableRefills3[discountinuation_flag], TableRefills3[patient_id], A23)</f>
        <v>1</v>
      </c>
    </row>
    <row r="24" spans="1:9" x14ac:dyDescent="0.25">
      <c r="A24" t="s">
        <v>43</v>
      </c>
      <c r="B24" t="s">
        <v>44</v>
      </c>
      <c r="C24" s="3">
        <v>45886</v>
      </c>
      <c r="D24">
        <v>28</v>
      </c>
      <c r="E24" s="3">
        <f t="shared" si="0"/>
        <v>45855</v>
      </c>
      <c r="F24" s="3">
        <f>IF(TableRefills3[[#This Row],[prev_refill_days]]="","",TableRefills3[[#This Row],[prev_refill_days]]+TableRefills3[[#This Row],[quantity_days]])</f>
        <v>45883</v>
      </c>
      <c r="G24">
        <f>IF(TableRefills3[[#This Row],[prev_refill_end]]="","",TableRefills3[[#This Row],[refill_date]]-TableRefills3[[#This Row],[prev_refill_end]])</f>
        <v>3</v>
      </c>
      <c r="H24" s="10">
        <f>IF(TableRefills3[[#This Row],[gap_days]]="",0,IF(TableRefills3[[#This Row],[gap_days]]&gt;2,1,0))</f>
        <v>1</v>
      </c>
      <c r="I24">
        <f>_xlfn.MAXIFS(TableRefills3[discountinuation_flag], TableRefills3[patient_id], A24)</f>
        <v>1</v>
      </c>
    </row>
    <row r="25" spans="1:9" x14ac:dyDescent="0.25">
      <c r="A25" t="s">
        <v>43</v>
      </c>
      <c r="B25" t="s">
        <v>44</v>
      </c>
      <c r="C25" s="3">
        <v>45914</v>
      </c>
      <c r="D25">
        <v>28</v>
      </c>
      <c r="E25" s="3">
        <f t="shared" si="0"/>
        <v>45886</v>
      </c>
      <c r="F25" s="3">
        <f>IF(TableRefills3[[#This Row],[prev_refill_days]]="","",TableRefills3[[#This Row],[prev_refill_days]]+TableRefills3[[#This Row],[quantity_days]])</f>
        <v>45914</v>
      </c>
      <c r="G25">
        <f>IF(TableRefills3[[#This Row],[prev_refill_end]]="","",TableRefills3[[#This Row],[refill_date]]-TableRefills3[[#This Row],[prev_refill_end]])</f>
        <v>0</v>
      </c>
      <c r="H25" s="10">
        <f>IF(TableRefills3[[#This Row],[gap_days]]="",0,IF(TableRefills3[[#This Row],[gap_days]]&gt;2,1,0))</f>
        <v>0</v>
      </c>
      <c r="I25">
        <f>_xlfn.MAXIFS(TableRefills3[discountinuation_flag], TableRefills3[patient_id], A25)</f>
        <v>1</v>
      </c>
    </row>
    <row r="26" spans="1:9" x14ac:dyDescent="0.25">
      <c r="A26" t="s">
        <v>43</v>
      </c>
      <c r="B26" t="s">
        <v>44</v>
      </c>
      <c r="C26" s="3">
        <v>45943</v>
      </c>
      <c r="D26">
        <v>28</v>
      </c>
      <c r="E26" s="3">
        <f t="shared" si="0"/>
        <v>45914</v>
      </c>
      <c r="F26" s="3">
        <f>IF(TableRefills3[[#This Row],[prev_refill_days]]="","",TableRefills3[[#This Row],[prev_refill_days]]+TableRefills3[[#This Row],[quantity_days]])</f>
        <v>45942</v>
      </c>
      <c r="G26">
        <f>IF(TableRefills3[[#This Row],[prev_refill_end]]="","",TableRefills3[[#This Row],[refill_date]]-TableRefills3[[#This Row],[prev_refill_end]])</f>
        <v>1</v>
      </c>
      <c r="H26" s="10">
        <f>IF(TableRefills3[[#This Row],[gap_days]]="",0,IF(TableRefills3[[#This Row],[gap_days]]&gt;2,1,0))</f>
        <v>0</v>
      </c>
      <c r="I26">
        <f>_xlfn.MAXIFS(TableRefills3[discountinuation_flag], TableRefills3[patient_id], A26)</f>
        <v>1</v>
      </c>
    </row>
    <row r="27" spans="1:9" x14ac:dyDescent="0.25">
      <c r="A27" t="s">
        <v>50</v>
      </c>
      <c r="B27" t="s">
        <v>51</v>
      </c>
      <c r="C27" s="3">
        <v>45951</v>
      </c>
      <c r="D27">
        <v>28</v>
      </c>
      <c r="E27" s="3" t="str">
        <f t="shared" si="0"/>
        <v/>
      </c>
      <c r="F27" s="3" t="str">
        <f>IF(TableRefills3[[#This Row],[prev_refill_days]]="","",TableRefills3[[#This Row],[prev_refill_days]]+TableRefills3[[#This Row],[quantity_days]])</f>
        <v/>
      </c>
      <c r="G27" t="str">
        <f>IF(TableRefills3[[#This Row],[prev_refill_end]]="","",TableRefills3[[#This Row],[refill_date]]-TableRefills3[[#This Row],[prev_refill_end]])</f>
        <v/>
      </c>
      <c r="H27" s="10">
        <f>IF(TableRefills3[[#This Row],[gap_days]]="",0,IF(TableRefills3[[#This Row],[gap_days]]&gt;2,1,0))</f>
        <v>0</v>
      </c>
      <c r="I27">
        <f>_xlfn.MAXIFS(TableRefills3[discountinuation_flag], TableRefills3[patient_id], A27)</f>
        <v>0</v>
      </c>
    </row>
    <row r="28" spans="1:9" x14ac:dyDescent="0.25">
      <c r="A28" t="s">
        <v>53</v>
      </c>
      <c r="B28" t="s">
        <v>54</v>
      </c>
      <c r="C28" s="3">
        <v>45890</v>
      </c>
      <c r="D28">
        <v>28</v>
      </c>
      <c r="E28" s="3" t="str">
        <f t="shared" si="0"/>
        <v/>
      </c>
      <c r="F28" s="3" t="str">
        <f>IF(TableRefills3[[#This Row],[prev_refill_days]]="","",TableRefills3[[#This Row],[prev_refill_days]]+TableRefills3[[#This Row],[quantity_days]])</f>
        <v/>
      </c>
      <c r="G28" t="str">
        <f>IF(TableRefills3[[#This Row],[prev_refill_end]]="","",TableRefills3[[#This Row],[refill_date]]-TableRefills3[[#This Row],[prev_refill_end]])</f>
        <v/>
      </c>
      <c r="H28" s="10">
        <f>IF(TableRefills3[[#This Row],[gap_days]]="",0,IF(TableRefills3[[#This Row],[gap_days]]&gt;2,1,0))</f>
        <v>0</v>
      </c>
      <c r="I28">
        <f>_xlfn.MAXIFS(TableRefills3[discountinuation_flag], TableRefills3[patient_id], A28)</f>
        <v>0</v>
      </c>
    </row>
    <row r="29" spans="1:9" x14ac:dyDescent="0.25">
      <c r="A29" t="s">
        <v>53</v>
      </c>
      <c r="B29" t="s">
        <v>54</v>
      </c>
      <c r="C29" s="3">
        <v>45915</v>
      </c>
      <c r="D29">
        <v>28</v>
      </c>
      <c r="E29" s="3">
        <f t="shared" si="0"/>
        <v>45890</v>
      </c>
      <c r="F29" s="3">
        <f>IF(TableRefills3[[#This Row],[prev_refill_days]]="","",TableRefills3[[#This Row],[prev_refill_days]]+TableRefills3[[#This Row],[quantity_days]])</f>
        <v>45918</v>
      </c>
      <c r="G29">
        <f>IF(TableRefills3[[#This Row],[prev_refill_end]]="","",TableRefills3[[#This Row],[refill_date]]-TableRefills3[[#This Row],[prev_refill_end]])</f>
        <v>-3</v>
      </c>
      <c r="H29" s="10">
        <f>IF(TableRefills3[[#This Row],[gap_days]]="",0,IF(TableRefills3[[#This Row],[gap_days]]&gt;2,1,0))</f>
        <v>0</v>
      </c>
      <c r="I29">
        <f>_xlfn.MAXIFS(TableRefills3[discountinuation_flag], TableRefills3[patient_id], A29)</f>
        <v>0</v>
      </c>
    </row>
    <row r="30" spans="1:9" x14ac:dyDescent="0.25">
      <c r="A30" t="s">
        <v>53</v>
      </c>
      <c r="B30" t="s">
        <v>54</v>
      </c>
      <c r="C30" s="3">
        <v>45944</v>
      </c>
      <c r="D30">
        <v>28</v>
      </c>
      <c r="E30" s="3">
        <f t="shared" si="0"/>
        <v>45915</v>
      </c>
      <c r="F30" s="3">
        <f>IF(TableRefills3[[#This Row],[prev_refill_days]]="","",TableRefills3[[#This Row],[prev_refill_days]]+TableRefills3[[#This Row],[quantity_days]])</f>
        <v>45943</v>
      </c>
      <c r="G30">
        <f>IF(TableRefills3[[#This Row],[prev_refill_end]]="","",TableRefills3[[#This Row],[refill_date]]-TableRefills3[[#This Row],[prev_refill_end]])</f>
        <v>1</v>
      </c>
      <c r="H30" s="10">
        <f>IF(TableRefills3[[#This Row],[gap_days]]="",0,IF(TableRefills3[[#This Row],[gap_days]]&gt;2,1,0))</f>
        <v>0</v>
      </c>
      <c r="I30">
        <f>_xlfn.MAXIFS(TableRefills3[discountinuation_flag], TableRefills3[patient_id], A30)</f>
        <v>0</v>
      </c>
    </row>
    <row r="31" spans="1:9" x14ac:dyDescent="0.25">
      <c r="A31" t="s">
        <v>58</v>
      </c>
      <c r="B31" t="s">
        <v>59</v>
      </c>
      <c r="C31" s="3">
        <v>45850</v>
      </c>
      <c r="D31">
        <v>30</v>
      </c>
      <c r="E31" s="3" t="str">
        <f t="shared" si="0"/>
        <v/>
      </c>
      <c r="F31" s="3" t="str">
        <f>IF(TableRefills3[[#This Row],[prev_refill_days]]="","",TableRefills3[[#This Row],[prev_refill_days]]+TableRefills3[[#This Row],[quantity_days]])</f>
        <v/>
      </c>
      <c r="G31" t="str">
        <f>IF(TableRefills3[[#This Row],[prev_refill_end]]="","",TableRefills3[[#This Row],[refill_date]]-TableRefills3[[#This Row],[prev_refill_end]])</f>
        <v/>
      </c>
      <c r="H31" s="10">
        <f>IF(TableRefills3[[#This Row],[gap_days]]="",0,IF(TableRefills3[[#This Row],[gap_days]]&gt;2,1,0))</f>
        <v>0</v>
      </c>
      <c r="I31">
        <f>_xlfn.MAXIFS(TableRefills3[discountinuation_flag], TableRefills3[patient_id], A31)</f>
        <v>1</v>
      </c>
    </row>
    <row r="32" spans="1:9" x14ac:dyDescent="0.25">
      <c r="A32" t="s">
        <v>58</v>
      </c>
      <c r="B32" t="s">
        <v>59</v>
      </c>
      <c r="C32" s="3">
        <v>45878</v>
      </c>
      <c r="D32">
        <v>30</v>
      </c>
      <c r="E32" s="3">
        <f t="shared" si="0"/>
        <v>45850</v>
      </c>
      <c r="F32" s="3">
        <f>IF(TableRefills3[[#This Row],[prev_refill_days]]="","",TableRefills3[[#This Row],[prev_refill_days]]+TableRefills3[[#This Row],[quantity_days]])</f>
        <v>45880</v>
      </c>
      <c r="G32">
        <f>IF(TableRefills3[[#This Row],[prev_refill_end]]="","",TableRefills3[[#This Row],[refill_date]]-TableRefills3[[#This Row],[prev_refill_end]])</f>
        <v>-2</v>
      </c>
      <c r="H32" s="10">
        <f>IF(TableRefills3[[#This Row],[gap_days]]="",0,IF(TableRefills3[[#This Row],[gap_days]]&gt;2,1,0))</f>
        <v>0</v>
      </c>
      <c r="I32">
        <f>_xlfn.MAXIFS(TableRefills3[discountinuation_flag], TableRefills3[patient_id], A32)</f>
        <v>1</v>
      </c>
    </row>
    <row r="33" spans="1:9" x14ac:dyDescent="0.25">
      <c r="A33" t="s">
        <v>58</v>
      </c>
      <c r="B33" t="s">
        <v>59</v>
      </c>
      <c r="C33" s="3">
        <v>45905</v>
      </c>
      <c r="D33">
        <v>30</v>
      </c>
      <c r="E33" s="3">
        <f t="shared" si="0"/>
        <v>45878</v>
      </c>
      <c r="F33" s="3">
        <f>IF(TableRefills3[[#This Row],[prev_refill_days]]="","",TableRefills3[[#This Row],[prev_refill_days]]+TableRefills3[[#This Row],[quantity_days]])</f>
        <v>45908</v>
      </c>
      <c r="G33">
        <f>IF(TableRefills3[[#This Row],[prev_refill_end]]="","",TableRefills3[[#This Row],[refill_date]]-TableRefills3[[#This Row],[prev_refill_end]])</f>
        <v>-3</v>
      </c>
      <c r="H33" s="10">
        <f>IF(TableRefills3[[#This Row],[gap_days]]="",0,IF(TableRefills3[[#This Row],[gap_days]]&gt;2,1,0))</f>
        <v>0</v>
      </c>
      <c r="I33">
        <f>_xlfn.MAXIFS(TableRefills3[discountinuation_flag], TableRefills3[patient_id], A33)</f>
        <v>1</v>
      </c>
    </row>
    <row r="34" spans="1:9" x14ac:dyDescent="0.25">
      <c r="A34" t="s">
        <v>58</v>
      </c>
      <c r="B34" t="s">
        <v>59</v>
      </c>
      <c r="C34" s="3">
        <v>45938</v>
      </c>
      <c r="D34">
        <v>30</v>
      </c>
      <c r="E34" s="3">
        <f t="shared" si="0"/>
        <v>45905</v>
      </c>
      <c r="F34" s="3">
        <f>IF(TableRefills3[[#This Row],[prev_refill_days]]="","",TableRefills3[[#This Row],[prev_refill_days]]+TableRefills3[[#This Row],[quantity_days]])</f>
        <v>45935</v>
      </c>
      <c r="G34">
        <f>IF(TableRefills3[[#This Row],[prev_refill_end]]="","",TableRefills3[[#This Row],[refill_date]]-TableRefills3[[#This Row],[prev_refill_end]])</f>
        <v>3</v>
      </c>
      <c r="H34" s="10">
        <f>IF(TableRefills3[[#This Row],[gap_days]]="",0,IF(TableRefills3[[#This Row],[gap_days]]&gt;2,1,0))</f>
        <v>1</v>
      </c>
      <c r="I34">
        <f>_xlfn.MAXIFS(TableRefills3[discountinuation_flag], TableRefills3[patient_id], A34)</f>
        <v>1</v>
      </c>
    </row>
    <row r="35" spans="1:9" x14ac:dyDescent="0.25">
      <c r="A35" t="s">
        <v>64</v>
      </c>
      <c r="B35" t="s">
        <v>65</v>
      </c>
      <c r="C35" s="3">
        <v>45875</v>
      </c>
      <c r="D35">
        <v>28</v>
      </c>
      <c r="E35" s="3" t="str">
        <f t="shared" si="0"/>
        <v/>
      </c>
      <c r="F35" s="3" t="str">
        <f>IF(TableRefills3[[#This Row],[prev_refill_days]]="","",TableRefills3[[#This Row],[prev_refill_days]]+TableRefills3[[#This Row],[quantity_days]])</f>
        <v/>
      </c>
      <c r="G35" t="str">
        <f>IF(TableRefills3[[#This Row],[prev_refill_end]]="","",TableRefills3[[#This Row],[refill_date]]-TableRefills3[[#This Row],[prev_refill_end]])</f>
        <v/>
      </c>
      <c r="H35" s="10">
        <f>IF(TableRefills3[[#This Row],[gap_days]]="",0,IF(TableRefills3[[#This Row],[gap_days]]&gt;2,1,0))</f>
        <v>0</v>
      </c>
      <c r="I35">
        <f>_xlfn.MAXIFS(TableRefills3[discountinuation_flag], TableRefills3[patient_id], A35)</f>
        <v>0</v>
      </c>
    </row>
    <row r="36" spans="1:9" x14ac:dyDescent="0.25">
      <c r="A36" t="s">
        <v>64</v>
      </c>
      <c r="B36" t="s">
        <v>65</v>
      </c>
      <c r="C36" s="3">
        <v>45905</v>
      </c>
      <c r="D36">
        <v>28</v>
      </c>
      <c r="E36" s="3">
        <f t="shared" si="0"/>
        <v>45875</v>
      </c>
      <c r="F36" s="3">
        <f>IF(TableRefills3[[#This Row],[prev_refill_days]]="","",TableRefills3[[#This Row],[prev_refill_days]]+TableRefills3[[#This Row],[quantity_days]])</f>
        <v>45903</v>
      </c>
      <c r="G36">
        <f>IF(TableRefills3[[#This Row],[prev_refill_end]]="","",TableRefills3[[#This Row],[refill_date]]-TableRefills3[[#This Row],[prev_refill_end]])</f>
        <v>2</v>
      </c>
      <c r="H36" s="10">
        <f>IF(TableRefills3[[#This Row],[gap_days]]="",0,IF(TableRefills3[[#This Row],[gap_days]]&gt;2,1,0))</f>
        <v>0</v>
      </c>
      <c r="I36">
        <f>_xlfn.MAXIFS(TableRefills3[discountinuation_flag], TableRefills3[patient_id], A36)</f>
        <v>0</v>
      </c>
    </row>
    <row r="37" spans="1:9" x14ac:dyDescent="0.25">
      <c r="A37" t="s">
        <v>64</v>
      </c>
      <c r="B37" t="s">
        <v>65</v>
      </c>
      <c r="C37" s="3">
        <v>45934</v>
      </c>
      <c r="D37">
        <v>28</v>
      </c>
      <c r="E37" s="3">
        <f t="shared" si="0"/>
        <v>45905</v>
      </c>
      <c r="F37" s="3">
        <f>IF(TableRefills3[[#This Row],[prev_refill_days]]="","",TableRefills3[[#This Row],[prev_refill_days]]+TableRefills3[[#This Row],[quantity_days]])</f>
        <v>45933</v>
      </c>
      <c r="G37">
        <f>IF(TableRefills3[[#This Row],[prev_refill_end]]="","",TableRefills3[[#This Row],[refill_date]]-TableRefills3[[#This Row],[prev_refill_end]])</f>
        <v>1</v>
      </c>
      <c r="H37" s="10">
        <f>IF(TableRefills3[[#This Row],[gap_days]]="",0,IF(TableRefills3[[#This Row],[gap_days]]&gt;2,1,0))</f>
        <v>0</v>
      </c>
      <c r="I37">
        <f>_xlfn.MAXIFS(TableRefills3[discountinuation_flag], TableRefills3[patient_id], A37)</f>
        <v>0</v>
      </c>
    </row>
    <row r="38" spans="1:9" x14ac:dyDescent="0.25">
      <c r="A38" t="s">
        <v>69</v>
      </c>
      <c r="B38" t="s">
        <v>70</v>
      </c>
      <c r="C38" s="3">
        <v>45913</v>
      </c>
      <c r="D38">
        <v>28</v>
      </c>
      <c r="E38" s="3" t="str">
        <f t="shared" si="0"/>
        <v/>
      </c>
      <c r="F38" s="3" t="str">
        <f>IF(TableRefills3[[#This Row],[prev_refill_days]]="","",TableRefills3[[#This Row],[prev_refill_days]]+TableRefills3[[#This Row],[quantity_days]])</f>
        <v/>
      </c>
      <c r="G38" t="str">
        <f>IF(TableRefills3[[#This Row],[prev_refill_end]]="","",TableRefills3[[#This Row],[refill_date]]-TableRefills3[[#This Row],[prev_refill_end]])</f>
        <v/>
      </c>
      <c r="H38" s="10">
        <f>IF(TableRefills3[[#This Row],[gap_days]]="",0,IF(TableRefills3[[#This Row],[gap_days]]&gt;2,1,0))</f>
        <v>0</v>
      </c>
      <c r="I38">
        <f>_xlfn.MAXIFS(TableRefills3[discountinuation_flag], TableRefills3[patient_id], A38)</f>
        <v>0</v>
      </c>
    </row>
    <row r="39" spans="1:9" x14ac:dyDescent="0.25">
      <c r="A39" t="s">
        <v>69</v>
      </c>
      <c r="B39" t="s">
        <v>70</v>
      </c>
      <c r="C39" s="3">
        <v>45943</v>
      </c>
      <c r="D39">
        <v>28</v>
      </c>
      <c r="E39" s="3">
        <f t="shared" si="0"/>
        <v>45913</v>
      </c>
      <c r="F39" s="3">
        <f>IF(TableRefills3[[#This Row],[prev_refill_days]]="","",TableRefills3[[#This Row],[prev_refill_days]]+TableRefills3[[#This Row],[quantity_days]])</f>
        <v>45941</v>
      </c>
      <c r="G39">
        <f>IF(TableRefills3[[#This Row],[prev_refill_end]]="","",TableRefills3[[#This Row],[refill_date]]-TableRefills3[[#This Row],[prev_refill_end]])</f>
        <v>2</v>
      </c>
      <c r="H39" s="10">
        <f>IF(TableRefills3[[#This Row],[gap_days]]="",0,IF(TableRefills3[[#This Row],[gap_days]]&gt;2,1,0))</f>
        <v>0</v>
      </c>
      <c r="I39">
        <f>_xlfn.MAXIFS(TableRefills3[discountinuation_flag], TableRefills3[patient_id], A39)</f>
        <v>0</v>
      </c>
    </row>
    <row r="40" spans="1:9" x14ac:dyDescent="0.25">
      <c r="A40" t="s">
        <v>73</v>
      </c>
      <c r="B40" t="s">
        <v>74</v>
      </c>
      <c r="C40" s="3">
        <v>45819</v>
      </c>
      <c r="D40">
        <v>21</v>
      </c>
      <c r="E40" s="3" t="str">
        <f t="shared" si="0"/>
        <v/>
      </c>
      <c r="F40" s="3" t="str">
        <f>IF(TableRefills3[[#This Row],[prev_refill_days]]="","",TableRefills3[[#This Row],[prev_refill_days]]+TableRefills3[[#This Row],[quantity_days]])</f>
        <v/>
      </c>
      <c r="G40" t="str">
        <f>IF(TableRefills3[[#This Row],[prev_refill_end]]="","",TableRefills3[[#This Row],[refill_date]]-TableRefills3[[#This Row],[prev_refill_end]])</f>
        <v/>
      </c>
      <c r="H40" s="10">
        <f>IF(TableRefills3[[#This Row],[gap_days]]="",0,IF(TableRefills3[[#This Row],[gap_days]]&gt;2,1,0))</f>
        <v>0</v>
      </c>
      <c r="I40">
        <f>_xlfn.MAXIFS(TableRefills3[discountinuation_flag], TableRefills3[patient_id], A40)</f>
        <v>0</v>
      </c>
    </row>
    <row r="41" spans="1:9" x14ac:dyDescent="0.25">
      <c r="A41" t="s">
        <v>73</v>
      </c>
      <c r="B41" t="s">
        <v>74</v>
      </c>
      <c r="C41" s="3">
        <v>45841</v>
      </c>
      <c r="D41">
        <v>21</v>
      </c>
      <c r="E41" s="3">
        <f t="shared" si="0"/>
        <v>45819</v>
      </c>
      <c r="F41" s="3">
        <f>IF(TableRefills3[[#This Row],[prev_refill_days]]="","",TableRefills3[[#This Row],[prev_refill_days]]+TableRefills3[[#This Row],[quantity_days]])</f>
        <v>45840</v>
      </c>
      <c r="G41">
        <f>IF(TableRefills3[[#This Row],[prev_refill_end]]="","",TableRefills3[[#This Row],[refill_date]]-TableRefills3[[#This Row],[prev_refill_end]])</f>
        <v>1</v>
      </c>
      <c r="H41" s="10">
        <f>IF(TableRefills3[[#This Row],[gap_days]]="",0,IF(TableRefills3[[#This Row],[gap_days]]&gt;2,1,0))</f>
        <v>0</v>
      </c>
      <c r="I41">
        <f>_xlfn.MAXIFS(TableRefills3[discountinuation_flag], TableRefills3[patient_id], A41)</f>
        <v>0</v>
      </c>
    </row>
    <row r="42" spans="1:9" x14ac:dyDescent="0.25">
      <c r="A42" t="s">
        <v>73</v>
      </c>
      <c r="B42" t="s">
        <v>74</v>
      </c>
      <c r="C42" s="3">
        <v>45863</v>
      </c>
      <c r="D42">
        <v>21</v>
      </c>
      <c r="E42" s="3">
        <f t="shared" si="0"/>
        <v>45841</v>
      </c>
      <c r="F42" s="3">
        <f>IF(TableRefills3[[#This Row],[prev_refill_days]]="","",TableRefills3[[#This Row],[prev_refill_days]]+TableRefills3[[#This Row],[quantity_days]])</f>
        <v>45862</v>
      </c>
      <c r="G42">
        <f>IF(TableRefills3[[#This Row],[prev_refill_end]]="","",TableRefills3[[#This Row],[refill_date]]-TableRefills3[[#This Row],[prev_refill_end]])</f>
        <v>1</v>
      </c>
      <c r="H42" s="10">
        <f>IF(TableRefills3[[#This Row],[gap_days]]="",0,IF(TableRefills3[[#This Row],[gap_days]]&gt;2,1,0))</f>
        <v>0</v>
      </c>
      <c r="I42">
        <f>_xlfn.MAXIFS(TableRefills3[discountinuation_flag], TableRefills3[patient_id], A42)</f>
        <v>0</v>
      </c>
    </row>
    <row r="43" spans="1:9" x14ac:dyDescent="0.25">
      <c r="A43" t="s">
        <v>73</v>
      </c>
      <c r="B43" t="s">
        <v>74</v>
      </c>
      <c r="C43" s="3">
        <v>45883</v>
      </c>
      <c r="D43">
        <v>21</v>
      </c>
      <c r="E43" s="3">
        <f t="shared" si="0"/>
        <v>45863</v>
      </c>
      <c r="F43" s="3">
        <f>IF(TableRefills3[[#This Row],[prev_refill_days]]="","",TableRefills3[[#This Row],[prev_refill_days]]+TableRefills3[[#This Row],[quantity_days]])</f>
        <v>45884</v>
      </c>
      <c r="G43">
        <f>IF(TableRefills3[[#This Row],[prev_refill_end]]="","",TableRefills3[[#This Row],[refill_date]]-TableRefills3[[#This Row],[prev_refill_end]])</f>
        <v>-1</v>
      </c>
      <c r="H43" s="10">
        <f>IF(TableRefills3[[#This Row],[gap_days]]="",0,IF(TableRefills3[[#This Row],[gap_days]]&gt;2,1,0))</f>
        <v>0</v>
      </c>
      <c r="I43">
        <f>_xlfn.MAXIFS(TableRefills3[discountinuation_flag], TableRefills3[patient_id], A43)</f>
        <v>0</v>
      </c>
    </row>
    <row r="44" spans="1:9" x14ac:dyDescent="0.25">
      <c r="A44" t="s">
        <v>73</v>
      </c>
      <c r="B44" t="s">
        <v>74</v>
      </c>
      <c r="C44" s="3">
        <v>45903</v>
      </c>
      <c r="D44">
        <v>21</v>
      </c>
      <c r="E44" s="3">
        <f t="shared" si="0"/>
        <v>45883</v>
      </c>
      <c r="F44" s="3">
        <f>IF(TableRefills3[[#This Row],[prev_refill_days]]="","",TableRefills3[[#This Row],[prev_refill_days]]+TableRefills3[[#This Row],[quantity_days]])</f>
        <v>45904</v>
      </c>
      <c r="G44">
        <f>IF(TableRefills3[[#This Row],[prev_refill_end]]="","",TableRefills3[[#This Row],[refill_date]]-TableRefills3[[#This Row],[prev_refill_end]])</f>
        <v>-1</v>
      </c>
      <c r="H44" s="10">
        <f>IF(TableRefills3[[#This Row],[gap_days]]="",0,IF(TableRefills3[[#This Row],[gap_days]]&gt;2,1,0))</f>
        <v>0</v>
      </c>
      <c r="I44">
        <f>_xlfn.MAXIFS(TableRefills3[discountinuation_flag], TableRefills3[patient_id], A44)</f>
        <v>0</v>
      </c>
    </row>
    <row r="45" spans="1:9" x14ac:dyDescent="0.25">
      <c r="A45" t="s">
        <v>73</v>
      </c>
      <c r="B45" t="s">
        <v>74</v>
      </c>
      <c r="C45" s="3">
        <v>45925</v>
      </c>
      <c r="D45">
        <v>21</v>
      </c>
      <c r="E45" s="3">
        <f t="shared" si="0"/>
        <v>45903</v>
      </c>
      <c r="F45" s="3">
        <f>IF(TableRefills3[[#This Row],[prev_refill_days]]="","",TableRefills3[[#This Row],[prev_refill_days]]+TableRefills3[[#This Row],[quantity_days]])</f>
        <v>45924</v>
      </c>
      <c r="G45">
        <f>IF(TableRefills3[[#This Row],[prev_refill_end]]="","",TableRefills3[[#This Row],[refill_date]]-TableRefills3[[#This Row],[prev_refill_end]])</f>
        <v>1</v>
      </c>
      <c r="H45" s="10">
        <f>IF(TableRefills3[[#This Row],[gap_days]]="",0,IF(TableRefills3[[#This Row],[gap_days]]&gt;2,1,0))</f>
        <v>0</v>
      </c>
      <c r="I45">
        <f>_xlfn.MAXIFS(TableRefills3[discountinuation_flag], TableRefills3[patient_id], A45)</f>
        <v>0</v>
      </c>
    </row>
    <row r="46" spans="1:9" x14ac:dyDescent="0.25">
      <c r="A46" t="s">
        <v>73</v>
      </c>
      <c r="B46" t="s">
        <v>74</v>
      </c>
      <c r="C46" s="3">
        <v>45944</v>
      </c>
      <c r="D46">
        <v>21</v>
      </c>
      <c r="E46" s="3">
        <f t="shared" si="0"/>
        <v>45925</v>
      </c>
      <c r="F46" s="3">
        <f>IF(TableRefills3[[#This Row],[prev_refill_days]]="","",TableRefills3[[#This Row],[prev_refill_days]]+TableRefills3[[#This Row],[quantity_days]])</f>
        <v>45946</v>
      </c>
      <c r="G46">
        <f>IF(TableRefills3[[#This Row],[prev_refill_end]]="","",TableRefills3[[#This Row],[refill_date]]-TableRefills3[[#This Row],[prev_refill_end]])</f>
        <v>-2</v>
      </c>
      <c r="H46" s="10">
        <f>IF(TableRefills3[[#This Row],[gap_days]]="",0,IF(TableRefills3[[#This Row],[gap_days]]&gt;2,1,0))</f>
        <v>0</v>
      </c>
      <c r="I46">
        <f>_xlfn.MAXIFS(TableRefills3[discountinuation_flag], TableRefills3[patient_id], A46)</f>
        <v>0</v>
      </c>
    </row>
    <row r="47" spans="1:9" x14ac:dyDescent="0.25">
      <c r="A47" t="s">
        <v>82</v>
      </c>
      <c r="B47" t="s">
        <v>83</v>
      </c>
      <c r="C47" s="3">
        <v>45829</v>
      </c>
      <c r="D47">
        <v>21</v>
      </c>
      <c r="E47" s="3" t="str">
        <f t="shared" si="0"/>
        <v/>
      </c>
      <c r="F47" s="3" t="str">
        <f>IF(TableRefills3[[#This Row],[prev_refill_days]]="","",TableRefills3[[#This Row],[prev_refill_days]]+TableRefills3[[#This Row],[quantity_days]])</f>
        <v/>
      </c>
      <c r="G47" t="str">
        <f>IF(TableRefills3[[#This Row],[prev_refill_end]]="","",TableRefills3[[#This Row],[refill_date]]-TableRefills3[[#This Row],[prev_refill_end]])</f>
        <v/>
      </c>
      <c r="H47" s="10">
        <f>IF(TableRefills3[[#This Row],[gap_days]]="",0,IF(TableRefills3[[#This Row],[gap_days]]&gt;2,1,0))</f>
        <v>0</v>
      </c>
      <c r="I47">
        <f>_xlfn.MAXIFS(TableRefills3[discountinuation_flag], TableRefills3[patient_id], A47)</f>
        <v>1</v>
      </c>
    </row>
    <row r="48" spans="1:9" x14ac:dyDescent="0.25">
      <c r="A48" t="s">
        <v>82</v>
      </c>
      <c r="B48" t="s">
        <v>83</v>
      </c>
      <c r="C48" s="3">
        <v>45849</v>
      </c>
      <c r="D48">
        <v>21</v>
      </c>
      <c r="E48" s="3">
        <f t="shared" si="0"/>
        <v>45829</v>
      </c>
      <c r="F48" s="3">
        <f>IF(TableRefills3[[#This Row],[prev_refill_days]]="","",TableRefills3[[#This Row],[prev_refill_days]]+TableRefills3[[#This Row],[quantity_days]])</f>
        <v>45850</v>
      </c>
      <c r="G48">
        <f>IF(TableRefills3[[#This Row],[prev_refill_end]]="","",TableRefills3[[#This Row],[refill_date]]-TableRefills3[[#This Row],[prev_refill_end]])</f>
        <v>-1</v>
      </c>
      <c r="H48" s="10">
        <f>IF(TableRefills3[[#This Row],[gap_days]]="",0,IF(TableRefills3[[#This Row],[gap_days]]&gt;2,1,0))</f>
        <v>0</v>
      </c>
      <c r="I48">
        <f>_xlfn.MAXIFS(TableRefills3[discountinuation_flag], TableRefills3[patient_id], A48)</f>
        <v>1</v>
      </c>
    </row>
    <row r="49" spans="1:9" x14ac:dyDescent="0.25">
      <c r="A49" t="s">
        <v>82</v>
      </c>
      <c r="B49" t="s">
        <v>83</v>
      </c>
      <c r="C49" s="3">
        <v>45871</v>
      </c>
      <c r="D49">
        <v>21</v>
      </c>
      <c r="E49" s="3">
        <f t="shared" si="0"/>
        <v>45849</v>
      </c>
      <c r="F49" s="3">
        <f>IF(TableRefills3[[#This Row],[prev_refill_days]]="","",TableRefills3[[#This Row],[prev_refill_days]]+TableRefills3[[#This Row],[quantity_days]])</f>
        <v>45870</v>
      </c>
      <c r="G49">
        <f>IF(TableRefills3[[#This Row],[prev_refill_end]]="","",TableRefills3[[#This Row],[refill_date]]-TableRefills3[[#This Row],[prev_refill_end]])</f>
        <v>1</v>
      </c>
      <c r="H49" s="10">
        <f>IF(TableRefills3[[#This Row],[gap_days]]="",0,IF(TableRefills3[[#This Row],[gap_days]]&gt;2,1,0))</f>
        <v>0</v>
      </c>
      <c r="I49">
        <f>_xlfn.MAXIFS(TableRefills3[discountinuation_flag], TableRefills3[patient_id], A49)</f>
        <v>1</v>
      </c>
    </row>
    <row r="50" spans="1:9" x14ac:dyDescent="0.25">
      <c r="A50" t="s">
        <v>82</v>
      </c>
      <c r="B50" t="s">
        <v>83</v>
      </c>
      <c r="C50" s="3">
        <v>45895</v>
      </c>
      <c r="D50">
        <v>21</v>
      </c>
      <c r="E50" s="3">
        <f t="shared" si="0"/>
        <v>45871</v>
      </c>
      <c r="F50" s="3">
        <f>IF(TableRefills3[[#This Row],[prev_refill_days]]="","",TableRefills3[[#This Row],[prev_refill_days]]+TableRefills3[[#This Row],[quantity_days]])</f>
        <v>45892</v>
      </c>
      <c r="G50">
        <f>IF(TableRefills3[[#This Row],[prev_refill_end]]="","",TableRefills3[[#This Row],[refill_date]]-TableRefills3[[#This Row],[prev_refill_end]])</f>
        <v>3</v>
      </c>
      <c r="H50" s="10">
        <f>IF(TableRefills3[[#This Row],[gap_days]]="",0,IF(TableRefills3[[#This Row],[gap_days]]&gt;2,1,0))</f>
        <v>1</v>
      </c>
      <c r="I50">
        <f>_xlfn.MAXIFS(TableRefills3[discountinuation_flag], TableRefills3[patient_id], A50)</f>
        <v>1</v>
      </c>
    </row>
    <row r="51" spans="1:9" x14ac:dyDescent="0.25">
      <c r="A51" t="s">
        <v>82</v>
      </c>
      <c r="B51" t="s">
        <v>83</v>
      </c>
      <c r="C51" s="3">
        <v>45918</v>
      </c>
      <c r="D51">
        <v>21</v>
      </c>
      <c r="E51" s="3">
        <f t="shared" si="0"/>
        <v>45895</v>
      </c>
      <c r="F51" s="3">
        <f>IF(TableRefills3[[#This Row],[prev_refill_days]]="","",TableRefills3[[#This Row],[prev_refill_days]]+TableRefills3[[#This Row],[quantity_days]])</f>
        <v>45916</v>
      </c>
      <c r="G51">
        <f>IF(TableRefills3[[#This Row],[prev_refill_end]]="","",TableRefills3[[#This Row],[refill_date]]-TableRefills3[[#This Row],[prev_refill_end]])</f>
        <v>2</v>
      </c>
      <c r="H51" s="10">
        <f>IF(TableRefills3[[#This Row],[gap_days]]="",0,IF(TableRefills3[[#This Row],[gap_days]]&gt;2,1,0))</f>
        <v>0</v>
      </c>
      <c r="I51">
        <f>_xlfn.MAXIFS(TableRefills3[discountinuation_flag], TableRefills3[patient_id], A51)</f>
        <v>1</v>
      </c>
    </row>
    <row r="52" spans="1:9" x14ac:dyDescent="0.25">
      <c r="A52" t="s">
        <v>82</v>
      </c>
      <c r="B52" t="s">
        <v>83</v>
      </c>
      <c r="C52" s="3">
        <v>45941</v>
      </c>
      <c r="D52">
        <v>21</v>
      </c>
      <c r="E52" s="3">
        <f t="shared" si="0"/>
        <v>45918</v>
      </c>
      <c r="F52" s="3">
        <f>IF(TableRefills3[[#This Row],[prev_refill_days]]="","",TableRefills3[[#This Row],[prev_refill_days]]+TableRefills3[[#This Row],[quantity_days]])</f>
        <v>45939</v>
      </c>
      <c r="G52">
        <f>IF(TableRefills3[[#This Row],[prev_refill_end]]="","",TableRefills3[[#This Row],[refill_date]]-TableRefills3[[#This Row],[prev_refill_end]])</f>
        <v>2</v>
      </c>
      <c r="H52" s="10">
        <f>IF(TableRefills3[[#This Row],[gap_days]]="",0,IF(TableRefills3[[#This Row],[gap_days]]&gt;2,1,0))</f>
        <v>0</v>
      </c>
      <c r="I52">
        <f>_xlfn.MAXIFS(TableRefills3[discountinuation_flag], TableRefills3[patient_id], A52)</f>
        <v>1</v>
      </c>
    </row>
    <row r="53" spans="1:9" x14ac:dyDescent="0.25">
      <c r="A53" t="s">
        <v>82</v>
      </c>
      <c r="B53" t="s">
        <v>83</v>
      </c>
      <c r="C53" s="3">
        <v>45961</v>
      </c>
      <c r="D53">
        <v>21</v>
      </c>
      <c r="E53" s="3">
        <f t="shared" si="0"/>
        <v>45941</v>
      </c>
      <c r="F53" s="3">
        <f>IF(TableRefills3[[#This Row],[prev_refill_days]]="","",TableRefills3[[#This Row],[prev_refill_days]]+TableRefills3[[#This Row],[quantity_days]])</f>
        <v>45962</v>
      </c>
      <c r="G53">
        <f>IF(TableRefills3[[#This Row],[prev_refill_end]]="","",TableRefills3[[#This Row],[refill_date]]-TableRefills3[[#This Row],[prev_refill_end]])</f>
        <v>-1</v>
      </c>
      <c r="H53" s="10">
        <f>IF(TableRefills3[[#This Row],[gap_days]]="",0,IF(TableRefills3[[#This Row],[gap_days]]&gt;2,1,0))</f>
        <v>0</v>
      </c>
      <c r="I53">
        <f>_xlfn.MAXIFS(TableRefills3[discountinuation_flag], TableRefills3[patient_id], A53)</f>
        <v>1</v>
      </c>
    </row>
    <row r="54" spans="1:9" x14ac:dyDescent="0.25">
      <c r="A54" t="s">
        <v>91</v>
      </c>
      <c r="B54" t="s">
        <v>92</v>
      </c>
      <c r="C54" s="3">
        <v>45932</v>
      </c>
      <c r="D54">
        <v>21</v>
      </c>
      <c r="E54" s="3" t="str">
        <f t="shared" si="0"/>
        <v/>
      </c>
      <c r="F54" s="3" t="str">
        <f>IF(TableRefills3[[#This Row],[prev_refill_days]]="","",TableRefills3[[#This Row],[prev_refill_days]]+TableRefills3[[#This Row],[quantity_days]])</f>
        <v/>
      </c>
      <c r="G54" t="str">
        <f>IF(TableRefills3[[#This Row],[prev_refill_end]]="","",TableRefills3[[#This Row],[refill_date]]-TableRefills3[[#This Row],[prev_refill_end]])</f>
        <v/>
      </c>
      <c r="H54" s="10">
        <f>IF(TableRefills3[[#This Row],[gap_days]]="",0,IF(TableRefills3[[#This Row],[gap_days]]&gt;2,1,0))</f>
        <v>0</v>
      </c>
      <c r="I54">
        <f>_xlfn.MAXIFS(TableRefills3[discountinuation_flag], TableRefills3[patient_id], A54)</f>
        <v>1</v>
      </c>
    </row>
    <row r="55" spans="1:9" x14ac:dyDescent="0.25">
      <c r="A55" t="s">
        <v>91</v>
      </c>
      <c r="B55" t="s">
        <v>92</v>
      </c>
      <c r="C55" s="3">
        <v>45956</v>
      </c>
      <c r="D55">
        <v>21</v>
      </c>
      <c r="E55" s="3">
        <f t="shared" si="0"/>
        <v>45932</v>
      </c>
      <c r="F55" s="3">
        <f>IF(TableRefills3[[#This Row],[prev_refill_days]]="","",TableRefills3[[#This Row],[prev_refill_days]]+TableRefills3[[#This Row],[quantity_days]])</f>
        <v>45953</v>
      </c>
      <c r="G55">
        <f>IF(TableRefills3[[#This Row],[prev_refill_end]]="","",TableRefills3[[#This Row],[refill_date]]-TableRefills3[[#This Row],[prev_refill_end]])</f>
        <v>3</v>
      </c>
      <c r="H55" s="10">
        <f>IF(TableRefills3[[#This Row],[gap_days]]="",0,IF(TableRefills3[[#This Row],[gap_days]]&gt;2,1,0))</f>
        <v>1</v>
      </c>
      <c r="I55">
        <f>_xlfn.MAXIFS(TableRefills3[discountinuation_flag], TableRefills3[patient_id], A55)</f>
        <v>1</v>
      </c>
    </row>
    <row r="56" spans="1:9" x14ac:dyDescent="0.25">
      <c r="A56" t="s">
        <v>95</v>
      </c>
      <c r="B56" t="s">
        <v>96</v>
      </c>
      <c r="C56" s="3">
        <v>45842</v>
      </c>
      <c r="D56">
        <v>28</v>
      </c>
      <c r="E56" s="3" t="str">
        <f t="shared" si="0"/>
        <v/>
      </c>
      <c r="F56" s="3" t="str">
        <f>IF(TableRefills3[[#This Row],[prev_refill_days]]="","",TableRefills3[[#This Row],[prev_refill_days]]+TableRefills3[[#This Row],[quantity_days]])</f>
        <v/>
      </c>
      <c r="G56" t="str">
        <f>IF(TableRefills3[[#This Row],[prev_refill_end]]="","",TableRefills3[[#This Row],[refill_date]]-TableRefills3[[#This Row],[prev_refill_end]])</f>
        <v/>
      </c>
      <c r="H56" s="10">
        <f>IF(TableRefills3[[#This Row],[gap_days]]="",0,IF(TableRefills3[[#This Row],[gap_days]]&gt;2,1,0))</f>
        <v>0</v>
      </c>
      <c r="I56">
        <f>_xlfn.MAXIFS(TableRefills3[discountinuation_flag], TableRefills3[patient_id], A56)</f>
        <v>0</v>
      </c>
    </row>
    <row r="57" spans="1:9" x14ac:dyDescent="0.25">
      <c r="A57" t="s">
        <v>95</v>
      </c>
      <c r="B57" t="s">
        <v>96</v>
      </c>
      <c r="C57" s="3">
        <v>45867</v>
      </c>
      <c r="D57">
        <v>28</v>
      </c>
      <c r="E57" s="3">
        <f t="shared" si="0"/>
        <v>45842</v>
      </c>
      <c r="F57" s="3">
        <f>IF(TableRefills3[[#This Row],[prev_refill_days]]="","",TableRefills3[[#This Row],[prev_refill_days]]+TableRefills3[[#This Row],[quantity_days]])</f>
        <v>45870</v>
      </c>
      <c r="G57">
        <f>IF(TableRefills3[[#This Row],[prev_refill_end]]="","",TableRefills3[[#This Row],[refill_date]]-TableRefills3[[#This Row],[prev_refill_end]])</f>
        <v>-3</v>
      </c>
      <c r="H57" s="10">
        <f>IF(TableRefills3[[#This Row],[gap_days]]="",0,IF(TableRefills3[[#This Row],[gap_days]]&gt;2,1,0))</f>
        <v>0</v>
      </c>
      <c r="I57">
        <f>_xlfn.MAXIFS(TableRefills3[discountinuation_flag], TableRefills3[patient_id], A57)</f>
        <v>0</v>
      </c>
    </row>
    <row r="58" spans="1:9" x14ac:dyDescent="0.25">
      <c r="A58" t="s">
        <v>95</v>
      </c>
      <c r="B58" t="s">
        <v>96</v>
      </c>
      <c r="C58" s="3">
        <v>45895</v>
      </c>
      <c r="D58">
        <v>28</v>
      </c>
      <c r="E58" s="3">
        <f t="shared" si="0"/>
        <v>45867</v>
      </c>
      <c r="F58" s="3">
        <f>IF(TableRefills3[[#This Row],[prev_refill_days]]="","",TableRefills3[[#This Row],[prev_refill_days]]+TableRefills3[[#This Row],[quantity_days]])</f>
        <v>45895</v>
      </c>
      <c r="G58">
        <f>IF(TableRefills3[[#This Row],[prev_refill_end]]="","",TableRefills3[[#This Row],[refill_date]]-TableRefills3[[#This Row],[prev_refill_end]])</f>
        <v>0</v>
      </c>
      <c r="H58" s="10">
        <f>IF(TableRefills3[[#This Row],[gap_days]]="",0,IF(TableRefills3[[#This Row],[gap_days]]&gt;2,1,0))</f>
        <v>0</v>
      </c>
      <c r="I58">
        <f>_xlfn.MAXIFS(TableRefills3[discountinuation_flag], TableRefills3[patient_id], A58)</f>
        <v>0</v>
      </c>
    </row>
    <row r="59" spans="1:9" x14ac:dyDescent="0.25">
      <c r="A59" t="s">
        <v>95</v>
      </c>
      <c r="B59" t="s">
        <v>96</v>
      </c>
      <c r="C59" s="3">
        <v>45923</v>
      </c>
      <c r="D59">
        <v>28</v>
      </c>
      <c r="E59" s="3">
        <f t="shared" si="0"/>
        <v>45895</v>
      </c>
      <c r="F59" s="3">
        <f>IF(TableRefills3[[#This Row],[prev_refill_days]]="","",TableRefills3[[#This Row],[prev_refill_days]]+TableRefills3[[#This Row],[quantity_days]])</f>
        <v>45923</v>
      </c>
      <c r="G59">
        <f>IF(TableRefills3[[#This Row],[prev_refill_end]]="","",TableRefills3[[#This Row],[refill_date]]-TableRefills3[[#This Row],[prev_refill_end]])</f>
        <v>0</v>
      </c>
      <c r="H59" s="10">
        <f>IF(TableRefills3[[#This Row],[gap_days]]="",0,IF(TableRefills3[[#This Row],[gap_days]]&gt;2,1,0))</f>
        <v>0</v>
      </c>
      <c r="I59">
        <f>_xlfn.MAXIFS(TableRefills3[discountinuation_flag], TableRefills3[patient_id], A59)</f>
        <v>0</v>
      </c>
    </row>
    <row r="60" spans="1:9" x14ac:dyDescent="0.25">
      <c r="A60" t="s">
        <v>95</v>
      </c>
      <c r="B60" t="s">
        <v>96</v>
      </c>
      <c r="C60" s="3">
        <v>45952</v>
      </c>
      <c r="D60">
        <v>28</v>
      </c>
      <c r="E60" s="3">
        <f t="shared" si="0"/>
        <v>45923</v>
      </c>
      <c r="F60" s="3">
        <f>IF(TableRefills3[[#This Row],[prev_refill_days]]="","",TableRefills3[[#This Row],[prev_refill_days]]+TableRefills3[[#This Row],[quantity_days]])</f>
        <v>45951</v>
      </c>
      <c r="G60">
        <f>IF(TableRefills3[[#This Row],[prev_refill_end]]="","",TableRefills3[[#This Row],[refill_date]]-TableRefills3[[#This Row],[prev_refill_end]])</f>
        <v>1</v>
      </c>
      <c r="H60" s="10">
        <f>IF(TableRefills3[[#This Row],[gap_days]]="",0,IF(TableRefills3[[#This Row],[gap_days]]&gt;2,1,0))</f>
        <v>0</v>
      </c>
      <c r="I60">
        <f>_xlfn.MAXIFS(TableRefills3[discountinuation_flag], TableRefills3[patient_id], A60)</f>
        <v>0</v>
      </c>
    </row>
    <row r="61" spans="1:9" x14ac:dyDescent="0.25">
      <c r="A61" t="s">
        <v>102</v>
      </c>
      <c r="B61" t="s">
        <v>103</v>
      </c>
      <c r="C61" s="3">
        <v>45942</v>
      </c>
      <c r="D61">
        <v>14</v>
      </c>
      <c r="E61" s="3" t="str">
        <f t="shared" si="0"/>
        <v/>
      </c>
      <c r="F61" s="3" t="str">
        <f>IF(TableRefills3[[#This Row],[prev_refill_days]]="","",TableRefills3[[#This Row],[prev_refill_days]]+TableRefills3[[#This Row],[quantity_days]])</f>
        <v/>
      </c>
      <c r="G61" t="str">
        <f>IF(TableRefills3[[#This Row],[prev_refill_end]]="","",TableRefills3[[#This Row],[refill_date]]-TableRefills3[[#This Row],[prev_refill_end]])</f>
        <v/>
      </c>
      <c r="H61" s="10">
        <f>IF(TableRefills3[[#This Row],[gap_days]]="",0,IF(TableRefills3[[#This Row],[gap_days]]&gt;2,1,0))</f>
        <v>0</v>
      </c>
      <c r="I61">
        <f>_xlfn.MAXIFS(TableRefills3[discountinuation_flag], TableRefills3[patient_id], A61)</f>
        <v>0</v>
      </c>
    </row>
    <row r="62" spans="1:9" x14ac:dyDescent="0.25">
      <c r="A62" t="s">
        <v>102</v>
      </c>
      <c r="B62" t="s">
        <v>103</v>
      </c>
      <c r="C62" s="3">
        <v>45958</v>
      </c>
      <c r="D62">
        <v>14</v>
      </c>
      <c r="E62" s="3">
        <f t="shared" si="0"/>
        <v>45942</v>
      </c>
      <c r="F62" s="3">
        <f>IF(TableRefills3[[#This Row],[prev_refill_days]]="","",TableRefills3[[#This Row],[prev_refill_days]]+TableRefills3[[#This Row],[quantity_days]])</f>
        <v>45956</v>
      </c>
      <c r="G62">
        <f>IF(TableRefills3[[#This Row],[prev_refill_end]]="","",TableRefills3[[#This Row],[refill_date]]-TableRefills3[[#This Row],[prev_refill_end]])</f>
        <v>2</v>
      </c>
      <c r="H62" s="10">
        <f>IF(TableRefills3[[#This Row],[gap_days]]="",0,IF(TableRefills3[[#This Row],[gap_days]]&gt;2,1,0))</f>
        <v>0</v>
      </c>
      <c r="I62">
        <f>_xlfn.MAXIFS(TableRefills3[discountinuation_flag], TableRefills3[patient_id], A62)</f>
        <v>0</v>
      </c>
    </row>
    <row r="63" spans="1:9" x14ac:dyDescent="0.25">
      <c r="A63" t="s">
        <v>106</v>
      </c>
      <c r="B63" t="s">
        <v>107</v>
      </c>
      <c r="C63" s="3">
        <v>45873</v>
      </c>
      <c r="D63">
        <v>14</v>
      </c>
      <c r="E63" s="3" t="str">
        <f t="shared" si="0"/>
        <v/>
      </c>
      <c r="F63" s="3" t="str">
        <f>IF(TableRefills3[[#This Row],[prev_refill_days]]="","",TableRefills3[[#This Row],[prev_refill_days]]+TableRefills3[[#This Row],[quantity_days]])</f>
        <v/>
      </c>
      <c r="G63" t="str">
        <f>IF(TableRefills3[[#This Row],[prev_refill_end]]="","",TableRefills3[[#This Row],[refill_date]]-TableRefills3[[#This Row],[prev_refill_end]])</f>
        <v/>
      </c>
      <c r="H63" s="10">
        <f>IF(TableRefills3[[#This Row],[gap_days]]="",0,IF(TableRefills3[[#This Row],[gap_days]]&gt;2,1,0))</f>
        <v>0</v>
      </c>
      <c r="I63">
        <f>_xlfn.MAXIFS(TableRefills3[discountinuation_flag], TableRefills3[patient_id], A63)</f>
        <v>0</v>
      </c>
    </row>
    <row r="64" spans="1:9" x14ac:dyDescent="0.25">
      <c r="A64" t="s">
        <v>109</v>
      </c>
      <c r="B64" t="s">
        <v>110</v>
      </c>
      <c r="C64" s="3">
        <v>45804</v>
      </c>
      <c r="D64">
        <v>14</v>
      </c>
      <c r="E64" s="3" t="str">
        <f t="shared" si="0"/>
        <v/>
      </c>
      <c r="F64" s="3" t="str">
        <f>IF(TableRefills3[[#This Row],[prev_refill_days]]="","",TableRefills3[[#This Row],[prev_refill_days]]+TableRefills3[[#This Row],[quantity_days]])</f>
        <v/>
      </c>
      <c r="G64" t="str">
        <f>IF(TableRefills3[[#This Row],[prev_refill_end]]="","",TableRefills3[[#This Row],[refill_date]]-TableRefills3[[#This Row],[prev_refill_end]])</f>
        <v/>
      </c>
      <c r="H64" s="10">
        <f>IF(TableRefills3[[#This Row],[gap_days]]="",0,IF(TableRefills3[[#This Row],[gap_days]]&gt;2,1,0))</f>
        <v>0</v>
      </c>
      <c r="I64">
        <f>_xlfn.MAXIFS(TableRefills3[discountinuation_flag], TableRefills3[patient_id], A64)</f>
        <v>0</v>
      </c>
    </row>
    <row r="65" spans="1:9" x14ac:dyDescent="0.25">
      <c r="A65" t="s">
        <v>112</v>
      </c>
      <c r="B65" t="s">
        <v>113</v>
      </c>
      <c r="C65" s="3">
        <v>45910</v>
      </c>
      <c r="D65">
        <v>14</v>
      </c>
      <c r="E65" s="3" t="str">
        <f t="shared" si="0"/>
        <v/>
      </c>
      <c r="F65" s="3" t="str">
        <f>IF(TableRefills3[[#This Row],[prev_refill_days]]="","",TableRefills3[[#This Row],[prev_refill_days]]+TableRefills3[[#This Row],[quantity_days]])</f>
        <v/>
      </c>
      <c r="G65" t="str">
        <f>IF(TableRefills3[[#This Row],[prev_refill_end]]="","",TableRefills3[[#This Row],[refill_date]]-TableRefills3[[#This Row],[prev_refill_end]])</f>
        <v/>
      </c>
      <c r="H65" s="10">
        <f>IF(TableRefills3[[#This Row],[gap_days]]="",0,IF(TableRefills3[[#This Row],[gap_days]]&gt;2,1,0))</f>
        <v>0</v>
      </c>
      <c r="I65">
        <f>_xlfn.MAXIFS(TableRefills3[discountinuation_flag], TableRefills3[patient_id], A65)</f>
        <v>0</v>
      </c>
    </row>
    <row r="66" spans="1:9" x14ac:dyDescent="0.25">
      <c r="A66" t="s">
        <v>112</v>
      </c>
      <c r="B66" t="s">
        <v>113</v>
      </c>
      <c r="C66" s="3">
        <v>45921</v>
      </c>
      <c r="D66">
        <v>14</v>
      </c>
      <c r="E66" s="3">
        <f t="shared" ref="E66:E129" si="1">IF(A65=A66,C65,"")</f>
        <v>45910</v>
      </c>
      <c r="F66" s="3">
        <f>IF(TableRefills3[[#This Row],[prev_refill_days]]="","",TableRefills3[[#This Row],[prev_refill_days]]+TableRefills3[[#This Row],[quantity_days]])</f>
        <v>45924</v>
      </c>
      <c r="G66">
        <f>IF(TableRefills3[[#This Row],[prev_refill_end]]="","",TableRefills3[[#This Row],[refill_date]]-TableRefills3[[#This Row],[prev_refill_end]])</f>
        <v>-3</v>
      </c>
      <c r="H66" s="10">
        <f>IF(TableRefills3[[#This Row],[gap_days]]="",0,IF(TableRefills3[[#This Row],[gap_days]]&gt;2,1,0))</f>
        <v>0</v>
      </c>
      <c r="I66">
        <f>_xlfn.MAXIFS(TableRefills3[discountinuation_flag], TableRefills3[patient_id], A66)</f>
        <v>0</v>
      </c>
    </row>
    <row r="67" spans="1:9" x14ac:dyDescent="0.25">
      <c r="A67" t="s">
        <v>112</v>
      </c>
      <c r="B67" t="s">
        <v>113</v>
      </c>
      <c r="C67" s="3">
        <v>45935</v>
      </c>
      <c r="D67">
        <v>14</v>
      </c>
      <c r="E67" s="3">
        <f t="shared" si="1"/>
        <v>45921</v>
      </c>
      <c r="F67" s="3">
        <f>IF(TableRefills3[[#This Row],[prev_refill_days]]="","",TableRefills3[[#This Row],[prev_refill_days]]+TableRefills3[[#This Row],[quantity_days]])</f>
        <v>45935</v>
      </c>
      <c r="G67">
        <f>IF(TableRefills3[[#This Row],[prev_refill_end]]="","",TableRefills3[[#This Row],[refill_date]]-TableRefills3[[#This Row],[prev_refill_end]])</f>
        <v>0</v>
      </c>
      <c r="H67" s="10">
        <f>IF(TableRefills3[[#This Row],[gap_days]]="",0,IF(TableRefills3[[#This Row],[gap_days]]&gt;2,1,0))</f>
        <v>0</v>
      </c>
      <c r="I67">
        <f>_xlfn.MAXIFS(TableRefills3[discountinuation_flag], TableRefills3[patient_id], A67)</f>
        <v>0</v>
      </c>
    </row>
    <row r="68" spans="1:9" x14ac:dyDescent="0.25">
      <c r="A68" t="s">
        <v>112</v>
      </c>
      <c r="B68" t="s">
        <v>113</v>
      </c>
      <c r="C68" s="3">
        <v>45948</v>
      </c>
      <c r="D68">
        <v>14</v>
      </c>
      <c r="E68" s="3">
        <f t="shared" si="1"/>
        <v>45935</v>
      </c>
      <c r="F68" s="3">
        <f>IF(TableRefills3[[#This Row],[prev_refill_days]]="","",TableRefills3[[#This Row],[prev_refill_days]]+TableRefills3[[#This Row],[quantity_days]])</f>
        <v>45949</v>
      </c>
      <c r="G68">
        <f>IF(TableRefills3[[#This Row],[prev_refill_end]]="","",TableRefills3[[#This Row],[refill_date]]-TableRefills3[[#This Row],[prev_refill_end]])</f>
        <v>-1</v>
      </c>
      <c r="H68" s="10">
        <f>IF(TableRefills3[[#This Row],[gap_days]]="",0,IF(TableRefills3[[#This Row],[gap_days]]&gt;2,1,0))</f>
        <v>0</v>
      </c>
      <c r="I68">
        <f>_xlfn.MAXIFS(TableRefills3[discountinuation_flag], TableRefills3[patient_id], A68)</f>
        <v>0</v>
      </c>
    </row>
    <row r="69" spans="1:9" x14ac:dyDescent="0.25">
      <c r="A69" t="s">
        <v>118</v>
      </c>
      <c r="B69" t="s">
        <v>119</v>
      </c>
      <c r="C69" s="3">
        <v>45809</v>
      </c>
      <c r="D69">
        <v>28</v>
      </c>
      <c r="E69" s="3" t="str">
        <f t="shared" si="1"/>
        <v/>
      </c>
      <c r="F69" s="3" t="str">
        <f>IF(TableRefills3[[#This Row],[prev_refill_days]]="","",TableRefills3[[#This Row],[prev_refill_days]]+TableRefills3[[#This Row],[quantity_days]])</f>
        <v/>
      </c>
      <c r="G69" t="str">
        <f>IF(TableRefills3[[#This Row],[prev_refill_end]]="","",TableRefills3[[#This Row],[refill_date]]-TableRefills3[[#This Row],[prev_refill_end]])</f>
        <v/>
      </c>
      <c r="H69" s="10">
        <f>IF(TableRefills3[[#This Row],[gap_days]]="",0,IF(TableRefills3[[#This Row],[gap_days]]&gt;2,1,0))</f>
        <v>0</v>
      </c>
      <c r="I69">
        <f>_xlfn.MAXIFS(TableRefills3[discountinuation_flag], TableRefills3[patient_id], A69)</f>
        <v>1</v>
      </c>
    </row>
    <row r="70" spans="1:9" x14ac:dyDescent="0.25">
      <c r="A70" t="s">
        <v>118</v>
      </c>
      <c r="B70" t="s">
        <v>119</v>
      </c>
      <c r="C70" s="3">
        <v>45840</v>
      </c>
      <c r="D70">
        <v>28</v>
      </c>
      <c r="E70" s="3">
        <f t="shared" si="1"/>
        <v>45809</v>
      </c>
      <c r="F70" s="3">
        <f>IF(TableRefills3[[#This Row],[prev_refill_days]]="","",TableRefills3[[#This Row],[prev_refill_days]]+TableRefills3[[#This Row],[quantity_days]])</f>
        <v>45837</v>
      </c>
      <c r="G70">
        <f>IF(TableRefills3[[#This Row],[prev_refill_end]]="","",TableRefills3[[#This Row],[refill_date]]-TableRefills3[[#This Row],[prev_refill_end]])</f>
        <v>3</v>
      </c>
      <c r="H70" s="10">
        <f>IF(TableRefills3[[#This Row],[gap_days]]="",0,IF(TableRefills3[[#This Row],[gap_days]]&gt;2,1,0))</f>
        <v>1</v>
      </c>
      <c r="I70">
        <f>_xlfn.MAXIFS(TableRefills3[discountinuation_flag], TableRefills3[patient_id], A70)</f>
        <v>1</v>
      </c>
    </row>
    <row r="71" spans="1:9" x14ac:dyDescent="0.25">
      <c r="A71" t="s">
        <v>118</v>
      </c>
      <c r="B71" t="s">
        <v>119</v>
      </c>
      <c r="C71" s="3">
        <v>45867</v>
      </c>
      <c r="D71">
        <v>28</v>
      </c>
      <c r="E71" s="3">
        <f t="shared" si="1"/>
        <v>45840</v>
      </c>
      <c r="F71" s="3">
        <f>IF(TableRefills3[[#This Row],[prev_refill_days]]="","",TableRefills3[[#This Row],[prev_refill_days]]+TableRefills3[[#This Row],[quantity_days]])</f>
        <v>45868</v>
      </c>
      <c r="G71">
        <f>IF(TableRefills3[[#This Row],[prev_refill_end]]="","",TableRefills3[[#This Row],[refill_date]]-TableRefills3[[#This Row],[prev_refill_end]])</f>
        <v>-1</v>
      </c>
      <c r="H71" s="10">
        <f>IF(TableRefills3[[#This Row],[gap_days]]="",0,IF(TableRefills3[[#This Row],[gap_days]]&gt;2,1,0))</f>
        <v>0</v>
      </c>
      <c r="I71">
        <f>_xlfn.MAXIFS(TableRefills3[discountinuation_flag], TableRefills3[patient_id], A71)</f>
        <v>1</v>
      </c>
    </row>
    <row r="72" spans="1:9" x14ac:dyDescent="0.25">
      <c r="A72" t="s">
        <v>118</v>
      </c>
      <c r="B72" t="s">
        <v>119</v>
      </c>
      <c r="C72" s="3">
        <v>45894</v>
      </c>
      <c r="D72">
        <v>28</v>
      </c>
      <c r="E72" s="3">
        <f t="shared" si="1"/>
        <v>45867</v>
      </c>
      <c r="F72" s="3">
        <f>IF(TableRefills3[[#This Row],[prev_refill_days]]="","",TableRefills3[[#This Row],[prev_refill_days]]+TableRefills3[[#This Row],[quantity_days]])</f>
        <v>45895</v>
      </c>
      <c r="G72">
        <f>IF(TableRefills3[[#This Row],[prev_refill_end]]="","",TableRefills3[[#This Row],[refill_date]]-TableRefills3[[#This Row],[prev_refill_end]])</f>
        <v>-1</v>
      </c>
      <c r="H72" s="10">
        <f>IF(TableRefills3[[#This Row],[gap_days]]="",0,IF(TableRefills3[[#This Row],[gap_days]]&gt;2,1,0))</f>
        <v>0</v>
      </c>
      <c r="I72">
        <f>_xlfn.MAXIFS(TableRefills3[discountinuation_flag], TableRefills3[patient_id], A72)</f>
        <v>1</v>
      </c>
    </row>
    <row r="73" spans="1:9" x14ac:dyDescent="0.25">
      <c r="A73" t="s">
        <v>118</v>
      </c>
      <c r="B73" t="s">
        <v>119</v>
      </c>
      <c r="C73" s="3">
        <v>45924</v>
      </c>
      <c r="D73">
        <v>28</v>
      </c>
      <c r="E73" s="3">
        <f t="shared" si="1"/>
        <v>45894</v>
      </c>
      <c r="F73" s="3">
        <f>IF(TableRefills3[[#This Row],[prev_refill_days]]="","",TableRefills3[[#This Row],[prev_refill_days]]+TableRefills3[[#This Row],[quantity_days]])</f>
        <v>45922</v>
      </c>
      <c r="G73">
        <f>IF(TableRefills3[[#This Row],[prev_refill_end]]="","",TableRefills3[[#This Row],[refill_date]]-TableRefills3[[#This Row],[prev_refill_end]])</f>
        <v>2</v>
      </c>
      <c r="H73" s="10">
        <f>IF(TableRefills3[[#This Row],[gap_days]]="",0,IF(TableRefills3[[#This Row],[gap_days]]&gt;2,1,0))</f>
        <v>0</v>
      </c>
      <c r="I73">
        <f>_xlfn.MAXIFS(TableRefills3[discountinuation_flag], TableRefills3[patient_id], A73)</f>
        <v>1</v>
      </c>
    </row>
    <row r="74" spans="1:9" x14ac:dyDescent="0.25">
      <c r="A74" t="s">
        <v>118</v>
      </c>
      <c r="B74" t="s">
        <v>119</v>
      </c>
      <c r="C74" s="3">
        <v>45955</v>
      </c>
      <c r="D74">
        <v>28</v>
      </c>
      <c r="E74" s="3">
        <f t="shared" si="1"/>
        <v>45924</v>
      </c>
      <c r="F74" s="3">
        <f>IF(TableRefills3[[#This Row],[prev_refill_days]]="","",TableRefills3[[#This Row],[prev_refill_days]]+TableRefills3[[#This Row],[quantity_days]])</f>
        <v>45952</v>
      </c>
      <c r="G74">
        <f>IF(TableRefills3[[#This Row],[prev_refill_end]]="","",TableRefills3[[#This Row],[refill_date]]-TableRefills3[[#This Row],[prev_refill_end]])</f>
        <v>3</v>
      </c>
      <c r="H74" s="10">
        <f>IF(TableRefills3[[#This Row],[gap_days]]="",0,IF(TableRefills3[[#This Row],[gap_days]]&gt;2,1,0))</f>
        <v>1</v>
      </c>
      <c r="I74">
        <f>_xlfn.MAXIFS(TableRefills3[discountinuation_flag], TableRefills3[patient_id], A74)</f>
        <v>1</v>
      </c>
    </row>
    <row r="75" spans="1:9" x14ac:dyDescent="0.25">
      <c r="A75" t="s">
        <v>126</v>
      </c>
      <c r="B75" t="s">
        <v>127</v>
      </c>
      <c r="C75" s="3">
        <v>45799</v>
      </c>
      <c r="D75">
        <v>28</v>
      </c>
      <c r="E75" s="3" t="str">
        <f t="shared" si="1"/>
        <v/>
      </c>
      <c r="F75" s="3" t="str">
        <f>IF(TableRefills3[[#This Row],[prev_refill_days]]="","",TableRefills3[[#This Row],[prev_refill_days]]+TableRefills3[[#This Row],[quantity_days]])</f>
        <v/>
      </c>
      <c r="G75" t="str">
        <f>IF(TableRefills3[[#This Row],[prev_refill_end]]="","",TableRefills3[[#This Row],[refill_date]]-TableRefills3[[#This Row],[prev_refill_end]])</f>
        <v/>
      </c>
      <c r="H75" s="10">
        <f>IF(TableRefills3[[#This Row],[gap_days]]="",0,IF(TableRefills3[[#This Row],[gap_days]]&gt;2,1,0))</f>
        <v>0</v>
      </c>
      <c r="I75">
        <f>_xlfn.MAXIFS(TableRefills3[discountinuation_flag], TableRefills3[patient_id], A75)</f>
        <v>1</v>
      </c>
    </row>
    <row r="76" spans="1:9" x14ac:dyDescent="0.25">
      <c r="A76" t="s">
        <v>126</v>
      </c>
      <c r="B76" t="s">
        <v>127</v>
      </c>
      <c r="C76" s="3">
        <v>45824</v>
      </c>
      <c r="D76">
        <v>28</v>
      </c>
      <c r="E76" s="3">
        <f t="shared" si="1"/>
        <v>45799</v>
      </c>
      <c r="F76" s="3">
        <f>IF(TableRefills3[[#This Row],[prev_refill_days]]="","",TableRefills3[[#This Row],[prev_refill_days]]+TableRefills3[[#This Row],[quantity_days]])</f>
        <v>45827</v>
      </c>
      <c r="G76">
        <f>IF(TableRefills3[[#This Row],[prev_refill_end]]="","",TableRefills3[[#This Row],[refill_date]]-TableRefills3[[#This Row],[prev_refill_end]])</f>
        <v>-3</v>
      </c>
      <c r="H76" s="10">
        <f>IF(TableRefills3[[#This Row],[gap_days]]="",0,IF(TableRefills3[[#This Row],[gap_days]]&gt;2,1,0))</f>
        <v>0</v>
      </c>
      <c r="I76">
        <f>_xlfn.MAXIFS(TableRefills3[discountinuation_flag], TableRefills3[patient_id], A76)</f>
        <v>1</v>
      </c>
    </row>
    <row r="77" spans="1:9" x14ac:dyDescent="0.25">
      <c r="A77" t="s">
        <v>126</v>
      </c>
      <c r="B77" t="s">
        <v>127</v>
      </c>
      <c r="C77" s="3">
        <v>45849</v>
      </c>
      <c r="D77">
        <v>28</v>
      </c>
      <c r="E77" s="3">
        <f t="shared" si="1"/>
        <v>45824</v>
      </c>
      <c r="F77" s="3">
        <f>IF(TableRefills3[[#This Row],[prev_refill_days]]="","",TableRefills3[[#This Row],[prev_refill_days]]+TableRefills3[[#This Row],[quantity_days]])</f>
        <v>45852</v>
      </c>
      <c r="G77">
        <f>IF(TableRefills3[[#This Row],[prev_refill_end]]="","",TableRefills3[[#This Row],[refill_date]]-TableRefills3[[#This Row],[prev_refill_end]])</f>
        <v>-3</v>
      </c>
      <c r="H77" s="10">
        <f>IF(TableRefills3[[#This Row],[gap_days]]="",0,IF(TableRefills3[[#This Row],[gap_days]]&gt;2,1,0))</f>
        <v>0</v>
      </c>
      <c r="I77">
        <f>_xlfn.MAXIFS(TableRefills3[discountinuation_flag], TableRefills3[patient_id], A77)</f>
        <v>1</v>
      </c>
    </row>
    <row r="78" spans="1:9" x14ac:dyDescent="0.25">
      <c r="A78" t="s">
        <v>126</v>
      </c>
      <c r="B78" t="s">
        <v>127</v>
      </c>
      <c r="C78" s="3">
        <v>45880</v>
      </c>
      <c r="D78">
        <v>28</v>
      </c>
      <c r="E78" s="3">
        <f t="shared" si="1"/>
        <v>45849</v>
      </c>
      <c r="F78" s="3">
        <f>IF(TableRefills3[[#This Row],[prev_refill_days]]="","",TableRefills3[[#This Row],[prev_refill_days]]+TableRefills3[[#This Row],[quantity_days]])</f>
        <v>45877</v>
      </c>
      <c r="G78">
        <f>IF(TableRefills3[[#This Row],[prev_refill_end]]="","",TableRefills3[[#This Row],[refill_date]]-TableRefills3[[#This Row],[prev_refill_end]])</f>
        <v>3</v>
      </c>
      <c r="H78" s="10">
        <f>IF(TableRefills3[[#This Row],[gap_days]]="",0,IF(TableRefills3[[#This Row],[gap_days]]&gt;2,1,0))</f>
        <v>1</v>
      </c>
      <c r="I78">
        <f>_xlfn.MAXIFS(TableRefills3[discountinuation_flag], TableRefills3[patient_id], A78)</f>
        <v>1</v>
      </c>
    </row>
    <row r="79" spans="1:9" x14ac:dyDescent="0.25">
      <c r="A79" t="s">
        <v>126</v>
      </c>
      <c r="B79" t="s">
        <v>127</v>
      </c>
      <c r="C79" s="3">
        <v>45907</v>
      </c>
      <c r="D79">
        <v>28</v>
      </c>
      <c r="E79" s="3">
        <f t="shared" si="1"/>
        <v>45880</v>
      </c>
      <c r="F79" s="3">
        <f>IF(TableRefills3[[#This Row],[prev_refill_days]]="","",TableRefills3[[#This Row],[prev_refill_days]]+TableRefills3[[#This Row],[quantity_days]])</f>
        <v>45908</v>
      </c>
      <c r="G79">
        <f>IF(TableRefills3[[#This Row],[prev_refill_end]]="","",TableRefills3[[#This Row],[refill_date]]-TableRefills3[[#This Row],[prev_refill_end]])</f>
        <v>-1</v>
      </c>
      <c r="H79" s="10">
        <f>IF(TableRefills3[[#This Row],[gap_days]]="",0,IF(TableRefills3[[#This Row],[gap_days]]&gt;2,1,0))</f>
        <v>0</v>
      </c>
      <c r="I79">
        <f>_xlfn.MAXIFS(TableRefills3[discountinuation_flag], TableRefills3[patient_id], A79)</f>
        <v>1</v>
      </c>
    </row>
    <row r="80" spans="1:9" x14ac:dyDescent="0.25">
      <c r="A80" t="s">
        <v>126</v>
      </c>
      <c r="B80" t="s">
        <v>127</v>
      </c>
      <c r="C80" s="3">
        <v>45932</v>
      </c>
      <c r="D80">
        <v>28</v>
      </c>
      <c r="E80" s="3">
        <f t="shared" si="1"/>
        <v>45907</v>
      </c>
      <c r="F80" s="3">
        <f>IF(TableRefills3[[#This Row],[prev_refill_days]]="","",TableRefills3[[#This Row],[prev_refill_days]]+TableRefills3[[#This Row],[quantity_days]])</f>
        <v>45935</v>
      </c>
      <c r="G80">
        <f>IF(TableRefills3[[#This Row],[prev_refill_end]]="","",TableRefills3[[#This Row],[refill_date]]-TableRefills3[[#This Row],[prev_refill_end]])</f>
        <v>-3</v>
      </c>
      <c r="H80" s="10">
        <f>IF(TableRefills3[[#This Row],[gap_days]]="",0,IF(TableRefills3[[#This Row],[gap_days]]&gt;2,1,0))</f>
        <v>0</v>
      </c>
      <c r="I80">
        <f>_xlfn.MAXIFS(TableRefills3[discountinuation_flag], TableRefills3[patient_id], A80)</f>
        <v>1</v>
      </c>
    </row>
    <row r="81" spans="1:9" x14ac:dyDescent="0.25">
      <c r="A81" t="s">
        <v>134</v>
      </c>
      <c r="B81" t="s">
        <v>135</v>
      </c>
      <c r="C81" s="3">
        <v>45819</v>
      </c>
      <c r="D81">
        <v>28</v>
      </c>
      <c r="E81" s="3" t="str">
        <f t="shared" si="1"/>
        <v/>
      </c>
      <c r="F81" s="3" t="str">
        <f>IF(TableRefills3[[#This Row],[prev_refill_days]]="","",TableRefills3[[#This Row],[prev_refill_days]]+TableRefills3[[#This Row],[quantity_days]])</f>
        <v/>
      </c>
      <c r="G81" t="str">
        <f>IF(TableRefills3[[#This Row],[prev_refill_end]]="","",TableRefills3[[#This Row],[refill_date]]-TableRefills3[[#This Row],[prev_refill_end]])</f>
        <v/>
      </c>
      <c r="H81" s="10">
        <f>IF(TableRefills3[[#This Row],[gap_days]]="",0,IF(TableRefills3[[#This Row],[gap_days]]&gt;2,1,0))</f>
        <v>0</v>
      </c>
      <c r="I81">
        <f>_xlfn.MAXIFS(TableRefills3[discountinuation_flag], TableRefills3[patient_id], A81)</f>
        <v>0</v>
      </c>
    </row>
    <row r="82" spans="1:9" x14ac:dyDescent="0.25">
      <c r="A82" t="s">
        <v>134</v>
      </c>
      <c r="B82" t="s">
        <v>135</v>
      </c>
      <c r="C82" s="3">
        <v>45849</v>
      </c>
      <c r="D82">
        <v>28</v>
      </c>
      <c r="E82" s="3">
        <f t="shared" si="1"/>
        <v>45819</v>
      </c>
      <c r="F82" s="3">
        <f>IF(TableRefills3[[#This Row],[prev_refill_days]]="","",TableRefills3[[#This Row],[prev_refill_days]]+TableRefills3[[#This Row],[quantity_days]])</f>
        <v>45847</v>
      </c>
      <c r="G82">
        <f>IF(TableRefills3[[#This Row],[prev_refill_end]]="","",TableRefills3[[#This Row],[refill_date]]-TableRefills3[[#This Row],[prev_refill_end]])</f>
        <v>2</v>
      </c>
      <c r="H82" s="10">
        <f>IF(TableRefills3[[#This Row],[gap_days]]="",0,IF(TableRefills3[[#This Row],[gap_days]]&gt;2,1,0))</f>
        <v>0</v>
      </c>
      <c r="I82">
        <f>_xlfn.MAXIFS(TableRefills3[discountinuation_flag], TableRefills3[patient_id], A82)</f>
        <v>0</v>
      </c>
    </row>
    <row r="83" spans="1:9" x14ac:dyDescent="0.25">
      <c r="A83" t="s">
        <v>134</v>
      </c>
      <c r="B83" t="s">
        <v>135</v>
      </c>
      <c r="C83" s="3">
        <v>45877</v>
      </c>
      <c r="D83">
        <v>28</v>
      </c>
      <c r="E83" s="3">
        <f t="shared" si="1"/>
        <v>45849</v>
      </c>
      <c r="F83" s="3">
        <f>IF(TableRefills3[[#This Row],[prev_refill_days]]="","",TableRefills3[[#This Row],[prev_refill_days]]+TableRefills3[[#This Row],[quantity_days]])</f>
        <v>45877</v>
      </c>
      <c r="G83">
        <f>IF(TableRefills3[[#This Row],[prev_refill_end]]="","",TableRefills3[[#This Row],[refill_date]]-TableRefills3[[#This Row],[prev_refill_end]])</f>
        <v>0</v>
      </c>
      <c r="H83" s="10">
        <f>IF(TableRefills3[[#This Row],[gap_days]]="",0,IF(TableRefills3[[#This Row],[gap_days]]&gt;2,1,0))</f>
        <v>0</v>
      </c>
      <c r="I83">
        <f>_xlfn.MAXIFS(TableRefills3[discountinuation_flag], TableRefills3[patient_id], A83)</f>
        <v>0</v>
      </c>
    </row>
    <row r="84" spans="1:9" x14ac:dyDescent="0.25">
      <c r="A84" t="s">
        <v>134</v>
      </c>
      <c r="B84" t="s">
        <v>135</v>
      </c>
      <c r="C84" s="3">
        <v>45906</v>
      </c>
      <c r="D84">
        <v>28</v>
      </c>
      <c r="E84" s="3">
        <f t="shared" si="1"/>
        <v>45877</v>
      </c>
      <c r="F84" s="3">
        <f>IF(TableRefills3[[#This Row],[prev_refill_days]]="","",TableRefills3[[#This Row],[prev_refill_days]]+TableRefills3[[#This Row],[quantity_days]])</f>
        <v>45905</v>
      </c>
      <c r="G84">
        <f>IF(TableRefills3[[#This Row],[prev_refill_end]]="","",TableRefills3[[#This Row],[refill_date]]-TableRefills3[[#This Row],[prev_refill_end]])</f>
        <v>1</v>
      </c>
      <c r="H84" s="10">
        <f>IF(TableRefills3[[#This Row],[gap_days]]="",0,IF(TableRefills3[[#This Row],[gap_days]]&gt;2,1,0))</f>
        <v>0</v>
      </c>
      <c r="I84">
        <f>_xlfn.MAXIFS(TableRefills3[discountinuation_flag], TableRefills3[patient_id], A84)</f>
        <v>0</v>
      </c>
    </row>
    <row r="85" spans="1:9" x14ac:dyDescent="0.25">
      <c r="A85" t="s">
        <v>134</v>
      </c>
      <c r="B85" t="s">
        <v>135</v>
      </c>
      <c r="C85" s="3">
        <v>45931</v>
      </c>
      <c r="D85">
        <v>28</v>
      </c>
      <c r="E85" s="3">
        <f t="shared" si="1"/>
        <v>45906</v>
      </c>
      <c r="F85" s="3">
        <f>IF(TableRefills3[[#This Row],[prev_refill_days]]="","",TableRefills3[[#This Row],[prev_refill_days]]+TableRefills3[[#This Row],[quantity_days]])</f>
        <v>45934</v>
      </c>
      <c r="G85">
        <f>IF(TableRefills3[[#This Row],[prev_refill_end]]="","",TableRefills3[[#This Row],[refill_date]]-TableRefills3[[#This Row],[prev_refill_end]])</f>
        <v>-3</v>
      </c>
      <c r="H85" s="10">
        <f>IF(TableRefills3[[#This Row],[gap_days]]="",0,IF(TableRefills3[[#This Row],[gap_days]]&gt;2,1,0))</f>
        <v>0</v>
      </c>
      <c r="I85">
        <f>_xlfn.MAXIFS(TableRefills3[discountinuation_flag], TableRefills3[patient_id], A85)</f>
        <v>0</v>
      </c>
    </row>
    <row r="86" spans="1:9" x14ac:dyDescent="0.25">
      <c r="A86" t="s">
        <v>141</v>
      </c>
      <c r="B86" t="s">
        <v>142</v>
      </c>
      <c r="C86" s="3">
        <v>45893</v>
      </c>
      <c r="D86">
        <v>21</v>
      </c>
      <c r="E86" s="3" t="str">
        <f t="shared" si="1"/>
        <v/>
      </c>
      <c r="F86" s="3" t="str">
        <f>IF(TableRefills3[[#This Row],[prev_refill_days]]="","",TableRefills3[[#This Row],[prev_refill_days]]+TableRefills3[[#This Row],[quantity_days]])</f>
        <v/>
      </c>
      <c r="G86" t="str">
        <f>IF(TableRefills3[[#This Row],[prev_refill_end]]="","",TableRefills3[[#This Row],[refill_date]]-TableRefills3[[#This Row],[prev_refill_end]])</f>
        <v/>
      </c>
      <c r="H86" s="10">
        <f>IF(TableRefills3[[#This Row],[gap_days]]="",0,IF(TableRefills3[[#This Row],[gap_days]]&gt;2,1,0))</f>
        <v>0</v>
      </c>
      <c r="I86">
        <f>_xlfn.MAXIFS(TableRefills3[discountinuation_flag], TableRefills3[patient_id], A86)</f>
        <v>1</v>
      </c>
    </row>
    <row r="87" spans="1:9" x14ac:dyDescent="0.25">
      <c r="A87" t="s">
        <v>141</v>
      </c>
      <c r="B87" t="s">
        <v>142</v>
      </c>
      <c r="C87" s="3">
        <v>45912</v>
      </c>
      <c r="D87">
        <v>21</v>
      </c>
      <c r="E87" s="3">
        <f t="shared" si="1"/>
        <v>45893</v>
      </c>
      <c r="F87" s="3">
        <f>IF(TableRefills3[[#This Row],[prev_refill_days]]="","",TableRefills3[[#This Row],[prev_refill_days]]+TableRefills3[[#This Row],[quantity_days]])</f>
        <v>45914</v>
      </c>
      <c r="G87">
        <f>IF(TableRefills3[[#This Row],[prev_refill_end]]="","",TableRefills3[[#This Row],[refill_date]]-TableRefills3[[#This Row],[prev_refill_end]])</f>
        <v>-2</v>
      </c>
      <c r="H87" s="10">
        <f>IF(TableRefills3[[#This Row],[gap_days]]="",0,IF(TableRefills3[[#This Row],[gap_days]]&gt;2,1,0))</f>
        <v>0</v>
      </c>
      <c r="I87">
        <f>_xlfn.MAXIFS(TableRefills3[discountinuation_flag], TableRefills3[patient_id], A87)</f>
        <v>1</v>
      </c>
    </row>
    <row r="88" spans="1:9" x14ac:dyDescent="0.25">
      <c r="A88" t="s">
        <v>141</v>
      </c>
      <c r="B88" t="s">
        <v>142</v>
      </c>
      <c r="C88" s="3">
        <v>45931</v>
      </c>
      <c r="D88">
        <v>21</v>
      </c>
      <c r="E88" s="3">
        <f t="shared" si="1"/>
        <v>45912</v>
      </c>
      <c r="F88" s="3">
        <f>IF(TableRefills3[[#This Row],[prev_refill_days]]="","",TableRefills3[[#This Row],[prev_refill_days]]+TableRefills3[[#This Row],[quantity_days]])</f>
        <v>45933</v>
      </c>
      <c r="G88">
        <f>IF(TableRefills3[[#This Row],[prev_refill_end]]="","",TableRefills3[[#This Row],[refill_date]]-TableRefills3[[#This Row],[prev_refill_end]])</f>
        <v>-2</v>
      </c>
      <c r="H88" s="10">
        <f>IF(TableRefills3[[#This Row],[gap_days]]="",0,IF(TableRefills3[[#This Row],[gap_days]]&gt;2,1,0))</f>
        <v>0</v>
      </c>
      <c r="I88">
        <f>_xlfn.MAXIFS(TableRefills3[discountinuation_flag], TableRefills3[patient_id], A88)</f>
        <v>1</v>
      </c>
    </row>
    <row r="89" spans="1:9" x14ac:dyDescent="0.25">
      <c r="A89" t="s">
        <v>141</v>
      </c>
      <c r="B89" t="s">
        <v>142</v>
      </c>
      <c r="C89" s="3">
        <v>45955</v>
      </c>
      <c r="D89">
        <v>21</v>
      </c>
      <c r="E89" s="3">
        <f t="shared" si="1"/>
        <v>45931</v>
      </c>
      <c r="F89" s="3">
        <f>IF(TableRefills3[[#This Row],[prev_refill_days]]="","",TableRefills3[[#This Row],[prev_refill_days]]+TableRefills3[[#This Row],[quantity_days]])</f>
        <v>45952</v>
      </c>
      <c r="G89">
        <f>IF(TableRefills3[[#This Row],[prev_refill_end]]="","",TableRefills3[[#This Row],[refill_date]]-TableRefills3[[#This Row],[prev_refill_end]])</f>
        <v>3</v>
      </c>
      <c r="H89" s="10">
        <f>IF(TableRefills3[[#This Row],[gap_days]]="",0,IF(TableRefills3[[#This Row],[gap_days]]&gt;2,1,0))</f>
        <v>1</v>
      </c>
      <c r="I89">
        <f>_xlfn.MAXIFS(TableRefills3[discountinuation_flag], TableRefills3[patient_id], A89)</f>
        <v>1</v>
      </c>
    </row>
    <row r="90" spans="1:9" x14ac:dyDescent="0.25">
      <c r="A90" t="s">
        <v>147</v>
      </c>
      <c r="B90" t="s">
        <v>148</v>
      </c>
      <c r="C90" s="3">
        <v>45815</v>
      </c>
      <c r="D90">
        <v>30</v>
      </c>
      <c r="E90" s="3" t="str">
        <f t="shared" si="1"/>
        <v/>
      </c>
      <c r="F90" s="3" t="str">
        <f>IF(TableRefills3[[#This Row],[prev_refill_days]]="","",TableRefills3[[#This Row],[prev_refill_days]]+TableRefills3[[#This Row],[quantity_days]])</f>
        <v/>
      </c>
      <c r="G90" t="str">
        <f>IF(TableRefills3[[#This Row],[prev_refill_end]]="","",TableRefills3[[#This Row],[refill_date]]-TableRefills3[[#This Row],[prev_refill_end]])</f>
        <v/>
      </c>
      <c r="H90" s="10">
        <f>IF(TableRefills3[[#This Row],[gap_days]]="",0,IF(TableRefills3[[#This Row],[gap_days]]&gt;2,1,0))</f>
        <v>0</v>
      </c>
      <c r="I90">
        <f>_xlfn.MAXIFS(TableRefills3[discountinuation_flag], TableRefills3[patient_id], A90)</f>
        <v>0</v>
      </c>
    </row>
    <row r="91" spans="1:9" x14ac:dyDescent="0.25">
      <c r="A91" t="s">
        <v>147</v>
      </c>
      <c r="B91" t="s">
        <v>148</v>
      </c>
      <c r="C91" s="3">
        <v>45847</v>
      </c>
      <c r="D91">
        <v>30</v>
      </c>
      <c r="E91" s="3">
        <f t="shared" si="1"/>
        <v>45815</v>
      </c>
      <c r="F91" s="3">
        <f>IF(TableRefills3[[#This Row],[prev_refill_days]]="","",TableRefills3[[#This Row],[prev_refill_days]]+TableRefills3[[#This Row],[quantity_days]])</f>
        <v>45845</v>
      </c>
      <c r="G91">
        <f>IF(TableRefills3[[#This Row],[prev_refill_end]]="","",TableRefills3[[#This Row],[refill_date]]-TableRefills3[[#This Row],[prev_refill_end]])</f>
        <v>2</v>
      </c>
      <c r="H91" s="10">
        <f>IF(TableRefills3[[#This Row],[gap_days]]="",0,IF(TableRefills3[[#This Row],[gap_days]]&gt;2,1,0))</f>
        <v>0</v>
      </c>
      <c r="I91">
        <f>_xlfn.MAXIFS(TableRefills3[discountinuation_flag], TableRefills3[patient_id], A91)</f>
        <v>0</v>
      </c>
    </row>
    <row r="92" spans="1:9" x14ac:dyDescent="0.25">
      <c r="A92" t="s">
        <v>147</v>
      </c>
      <c r="B92" t="s">
        <v>148</v>
      </c>
      <c r="C92" s="3">
        <v>45875</v>
      </c>
      <c r="D92">
        <v>30</v>
      </c>
      <c r="E92" s="3">
        <f t="shared" si="1"/>
        <v>45847</v>
      </c>
      <c r="F92" s="3">
        <f>IF(TableRefills3[[#This Row],[prev_refill_days]]="","",TableRefills3[[#This Row],[prev_refill_days]]+TableRefills3[[#This Row],[quantity_days]])</f>
        <v>45877</v>
      </c>
      <c r="G92">
        <f>IF(TableRefills3[[#This Row],[prev_refill_end]]="","",TableRefills3[[#This Row],[refill_date]]-TableRefills3[[#This Row],[prev_refill_end]])</f>
        <v>-2</v>
      </c>
      <c r="H92" s="10">
        <f>IF(TableRefills3[[#This Row],[gap_days]]="",0,IF(TableRefills3[[#This Row],[gap_days]]&gt;2,1,0))</f>
        <v>0</v>
      </c>
      <c r="I92">
        <f>_xlfn.MAXIFS(TableRefills3[discountinuation_flag], TableRefills3[patient_id], A92)</f>
        <v>0</v>
      </c>
    </row>
    <row r="93" spans="1:9" x14ac:dyDescent="0.25">
      <c r="A93" t="s">
        <v>147</v>
      </c>
      <c r="B93" t="s">
        <v>148</v>
      </c>
      <c r="C93" s="3">
        <v>45906</v>
      </c>
      <c r="D93">
        <v>30</v>
      </c>
      <c r="E93" s="3">
        <f t="shared" si="1"/>
        <v>45875</v>
      </c>
      <c r="F93" s="3">
        <f>IF(TableRefills3[[#This Row],[prev_refill_days]]="","",TableRefills3[[#This Row],[prev_refill_days]]+TableRefills3[[#This Row],[quantity_days]])</f>
        <v>45905</v>
      </c>
      <c r="G93">
        <f>IF(TableRefills3[[#This Row],[prev_refill_end]]="","",TableRefills3[[#This Row],[refill_date]]-TableRefills3[[#This Row],[prev_refill_end]])</f>
        <v>1</v>
      </c>
      <c r="H93" s="10">
        <f>IF(TableRefills3[[#This Row],[gap_days]]="",0,IF(TableRefills3[[#This Row],[gap_days]]&gt;2,1,0))</f>
        <v>0</v>
      </c>
      <c r="I93">
        <f>_xlfn.MAXIFS(TableRefills3[discountinuation_flag], TableRefills3[patient_id], A93)</f>
        <v>0</v>
      </c>
    </row>
    <row r="94" spans="1:9" x14ac:dyDescent="0.25">
      <c r="A94" t="s">
        <v>147</v>
      </c>
      <c r="B94" t="s">
        <v>148</v>
      </c>
      <c r="C94" s="3">
        <v>45933</v>
      </c>
      <c r="D94">
        <v>30</v>
      </c>
      <c r="E94" s="3">
        <f t="shared" si="1"/>
        <v>45906</v>
      </c>
      <c r="F94" s="3">
        <f>IF(TableRefills3[[#This Row],[prev_refill_days]]="","",TableRefills3[[#This Row],[prev_refill_days]]+TableRefills3[[#This Row],[quantity_days]])</f>
        <v>45936</v>
      </c>
      <c r="G94">
        <f>IF(TableRefills3[[#This Row],[prev_refill_end]]="","",TableRefills3[[#This Row],[refill_date]]-TableRefills3[[#This Row],[prev_refill_end]])</f>
        <v>-3</v>
      </c>
      <c r="H94" s="10">
        <f>IF(TableRefills3[[#This Row],[gap_days]]="",0,IF(TableRefills3[[#This Row],[gap_days]]&gt;2,1,0))</f>
        <v>0</v>
      </c>
      <c r="I94">
        <f>_xlfn.MAXIFS(TableRefills3[discountinuation_flag], TableRefills3[patient_id], A94)</f>
        <v>0</v>
      </c>
    </row>
    <row r="95" spans="1:9" x14ac:dyDescent="0.25">
      <c r="A95" t="s">
        <v>154</v>
      </c>
      <c r="B95" t="s">
        <v>155</v>
      </c>
      <c r="C95" s="3">
        <v>45889</v>
      </c>
      <c r="D95">
        <v>28</v>
      </c>
      <c r="E95" s="3" t="str">
        <f t="shared" si="1"/>
        <v/>
      </c>
      <c r="F95" s="3" t="str">
        <f>IF(TableRefills3[[#This Row],[prev_refill_days]]="","",TableRefills3[[#This Row],[prev_refill_days]]+TableRefills3[[#This Row],[quantity_days]])</f>
        <v/>
      </c>
      <c r="G95" t="str">
        <f>IF(TableRefills3[[#This Row],[prev_refill_end]]="","",TableRefills3[[#This Row],[refill_date]]-TableRefills3[[#This Row],[prev_refill_end]])</f>
        <v/>
      </c>
      <c r="H95" s="10">
        <f>IF(TableRefills3[[#This Row],[gap_days]]="",0,IF(TableRefills3[[#This Row],[gap_days]]&gt;2,1,0))</f>
        <v>0</v>
      </c>
      <c r="I95">
        <f>_xlfn.MAXIFS(TableRefills3[discountinuation_flag], TableRefills3[patient_id], A95)</f>
        <v>0</v>
      </c>
    </row>
    <row r="96" spans="1:9" x14ac:dyDescent="0.25">
      <c r="A96" t="s">
        <v>154</v>
      </c>
      <c r="B96" t="s">
        <v>155</v>
      </c>
      <c r="C96" s="3">
        <v>45915</v>
      </c>
      <c r="D96">
        <v>28</v>
      </c>
      <c r="E96" s="3">
        <f t="shared" si="1"/>
        <v>45889</v>
      </c>
      <c r="F96" s="3">
        <f>IF(TableRefills3[[#This Row],[prev_refill_days]]="","",TableRefills3[[#This Row],[prev_refill_days]]+TableRefills3[[#This Row],[quantity_days]])</f>
        <v>45917</v>
      </c>
      <c r="G96">
        <f>IF(TableRefills3[[#This Row],[prev_refill_end]]="","",TableRefills3[[#This Row],[refill_date]]-TableRefills3[[#This Row],[prev_refill_end]])</f>
        <v>-2</v>
      </c>
      <c r="H96" s="10">
        <f>IF(TableRefills3[[#This Row],[gap_days]]="",0,IF(TableRefills3[[#This Row],[gap_days]]&gt;2,1,0))</f>
        <v>0</v>
      </c>
      <c r="I96">
        <f>_xlfn.MAXIFS(TableRefills3[discountinuation_flag], TableRefills3[patient_id], A96)</f>
        <v>0</v>
      </c>
    </row>
    <row r="97" spans="1:9" x14ac:dyDescent="0.25">
      <c r="A97" t="s">
        <v>154</v>
      </c>
      <c r="B97" t="s">
        <v>155</v>
      </c>
      <c r="C97" s="3">
        <v>45943</v>
      </c>
      <c r="D97">
        <v>28</v>
      </c>
      <c r="E97" s="3">
        <f t="shared" si="1"/>
        <v>45915</v>
      </c>
      <c r="F97" s="3">
        <f>IF(TableRefills3[[#This Row],[prev_refill_days]]="","",TableRefills3[[#This Row],[prev_refill_days]]+TableRefills3[[#This Row],[quantity_days]])</f>
        <v>45943</v>
      </c>
      <c r="G97">
        <f>IF(TableRefills3[[#This Row],[prev_refill_end]]="","",TableRefills3[[#This Row],[refill_date]]-TableRefills3[[#This Row],[prev_refill_end]])</f>
        <v>0</v>
      </c>
      <c r="H97" s="10">
        <f>IF(TableRefills3[[#This Row],[gap_days]]="",0,IF(TableRefills3[[#This Row],[gap_days]]&gt;2,1,0))</f>
        <v>0</v>
      </c>
      <c r="I97">
        <f>_xlfn.MAXIFS(TableRefills3[discountinuation_flag], TableRefills3[patient_id], A97)</f>
        <v>0</v>
      </c>
    </row>
    <row r="98" spans="1:9" x14ac:dyDescent="0.25">
      <c r="A98" t="s">
        <v>159</v>
      </c>
      <c r="B98" t="s">
        <v>160</v>
      </c>
      <c r="C98" s="3">
        <v>45834</v>
      </c>
      <c r="D98">
        <v>28</v>
      </c>
      <c r="E98" s="3" t="str">
        <f t="shared" si="1"/>
        <v/>
      </c>
      <c r="F98" s="3" t="str">
        <f>IF(TableRefills3[[#This Row],[prev_refill_days]]="","",TableRefills3[[#This Row],[prev_refill_days]]+TableRefills3[[#This Row],[quantity_days]])</f>
        <v/>
      </c>
      <c r="G98" t="str">
        <f>IF(TableRefills3[[#This Row],[prev_refill_end]]="","",TableRefills3[[#This Row],[refill_date]]-TableRefills3[[#This Row],[prev_refill_end]])</f>
        <v/>
      </c>
      <c r="H98" s="10">
        <f>IF(TableRefills3[[#This Row],[gap_days]]="",0,IF(TableRefills3[[#This Row],[gap_days]]&gt;2,1,0))</f>
        <v>0</v>
      </c>
      <c r="I98">
        <f>_xlfn.MAXIFS(TableRefills3[discountinuation_flag], TableRefills3[patient_id], A98)</f>
        <v>1</v>
      </c>
    </row>
    <row r="99" spans="1:9" x14ac:dyDescent="0.25">
      <c r="A99" t="s">
        <v>159</v>
      </c>
      <c r="B99" t="s">
        <v>160</v>
      </c>
      <c r="C99" s="3">
        <v>45860</v>
      </c>
      <c r="D99">
        <v>28</v>
      </c>
      <c r="E99" s="3">
        <f t="shared" si="1"/>
        <v>45834</v>
      </c>
      <c r="F99" s="3">
        <f>IF(TableRefills3[[#This Row],[prev_refill_days]]="","",TableRefills3[[#This Row],[prev_refill_days]]+TableRefills3[[#This Row],[quantity_days]])</f>
        <v>45862</v>
      </c>
      <c r="G99">
        <f>IF(TableRefills3[[#This Row],[prev_refill_end]]="","",TableRefills3[[#This Row],[refill_date]]-TableRefills3[[#This Row],[prev_refill_end]])</f>
        <v>-2</v>
      </c>
      <c r="H99" s="10">
        <f>IF(TableRefills3[[#This Row],[gap_days]]="",0,IF(TableRefills3[[#This Row],[gap_days]]&gt;2,1,0))</f>
        <v>0</v>
      </c>
      <c r="I99">
        <f>_xlfn.MAXIFS(TableRefills3[discountinuation_flag], TableRefills3[patient_id], A99)</f>
        <v>1</v>
      </c>
    </row>
    <row r="100" spans="1:9" x14ac:dyDescent="0.25">
      <c r="A100" t="s">
        <v>159</v>
      </c>
      <c r="B100" t="s">
        <v>160</v>
      </c>
      <c r="C100" s="3">
        <v>45891</v>
      </c>
      <c r="D100">
        <v>28</v>
      </c>
      <c r="E100" s="3">
        <f t="shared" si="1"/>
        <v>45860</v>
      </c>
      <c r="F100" s="3">
        <f>IF(TableRefills3[[#This Row],[prev_refill_days]]="","",TableRefills3[[#This Row],[prev_refill_days]]+TableRefills3[[#This Row],[quantity_days]])</f>
        <v>45888</v>
      </c>
      <c r="G100">
        <f>IF(TableRefills3[[#This Row],[prev_refill_end]]="","",TableRefills3[[#This Row],[refill_date]]-TableRefills3[[#This Row],[prev_refill_end]])</f>
        <v>3</v>
      </c>
      <c r="H100" s="10">
        <f>IF(TableRefills3[[#This Row],[gap_days]]="",0,IF(TableRefills3[[#This Row],[gap_days]]&gt;2,1,0))</f>
        <v>1</v>
      </c>
      <c r="I100">
        <f>_xlfn.MAXIFS(TableRefills3[discountinuation_flag], TableRefills3[patient_id], A100)</f>
        <v>1</v>
      </c>
    </row>
    <row r="101" spans="1:9" x14ac:dyDescent="0.25">
      <c r="A101" t="s">
        <v>159</v>
      </c>
      <c r="B101" t="s">
        <v>160</v>
      </c>
      <c r="C101" s="3">
        <v>45920</v>
      </c>
      <c r="D101">
        <v>28</v>
      </c>
      <c r="E101" s="3">
        <f t="shared" si="1"/>
        <v>45891</v>
      </c>
      <c r="F101" s="3">
        <f>IF(TableRefills3[[#This Row],[prev_refill_days]]="","",TableRefills3[[#This Row],[prev_refill_days]]+TableRefills3[[#This Row],[quantity_days]])</f>
        <v>45919</v>
      </c>
      <c r="G101">
        <f>IF(TableRefills3[[#This Row],[prev_refill_end]]="","",TableRefills3[[#This Row],[refill_date]]-TableRefills3[[#This Row],[prev_refill_end]])</f>
        <v>1</v>
      </c>
      <c r="H101" s="10">
        <f>IF(TableRefills3[[#This Row],[gap_days]]="",0,IF(TableRefills3[[#This Row],[gap_days]]&gt;2,1,0))</f>
        <v>0</v>
      </c>
      <c r="I101">
        <f>_xlfn.MAXIFS(TableRefills3[discountinuation_flag], TableRefills3[patient_id], A101)</f>
        <v>1</v>
      </c>
    </row>
    <row r="102" spans="1:9" x14ac:dyDescent="0.25">
      <c r="A102" t="s">
        <v>159</v>
      </c>
      <c r="B102" t="s">
        <v>160</v>
      </c>
      <c r="C102" s="3">
        <v>45950</v>
      </c>
      <c r="D102">
        <v>28</v>
      </c>
      <c r="E102" s="3">
        <f t="shared" si="1"/>
        <v>45920</v>
      </c>
      <c r="F102" s="3">
        <f>IF(TableRefills3[[#This Row],[prev_refill_days]]="","",TableRefills3[[#This Row],[prev_refill_days]]+TableRefills3[[#This Row],[quantity_days]])</f>
        <v>45948</v>
      </c>
      <c r="G102">
        <f>IF(TableRefills3[[#This Row],[prev_refill_end]]="","",TableRefills3[[#This Row],[refill_date]]-TableRefills3[[#This Row],[prev_refill_end]])</f>
        <v>2</v>
      </c>
      <c r="H102" s="10">
        <f>IF(TableRefills3[[#This Row],[gap_days]]="",0,IF(TableRefills3[[#This Row],[gap_days]]&gt;2,1,0))</f>
        <v>0</v>
      </c>
      <c r="I102">
        <f>_xlfn.MAXIFS(TableRefills3[discountinuation_flag], TableRefills3[patient_id], A102)</f>
        <v>1</v>
      </c>
    </row>
    <row r="103" spans="1:9" x14ac:dyDescent="0.25">
      <c r="A103" t="s">
        <v>166</v>
      </c>
      <c r="B103" t="s">
        <v>167</v>
      </c>
      <c r="C103" s="3">
        <v>45893</v>
      </c>
      <c r="D103">
        <v>30</v>
      </c>
      <c r="E103" s="3" t="str">
        <f t="shared" si="1"/>
        <v/>
      </c>
      <c r="F103" s="3" t="str">
        <f>IF(TableRefills3[[#This Row],[prev_refill_days]]="","",TableRefills3[[#This Row],[prev_refill_days]]+TableRefills3[[#This Row],[quantity_days]])</f>
        <v/>
      </c>
      <c r="G103" t="str">
        <f>IF(TableRefills3[[#This Row],[prev_refill_end]]="","",TableRefills3[[#This Row],[refill_date]]-TableRefills3[[#This Row],[prev_refill_end]])</f>
        <v/>
      </c>
      <c r="H103" s="10">
        <f>IF(TableRefills3[[#This Row],[gap_days]]="",0,IF(TableRefills3[[#This Row],[gap_days]]&gt;2,1,0))</f>
        <v>0</v>
      </c>
      <c r="I103">
        <f>_xlfn.MAXIFS(TableRefills3[discountinuation_flag], TableRefills3[patient_id], A103)</f>
        <v>0</v>
      </c>
    </row>
    <row r="104" spans="1:9" x14ac:dyDescent="0.25">
      <c r="A104" t="s">
        <v>166</v>
      </c>
      <c r="B104" t="s">
        <v>167</v>
      </c>
      <c r="C104" s="3">
        <v>45921</v>
      </c>
      <c r="D104">
        <v>30</v>
      </c>
      <c r="E104" s="3">
        <f t="shared" si="1"/>
        <v>45893</v>
      </c>
      <c r="F104" s="3">
        <f>IF(TableRefills3[[#This Row],[prev_refill_days]]="","",TableRefills3[[#This Row],[prev_refill_days]]+TableRefills3[[#This Row],[quantity_days]])</f>
        <v>45923</v>
      </c>
      <c r="G104">
        <f>IF(TableRefills3[[#This Row],[prev_refill_end]]="","",TableRefills3[[#This Row],[refill_date]]-TableRefills3[[#This Row],[prev_refill_end]])</f>
        <v>-2</v>
      </c>
      <c r="H104" s="10">
        <f>IF(TableRefills3[[#This Row],[gap_days]]="",0,IF(TableRefills3[[#This Row],[gap_days]]&gt;2,1,0))</f>
        <v>0</v>
      </c>
      <c r="I104">
        <f>_xlfn.MAXIFS(TableRefills3[discountinuation_flag], TableRefills3[patient_id], A104)</f>
        <v>0</v>
      </c>
    </row>
    <row r="105" spans="1:9" x14ac:dyDescent="0.25">
      <c r="A105" t="s">
        <v>166</v>
      </c>
      <c r="B105" t="s">
        <v>167</v>
      </c>
      <c r="C105" s="3">
        <v>45949</v>
      </c>
      <c r="D105">
        <v>30</v>
      </c>
      <c r="E105" s="3">
        <f t="shared" si="1"/>
        <v>45921</v>
      </c>
      <c r="F105" s="3">
        <f>IF(TableRefills3[[#This Row],[prev_refill_days]]="","",TableRefills3[[#This Row],[prev_refill_days]]+TableRefills3[[#This Row],[quantity_days]])</f>
        <v>45951</v>
      </c>
      <c r="G105">
        <f>IF(TableRefills3[[#This Row],[prev_refill_end]]="","",TableRefills3[[#This Row],[refill_date]]-TableRefills3[[#This Row],[prev_refill_end]])</f>
        <v>-2</v>
      </c>
      <c r="H105" s="10">
        <f>IF(TableRefills3[[#This Row],[gap_days]]="",0,IF(TableRefills3[[#This Row],[gap_days]]&gt;2,1,0))</f>
        <v>0</v>
      </c>
      <c r="I105">
        <f>_xlfn.MAXIFS(TableRefills3[discountinuation_flag], TableRefills3[patient_id], A105)</f>
        <v>0</v>
      </c>
    </row>
    <row r="106" spans="1:9" x14ac:dyDescent="0.25">
      <c r="A106" t="s">
        <v>171</v>
      </c>
      <c r="B106" t="s">
        <v>172</v>
      </c>
      <c r="C106" s="3">
        <v>45784</v>
      </c>
      <c r="D106">
        <v>28</v>
      </c>
      <c r="E106" s="3" t="str">
        <f t="shared" si="1"/>
        <v/>
      </c>
      <c r="F106" s="3" t="str">
        <f>IF(TableRefills3[[#This Row],[prev_refill_days]]="","",TableRefills3[[#This Row],[prev_refill_days]]+TableRefills3[[#This Row],[quantity_days]])</f>
        <v/>
      </c>
      <c r="G106" t="str">
        <f>IF(TableRefills3[[#This Row],[prev_refill_end]]="","",TableRefills3[[#This Row],[refill_date]]-TableRefills3[[#This Row],[prev_refill_end]])</f>
        <v/>
      </c>
      <c r="H106" s="10">
        <f>IF(TableRefills3[[#This Row],[gap_days]]="",0,IF(TableRefills3[[#This Row],[gap_days]]&gt;2,1,0))</f>
        <v>0</v>
      </c>
      <c r="I106">
        <f>_xlfn.MAXIFS(TableRefills3[discountinuation_flag], TableRefills3[patient_id], A106)</f>
        <v>1</v>
      </c>
    </row>
    <row r="107" spans="1:9" x14ac:dyDescent="0.25">
      <c r="A107" t="s">
        <v>171</v>
      </c>
      <c r="B107" t="s">
        <v>172</v>
      </c>
      <c r="C107" s="3">
        <v>45815</v>
      </c>
      <c r="D107">
        <v>28</v>
      </c>
      <c r="E107" s="3">
        <f t="shared" si="1"/>
        <v>45784</v>
      </c>
      <c r="F107" s="3">
        <f>IF(TableRefills3[[#This Row],[prev_refill_days]]="","",TableRefills3[[#This Row],[prev_refill_days]]+TableRefills3[[#This Row],[quantity_days]])</f>
        <v>45812</v>
      </c>
      <c r="G107">
        <f>IF(TableRefills3[[#This Row],[prev_refill_end]]="","",TableRefills3[[#This Row],[refill_date]]-TableRefills3[[#This Row],[prev_refill_end]])</f>
        <v>3</v>
      </c>
      <c r="H107" s="10">
        <f>IF(TableRefills3[[#This Row],[gap_days]]="",0,IF(TableRefills3[[#This Row],[gap_days]]&gt;2,1,0))</f>
        <v>1</v>
      </c>
      <c r="I107">
        <f>_xlfn.MAXIFS(TableRefills3[discountinuation_flag], TableRefills3[patient_id], A107)</f>
        <v>1</v>
      </c>
    </row>
    <row r="108" spans="1:9" x14ac:dyDescent="0.25">
      <c r="A108" t="s">
        <v>171</v>
      </c>
      <c r="B108" t="s">
        <v>172</v>
      </c>
      <c r="C108" s="3">
        <v>45842</v>
      </c>
      <c r="D108">
        <v>28</v>
      </c>
      <c r="E108" s="3">
        <f t="shared" si="1"/>
        <v>45815</v>
      </c>
      <c r="F108" s="3">
        <f>IF(TableRefills3[[#This Row],[prev_refill_days]]="","",TableRefills3[[#This Row],[prev_refill_days]]+TableRefills3[[#This Row],[quantity_days]])</f>
        <v>45843</v>
      </c>
      <c r="G108">
        <f>IF(TableRefills3[[#This Row],[prev_refill_end]]="","",TableRefills3[[#This Row],[refill_date]]-TableRefills3[[#This Row],[prev_refill_end]])</f>
        <v>-1</v>
      </c>
      <c r="H108" s="10">
        <f>IF(TableRefills3[[#This Row],[gap_days]]="",0,IF(TableRefills3[[#This Row],[gap_days]]&gt;2,1,0))</f>
        <v>0</v>
      </c>
      <c r="I108">
        <f>_xlfn.MAXIFS(TableRefills3[discountinuation_flag], TableRefills3[patient_id], A108)</f>
        <v>1</v>
      </c>
    </row>
    <row r="109" spans="1:9" x14ac:dyDescent="0.25">
      <c r="A109" t="s">
        <v>176</v>
      </c>
      <c r="B109" t="s">
        <v>177</v>
      </c>
      <c r="C109" s="3">
        <v>45791</v>
      </c>
      <c r="D109">
        <v>21</v>
      </c>
      <c r="E109" s="3" t="str">
        <f t="shared" si="1"/>
        <v/>
      </c>
      <c r="F109" s="3" t="str">
        <f>IF(TableRefills3[[#This Row],[prev_refill_days]]="","",TableRefills3[[#This Row],[prev_refill_days]]+TableRefills3[[#This Row],[quantity_days]])</f>
        <v/>
      </c>
      <c r="G109" t="str">
        <f>IF(TableRefills3[[#This Row],[prev_refill_end]]="","",TableRefills3[[#This Row],[refill_date]]-TableRefills3[[#This Row],[prev_refill_end]])</f>
        <v/>
      </c>
      <c r="H109" s="10">
        <f>IF(TableRefills3[[#This Row],[gap_days]]="",0,IF(TableRefills3[[#This Row],[gap_days]]&gt;2,1,0))</f>
        <v>0</v>
      </c>
      <c r="I109">
        <f>_xlfn.MAXIFS(TableRefills3[discountinuation_flag], TableRefills3[patient_id], A109)</f>
        <v>1</v>
      </c>
    </row>
    <row r="110" spans="1:9" x14ac:dyDescent="0.25">
      <c r="A110" t="s">
        <v>176</v>
      </c>
      <c r="B110" t="s">
        <v>177</v>
      </c>
      <c r="C110" s="3">
        <v>45809</v>
      </c>
      <c r="D110">
        <v>21</v>
      </c>
      <c r="E110" s="3">
        <f t="shared" si="1"/>
        <v>45791</v>
      </c>
      <c r="F110" s="3">
        <f>IF(TableRefills3[[#This Row],[prev_refill_days]]="","",TableRefills3[[#This Row],[prev_refill_days]]+TableRefills3[[#This Row],[quantity_days]])</f>
        <v>45812</v>
      </c>
      <c r="G110">
        <f>IF(TableRefills3[[#This Row],[prev_refill_end]]="","",TableRefills3[[#This Row],[refill_date]]-TableRefills3[[#This Row],[prev_refill_end]])</f>
        <v>-3</v>
      </c>
      <c r="H110" s="10">
        <f>IF(TableRefills3[[#This Row],[gap_days]]="",0,IF(TableRefills3[[#This Row],[gap_days]]&gt;2,1,0))</f>
        <v>0</v>
      </c>
      <c r="I110">
        <f>_xlfn.MAXIFS(TableRefills3[discountinuation_flag], TableRefills3[patient_id], A110)</f>
        <v>1</v>
      </c>
    </row>
    <row r="111" spans="1:9" x14ac:dyDescent="0.25">
      <c r="A111" t="s">
        <v>176</v>
      </c>
      <c r="B111" t="s">
        <v>177</v>
      </c>
      <c r="C111" s="3">
        <v>45828</v>
      </c>
      <c r="D111">
        <v>21</v>
      </c>
      <c r="E111" s="3">
        <f t="shared" si="1"/>
        <v>45809</v>
      </c>
      <c r="F111" s="3">
        <f>IF(TableRefills3[[#This Row],[prev_refill_days]]="","",TableRefills3[[#This Row],[prev_refill_days]]+TableRefills3[[#This Row],[quantity_days]])</f>
        <v>45830</v>
      </c>
      <c r="G111">
        <f>IF(TableRefills3[[#This Row],[prev_refill_end]]="","",TableRefills3[[#This Row],[refill_date]]-TableRefills3[[#This Row],[prev_refill_end]])</f>
        <v>-2</v>
      </c>
      <c r="H111" s="10">
        <f>IF(TableRefills3[[#This Row],[gap_days]]="",0,IF(TableRefills3[[#This Row],[gap_days]]&gt;2,1,0))</f>
        <v>0</v>
      </c>
      <c r="I111">
        <f>_xlfn.MAXIFS(TableRefills3[discountinuation_flag], TableRefills3[patient_id], A111)</f>
        <v>1</v>
      </c>
    </row>
    <row r="112" spans="1:9" x14ac:dyDescent="0.25">
      <c r="A112" t="s">
        <v>176</v>
      </c>
      <c r="B112" t="s">
        <v>177</v>
      </c>
      <c r="C112" s="3">
        <v>45850</v>
      </c>
      <c r="D112">
        <v>21</v>
      </c>
      <c r="E112" s="3">
        <f t="shared" si="1"/>
        <v>45828</v>
      </c>
      <c r="F112" s="3">
        <f>IF(TableRefills3[[#This Row],[prev_refill_days]]="","",TableRefills3[[#This Row],[prev_refill_days]]+TableRefills3[[#This Row],[quantity_days]])</f>
        <v>45849</v>
      </c>
      <c r="G112">
        <f>IF(TableRefills3[[#This Row],[prev_refill_end]]="","",TableRefills3[[#This Row],[refill_date]]-TableRefills3[[#This Row],[prev_refill_end]])</f>
        <v>1</v>
      </c>
      <c r="H112" s="10">
        <f>IF(TableRefills3[[#This Row],[gap_days]]="",0,IF(TableRefills3[[#This Row],[gap_days]]&gt;2,1,0))</f>
        <v>0</v>
      </c>
      <c r="I112">
        <f>_xlfn.MAXIFS(TableRefills3[discountinuation_flag], TableRefills3[patient_id], A112)</f>
        <v>1</v>
      </c>
    </row>
    <row r="113" spans="1:9" x14ac:dyDescent="0.25">
      <c r="A113" t="s">
        <v>176</v>
      </c>
      <c r="B113" t="s">
        <v>177</v>
      </c>
      <c r="C113" s="3">
        <v>45871</v>
      </c>
      <c r="D113">
        <v>21</v>
      </c>
      <c r="E113" s="3">
        <f t="shared" si="1"/>
        <v>45850</v>
      </c>
      <c r="F113" s="3">
        <f>IF(TableRefills3[[#This Row],[prev_refill_days]]="","",TableRefills3[[#This Row],[prev_refill_days]]+TableRefills3[[#This Row],[quantity_days]])</f>
        <v>45871</v>
      </c>
      <c r="G113">
        <f>IF(TableRefills3[[#This Row],[prev_refill_end]]="","",TableRefills3[[#This Row],[refill_date]]-TableRefills3[[#This Row],[prev_refill_end]])</f>
        <v>0</v>
      </c>
      <c r="H113" s="10">
        <f>IF(TableRefills3[[#This Row],[gap_days]]="",0,IF(TableRefills3[[#This Row],[gap_days]]&gt;2,1,0))</f>
        <v>0</v>
      </c>
      <c r="I113">
        <f>_xlfn.MAXIFS(TableRefills3[discountinuation_flag], TableRefills3[patient_id], A113)</f>
        <v>1</v>
      </c>
    </row>
    <row r="114" spans="1:9" x14ac:dyDescent="0.25">
      <c r="A114" t="s">
        <v>176</v>
      </c>
      <c r="B114" t="s">
        <v>177</v>
      </c>
      <c r="C114" s="3">
        <v>45892</v>
      </c>
      <c r="D114">
        <v>21</v>
      </c>
      <c r="E114" s="3">
        <f t="shared" si="1"/>
        <v>45871</v>
      </c>
      <c r="F114" s="3">
        <f>IF(TableRefills3[[#This Row],[prev_refill_days]]="","",TableRefills3[[#This Row],[prev_refill_days]]+TableRefills3[[#This Row],[quantity_days]])</f>
        <v>45892</v>
      </c>
      <c r="G114">
        <f>IF(TableRefills3[[#This Row],[prev_refill_end]]="","",TableRefills3[[#This Row],[refill_date]]-TableRefills3[[#This Row],[prev_refill_end]])</f>
        <v>0</v>
      </c>
      <c r="H114" s="10">
        <f>IF(TableRefills3[[#This Row],[gap_days]]="",0,IF(TableRefills3[[#This Row],[gap_days]]&gt;2,1,0))</f>
        <v>0</v>
      </c>
      <c r="I114">
        <f>_xlfn.MAXIFS(TableRefills3[discountinuation_flag], TableRefills3[patient_id], A114)</f>
        <v>1</v>
      </c>
    </row>
    <row r="115" spans="1:9" x14ac:dyDescent="0.25">
      <c r="A115" t="s">
        <v>176</v>
      </c>
      <c r="B115" t="s">
        <v>177</v>
      </c>
      <c r="C115" s="3">
        <v>45912</v>
      </c>
      <c r="D115">
        <v>21</v>
      </c>
      <c r="E115" s="3">
        <f t="shared" si="1"/>
        <v>45892</v>
      </c>
      <c r="F115" s="3">
        <f>IF(TableRefills3[[#This Row],[prev_refill_days]]="","",TableRefills3[[#This Row],[prev_refill_days]]+TableRefills3[[#This Row],[quantity_days]])</f>
        <v>45913</v>
      </c>
      <c r="G115">
        <f>IF(TableRefills3[[#This Row],[prev_refill_end]]="","",TableRefills3[[#This Row],[refill_date]]-TableRefills3[[#This Row],[prev_refill_end]])</f>
        <v>-1</v>
      </c>
      <c r="H115" s="10">
        <f>IF(TableRefills3[[#This Row],[gap_days]]="",0,IF(TableRefills3[[#This Row],[gap_days]]&gt;2,1,0))</f>
        <v>0</v>
      </c>
      <c r="I115">
        <f>_xlfn.MAXIFS(TableRefills3[discountinuation_flag], TableRefills3[patient_id], A115)</f>
        <v>1</v>
      </c>
    </row>
    <row r="116" spans="1:9" x14ac:dyDescent="0.25">
      <c r="A116" t="s">
        <v>176</v>
      </c>
      <c r="B116" t="s">
        <v>177</v>
      </c>
      <c r="C116" s="3">
        <v>45936</v>
      </c>
      <c r="D116">
        <v>21</v>
      </c>
      <c r="E116" s="3">
        <f t="shared" si="1"/>
        <v>45912</v>
      </c>
      <c r="F116" s="3">
        <f>IF(TableRefills3[[#This Row],[prev_refill_days]]="","",TableRefills3[[#This Row],[prev_refill_days]]+TableRefills3[[#This Row],[quantity_days]])</f>
        <v>45933</v>
      </c>
      <c r="G116">
        <f>IF(TableRefills3[[#This Row],[prev_refill_end]]="","",TableRefills3[[#This Row],[refill_date]]-TableRefills3[[#This Row],[prev_refill_end]])</f>
        <v>3</v>
      </c>
      <c r="H116" s="10">
        <f>IF(TableRefills3[[#This Row],[gap_days]]="",0,IF(TableRefills3[[#This Row],[gap_days]]&gt;2,1,0))</f>
        <v>1</v>
      </c>
      <c r="I116">
        <f>_xlfn.MAXIFS(TableRefills3[discountinuation_flag], TableRefills3[patient_id], A116)</f>
        <v>1</v>
      </c>
    </row>
    <row r="117" spans="1:9" x14ac:dyDescent="0.25">
      <c r="A117" t="s">
        <v>176</v>
      </c>
      <c r="B117" t="s">
        <v>177</v>
      </c>
      <c r="C117" s="3">
        <v>45956</v>
      </c>
      <c r="D117">
        <v>21</v>
      </c>
      <c r="E117" s="3">
        <f t="shared" si="1"/>
        <v>45936</v>
      </c>
      <c r="F117" s="3">
        <f>IF(TableRefills3[[#This Row],[prev_refill_days]]="","",TableRefills3[[#This Row],[prev_refill_days]]+TableRefills3[[#This Row],[quantity_days]])</f>
        <v>45957</v>
      </c>
      <c r="G117">
        <f>IF(TableRefills3[[#This Row],[prev_refill_end]]="","",TableRefills3[[#This Row],[refill_date]]-TableRefills3[[#This Row],[prev_refill_end]])</f>
        <v>-1</v>
      </c>
      <c r="H117" s="10">
        <f>IF(TableRefills3[[#This Row],[gap_days]]="",0,IF(TableRefills3[[#This Row],[gap_days]]&gt;2,1,0))</f>
        <v>0</v>
      </c>
      <c r="I117">
        <f>_xlfn.MAXIFS(TableRefills3[discountinuation_flag], TableRefills3[patient_id], A117)</f>
        <v>1</v>
      </c>
    </row>
    <row r="118" spans="1:9" x14ac:dyDescent="0.25">
      <c r="A118" t="s">
        <v>187</v>
      </c>
      <c r="B118" t="s">
        <v>188</v>
      </c>
      <c r="C118" s="3">
        <v>45906</v>
      </c>
      <c r="D118">
        <v>28</v>
      </c>
      <c r="E118" s="3" t="str">
        <f t="shared" si="1"/>
        <v/>
      </c>
      <c r="F118" s="3" t="str">
        <f>IF(TableRefills3[[#This Row],[prev_refill_days]]="","",TableRefills3[[#This Row],[prev_refill_days]]+TableRefills3[[#This Row],[quantity_days]])</f>
        <v/>
      </c>
      <c r="G118" t="str">
        <f>IF(TableRefills3[[#This Row],[prev_refill_end]]="","",TableRefills3[[#This Row],[refill_date]]-TableRefills3[[#This Row],[prev_refill_end]])</f>
        <v/>
      </c>
      <c r="H118" s="10">
        <f>IF(TableRefills3[[#This Row],[gap_days]]="",0,IF(TableRefills3[[#This Row],[gap_days]]&gt;2,1,0))</f>
        <v>0</v>
      </c>
      <c r="I118">
        <f>_xlfn.MAXIFS(TableRefills3[discountinuation_flag], TableRefills3[patient_id], A118)</f>
        <v>0</v>
      </c>
    </row>
    <row r="119" spans="1:9" x14ac:dyDescent="0.25">
      <c r="A119" t="s">
        <v>187</v>
      </c>
      <c r="B119" t="s">
        <v>188</v>
      </c>
      <c r="C119" s="3">
        <v>45931</v>
      </c>
      <c r="D119">
        <v>28</v>
      </c>
      <c r="E119" s="3">
        <f t="shared" si="1"/>
        <v>45906</v>
      </c>
      <c r="F119" s="3">
        <f>IF(TableRefills3[[#This Row],[prev_refill_days]]="","",TableRefills3[[#This Row],[prev_refill_days]]+TableRefills3[[#This Row],[quantity_days]])</f>
        <v>45934</v>
      </c>
      <c r="G119">
        <f>IF(TableRefills3[[#This Row],[prev_refill_end]]="","",TableRefills3[[#This Row],[refill_date]]-TableRefills3[[#This Row],[prev_refill_end]])</f>
        <v>-3</v>
      </c>
      <c r="H119" s="10">
        <f>IF(TableRefills3[[#This Row],[gap_days]]="",0,IF(TableRefills3[[#This Row],[gap_days]]&gt;2,1,0))</f>
        <v>0</v>
      </c>
      <c r="I119">
        <f>_xlfn.MAXIFS(TableRefills3[discountinuation_flag], TableRefills3[patient_id], A119)</f>
        <v>0</v>
      </c>
    </row>
    <row r="120" spans="1:9" x14ac:dyDescent="0.25">
      <c r="A120" t="s">
        <v>187</v>
      </c>
      <c r="B120" t="s">
        <v>188</v>
      </c>
      <c r="C120" s="3">
        <v>45957</v>
      </c>
      <c r="D120">
        <v>28</v>
      </c>
      <c r="E120" s="3">
        <f t="shared" si="1"/>
        <v>45931</v>
      </c>
      <c r="F120" s="3">
        <f>IF(TableRefills3[[#This Row],[prev_refill_days]]="","",TableRefills3[[#This Row],[prev_refill_days]]+TableRefills3[[#This Row],[quantity_days]])</f>
        <v>45959</v>
      </c>
      <c r="G120">
        <f>IF(TableRefills3[[#This Row],[prev_refill_end]]="","",TableRefills3[[#This Row],[refill_date]]-TableRefills3[[#This Row],[prev_refill_end]])</f>
        <v>-2</v>
      </c>
      <c r="H120" s="10">
        <f>IF(TableRefills3[[#This Row],[gap_days]]="",0,IF(TableRefills3[[#This Row],[gap_days]]&gt;2,1,0))</f>
        <v>0</v>
      </c>
      <c r="I120">
        <f>_xlfn.MAXIFS(TableRefills3[discountinuation_flag], TableRefills3[patient_id], A120)</f>
        <v>0</v>
      </c>
    </row>
    <row r="121" spans="1:9" x14ac:dyDescent="0.25">
      <c r="A121" t="s">
        <v>192</v>
      </c>
      <c r="B121" t="s">
        <v>193</v>
      </c>
      <c r="C121" s="3">
        <v>45838</v>
      </c>
      <c r="D121">
        <v>56</v>
      </c>
      <c r="E121" s="3" t="str">
        <f t="shared" si="1"/>
        <v/>
      </c>
      <c r="F121" s="3" t="str">
        <f>IF(TableRefills3[[#This Row],[prev_refill_days]]="","",TableRefills3[[#This Row],[prev_refill_days]]+TableRefills3[[#This Row],[quantity_days]])</f>
        <v/>
      </c>
      <c r="G121" t="str">
        <f>IF(TableRefills3[[#This Row],[prev_refill_end]]="","",TableRefills3[[#This Row],[refill_date]]-TableRefills3[[#This Row],[prev_refill_end]])</f>
        <v/>
      </c>
      <c r="H121" s="10">
        <f>IF(TableRefills3[[#This Row],[gap_days]]="",0,IF(TableRefills3[[#This Row],[gap_days]]&gt;2,1,0))</f>
        <v>0</v>
      </c>
      <c r="I121">
        <f>_xlfn.MAXIFS(TableRefills3[discountinuation_flag], TableRefills3[patient_id], A121)</f>
        <v>0</v>
      </c>
    </row>
    <row r="122" spans="1:9" x14ac:dyDescent="0.25">
      <c r="A122" t="s">
        <v>192</v>
      </c>
      <c r="B122" t="s">
        <v>193</v>
      </c>
      <c r="C122" s="3">
        <v>45893</v>
      </c>
      <c r="D122">
        <v>56</v>
      </c>
      <c r="E122" s="3">
        <f t="shared" si="1"/>
        <v>45838</v>
      </c>
      <c r="F122" s="3">
        <f>IF(TableRefills3[[#This Row],[prev_refill_days]]="","",TableRefills3[[#This Row],[prev_refill_days]]+TableRefills3[[#This Row],[quantity_days]])</f>
        <v>45894</v>
      </c>
      <c r="G122">
        <f>IF(TableRefills3[[#This Row],[prev_refill_end]]="","",TableRefills3[[#This Row],[refill_date]]-TableRefills3[[#This Row],[prev_refill_end]])</f>
        <v>-1</v>
      </c>
      <c r="H122" s="10">
        <f>IF(TableRefills3[[#This Row],[gap_days]]="",0,IF(TableRefills3[[#This Row],[gap_days]]&gt;2,1,0))</f>
        <v>0</v>
      </c>
      <c r="I122">
        <f>_xlfn.MAXIFS(TableRefills3[discountinuation_flag], TableRefills3[patient_id], A122)</f>
        <v>0</v>
      </c>
    </row>
    <row r="123" spans="1:9" x14ac:dyDescent="0.25">
      <c r="A123" t="s">
        <v>192</v>
      </c>
      <c r="B123" t="s">
        <v>193</v>
      </c>
      <c r="C123" s="3">
        <v>45950</v>
      </c>
      <c r="D123">
        <v>56</v>
      </c>
      <c r="E123" s="3">
        <f t="shared" si="1"/>
        <v>45893</v>
      </c>
      <c r="F123" s="3">
        <f>IF(TableRefills3[[#This Row],[prev_refill_days]]="","",TableRefills3[[#This Row],[prev_refill_days]]+TableRefills3[[#This Row],[quantity_days]])</f>
        <v>45949</v>
      </c>
      <c r="G123">
        <f>IF(TableRefills3[[#This Row],[prev_refill_end]]="","",TableRefills3[[#This Row],[refill_date]]-TableRefills3[[#This Row],[prev_refill_end]])</f>
        <v>1</v>
      </c>
      <c r="H123" s="10">
        <f>IF(TableRefills3[[#This Row],[gap_days]]="",0,IF(TableRefills3[[#This Row],[gap_days]]&gt;2,1,0))</f>
        <v>0</v>
      </c>
      <c r="I123">
        <f>_xlfn.MAXIFS(TableRefills3[discountinuation_flag], TableRefills3[patient_id], A123)</f>
        <v>0</v>
      </c>
    </row>
    <row r="124" spans="1:9" x14ac:dyDescent="0.25">
      <c r="A124" t="s">
        <v>197</v>
      </c>
      <c r="B124" t="s">
        <v>198</v>
      </c>
      <c r="C124" s="3">
        <v>45798</v>
      </c>
      <c r="D124">
        <v>28</v>
      </c>
      <c r="E124" s="3" t="str">
        <f t="shared" si="1"/>
        <v/>
      </c>
      <c r="F124" s="3" t="str">
        <f>IF(TableRefills3[[#This Row],[prev_refill_days]]="","",TableRefills3[[#This Row],[prev_refill_days]]+TableRefills3[[#This Row],[quantity_days]])</f>
        <v/>
      </c>
      <c r="G124" t="str">
        <f>IF(TableRefills3[[#This Row],[prev_refill_end]]="","",TableRefills3[[#This Row],[refill_date]]-TableRefills3[[#This Row],[prev_refill_end]])</f>
        <v/>
      </c>
      <c r="H124" s="10">
        <f>IF(TableRefills3[[#This Row],[gap_days]]="",0,IF(TableRefills3[[#This Row],[gap_days]]&gt;2,1,0))</f>
        <v>0</v>
      </c>
      <c r="I124">
        <f>_xlfn.MAXIFS(TableRefills3[discountinuation_flag], TableRefills3[patient_id], A124)</f>
        <v>0</v>
      </c>
    </row>
    <row r="125" spans="1:9" x14ac:dyDescent="0.25">
      <c r="A125" t="s">
        <v>197</v>
      </c>
      <c r="B125" t="s">
        <v>198</v>
      </c>
      <c r="C125" s="3">
        <v>45826</v>
      </c>
      <c r="D125">
        <v>28</v>
      </c>
      <c r="E125" s="3">
        <f t="shared" si="1"/>
        <v>45798</v>
      </c>
      <c r="F125" s="3">
        <f>IF(TableRefills3[[#This Row],[prev_refill_days]]="","",TableRefills3[[#This Row],[prev_refill_days]]+TableRefills3[[#This Row],[quantity_days]])</f>
        <v>45826</v>
      </c>
      <c r="G125">
        <f>IF(TableRefills3[[#This Row],[prev_refill_end]]="","",TableRefills3[[#This Row],[refill_date]]-TableRefills3[[#This Row],[prev_refill_end]])</f>
        <v>0</v>
      </c>
      <c r="H125" s="10">
        <f>IF(TableRefills3[[#This Row],[gap_days]]="",0,IF(TableRefills3[[#This Row],[gap_days]]&gt;2,1,0))</f>
        <v>0</v>
      </c>
      <c r="I125">
        <f>_xlfn.MAXIFS(TableRefills3[discountinuation_flag], TableRefills3[patient_id], A125)</f>
        <v>0</v>
      </c>
    </row>
    <row r="126" spans="1:9" x14ac:dyDescent="0.25">
      <c r="A126" t="s">
        <v>201</v>
      </c>
      <c r="B126" t="s">
        <v>202</v>
      </c>
      <c r="C126" s="3">
        <v>45835</v>
      </c>
      <c r="D126">
        <v>30</v>
      </c>
      <c r="E126" s="3" t="str">
        <f t="shared" si="1"/>
        <v/>
      </c>
      <c r="F126" s="3" t="str">
        <f>IF(TableRefills3[[#This Row],[prev_refill_days]]="","",TableRefills3[[#This Row],[prev_refill_days]]+TableRefills3[[#This Row],[quantity_days]])</f>
        <v/>
      </c>
      <c r="G126" t="str">
        <f>IF(TableRefills3[[#This Row],[prev_refill_end]]="","",TableRefills3[[#This Row],[refill_date]]-TableRefills3[[#This Row],[prev_refill_end]])</f>
        <v/>
      </c>
      <c r="H126" s="10">
        <f>IF(TableRefills3[[#This Row],[gap_days]]="",0,IF(TableRefills3[[#This Row],[gap_days]]&gt;2,1,0))</f>
        <v>0</v>
      </c>
      <c r="I126">
        <f>_xlfn.MAXIFS(TableRefills3[discountinuation_flag], TableRefills3[patient_id], A126)</f>
        <v>1</v>
      </c>
    </row>
    <row r="127" spans="1:9" x14ac:dyDescent="0.25">
      <c r="A127" t="s">
        <v>201</v>
      </c>
      <c r="B127" t="s">
        <v>202</v>
      </c>
      <c r="C127" s="3">
        <v>45866</v>
      </c>
      <c r="D127">
        <v>30</v>
      </c>
      <c r="E127" s="3">
        <f t="shared" si="1"/>
        <v>45835</v>
      </c>
      <c r="F127" s="3">
        <f>IF(TableRefills3[[#This Row],[prev_refill_days]]="","",TableRefills3[[#This Row],[prev_refill_days]]+TableRefills3[[#This Row],[quantity_days]])</f>
        <v>45865</v>
      </c>
      <c r="G127">
        <f>IF(TableRefills3[[#This Row],[prev_refill_end]]="","",TableRefills3[[#This Row],[refill_date]]-TableRefills3[[#This Row],[prev_refill_end]])</f>
        <v>1</v>
      </c>
      <c r="H127" s="10">
        <f>IF(TableRefills3[[#This Row],[gap_days]]="",0,IF(TableRefills3[[#This Row],[gap_days]]&gt;2,1,0))</f>
        <v>0</v>
      </c>
      <c r="I127">
        <f>_xlfn.MAXIFS(TableRefills3[discountinuation_flag], TableRefills3[patient_id], A127)</f>
        <v>1</v>
      </c>
    </row>
    <row r="128" spans="1:9" x14ac:dyDescent="0.25">
      <c r="A128" t="s">
        <v>201</v>
      </c>
      <c r="B128" t="s">
        <v>202</v>
      </c>
      <c r="C128" s="3">
        <v>45899</v>
      </c>
      <c r="D128">
        <v>30</v>
      </c>
      <c r="E128" s="3">
        <f t="shared" si="1"/>
        <v>45866</v>
      </c>
      <c r="F128" s="3">
        <f>IF(TableRefills3[[#This Row],[prev_refill_days]]="","",TableRefills3[[#This Row],[prev_refill_days]]+TableRefills3[[#This Row],[quantity_days]])</f>
        <v>45896</v>
      </c>
      <c r="G128">
        <f>IF(TableRefills3[[#This Row],[prev_refill_end]]="","",TableRefills3[[#This Row],[refill_date]]-TableRefills3[[#This Row],[prev_refill_end]])</f>
        <v>3</v>
      </c>
      <c r="H128" s="10">
        <f>IF(TableRefills3[[#This Row],[gap_days]]="",0,IF(TableRefills3[[#This Row],[gap_days]]&gt;2,1,0))</f>
        <v>1</v>
      </c>
      <c r="I128">
        <f>_xlfn.MAXIFS(TableRefills3[discountinuation_flag], TableRefills3[patient_id], A128)</f>
        <v>1</v>
      </c>
    </row>
    <row r="129" spans="1:9" x14ac:dyDescent="0.25">
      <c r="A129" t="s">
        <v>201</v>
      </c>
      <c r="B129" t="s">
        <v>202</v>
      </c>
      <c r="C129" s="3">
        <v>45927</v>
      </c>
      <c r="D129">
        <v>30</v>
      </c>
      <c r="E129" s="3">
        <f t="shared" si="1"/>
        <v>45899</v>
      </c>
      <c r="F129" s="3">
        <f>IF(TableRefills3[[#This Row],[prev_refill_days]]="","",TableRefills3[[#This Row],[prev_refill_days]]+TableRefills3[[#This Row],[quantity_days]])</f>
        <v>45929</v>
      </c>
      <c r="G129">
        <f>IF(TableRefills3[[#This Row],[prev_refill_end]]="","",TableRefills3[[#This Row],[refill_date]]-TableRefills3[[#This Row],[prev_refill_end]])</f>
        <v>-2</v>
      </c>
      <c r="H129" s="10">
        <f>IF(TableRefills3[[#This Row],[gap_days]]="",0,IF(TableRefills3[[#This Row],[gap_days]]&gt;2,1,0))</f>
        <v>0</v>
      </c>
      <c r="I129">
        <f>_xlfn.MAXIFS(TableRefills3[discountinuation_flag], TableRefills3[patient_id], A129)</f>
        <v>1</v>
      </c>
    </row>
    <row r="130" spans="1:9" x14ac:dyDescent="0.25">
      <c r="A130" t="s">
        <v>201</v>
      </c>
      <c r="B130" t="s">
        <v>202</v>
      </c>
      <c r="C130" s="3">
        <v>45957</v>
      </c>
      <c r="D130">
        <v>30</v>
      </c>
      <c r="E130" s="3">
        <f t="shared" ref="E130:E193" si="2">IF(A129=A130,C129,"")</f>
        <v>45927</v>
      </c>
      <c r="F130" s="3">
        <f>IF(TableRefills3[[#This Row],[prev_refill_days]]="","",TableRefills3[[#This Row],[prev_refill_days]]+TableRefills3[[#This Row],[quantity_days]])</f>
        <v>45957</v>
      </c>
      <c r="G130">
        <f>IF(TableRefills3[[#This Row],[prev_refill_end]]="","",TableRefills3[[#This Row],[refill_date]]-TableRefills3[[#This Row],[prev_refill_end]])</f>
        <v>0</v>
      </c>
      <c r="H130" s="10">
        <f>IF(TableRefills3[[#This Row],[gap_days]]="",0,IF(TableRefills3[[#This Row],[gap_days]]&gt;2,1,0))</f>
        <v>0</v>
      </c>
      <c r="I130">
        <f>_xlfn.MAXIFS(TableRefills3[discountinuation_flag], TableRefills3[patient_id], A130)</f>
        <v>1</v>
      </c>
    </row>
    <row r="131" spans="1:9" x14ac:dyDescent="0.25">
      <c r="A131" t="s">
        <v>208</v>
      </c>
      <c r="B131" t="s">
        <v>209</v>
      </c>
      <c r="C131" s="3">
        <v>45859</v>
      </c>
      <c r="D131">
        <v>30</v>
      </c>
      <c r="E131" s="3" t="str">
        <f t="shared" si="2"/>
        <v/>
      </c>
      <c r="F131" s="3" t="str">
        <f>IF(TableRefills3[[#This Row],[prev_refill_days]]="","",TableRefills3[[#This Row],[prev_refill_days]]+TableRefills3[[#This Row],[quantity_days]])</f>
        <v/>
      </c>
      <c r="G131" t="str">
        <f>IF(TableRefills3[[#This Row],[prev_refill_end]]="","",TableRefills3[[#This Row],[refill_date]]-TableRefills3[[#This Row],[prev_refill_end]])</f>
        <v/>
      </c>
      <c r="H131" s="10">
        <f>IF(TableRefills3[[#This Row],[gap_days]]="",0,IF(TableRefills3[[#This Row],[gap_days]]&gt;2,1,0))</f>
        <v>0</v>
      </c>
      <c r="I131">
        <f>_xlfn.MAXIFS(TableRefills3[discountinuation_flag], TableRefills3[patient_id], A131)</f>
        <v>1</v>
      </c>
    </row>
    <row r="132" spans="1:9" x14ac:dyDescent="0.25">
      <c r="A132" t="s">
        <v>208</v>
      </c>
      <c r="B132" t="s">
        <v>209</v>
      </c>
      <c r="C132" s="3">
        <v>45888</v>
      </c>
      <c r="D132">
        <v>30</v>
      </c>
      <c r="E132" s="3">
        <f t="shared" si="2"/>
        <v>45859</v>
      </c>
      <c r="F132" s="3">
        <f>IF(TableRefills3[[#This Row],[prev_refill_days]]="","",TableRefills3[[#This Row],[prev_refill_days]]+TableRefills3[[#This Row],[quantity_days]])</f>
        <v>45889</v>
      </c>
      <c r="G132">
        <f>IF(TableRefills3[[#This Row],[prev_refill_end]]="","",TableRefills3[[#This Row],[refill_date]]-TableRefills3[[#This Row],[prev_refill_end]])</f>
        <v>-1</v>
      </c>
      <c r="H132" s="10">
        <f>IF(TableRefills3[[#This Row],[gap_days]]="",0,IF(TableRefills3[[#This Row],[gap_days]]&gt;2,1,0))</f>
        <v>0</v>
      </c>
      <c r="I132">
        <f>_xlfn.MAXIFS(TableRefills3[discountinuation_flag], TableRefills3[patient_id], A132)</f>
        <v>1</v>
      </c>
    </row>
    <row r="133" spans="1:9" x14ac:dyDescent="0.25">
      <c r="A133" t="s">
        <v>208</v>
      </c>
      <c r="B133" t="s">
        <v>209</v>
      </c>
      <c r="C133" s="3">
        <v>45921</v>
      </c>
      <c r="D133">
        <v>30</v>
      </c>
      <c r="E133" s="3">
        <f t="shared" si="2"/>
        <v>45888</v>
      </c>
      <c r="F133" s="3">
        <f>IF(TableRefills3[[#This Row],[prev_refill_days]]="","",TableRefills3[[#This Row],[prev_refill_days]]+TableRefills3[[#This Row],[quantity_days]])</f>
        <v>45918</v>
      </c>
      <c r="G133">
        <f>IF(TableRefills3[[#This Row],[prev_refill_end]]="","",TableRefills3[[#This Row],[refill_date]]-TableRefills3[[#This Row],[prev_refill_end]])</f>
        <v>3</v>
      </c>
      <c r="H133" s="10">
        <f>IF(TableRefills3[[#This Row],[gap_days]]="",0,IF(TableRefills3[[#This Row],[gap_days]]&gt;2,1,0))</f>
        <v>1</v>
      </c>
      <c r="I133">
        <f>_xlfn.MAXIFS(TableRefills3[discountinuation_flag], TableRefills3[patient_id], A133)</f>
        <v>1</v>
      </c>
    </row>
    <row r="134" spans="1:9" x14ac:dyDescent="0.25">
      <c r="A134" t="s">
        <v>208</v>
      </c>
      <c r="B134" t="s">
        <v>209</v>
      </c>
      <c r="C134" s="3">
        <v>45948</v>
      </c>
      <c r="D134">
        <v>30</v>
      </c>
      <c r="E134" s="3">
        <f t="shared" si="2"/>
        <v>45921</v>
      </c>
      <c r="F134" s="3">
        <f>IF(TableRefills3[[#This Row],[prev_refill_days]]="","",TableRefills3[[#This Row],[prev_refill_days]]+TableRefills3[[#This Row],[quantity_days]])</f>
        <v>45951</v>
      </c>
      <c r="G134">
        <f>IF(TableRefills3[[#This Row],[prev_refill_end]]="","",TableRefills3[[#This Row],[refill_date]]-TableRefills3[[#This Row],[prev_refill_end]])</f>
        <v>-3</v>
      </c>
      <c r="H134" s="10">
        <f>IF(TableRefills3[[#This Row],[gap_days]]="",0,IF(TableRefills3[[#This Row],[gap_days]]&gt;2,1,0))</f>
        <v>0</v>
      </c>
      <c r="I134">
        <f>_xlfn.MAXIFS(TableRefills3[discountinuation_flag], TableRefills3[patient_id], A134)</f>
        <v>1</v>
      </c>
    </row>
    <row r="135" spans="1:9" x14ac:dyDescent="0.25">
      <c r="A135" t="s">
        <v>214</v>
      </c>
      <c r="B135" t="s">
        <v>215</v>
      </c>
      <c r="C135" s="3">
        <v>45960</v>
      </c>
      <c r="D135">
        <v>28</v>
      </c>
      <c r="E135" s="3" t="str">
        <f t="shared" si="2"/>
        <v/>
      </c>
      <c r="F135" s="3" t="str">
        <f>IF(TableRefills3[[#This Row],[prev_refill_days]]="","",TableRefills3[[#This Row],[prev_refill_days]]+TableRefills3[[#This Row],[quantity_days]])</f>
        <v/>
      </c>
      <c r="G135" t="str">
        <f>IF(TableRefills3[[#This Row],[prev_refill_end]]="","",TableRefills3[[#This Row],[refill_date]]-TableRefills3[[#This Row],[prev_refill_end]])</f>
        <v/>
      </c>
      <c r="H135" s="10">
        <f>IF(TableRefills3[[#This Row],[gap_days]]="",0,IF(TableRefills3[[#This Row],[gap_days]]&gt;2,1,0))</f>
        <v>0</v>
      </c>
      <c r="I135">
        <f>_xlfn.MAXIFS(TableRefills3[discountinuation_flag], TableRefills3[patient_id], A135)</f>
        <v>0</v>
      </c>
    </row>
    <row r="136" spans="1:9" x14ac:dyDescent="0.25">
      <c r="A136" t="s">
        <v>217</v>
      </c>
      <c r="B136" t="s">
        <v>218</v>
      </c>
      <c r="C136" s="3">
        <v>45863</v>
      </c>
      <c r="D136">
        <v>28</v>
      </c>
      <c r="E136" s="3" t="str">
        <f t="shared" si="2"/>
        <v/>
      </c>
      <c r="F136" s="3" t="str">
        <f>IF(TableRefills3[[#This Row],[prev_refill_days]]="","",TableRefills3[[#This Row],[prev_refill_days]]+TableRefills3[[#This Row],[quantity_days]])</f>
        <v/>
      </c>
      <c r="G136" t="str">
        <f>IF(TableRefills3[[#This Row],[prev_refill_end]]="","",TableRefills3[[#This Row],[refill_date]]-TableRefills3[[#This Row],[prev_refill_end]])</f>
        <v/>
      </c>
      <c r="H136" s="10">
        <f>IF(TableRefills3[[#This Row],[gap_days]]="",0,IF(TableRefills3[[#This Row],[gap_days]]&gt;2,1,0))</f>
        <v>0</v>
      </c>
      <c r="I136">
        <f>_xlfn.MAXIFS(TableRefills3[discountinuation_flag], TableRefills3[patient_id], A136)</f>
        <v>0</v>
      </c>
    </row>
    <row r="137" spans="1:9" x14ac:dyDescent="0.25">
      <c r="A137" t="s">
        <v>217</v>
      </c>
      <c r="B137" t="s">
        <v>218</v>
      </c>
      <c r="C137" s="3">
        <v>45891</v>
      </c>
      <c r="D137">
        <v>28</v>
      </c>
      <c r="E137" s="3">
        <f t="shared" si="2"/>
        <v>45863</v>
      </c>
      <c r="F137" s="3">
        <f>IF(TableRefills3[[#This Row],[prev_refill_days]]="","",TableRefills3[[#This Row],[prev_refill_days]]+TableRefills3[[#This Row],[quantity_days]])</f>
        <v>45891</v>
      </c>
      <c r="G137">
        <f>IF(TableRefills3[[#This Row],[prev_refill_end]]="","",TableRefills3[[#This Row],[refill_date]]-TableRefills3[[#This Row],[prev_refill_end]])</f>
        <v>0</v>
      </c>
      <c r="H137" s="10">
        <f>IF(TableRefills3[[#This Row],[gap_days]]="",0,IF(TableRefills3[[#This Row],[gap_days]]&gt;2,1,0))</f>
        <v>0</v>
      </c>
      <c r="I137">
        <f>_xlfn.MAXIFS(TableRefills3[discountinuation_flag], TableRefills3[patient_id], A137)</f>
        <v>0</v>
      </c>
    </row>
    <row r="138" spans="1:9" x14ac:dyDescent="0.25">
      <c r="A138" t="s">
        <v>217</v>
      </c>
      <c r="B138" t="s">
        <v>218</v>
      </c>
      <c r="C138" s="3">
        <v>45921</v>
      </c>
      <c r="D138">
        <v>28</v>
      </c>
      <c r="E138" s="3">
        <f t="shared" si="2"/>
        <v>45891</v>
      </c>
      <c r="F138" s="3">
        <f>IF(TableRefills3[[#This Row],[prev_refill_days]]="","",TableRefills3[[#This Row],[prev_refill_days]]+TableRefills3[[#This Row],[quantity_days]])</f>
        <v>45919</v>
      </c>
      <c r="G138">
        <f>IF(TableRefills3[[#This Row],[prev_refill_end]]="","",TableRefills3[[#This Row],[refill_date]]-TableRefills3[[#This Row],[prev_refill_end]])</f>
        <v>2</v>
      </c>
      <c r="H138" s="10">
        <f>IF(TableRefills3[[#This Row],[gap_days]]="",0,IF(TableRefills3[[#This Row],[gap_days]]&gt;2,1,0))</f>
        <v>0</v>
      </c>
      <c r="I138">
        <f>_xlfn.MAXIFS(TableRefills3[discountinuation_flag], TableRefills3[patient_id], A138)</f>
        <v>0</v>
      </c>
    </row>
    <row r="139" spans="1:9" x14ac:dyDescent="0.25">
      <c r="A139" t="s">
        <v>217</v>
      </c>
      <c r="B139" t="s">
        <v>218</v>
      </c>
      <c r="C139" s="3">
        <v>45948</v>
      </c>
      <c r="D139">
        <v>28</v>
      </c>
      <c r="E139" s="3">
        <f t="shared" si="2"/>
        <v>45921</v>
      </c>
      <c r="F139" s="3">
        <f>IF(TableRefills3[[#This Row],[prev_refill_days]]="","",TableRefills3[[#This Row],[prev_refill_days]]+TableRefills3[[#This Row],[quantity_days]])</f>
        <v>45949</v>
      </c>
      <c r="G139">
        <f>IF(TableRefills3[[#This Row],[prev_refill_end]]="","",TableRefills3[[#This Row],[refill_date]]-TableRefills3[[#This Row],[prev_refill_end]])</f>
        <v>-1</v>
      </c>
      <c r="H139" s="10">
        <f>IF(TableRefills3[[#This Row],[gap_days]]="",0,IF(TableRefills3[[#This Row],[gap_days]]&gt;2,1,0))</f>
        <v>0</v>
      </c>
      <c r="I139">
        <f>_xlfn.MAXIFS(TableRefills3[discountinuation_flag], TableRefills3[patient_id], A139)</f>
        <v>0</v>
      </c>
    </row>
    <row r="140" spans="1:9" x14ac:dyDescent="0.25">
      <c r="A140" t="s">
        <v>223</v>
      </c>
      <c r="B140" t="s">
        <v>224</v>
      </c>
      <c r="C140" s="3">
        <v>45815</v>
      </c>
      <c r="D140">
        <v>30</v>
      </c>
      <c r="E140" s="3" t="str">
        <f t="shared" si="2"/>
        <v/>
      </c>
      <c r="F140" s="3" t="str">
        <f>IF(TableRefills3[[#This Row],[prev_refill_days]]="","",TableRefills3[[#This Row],[prev_refill_days]]+TableRefills3[[#This Row],[quantity_days]])</f>
        <v/>
      </c>
      <c r="G140" t="str">
        <f>IF(TableRefills3[[#This Row],[prev_refill_end]]="","",TableRefills3[[#This Row],[refill_date]]-TableRefills3[[#This Row],[prev_refill_end]])</f>
        <v/>
      </c>
      <c r="H140" s="10">
        <f>IF(TableRefills3[[#This Row],[gap_days]]="",0,IF(TableRefills3[[#This Row],[gap_days]]&gt;2,1,0))</f>
        <v>0</v>
      </c>
      <c r="I140">
        <f>_xlfn.MAXIFS(TableRefills3[discountinuation_flag], TableRefills3[patient_id], A140)</f>
        <v>0</v>
      </c>
    </row>
    <row r="141" spans="1:9" x14ac:dyDescent="0.25">
      <c r="A141" t="s">
        <v>223</v>
      </c>
      <c r="B141" t="s">
        <v>224</v>
      </c>
      <c r="C141" s="3">
        <v>45843</v>
      </c>
      <c r="D141">
        <v>30</v>
      </c>
      <c r="E141" s="3">
        <f t="shared" si="2"/>
        <v>45815</v>
      </c>
      <c r="F141" s="3">
        <f>IF(TableRefills3[[#This Row],[prev_refill_days]]="","",TableRefills3[[#This Row],[prev_refill_days]]+TableRefills3[[#This Row],[quantity_days]])</f>
        <v>45845</v>
      </c>
      <c r="G141">
        <f>IF(TableRefills3[[#This Row],[prev_refill_end]]="","",TableRefills3[[#This Row],[refill_date]]-TableRefills3[[#This Row],[prev_refill_end]])</f>
        <v>-2</v>
      </c>
      <c r="H141" s="10">
        <f>IF(TableRefills3[[#This Row],[gap_days]]="",0,IF(TableRefills3[[#This Row],[gap_days]]&gt;2,1,0))</f>
        <v>0</v>
      </c>
      <c r="I141">
        <f>_xlfn.MAXIFS(TableRefills3[discountinuation_flag], TableRefills3[patient_id], A141)</f>
        <v>0</v>
      </c>
    </row>
    <row r="142" spans="1:9" x14ac:dyDescent="0.25">
      <c r="A142" t="s">
        <v>223</v>
      </c>
      <c r="B142" t="s">
        <v>224</v>
      </c>
      <c r="C142" s="3">
        <v>45873</v>
      </c>
      <c r="D142">
        <v>30</v>
      </c>
      <c r="E142" s="3">
        <f t="shared" si="2"/>
        <v>45843</v>
      </c>
      <c r="F142" s="3">
        <f>IF(TableRefills3[[#This Row],[prev_refill_days]]="","",TableRefills3[[#This Row],[prev_refill_days]]+TableRefills3[[#This Row],[quantity_days]])</f>
        <v>45873</v>
      </c>
      <c r="G142">
        <f>IF(TableRefills3[[#This Row],[prev_refill_end]]="","",TableRefills3[[#This Row],[refill_date]]-TableRefills3[[#This Row],[prev_refill_end]])</f>
        <v>0</v>
      </c>
      <c r="H142" s="10">
        <f>IF(TableRefills3[[#This Row],[gap_days]]="",0,IF(TableRefills3[[#This Row],[gap_days]]&gt;2,1,0))</f>
        <v>0</v>
      </c>
      <c r="I142">
        <f>_xlfn.MAXIFS(TableRefills3[discountinuation_flag], TableRefills3[patient_id], A142)</f>
        <v>0</v>
      </c>
    </row>
    <row r="143" spans="1:9" x14ac:dyDescent="0.25">
      <c r="A143" t="s">
        <v>223</v>
      </c>
      <c r="B143" t="s">
        <v>224</v>
      </c>
      <c r="C143" s="3">
        <v>45901</v>
      </c>
      <c r="D143">
        <v>30</v>
      </c>
      <c r="E143" s="3">
        <f t="shared" si="2"/>
        <v>45873</v>
      </c>
      <c r="F143" s="3">
        <f>IF(TableRefills3[[#This Row],[prev_refill_days]]="","",TableRefills3[[#This Row],[prev_refill_days]]+TableRefills3[[#This Row],[quantity_days]])</f>
        <v>45903</v>
      </c>
      <c r="G143">
        <f>IF(TableRefills3[[#This Row],[prev_refill_end]]="","",TableRefills3[[#This Row],[refill_date]]-TableRefills3[[#This Row],[prev_refill_end]])</f>
        <v>-2</v>
      </c>
      <c r="H143" s="10">
        <f>IF(TableRefills3[[#This Row],[gap_days]]="",0,IF(TableRefills3[[#This Row],[gap_days]]&gt;2,1,0))</f>
        <v>0</v>
      </c>
      <c r="I143">
        <f>_xlfn.MAXIFS(TableRefills3[discountinuation_flag], TableRefills3[patient_id], A143)</f>
        <v>0</v>
      </c>
    </row>
    <row r="144" spans="1:9" x14ac:dyDescent="0.25">
      <c r="A144" t="s">
        <v>223</v>
      </c>
      <c r="B144" t="s">
        <v>224</v>
      </c>
      <c r="C144" s="3">
        <v>45930</v>
      </c>
      <c r="D144">
        <v>30</v>
      </c>
      <c r="E144" s="3">
        <f t="shared" si="2"/>
        <v>45901</v>
      </c>
      <c r="F144" s="3">
        <f>IF(TableRefills3[[#This Row],[prev_refill_days]]="","",TableRefills3[[#This Row],[prev_refill_days]]+TableRefills3[[#This Row],[quantity_days]])</f>
        <v>45931</v>
      </c>
      <c r="G144">
        <f>IF(TableRefills3[[#This Row],[prev_refill_end]]="","",TableRefills3[[#This Row],[refill_date]]-TableRefills3[[#This Row],[prev_refill_end]])</f>
        <v>-1</v>
      </c>
      <c r="H144" s="10">
        <f>IF(TableRefills3[[#This Row],[gap_days]]="",0,IF(TableRefills3[[#This Row],[gap_days]]&gt;2,1,0))</f>
        <v>0</v>
      </c>
      <c r="I144">
        <f>_xlfn.MAXIFS(TableRefills3[discountinuation_flag], TableRefills3[patient_id], A144)</f>
        <v>0</v>
      </c>
    </row>
    <row r="145" spans="1:9" x14ac:dyDescent="0.25">
      <c r="A145" t="s">
        <v>223</v>
      </c>
      <c r="B145" t="s">
        <v>224</v>
      </c>
      <c r="C145" s="3">
        <v>45957</v>
      </c>
      <c r="D145">
        <v>30</v>
      </c>
      <c r="E145" s="3">
        <f t="shared" si="2"/>
        <v>45930</v>
      </c>
      <c r="F145" s="3">
        <f>IF(TableRefills3[[#This Row],[prev_refill_days]]="","",TableRefills3[[#This Row],[prev_refill_days]]+TableRefills3[[#This Row],[quantity_days]])</f>
        <v>45960</v>
      </c>
      <c r="G145">
        <f>IF(TableRefills3[[#This Row],[prev_refill_end]]="","",TableRefills3[[#This Row],[refill_date]]-TableRefills3[[#This Row],[prev_refill_end]])</f>
        <v>-3</v>
      </c>
      <c r="H145" s="10">
        <f>IF(TableRefills3[[#This Row],[gap_days]]="",0,IF(TableRefills3[[#This Row],[gap_days]]&gt;2,1,0))</f>
        <v>0</v>
      </c>
      <c r="I145">
        <f>_xlfn.MAXIFS(TableRefills3[discountinuation_flag], TableRefills3[patient_id], A145)</f>
        <v>0</v>
      </c>
    </row>
    <row r="146" spans="1:9" x14ac:dyDescent="0.25">
      <c r="A146" t="s">
        <v>231</v>
      </c>
      <c r="B146" t="s">
        <v>232</v>
      </c>
      <c r="C146" s="3">
        <v>45787</v>
      </c>
      <c r="D146">
        <v>28</v>
      </c>
      <c r="E146" s="3" t="str">
        <f t="shared" si="2"/>
        <v/>
      </c>
      <c r="F146" s="3" t="str">
        <f>IF(TableRefills3[[#This Row],[prev_refill_days]]="","",TableRefills3[[#This Row],[prev_refill_days]]+TableRefills3[[#This Row],[quantity_days]])</f>
        <v/>
      </c>
      <c r="G146" t="str">
        <f>IF(TableRefills3[[#This Row],[prev_refill_end]]="","",TableRefills3[[#This Row],[refill_date]]-TableRefills3[[#This Row],[prev_refill_end]])</f>
        <v/>
      </c>
      <c r="H146" s="10">
        <f>IF(TableRefills3[[#This Row],[gap_days]]="",0,IF(TableRefills3[[#This Row],[gap_days]]&gt;2,1,0))</f>
        <v>0</v>
      </c>
      <c r="I146">
        <f>_xlfn.MAXIFS(TableRefills3[discountinuation_flag], TableRefills3[patient_id], A146)</f>
        <v>0</v>
      </c>
    </row>
    <row r="147" spans="1:9" x14ac:dyDescent="0.25">
      <c r="A147" t="s">
        <v>231</v>
      </c>
      <c r="B147" t="s">
        <v>232</v>
      </c>
      <c r="C147" s="3">
        <v>45815</v>
      </c>
      <c r="D147">
        <v>28</v>
      </c>
      <c r="E147" s="3">
        <f t="shared" si="2"/>
        <v>45787</v>
      </c>
      <c r="F147" s="3">
        <f>IF(TableRefills3[[#This Row],[prev_refill_days]]="","",TableRefills3[[#This Row],[prev_refill_days]]+TableRefills3[[#This Row],[quantity_days]])</f>
        <v>45815</v>
      </c>
      <c r="G147">
        <f>IF(TableRefills3[[#This Row],[prev_refill_end]]="","",TableRefills3[[#This Row],[refill_date]]-TableRefills3[[#This Row],[prev_refill_end]])</f>
        <v>0</v>
      </c>
      <c r="H147" s="10">
        <f>IF(TableRefills3[[#This Row],[gap_days]]="",0,IF(TableRefills3[[#This Row],[gap_days]]&gt;2,1,0))</f>
        <v>0</v>
      </c>
      <c r="I147">
        <f>_xlfn.MAXIFS(TableRefills3[discountinuation_flag], TableRefills3[patient_id], A147)</f>
        <v>0</v>
      </c>
    </row>
    <row r="148" spans="1:9" x14ac:dyDescent="0.25">
      <c r="A148" t="s">
        <v>235</v>
      </c>
      <c r="B148" t="s">
        <v>236</v>
      </c>
      <c r="C148" s="3">
        <v>45898</v>
      </c>
      <c r="D148">
        <v>30</v>
      </c>
      <c r="E148" s="3" t="str">
        <f t="shared" si="2"/>
        <v/>
      </c>
      <c r="F148" s="3" t="str">
        <f>IF(TableRefills3[[#This Row],[prev_refill_days]]="","",TableRefills3[[#This Row],[prev_refill_days]]+TableRefills3[[#This Row],[quantity_days]])</f>
        <v/>
      </c>
      <c r="G148" t="str">
        <f>IF(TableRefills3[[#This Row],[prev_refill_end]]="","",TableRefills3[[#This Row],[refill_date]]-TableRefills3[[#This Row],[prev_refill_end]])</f>
        <v/>
      </c>
      <c r="H148" s="10">
        <f>IF(TableRefills3[[#This Row],[gap_days]]="",0,IF(TableRefills3[[#This Row],[gap_days]]&gt;2,1,0))</f>
        <v>0</v>
      </c>
      <c r="I148">
        <f>_xlfn.MAXIFS(TableRefills3[discountinuation_flag], TableRefills3[patient_id], A148)</f>
        <v>0</v>
      </c>
    </row>
    <row r="149" spans="1:9" x14ac:dyDescent="0.25">
      <c r="A149" t="s">
        <v>235</v>
      </c>
      <c r="B149" t="s">
        <v>236</v>
      </c>
      <c r="C149" s="3">
        <v>45930</v>
      </c>
      <c r="D149">
        <v>30</v>
      </c>
      <c r="E149" s="3">
        <f t="shared" si="2"/>
        <v>45898</v>
      </c>
      <c r="F149" s="3">
        <f>IF(TableRefills3[[#This Row],[prev_refill_days]]="","",TableRefills3[[#This Row],[prev_refill_days]]+TableRefills3[[#This Row],[quantity_days]])</f>
        <v>45928</v>
      </c>
      <c r="G149">
        <f>IF(TableRefills3[[#This Row],[prev_refill_end]]="","",TableRefills3[[#This Row],[refill_date]]-TableRefills3[[#This Row],[prev_refill_end]])</f>
        <v>2</v>
      </c>
      <c r="H149" s="10">
        <f>IF(TableRefills3[[#This Row],[gap_days]]="",0,IF(TableRefills3[[#This Row],[gap_days]]&gt;2,1,0))</f>
        <v>0</v>
      </c>
      <c r="I149">
        <f>_xlfn.MAXIFS(TableRefills3[discountinuation_flag], TableRefills3[patient_id], A149)</f>
        <v>0</v>
      </c>
    </row>
    <row r="150" spans="1:9" x14ac:dyDescent="0.25">
      <c r="A150" t="s">
        <v>235</v>
      </c>
      <c r="B150" t="s">
        <v>236</v>
      </c>
      <c r="C150" s="3">
        <v>45961</v>
      </c>
      <c r="D150">
        <v>30</v>
      </c>
      <c r="E150" s="3">
        <f t="shared" si="2"/>
        <v>45930</v>
      </c>
      <c r="F150" s="3">
        <f>IF(TableRefills3[[#This Row],[prev_refill_days]]="","",TableRefills3[[#This Row],[prev_refill_days]]+TableRefills3[[#This Row],[quantity_days]])</f>
        <v>45960</v>
      </c>
      <c r="G150">
        <f>IF(TableRefills3[[#This Row],[prev_refill_end]]="","",TableRefills3[[#This Row],[refill_date]]-TableRefills3[[#This Row],[prev_refill_end]])</f>
        <v>1</v>
      </c>
      <c r="H150" s="10">
        <f>IF(TableRefills3[[#This Row],[gap_days]]="",0,IF(TableRefills3[[#This Row],[gap_days]]&gt;2,1,0))</f>
        <v>0</v>
      </c>
      <c r="I150">
        <f>_xlfn.MAXIFS(TableRefills3[discountinuation_flag], TableRefills3[patient_id], A150)</f>
        <v>0</v>
      </c>
    </row>
    <row r="151" spans="1:9" x14ac:dyDescent="0.25">
      <c r="A151" t="s">
        <v>240</v>
      </c>
      <c r="B151" t="s">
        <v>241</v>
      </c>
      <c r="C151" s="3">
        <v>45813</v>
      </c>
      <c r="D151">
        <v>28</v>
      </c>
      <c r="E151" s="3" t="str">
        <f t="shared" si="2"/>
        <v/>
      </c>
      <c r="F151" s="3" t="str">
        <f>IF(TableRefills3[[#This Row],[prev_refill_days]]="","",TableRefills3[[#This Row],[prev_refill_days]]+TableRefills3[[#This Row],[quantity_days]])</f>
        <v/>
      </c>
      <c r="G151" t="str">
        <f>IF(TableRefills3[[#This Row],[prev_refill_end]]="","",TableRefills3[[#This Row],[refill_date]]-TableRefills3[[#This Row],[prev_refill_end]])</f>
        <v/>
      </c>
      <c r="H151" s="10">
        <f>IF(TableRefills3[[#This Row],[gap_days]]="",0,IF(TableRefills3[[#This Row],[gap_days]]&gt;2,1,0))</f>
        <v>0</v>
      </c>
      <c r="I151">
        <f>_xlfn.MAXIFS(TableRefills3[discountinuation_flag], TableRefills3[patient_id], A151)</f>
        <v>0</v>
      </c>
    </row>
    <row r="152" spans="1:9" x14ac:dyDescent="0.25">
      <c r="A152" t="s">
        <v>240</v>
      </c>
      <c r="B152" t="s">
        <v>241</v>
      </c>
      <c r="C152" s="3">
        <v>45843</v>
      </c>
      <c r="D152">
        <v>28</v>
      </c>
      <c r="E152" s="3">
        <f t="shared" si="2"/>
        <v>45813</v>
      </c>
      <c r="F152" s="3">
        <f>IF(TableRefills3[[#This Row],[prev_refill_days]]="","",TableRefills3[[#This Row],[prev_refill_days]]+TableRefills3[[#This Row],[quantity_days]])</f>
        <v>45841</v>
      </c>
      <c r="G152">
        <f>IF(TableRefills3[[#This Row],[prev_refill_end]]="","",TableRefills3[[#This Row],[refill_date]]-TableRefills3[[#This Row],[prev_refill_end]])</f>
        <v>2</v>
      </c>
      <c r="H152" s="10">
        <f>IF(TableRefills3[[#This Row],[gap_days]]="",0,IF(TableRefills3[[#This Row],[gap_days]]&gt;2,1,0))</f>
        <v>0</v>
      </c>
      <c r="I152">
        <f>_xlfn.MAXIFS(TableRefills3[discountinuation_flag], TableRefills3[patient_id], A152)</f>
        <v>0</v>
      </c>
    </row>
    <row r="153" spans="1:9" x14ac:dyDescent="0.25">
      <c r="A153" t="s">
        <v>240</v>
      </c>
      <c r="B153" t="s">
        <v>241</v>
      </c>
      <c r="C153" s="3">
        <v>45871</v>
      </c>
      <c r="D153">
        <v>28</v>
      </c>
      <c r="E153" s="3">
        <f t="shared" si="2"/>
        <v>45843</v>
      </c>
      <c r="F153" s="3">
        <f>IF(TableRefills3[[#This Row],[prev_refill_days]]="","",TableRefills3[[#This Row],[prev_refill_days]]+TableRefills3[[#This Row],[quantity_days]])</f>
        <v>45871</v>
      </c>
      <c r="G153">
        <f>IF(TableRefills3[[#This Row],[prev_refill_end]]="","",TableRefills3[[#This Row],[refill_date]]-TableRefills3[[#This Row],[prev_refill_end]])</f>
        <v>0</v>
      </c>
      <c r="H153" s="10">
        <f>IF(TableRefills3[[#This Row],[gap_days]]="",0,IF(TableRefills3[[#This Row],[gap_days]]&gt;2,1,0))</f>
        <v>0</v>
      </c>
      <c r="I153">
        <f>_xlfn.MAXIFS(TableRefills3[discountinuation_flag], TableRefills3[patient_id], A153)</f>
        <v>0</v>
      </c>
    </row>
    <row r="154" spans="1:9" x14ac:dyDescent="0.25">
      <c r="A154" t="s">
        <v>240</v>
      </c>
      <c r="B154" t="s">
        <v>241</v>
      </c>
      <c r="C154" s="3">
        <v>45900</v>
      </c>
      <c r="D154">
        <v>28</v>
      </c>
      <c r="E154" s="3">
        <f t="shared" si="2"/>
        <v>45871</v>
      </c>
      <c r="F154" s="3">
        <f>IF(TableRefills3[[#This Row],[prev_refill_days]]="","",TableRefills3[[#This Row],[prev_refill_days]]+TableRefills3[[#This Row],[quantity_days]])</f>
        <v>45899</v>
      </c>
      <c r="G154">
        <f>IF(TableRefills3[[#This Row],[prev_refill_end]]="","",TableRefills3[[#This Row],[refill_date]]-TableRefills3[[#This Row],[prev_refill_end]])</f>
        <v>1</v>
      </c>
      <c r="H154" s="10">
        <f>IF(TableRefills3[[#This Row],[gap_days]]="",0,IF(TableRefills3[[#This Row],[gap_days]]&gt;2,1,0))</f>
        <v>0</v>
      </c>
      <c r="I154">
        <f>_xlfn.MAXIFS(TableRefills3[discountinuation_flag], TableRefills3[patient_id], A154)</f>
        <v>0</v>
      </c>
    </row>
    <row r="155" spans="1:9" x14ac:dyDescent="0.25">
      <c r="A155" t="s">
        <v>240</v>
      </c>
      <c r="B155" t="s">
        <v>241</v>
      </c>
      <c r="C155" s="3">
        <v>45925</v>
      </c>
      <c r="D155">
        <v>28</v>
      </c>
      <c r="E155" s="3">
        <f t="shared" si="2"/>
        <v>45900</v>
      </c>
      <c r="F155" s="3">
        <f>IF(TableRefills3[[#This Row],[prev_refill_days]]="","",TableRefills3[[#This Row],[prev_refill_days]]+TableRefills3[[#This Row],[quantity_days]])</f>
        <v>45928</v>
      </c>
      <c r="G155">
        <f>IF(TableRefills3[[#This Row],[prev_refill_end]]="","",TableRefills3[[#This Row],[refill_date]]-TableRefills3[[#This Row],[prev_refill_end]])</f>
        <v>-3</v>
      </c>
      <c r="H155" s="10">
        <f>IF(TableRefills3[[#This Row],[gap_days]]="",0,IF(TableRefills3[[#This Row],[gap_days]]&gt;2,1,0))</f>
        <v>0</v>
      </c>
      <c r="I155">
        <f>_xlfn.MAXIFS(TableRefills3[discountinuation_flag], TableRefills3[patient_id], A155)</f>
        <v>0</v>
      </c>
    </row>
    <row r="156" spans="1:9" x14ac:dyDescent="0.25">
      <c r="A156" t="s">
        <v>240</v>
      </c>
      <c r="B156" t="s">
        <v>241</v>
      </c>
      <c r="C156" s="3">
        <v>45955</v>
      </c>
      <c r="D156">
        <v>28</v>
      </c>
      <c r="E156" s="3">
        <f t="shared" si="2"/>
        <v>45925</v>
      </c>
      <c r="F156" s="3">
        <f>IF(TableRefills3[[#This Row],[prev_refill_days]]="","",TableRefills3[[#This Row],[prev_refill_days]]+TableRefills3[[#This Row],[quantity_days]])</f>
        <v>45953</v>
      </c>
      <c r="G156">
        <f>IF(TableRefills3[[#This Row],[prev_refill_end]]="","",TableRefills3[[#This Row],[refill_date]]-TableRefills3[[#This Row],[prev_refill_end]])</f>
        <v>2</v>
      </c>
      <c r="H156" s="10">
        <f>IF(TableRefills3[[#This Row],[gap_days]]="",0,IF(TableRefills3[[#This Row],[gap_days]]&gt;2,1,0))</f>
        <v>0</v>
      </c>
      <c r="I156">
        <f>_xlfn.MAXIFS(TableRefills3[discountinuation_flag], TableRefills3[patient_id], A156)</f>
        <v>0</v>
      </c>
    </row>
    <row r="157" spans="1:9" x14ac:dyDescent="0.25">
      <c r="A157" t="s">
        <v>248</v>
      </c>
      <c r="B157" t="s">
        <v>249</v>
      </c>
      <c r="C157" s="3">
        <v>45958</v>
      </c>
      <c r="D157">
        <v>28</v>
      </c>
      <c r="E157" s="3" t="str">
        <f t="shared" si="2"/>
        <v/>
      </c>
      <c r="F157" s="3" t="str">
        <f>IF(TableRefills3[[#This Row],[prev_refill_days]]="","",TableRefills3[[#This Row],[prev_refill_days]]+TableRefills3[[#This Row],[quantity_days]])</f>
        <v/>
      </c>
      <c r="G157" t="str">
        <f>IF(TableRefills3[[#This Row],[prev_refill_end]]="","",TableRefills3[[#This Row],[refill_date]]-TableRefills3[[#This Row],[prev_refill_end]])</f>
        <v/>
      </c>
      <c r="H157" s="10">
        <f>IF(TableRefills3[[#This Row],[gap_days]]="",0,IF(TableRefills3[[#This Row],[gap_days]]&gt;2,1,0))</f>
        <v>0</v>
      </c>
      <c r="I157">
        <f>_xlfn.MAXIFS(TableRefills3[discountinuation_flag], TableRefills3[patient_id], A157)</f>
        <v>0</v>
      </c>
    </row>
    <row r="158" spans="1:9" x14ac:dyDescent="0.25">
      <c r="A158" t="s">
        <v>251</v>
      </c>
      <c r="B158" t="s">
        <v>252</v>
      </c>
      <c r="C158" s="3">
        <v>45892</v>
      </c>
      <c r="D158">
        <v>28</v>
      </c>
      <c r="E158" s="3" t="str">
        <f t="shared" si="2"/>
        <v/>
      </c>
      <c r="F158" s="3" t="str">
        <f>IF(TableRefills3[[#This Row],[prev_refill_days]]="","",TableRefills3[[#This Row],[prev_refill_days]]+TableRefills3[[#This Row],[quantity_days]])</f>
        <v/>
      </c>
      <c r="G158" t="str">
        <f>IF(TableRefills3[[#This Row],[prev_refill_end]]="","",TableRefills3[[#This Row],[refill_date]]-TableRefills3[[#This Row],[prev_refill_end]])</f>
        <v/>
      </c>
      <c r="H158" s="10">
        <f>IF(TableRefills3[[#This Row],[gap_days]]="",0,IF(TableRefills3[[#This Row],[gap_days]]&gt;2,1,0))</f>
        <v>0</v>
      </c>
      <c r="I158">
        <f>_xlfn.MAXIFS(TableRefills3[discountinuation_flag], TableRefills3[patient_id], A158)</f>
        <v>1</v>
      </c>
    </row>
    <row r="159" spans="1:9" x14ac:dyDescent="0.25">
      <c r="A159" t="s">
        <v>251</v>
      </c>
      <c r="B159" t="s">
        <v>252</v>
      </c>
      <c r="C159" s="3">
        <v>45919</v>
      </c>
      <c r="D159">
        <v>28</v>
      </c>
      <c r="E159" s="3">
        <f t="shared" si="2"/>
        <v>45892</v>
      </c>
      <c r="F159" s="3">
        <f>IF(TableRefills3[[#This Row],[prev_refill_days]]="","",TableRefills3[[#This Row],[prev_refill_days]]+TableRefills3[[#This Row],[quantity_days]])</f>
        <v>45920</v>
      </c>
      <c r="G159">
        <f>IF(TableRefills3[[#This Row],[prev_refill_end]]="","",TableRefills3[[#This Row],[refill_date]]-TableRefills3[[#This Row],[prev_refill_end]])</f>
        <v>-1</v>
      </c>
      <c r="H159" s="10">
        <f>IF(TableRefills3[[#This Row],[gap_days]]="",0,IF(TableRefills3[[#This Row],[gap_days]]&gt;2,1,0))</f>
        <v>0</v>
      </c>
      <c r="I159">
        <f>_xlfn.MAXIFS(TableRefills3[discountinuation_flag], TableRefills3[patient_id], A159)</f>
        <v>1</v>
      </c>
    </row>
    <row r="160" spans="1:9" x14ac:dyDescent="0.25">
      <c r="A160" t="s">
        <v>251</v>
      </c>
      <c r="B160" t="s">
        <v>252</v>
      </c>
      <c r="C160" s="3">
        <v>45950</v>
      </c>
      <c r="D160">
        <v>28</v>
      </c>
      <c r="E160" s="3">
        <f t="shared" si="2"/>
        <v>45919</v>
      </c>
      <c r="F160" s="3">
        <f>IF(TableRefills3[[#This Row],[prev_refill_days]]="","",TableRefills3[[#This Row],[prev_refill_days]]+TableRefills3[[#This Row],[quantity_days]])</f>
        <v>45947</v>
      </c>
      <c r="G160">
        <f>IF(TableRefills3[[#This Row],[prev_refill_end]]="","",TableRefills3[[#This Row],[refill_date]]-TableRefills3[[#This Row],[prev_refill_end]])</f>
        <v>3</v>
      </c>
      <c r="H160" s="10">
        <f>IF(TableRefills3[[#This Row],[gap_days]]="",0,IF(TableRefills3[[#This Row],[gap_days]]&gt;2,1,0))</f>
        <v>1</v>
      </c>
      <c r="I160">
        <f>_xlfn.MAXIFS(TableRefills3[discountinuation_flag], TableRefills3[patient_id], A160)</f>
        <v>1</v>
      </c>
    </row>
    <row r="161" spans="1:9" x14ac:dyDescent="0.25">
      <c r="A161" t="s">
        <v>256</v>
      </c>
      <c r="B161" t="s">
        <v>257</v>
      </c>
      <c r="C161" s="3">
        <v>45779</v>
      </c>
      <c r="D161">
        <v>28</v>
      </c>
      <c r="E161" s="3" t="str">
        <f t="shared" si="2"/>
        <v/>
      </c>
      <c r="F161" s="3" t="str">
        <f>IF(TableRefills3[[#This Row],[prev_refill_days]]="","",TableRefills3[[#This Row],[prev_refill_days]]+TableRefills3[[#This Row],[quantity_days]])</f>
        <v/>
      </c>
      <c r="G161" t="str">
        <f>IF(TableRefills3[[#This Row],[prev_refill_end]]="","",TableRefills3[[#This Row],[refill_date]]-TableRefills3[[#This Row],[prev_refill_end]])</f>
        <v/>
      </c>
      <c r="H161" s="10">
        <f>IF(TableRefills3[[#This Row],[gap_days]]="",0,IF(TableRefills3[[#This Row],[gap_days]]&gt;2,1,0))</f>
        <v>0</v>
      </c>
      <c r="I161">
        <f>_xlfn.MAXIFS(TableRefills3[discountinuation_flag], TableRefills3[patient_id], A161)</f>
        <v>1</v>
      </c>
    </row>
    <row r="162" spans="1:9" x14ac:dyDescent="0.25">
      <c r="A162" t="s">
        <v>256</v>
      </c>
      <c r="B162" t="s">
        <v>257</v>
      </c>
      <c r="C162" s="3">
        <v>45809</v>
      </c>
      <c r="D162">
        <v>28</v>
      </c>
      <c r="E162" s="3">
        <f t="shared" si="2"/>
        <v>45779</v>
      </c>
      <c r="F162" s="3">
        <f>IF(TableRefills3[[#This Row],[prev_refill_days]]="","",TableRefills3[[#This Row],[prev_refill_days]]+TableRefills3[[#This Row],[quantity_days]])</f>
        <v>45807</v>
      </c>
      <c r="G162">
        <f>IF(TableRefills3[[#This Row],[prev_refill_end]]="","",TableRefills3[[#This Row],[refill_date]]-TableRefills3[[#This Row],[prev_refill_end]])</f>
        <v>2</v>
      </c>
      <c r="H162" s="10">
        <f>IF(TableRefills3[[#This Row],[gap_days]]="",0,IF(TableRefills3[[#This Row],[gap_days]]&gt;2,1,0))</f>
        <v>0</v>
      </c>
      <c r="I162">
        <f>_xlfn.MAXIFS(TableRefills3[discountinuation_flag], TableRefills3[patient_id], A162)</f>
        <v>1</v>
      </c>
    </row>
    <row r="163" spans="1:9" x14ac:dyDescent="0.25">
      <c r="A163" t="s">
        <v>256</v>
      </c>
      <c r="B163" t="s">
        <v>257</v>
      </c>
      <c r="C163" s="3">
        <v>45836</v>
      </c>
      <c r="D163">
        <v>28</v>
      </c>
      <c r="E163" s="3">
        <f t="shared" si="2"/>
        <v>45809</v>
      </c>
      <c r="F163" s="3">
        <f>IF(TableRefills3[[#This Row],[prev_refill_days]]="","",TableRefills3[[#This Row],[prev_refill_days]]+TableRefills3[[#This Row],[quantity_days]])</f>
        <v>45837</v>
      </c>
      <c r="G163">
        <f>IF(TableRefills3[[#This Row],[prev_refill_end]]="","",TableRefills3[[#This Row],[refill_date]]-TableRefills3[[#This Row],[prev_refill_end]])</f>
        <v>-1</v>
      </c>
      <c r="H163" s="10">
        <f>IF(TableRefills3[[#This Row],[gap_days]]="",0,IF(TableRefills3[[#This Row],[gap_days]]&gt;2,1,0))</f>
        <v>0</v>
      </c>
      <c r="I163">
        <f>_xlfn.MAXIFS(TableRefills3[discountinuation_flag], TableRefills3[patient_id], A163)</f>
        <v>1</v>
      </c>
    </row>
    <row r="164" spans="1:9" x14ac:dyDescent="0.25">
      <c r="A164" t="s">
        <v>256</v>
      </c>
      <c r="B164" t="s">
        <v>257</v>
      </c>
      <c r="C164" s="3">
        <v>45863</v>
      </c>
      <c r="D164">
        <v>28</v>
      </c>
      <c r="E164" s="3">
        <f t="shared" si="2"/>
        <v>45836</v>
      </c>
      <c r="F164" s="3">
        <f>IF(TableRefills3[[#This Row],[prev_refill_days]]="","",TableRefills3[[#This Row],[prev_refill_days]]+TableRefills3[[#This Row],[quantity_days]])</f>
        <v>45864</v>
      </c>
      <c r="G164">
        <f>IF(TableRefills3[[#This Row],[prev_refill_end]]="","",TableRefills3[[#This Row],[refill_date]]-TableRefills3[[#This Row],[prev_refill_end]])</f>
        <v>-1</v>
      </c>
      <c r="H164" s="10">
        <f>IF(TableRefills3[[#This Row],[gap_days]]="",0,IF(TableRefills3[[#This Row],[gap_days]]&gt;2,1,0))</f>
        <v>0</v>
      </c>
      <c r="I164">
        <f>_xlfn.MAXIFS(TableRefills3[discountinuation_flag], TableRefills3[patient_id], A164)</f>
        <v>1</v>
      </c>
    </row>
    <row r="165" spans="1:9" x14ac:dyDescent="0.25">
      <c r="A165" t="s">
        <v>256</v>
      </c>
      <c r="B165" t="s">
        <v>257</v>
      </c>
      <c r="C165" s="3">
        <v>45888</v>
      </c>
      <c r="D165">
        <v>28</v>
      </c>
      <c r="E165" s="3">
        <f t="shared" si="2"/>
        <v>45863</v>
      </c>
      <c r="F165" s="3">
        <f>IF(TableRefills3[[#This Row],[prev_refill_days]]="","",TableRefills3[[#This Row],[prev_refill_days]]+TableRefills3[[#This Row],[quantity_days]])</f>
        <v>45891</v>
      </c>
      <c r="G165">
        <f>IF(TableRefills3[[#This Row],[prev_refill_end]]="","",TableRefills3[[#This Row],[refill_date]]-TableRefills3[[#This Row],[prev_refill_end]])</f>
        <v>-3</v>
      </c>
      <c r="H165" s="10">
        <f>IF(TableRefills3[[#This Row],[gap_days]]="",0,IF(TableRefills3[[#This Row],[gap_days]]&gt;2,1,0))</f>
        <v>0</v>
      </c>
      <c r="I165">
        <f>_xlfn.MAXIFS(TableRefills3[discountinuation_flag], TableRefills3[patient_id], A165)</f>
        <v>1</v>
      </c>
    </row>
    <row r="166" spans="1:9" x14ac:dyDescent="0.25">
      <c r="A166" t="s">
        <v>256</v>
      </c>
      <c r="B166" t="s">
        <v>257</v>
      </c>
      <c r="C166" s="3">
        <v>45914</v>
      </c>
      <c r="D166">
        <v>28</v>
      </c>
      <c r="E166" s="3">
        <f t="shared" si="2"/>
        <v>45888</v>
      </c>
      <c r="F166" s="3">
        <f>IF(TableRefills3[[#This Row],[prev_refill_days]]="","",TableRefills3[[#This Row],[prev_refill_days]]+TableRefills3[[#This Row],[quantity_days]])</f>
        <v>45916</v>
      </c>
      <c r="G166">
        <f>IF(TableRefills3[[#This Row],[prev_refill_end]]="","",TableRefills3[[#This Row],[refill_date]]-TableRefills3[[#This Row],[prev_refill_end]])</f>
        <v>-2</v>
      </c>
      <c r="H166" s="10">
        <f>IF(TableRefills3[[#This Row],[gap_days]]="",0,IF(TableRefills3[[#This Row],[gap_days]]&gt;2,1,0))</f>
        <v>0</v>
      </c>
      <c r="I166">
        <f>_xlfn.MAXIFS(TableRefills3[discountinuation_flag], TableRefills3[patient_id], A166)</f>
        <v>1</v>
      </c>
    </row>
    <row r="167" spans="1:9" x14ac:dyDescent="0.25">
      <c r="A167" t="s">
        <v>256</v>
      </c>
      <c r="B167" t="s">
        <v>257</v>
      </c>
      <c r="C167" s="3">
        <v>45945</v>
      </c>
      <c r="D167">
        <v>28</v>
      </c>
      <c r="E167" s="3">
        <f t="shared" si="2"/>
        <v>45914</v>
      </c>
      <c r="F167" s="3">
        <f>IF(TableRefills3[[#This Row],[prev_refill_days]]="","",TableRefills3[[#This Row],[prev_refill_days]]+TableRefills3[[#This Row],[quantity_days]])</f>
        <v>45942</v>
      </c>
      <c r="G167">
        <f>IF(TableRefills3[[#This Row],[prev_refill_end]]="","",TableRefills3[[#This Row],[refill_date]]-TableRefills3[[#This Row],[prev_refill_end]])</f>
        <v>3</v>
      </c>
      <c r="H167" s="10">
        <f>IF(TableRefills3[[#This Row],[gap_days]]="",0,IF(TableRefills3[[#This Row],[gap_days]]&gt;2,1,0))</f>
        <v>1</v>
      </c>
      <c r="I167">
        <f>_xlfn.MAXIFS(TableRefills3[discountinuation_flag], TableRefills3[patient_id], A167)</f>
        <v>1</v>
      </c>
    </row>
    <row r="168" spans="1:9" x14ac:dyDescent="0.25">
      <c r="A168" t="s">
        <v>265</v>
      </c>
      <c r="B168" t="s">
        <v>266</v>
      </c>
      <c r="C168" s="3">
        <v>45782</v>
      </c>
      <c r="D168">
        <v>30</v>
      </c>
      <c r="E168" s="3" t="str">
        <f t="shared" si="2"/>
        <v/>
      </c>
      <c r="F168" s="3" t="str">
        <f>IF(TableRefills3[[#This Row],[prev_refill_days]]="","",TableRefills3[[#This Row],[prev_refill_days]]+TableRefills3[[#This Row],[quantity_days]])</f>
        <v/>
      </c>
      <c r="G168" t="str">
        <f>IF(TableRefills3[[#This Row],[prev_refill_end]]="","",TableRefills3[[#This Row],[refill_date]]-TableRefills3[[#This Row],[prev_refill_end]])</f>
        <v/>
      </c>
      <c r="H168" s="10">
        <f>IF(TableRefills3[[#This Row],[gap_days]]="",0,IF(TableRefills3[[#This Row],[gap_days]]&gt;2,1,0))</f>
        <v>0</v>
      </c>
      <c r="I168">
        <f>_xlfn.MAXIFS(TableRefills3[discountinuation_flag], TableRefills3[patient_id], A168)</f>
        <v>0</v>
      </c>
    </row>
    <row r="169" spans="1:9" x14ac:dyDescent="0.25">
      <c r="A169" t="s">
        <v>265</v>
      </c>
      <c r="B169" t="s">
        <v>266</v>
      </c>
      <c r="C169" s="3">
        <v>45810</v>
      </c>
      <c r="D169">
        <v>30</v>
      </c>
      <c r="E169" s="3">
        <f t="shared" si="2"/>
        <v>45782</v>
      </c>
      <c r="F169" s="3">
        <f>IF(TableRefills3[[#This Row],[prev_refill_days]]="","",TableRefills3[[#This Row],[prev_refill_days]]+TableRefills3[[#This Row],[quantity_days]])</f>
        <v>45812</v>
      </c>
      <c r="G169">
        <f>IF(TableRefills3[[#This Row],[prev_refill_end]]="","",TableRefills3[[#This Row],[refill_date]]-TableRefills3[[#This Row],[prev_refill_end]])</f>
        <v>-2</v>
      </c>
      <c r="H169" s="10">
        <f>IF(TableRefills3[[#This Row],[gap_days]]="",0,IF(TableRefills3[[#This Row],[gap_days]]&gt;2,1,0))</f>
        <v>0</v>
      </c>
      <c r="I169">
        <f>_xlfn.MAXIFS(TableRefills3[discountinuation_flag], TableRefills3[patient_id], A169)</f>
        <v>0</v>
      </c>
    </row>
    <row r="170" spans="1:9" x14ac:dyDescent="0.25">
      <c r="A170" t="s">
        <v>265</v>
      </c>
      <c r="B170" t="s">
        <v>266</v>
      </c>
      <c r="C170" s="3">
        <v>45838</v>
      </c>
      <c r="D170">
        <v>30</v>
      </c>
      <c r="E170" s="3">
        <f t="shared" si="2"/>
        <v>45810</v>
      </c>
      <c r="F170" s="3">
        <f>IF(TableRefills3[[#This Row],[prev_refill_days]]="","",TableRefills3[[#This Row],[prev_refill_days]]+TableRefills3[[#This Row],[quantity_days]])</f>
        <v>45840</v>
      </c>
      <c r="G170">
        <f>IF(TableRefills3[[#This Row],[prev_refill_end]]="","",TableRefills3[[#This Row],[refill_date]]-TableRefills3[[#This Row],[prev_refill_end]])</f>
        <v>-2</v>
      </c>
      <c r="H170" s="10">
        <f>IF(TableRefills3[[#This Row],[gap_days]]="",0,IF(TableRefills3[[#This Row],[gap_days]]&gt;2,1,0))</f>
        <v>0</v>
      </c>
      <c r="I170">
        <f>_xlfn.MAXIFS(TableRefills3[discountinuation_flag], TableRefills3[patient_id], A170)</f>
        <v>0</v>
      </c>
    </row>
    <row r="171" spans="1:9" x14ac:dyDescent="0.25">
      <c r="A171" t="s">
        <v>265</v>
      </c>
      <c r="B171" t="s">
        <v>266</v>
      </c>
      <c r="C171" s="3">
        <v>45868</v>
      </c>
      <c r="D171">
        <v>30</v>
      </c>
      <c r="E171" s="3">
        <f t="shared" si="2"/>
        <v>45838</v>
      </c>
      <c r="F171" s="3">
        <f>IF(TableRefills3[[#This Row],[prev_refill_days]]="","",TableRefills3[[#This Row],[prev_refill_days]]+TableRefills3[[#This Row],[quantity_days]])</f>
        <v>45868</v>
      </c>
      <c r="G171">
        <f>IF(TableRefills3[[#This Row],[prev_refill_end]]="","",TableRefills3[[#This Row],[refill_date]]-TableRefills3[[#This Row],[prev_refill_end]])</f>
        <v>0</v>
      </c>
      <c r="H171" s="10">
        <f>IF(TableRefills3[[#This Row],[gap_days]]="",0,IF(TableRefills3[[#This Row],[gap_days]]&gt;2,1,0))</f>
        <v>0</v>
      </c>
      <c r="I171">
        <f>_xlfn.MAXIFS(TableRefills3[discountinuation_flag], TableRefills3[patient_id], A171)</f>
        <v>0</v>
      </c>
    </row>
    <row r="172" spans="1:9" x14ac:dyDescent="0.25">
      <c r="A172" t="s">
        <v>265</v>
      </c>
      <c r="B172" t="s">
        <v>266</v>
      </c>
      <c r="C172" s="3">
        <v>45898</v>
      </c>
      <c r="D172">
        <v>30</v>
      </c>
      <c r="E172" s="3">
        <f t="shared" si="2"/>
        <v>45868</v>
      </c>
      <c r="F172" s="3">
        <f>IF(TableRefills3[[#This Row],[prev_refill_days]]="","",TableRefills3[[#This Row],[prev_refill_days]]+TableRefills3[[#This Row],[quantity_days]])</f>
        <v>45898</v>
      </c>
      <c r="G172">
        <f>IF(TableRefills3[[#This Row],[prev_refill_end]]="","",TableRefills3[[#This Row],[refill_date]]-TableRefills3[[#This Row],[prev_refill_end]])</f>
        <v>0</v>
      </c>
      <c r="H172" s="10">
        <f>IF(TableRefills3[[#This Row],[gap_days]]="",0,IF(TableRefills3[[#This Row],[gap_days]]&gt;2,1,0))</f>
        <v>0</v>
      </c>
      <c r="I172">
        <f>_xlfn.MAXIFS(TableRefills3[discountinuation_flag], TableRefills3[patient_id], A172)</f>
        <v>0</v>
      </c>
    </row>
    <row r="173" spans="1:9" x14ac:dyDescent="0.25">
      <c r="A173" t="s">
        <v>265</v>
      </c>
      <c r="B173" t="s">
        <v>266</v>
      </c>
      <c r="C173" s="3">
        <v>45929</v>
      </c>
      <c r="D173">
        <v>30</v>
      </c>
      <c r="E173" s="3">
        <f t="shared" si="2"/>
        <v>45898</v>
      </c>
      <c r="F173" s="3">
        <f>IF(TableRefills3[[#This Row],[prev_refill_days]]="","",TableRefills3[[#This Row],[prev_refill_days]]+TableRefills3[[#This Row],[quantity_days]])</f>
        <v>45928</v>
      </c>
      <c r="G173">
        <f>IF(TableRefills3[[#This Row],[prev_refill_end]]="","",TableRefills3[[#This Row],[refill_date]]-TableRefills3[[#This Row],[prev_refill_end]])</f>
        <v>1</v>
      </c>
      <c r="H173" s="10">
        <f>IF(TableRefills3[[#This Row],[gap_days]]="",0,IF(TableRefills3[[#This Row],[gap_days]]&gt;2,1,0))</f>
        <v>0</v>
      </c>
      <c r="I173">
        <f>_xlfn.MAXIFS(TableRefills3[discountinuation_flag], TableRefills3[patient_id], A173)</f>
        <v>0</v>
      </c>
    </row>
    <row r="174" spans="1:9" x14ac:dyDescent="0.25">
      <c r="A174" t="s">
        <v>273</v>
      </c>
      <c r="B174" t="s">
        <v>274</v>
      </c>
      <c r="C174" s="3">
        <v>45833</v>
      </c>
      <c r="D174">
        <v>30</v>
      </c>
      <c r="E174" s="3" t="str">
        <f t="shared" si="2"/>
        <v/>
      </c>
      <c r="F174" s="3" t="str">
        <f>IF(TableRefills3[[#This Row],[prev_refill_days]]="","",TableRefills3[[#This Row],[prev_refill_days]]+TableRefills3[[#This Row],[quantity_days]])</f>
        <v/>
      </c>
      <c r="G174" t="str">
        <f>IF(TableRefills3[[#This Row],[prev_refill_end]]="","",TableRefills3[[#This Row],[refill_date]]-TableRefills3[[#This Row],[prev_refill_end]])</f>
        <v/>
      </c>
      <c r="H174" s="10">
        <f>IF(TableRefills3[[#This Row],[gap_days]]="",0,IF(TableRefills3[[#This Row],[gap_days]]&gt;2,1,0))</f>
        <v>0</v>
      </c>
      <c r="I174">
        <f>_xlfn.MAXIFS(TableRefills3[discountinuation_flag], TableRefills3[patient_id], A174)</f>
        <v>1</v>
      </c>
    </row>
    <row r="175" spans="1:9" x14ac:dyDescent="0.25">
      <c r="A175" t="s">
        <v>273</v>
      </c>
      <c r="B175" t="s">
        <v>274</v>
      </c>
      <c r="C175" s="3">
        <v>45863</v>
      </c>
      <c r="D175">
        <v>30</v>
      </c>
      <c r="E175" s="3">
        <f t="shared" si="2"/>
        <v>45833</v>
      </c>
      <c r="F175" s="3">
        <f>IF(TableRefills3[[#This Row],[prev_refill_days]]="","",TableRefills3[[#This Row],[prev_refill_days]]+TableRefills3[[#This Row],[quantity_days]])</f>
        <v>45863</v>
      </c>
      <c r="G175">
        <f>IF(TableRefills3[[#This Row],[prev_refill_end]]="","",TableRefills3[[#This Row],[refill_date]]-TableRefills3[[#This Row],[prev_refill_end]])</f>
        <v>0</v>
      </c>
      <c r="H175" s="10">
        <f>IF(TableRefills3[[#This Row],[gap_days]]="",0,IF(TableRefills3[[#This Row],[gap_days]]&gt;2,1,0))</f>
        <v>0</v>
      </c>
      <c r="I175">
        <f>_xlfn.MAXIFS(TableRefills3[discountinuation_flag], TableRefills3[patient_id], A175)</f>
        <v>1</v>
      </c>
    </row>
    <row r="176" spans="1:9" x14ac:dyDescent="0.25">
      <c r="A176" t="s">
        <v>273</v>
      </c>
      <c r="B176" t="s">
        <v>274</v>
      </c>
      <c r="C176" s="3">
        <v>45893</v>
      </c>
      <c r="D176">
        <v>30</v>
      </c>
      <c r="E176" s="3">
        <f t="shared" si="2"/>
        <v>45863</v>
      </c>
      <c r="F176" s="3">
        <f>IF(TableRefills3[[#This Row],[prev_refill_days]]="","",TableRefills3[[#This Row],[prev_refill_days]]+TableRefills3[[#This Row],[quantity_days]])</f>
        <v>45893</v>
      </c>
      <c r="G176">
        <f>IF(TableRefills3[[#This Row],[prev_refill_end]]="","",TableRefills3[[#This Row],[refill_date]]-TableRefills3[[#This Row],[prev_refill_end]])</f>
        <v>0</v>
      </c>
      <c r="H176" s="10">
        <f>IF(TableRefills3[[#This Row],[gap_days]]="",0,IF(TableRefills3[[#This Row],[gap_days]]&gt;2,1,0))</f>
        <v>0</v>
      </c>
      <c r="I176">
        <f>_xlfn.MAXIFS(TableRefills3[discountinuation_flag], TableRefills3[patient_id], A176)</f>
        <v>1</v>
      </c>
    </row>
    <row r="177" spans="1:9" x14ac:dyDescent="0.25">
      <c r="A177" t="s">
        <v>273</v>
      </c>
      <c r="B177" t="s">
        <v>274</v>
      </c>
      <c r="C177" s="3">
        <v>45926</v>
      </c>
      <c r="D177">
        <v>30</v>
      </c>
      <c r="E177" s="3">
        <f t="shared" si="2"/>
        <v>45893</v>
      </c>
      <c r="F177" s="3">
        <f>IF(TableRefills3[[#This Row],[prev_refill_days]]="","",TableRefills3[[#This Row],[prev_refill_days]]+TableRefills3[[#This Row],[quantity_days]])</f>
        <v>45923</v>
      </c>
      <c r="G177">
        <f>IF(TableRefills3[[#This Row],[prev_refill_end]]="","",TableRefills3[[#This Row],[refill_date]]-TableRefills3[[#This Row],[prev_refill_end]])</f>
        <v>3</v>
      </c>
      <c r="H177" s="10">
        <f>IF(TableRefills3[[#This Row],[gap_days]]="",0,IF(TableRefills3[[#This Row],[gap_days]]&gt;2,1,0))</f>
        <v>1</v>
      </c>
      <c r="I177">
        <f>_xlfn.MAXIFS(TableRefills3[discountinuation_flag], TableRefills3[patient_id], A177)</f>
        <v>1</v>
      </c>
    </row>
    <row r="178" spans="1:9" x14ac:dyDescent="0.25">
      <c r="A178" t="s">
        <v>273</v>
      </c>
      <c r="B178" t="s">
        <v>274</v>
      </c>
      <c r="C178" s="3">
        <v>45953</v>
      </c>
      <c r="D178">
        <v>30</v>
      </c>
      <c r="E178" s="3">
        <f t="shared" si="2"/>
        <v>45926</v>
      </c>
      <c r="F178" s="3">
        <f>IF(TableRefills3[[#This Row],[prev_refill_days]]="","",TableRefills3[[#This Row],[prev_refill_days]]+TableRefills3[[#This Row],[quantity_days]])</f>
        <v>45956</v>
      </c>
      <c r="G178">
        <f>IF(TableRefills3[[#This Row],[prev_refill_end]]="","",TableRefills3[[#This Row],[refill_date]]-TableRefills3[[#This Row],[prev_refill_end]])</f>
        <v>-3</v>
      </c>
      <c r="H178" s="10">
        <f>IF(TableRefills3[[#This Row],[gap_days]]="",0,IF(TableRefills3[[#This Row],[gap_days]]&gt;2,1,0))</f>
        <v>0</v>
      </c>
      <c r="I178">
        <f>_xlfn.MAXIFS(TableRefills3[discountinuation_flag], TableRefills3[patient_id], A178)</f>
        <v>1</v>
      </c>
    </row>
    <row r="179" spans="1:9" x14ac:dyDescent="0.25">
      <c r="A179" t="s">
        <v>280</v>
      </c>
      <c r="B179" t="s">
        <v>281</v>
      </c>
      <c r="C179" s="3">
        <v>45816</v>
      </c>
      <c r="D179">
        <v>30</v>
      </c>
      <c r="E179" s="3" t="str">
        <f t="shared" si="2"/>
        <v/>
      </c>
      <c r="F179" s="3" t="str">
        <f>IF(TableRefills3[[#This Row],[prev_refill_days]]="","",TableRefills3[[#This Row],[prev_refill_days]]+TableRefills3[[#This Row],[quantity_days]])</f>
        <v/>
      </c>
      <c r="G179" t="str">
        <f>IF(TableRefills3[[#This Row],[prev_refill_end]]="","",TableRefills3[[#This Row],[refill_date]]-TableRefills3[[#This Row],[prev_refill_end]])</f>
        <v/>
      </c>
      <c r="H179" s="10">
        <f>IF(TableRefills3[[#This Row],[gap_days]]="",0,IF(TableRefills3[[#This Row],[gap_days]]&gt;2,1,0))</f>
        <v>0</v>
      </c>
      <c r="I179">
        <f>_xlfn.MAXIFS(TableRefills3[discountinuation_flag], TableRefills3[patient_id], A179)</f>
        <v>1</v>
      </c>
    </row>
    <row r="180" spans="1:9" x14ac:dyDescent="0.25">
      <c r="A180" t="s">
        <v>280</v>
      </c>
      <c r="B180" t="s">
        <v>281</v>
      </c>
      <c r="C180" s="3">
        <v>45849</v>
      </c>
      <c r="D180">
        <v>30</v>
      </c>
      <c r="E180" s="3">
        <f t="shared" si="2"/>
        <v>45816</v>
      </c>
      <c r="F180" s="3">
        <f>IF(TableRefills3[[#This Row],[prev_refill_days]]="","",TableRefills3[[#This Row],[prev_refill_days]]+TableRefills3[[#This Row],[quantity_days]])</f>
        <v>45846</v>
      </c>
      <c r="G180">
        <f>IF(TableRefills3[[#This Row],[prev_refill_end]]="","",TableRefills3[[#This Row],[refill_date]]-TableRefills3[[#This Row],[prev_refill_end]])</f>
        <v>3</v>
      </c>
      <c r="H180" s="10">
        <f>IF(TableRefills3[[#This Row],[gap_days]]="",0,IF(TableRefills3[[#This Row],[gap_days]]&gt;2,1,0))</f>
        <v>1</v>
      </c>
      <c r="I180">
        <f>_xlfn.MAXIFS(TableRefills3[discountinuation_flag], TableRefills3[patient_id], A180)</f>
        <v>1</v>
      </c>
    </row>
    <row r="181" spans="1:9" x14ac:dyDescent="0.25">
      <c r="A181" t="s">
        <v>280</v>
      </c>
      <c r="B181" t="s">
        <v>281</v>
      </c>
      <c r="C181" s="3">
        <v>45880</v>
      </c>
      <c r="D181">
        <v>30</v>
      </c>
      <c r="E181" s="3">
        <f t="shared" si="2"/>
        <v>45849</v>
      </c>
      <c r="F181" s="3">
        <f>IF(TableRefills3[[#This Row],[prev_refill_days]]="","",TableRefills3[[#This Row],[prev_refill_days]]+TableRefills3[[#This Row],[quantity_days]])</f>
        <v>45879</v>
      </c>
      <c r="G181">
        <f>IF(TableRefills3[[#This Row],[prev_refill_end]]="","",TableRefills3[[#This Row],[refill_date]]-TableRefills3[[#This Row],[prev_refill_end]])</f>
        <v>1</v>
      </c>
      <c r="H181" s="10">
        <f>IF(TableRefills3[[#This Row],[gap_days]]="",0,IF(TableRefills3[[#This Row],[gap_days]]&gt;2,1,0))</f>
        <v>0</v>
      </c>
      <c r="I181">
        <f>_xlfn.MAXIFS(TableRefills3[discountinuation_flag], TableRefills3[patient_id], A181)</f>
        <v>1</v>
      </c>
    </row>
    <row r="182" spans="1:9" x14ac:dyDescent="0.25">
      <c r="A182" t="s">
        <v>285</v>
      </c>
      <c r="B182" t="s">
        <v>286</v>
      </c>
      <c r="C182" s="3">
        <v>45933</v>
      </c>
      <c r="D182">
        <v>28</v>
      </c>
      <c r="E182" s="3" t="str">
        <f t="shared" si="2"/>
        <v/>
      </c>
      <c r="F182" s="3" t="str">
        <f>IF(TableRefills3[[#This Row],[prev_refill_days]]="","",TableRefills3[[#This Row],[prev_refill_days]]+TableRefills3[[#This Row],[quantity_days]])</f>
        <v/>
      </c>
      <c r="G182" t="str">
        <f>IF(TableRefills3[[#This Row],[prev_refill_end]]="","",TableRefills3[[#This Row],[refill_date]]-TableRefills3[[#This Row],[prev_refill_end]])</f>
        <v/>
      </c>
      <c r="H182" s="10">
        <f>IF(TableRefills3[[#This Row],[gap_days]]="",0,IF(TableRefills3[[#This Row],[gap_days]]&gt;2,1,0))</f>
        <v>0</v>
      </c>
      <c r="I182">
        <f>_xlfn.MAXIFS(TableRefills3[discountinuation_flag], TableRefills3[patient_id], A182)</f>
        <v>0</v>
      </c>
    </row>
    <row r="183" spans="1:9" x14ac:dyDescent="0.25">
      <c r="A183" t="s">
        <v>288</v>
      </c>
      <c r="B183" t="s">
        <v>289</v>
      </c>
      <c r="C183" s="3">
        <v>45886</v>
      </c>
      <c r="D183">
        <v>28</v>
      </c>
      <c r="E183" s="3" t="str">
        <f t="shared" si="2"/>
        <v/>
      </c>
      <c r="F183" s="3" t="str">
        <f>IF(TableRefills3[[#This Row],[prev_refill_days]]="","",TableRefills3[[#This Row],[prev_refill_days]]+TableRefills3[[#This Row],[quantity_days]])</f>
        <v/>
      </c>
      <c r="G183" t="str">
        <f>IF(TableRefills3[[#This Row],[prev_refill_end]]="","",TableRefills3[[#This Row],[refill_date]]-TableRefills3[[#This Row],[prev_refill_end]])</f>
        <v/>
      </c>
      <c r="H183" s="10">
        <f>IF(TableRefills3[[#This Row],[gap_days]]="",0,IF(TableRefills3[[#This Row],[gap_days]]&gt;2,1,0))</f>
        <v>0</v>
      </c>
      <c r="I183">
        <f>_xlfn.MAXIFS(TableRefills3[discountinuation_flag], TableRefills3[patient_id], A183)</f>
        <v>0</v>
      </c>
    </row>
    <row r="184" spans="1:9" x14ac:dyDescent="0.25">
      <c r="A184" t="s">
        <v>288</v>
      </c>
      <c r="B184" t="s">
        <v>289</v>
      </c>
      <c r="C184" s="3">
        <v>45912</v>
      </c>
      <c r="D184">
        <v>28</v>
      </c>
      <c r="E184" s="3">
        <f t="shared" si="2"/>
        <v>45886</v>
      </c>
      <c r="F184" s="3">
        <f>IF(TableRefills3[[#This Row],[prev_refill_days]]="","",TableRefills3[[#This Row],[prev_refill_days]]+TableRefills3[[#This Row],[quantity_days]])</f>
        <v>45914</v>
      </c>
      <c r="G184">
        <f>IF(TableRefills3[[#This Row],[prev_refill_end]]="","",TableRefills3[[#This Row],[refill_date]]-TableRefills3[[#This Row],[prev_refill_end]])</f>
        <v>-2</v>
      </c>
      <c r="H184" s="10">
        <f>IF(TableRefills3[[#This Row],[gap_days]]="",0,IF(TableRefills3[[#This Row],[gap_days]]&gt;2,1,0))</f>
        <v>0</v>
      </c>
      <c r="I184">
        <f>_xlfn.MAXIFS(TableRefills3[discountinuation_flag], TableRefills3[patient_id], A184)</f>
        <v>0</v>
      </c>
    </row>
    <row r="185" spans="1:9" x14ac:dyDescent="0.25">
      <c r="A185" t="s">
        <v>288</v>
      </c>
      <c r="B185" t="s">
        <v>289</v>
      </c>
      <c r="C185" s="3">
        <v>45942</v>
      </c>
      <c r="D185">
        <v>28</v>
      </c>
      <c r="E185" s="3">
        <f t="shared" si="2"/>
        <v>45912</v>
      </c>
      <c r="F185" s="3">
        <f>IF(TableRefills3[[#This Row],[prev_refill_days]]="","",TableRefills3[[#This Row],[prev_refill_days]]+TableRefills3[[#This Row],[quantity_days]])</f>
        <v>45940</v>
      </c>
      <c r="G185">
        <f>IF(TableRefills3[[#This Row],[prev_refill_end]]="","",TableRefills3[[#This Row],[refill_date]]-TableRefills3[[#This Row],[prev_refill_end]])</f>
        <v>2</v>
      </c>
      <c r="H185" s="10">
        <f>IF(TableRefills3[[#This Row],[gap_days]]="",0,IF(TableRefills3[[#This Row],[gap_days]]&gt;2,1,0))</f>
        <v>0</v>
      </c>
      <c r="I185">
        <f>_xlfn.MAXIFS(TableRefills3[discountinuation_flag], TableRefills3[patient_id], A185)</f>
        <v>0</v>
      </c>
    </row>
    <row r="186" spans="1:9" x14ac:dyDescent="0.25">
      <c r="A186" t="s">
        <v>293</v>
      </c>
      <c r="B186" t="s">
        <v>294</v>
      </c>
      <c r="C186" s="3">
        <v>45851</v>
      </c>
      <c r="D186">
        <v>56</v>
      </c>
      <c r="E186" s="3" t="str">
        <f t="shared" si="2"/>
        <v/>
      </c>
      <c r="F186" s="3" t="str">
        <f>IF(TableRefills3[[#This Row],[prev_refill_days]]="","",TableRefills3[[#This Row],[prev_refill_days]]+TableRefills3[[#This Row],[quantity_days]])</f>
        <v/>
      </c>
      <c r="G186" t="str">
        <f>IF(TableRefills3[[#This Row],[prev_refill_end]]="","",TableRefills3[[#This Row],[refill_date]]-TableRefills3[[#This Row],[prev_refill_end]])</f>
        <v/>
      </c>
      <c r="H186" s="10">
        <f>IF(TableRefills3[[#This Row],[gap_days]]="",0,IF(TableRefills3[[#This Row],[gap_days]]&gt;2,1,0))</f>
        <v>0</v>
      </c>
      <c r="I186">
        <f>_xlfn.MAXIFS(TableRefills3[discountinuation_flag], TableRefills3[patient_id], A186)</f>
        <v>0</v>
      </c>
    </row>
    <row r="187" spans="1:9" x14ac:dyDescent="0.25">
      <c r="A187" t="s">
        <v>293</v>
      </c>
      <c r="B187" t="s">
        <v>294</v>
      </c>
      <c r="C187" s="3">
        <v>45904</v>
      </c>
      <c r="D187">
        <v>56</v>
      </c>
      <c r="E187" s="3">
        <f t="shared" si="2"/>
        <v>45851</v>
      </c>
      <c r="F187" s="3">
        <f>IF(TableRefills3[[#This Row],[prev_refill_days]]="","",TableRefills3[[#This Row],[prev_refill_days]]+TableRefills3[[#This Row],[quantity_days]])</f>
        <v>45907</v>
      </c>
      <c r="G187">
        <f>IF(TableRefills3[[#This Row],[prev_refill_end]]="","",TableRefills3[[#This Row],[refill_date]]-TableRefills3[[#This Row],[prev_refill_end]])</f>
        <v>-3</v>
      </c>
      <c r="H187" s="10">
        <f>IF(TableRefills3[[#This Row],[gap_days]]="",0,IF(TableRefills3[[#This Row],[gap_days]]&gt;2,1,0))</f>
        <v>0</v>
      </c>
      <c r="I187">
        <f>_xlfn.MAXIFS(TableRefills3[discountinuation_flag], TableRefills3[patient_id], A187)</f>
        <v>0</v>
      </c>
    </row>
    <row r="188" spans="1:9" x14ac:dyDescent="0.25">
      <c r="A188" t="s">
        <v>297</v>
      </c>
      <c r="B188" t="s">
        <v>298</v>
      </c>
      <c r="C188" s="3">
        <v>45855</v>
      </c>
      <c r="D188">
        <v>28</v>
      </c>
      <c r="E188" s="3" t="str">
        <f t="shared" si="2"/>
        <v/>
      </c>
      <c r="F188" s="3" t="str">
        <f>IF(TableRefills3[[#This Row],[prev_refill_days]]="","",TableRefills3[[#This Row],[prev_refill_days]]+TableRefills3[[#This Row],[quantity_days]])</f>
        <v/>
      </c>
      <c r="G188" t="str">
        <f>IF(TableRefills3[[#This Row],[prev_refill_end]]="","",TableRefills3[[#This Row],[refill_date]]-TableRefills3[[#This Row],[prev_refill_end]])</f>
        <v/>
      </c>
      <c r="H188" s="10">
        <f>IF(TableRefills3[[#This Row],[gap_days]]="",0,IF(TableRefills3[[#This Row],[gap_days]]&gt;2,1,0))</f>
        <v>0</v>
      </c>
      <c r="I188">
        <f>_xlfn.MAXIFS(TableRefills3[discountinuation_flag], TableRefills3[patient_id], A188)</f>
        <v>0</v>
      </c>
    </row>
    <row r="189" spans="1:9" x14ac:dyDescent="0.25">
      <c r="A189" t="s">
        <v>300</v>
      </c>
      <c r="B189" t="s">
        <v>301</v>
      </c>
      <c r="C189" s="3">
        <v>45790</v>
      </c>
      <c r="D189">
        <v>28</v>
      </c>
      <c r="E189" s="3" t="str">
        <f t="shared" si="2"/>
        <v/>
      </c>
      <c r="F189" s="3" t="str">
        <f>IF(TableRefills3[[#This Row],[prev_refill_days]]="","",TableRefills3[[#This Row],[prev_refill_days]]+TableRefills3[[#This Row],[quantity_days]])</f>
        <v/>
      </c>
      <c r="G189" t="str">
        <f>IF(TableRefills3[[#This Row],[prev_refill_end]]="","",TableRefills3[[#This Row],[refill_date]]-TableRefills3[[#This Row],[prev_refill_end]])</f>
        <v/>
      </c>
      <c r="H189" s="10">
        <f>IF(TableRefills3[[#This Row],[gap_days]]="",0,IF(TableRefills3[[#This Row],[gap_days]]&gt;2,1,0))</f>
        <v>0</v>
      </c>
      <c r="I189">
        <f>_xlfn.MAXIFS(TableRefills3[discountinuation_flag], TableRefills3[patient_id], A189)</f>
        <v>1</v>
      </c>
    </row>
    <row r="190" spans="1:9" x14ac:dyDescent="0.25">
      <c r="A190" t="s">
        <v>300</v>
      </c>
      <c r="B190" t="s">
        <v>301</v>
      </c>
      <c r="C190" s="3">
        <v>45818</v>
      </c>
      <c r="D190">
        <v>28</v>
      </c>
      <c r="E190" s="3">
        <f t="shared" si="2"/>
        <v>45790</v>
      </c>
      <c r="F190" s="3">
        <f>IF(TableRefills3[[#This Row],[prev_refill_days]]="","",TableRefills3[[#This Row],[prev_refill_days]]+TableRefills3[[#This Row],[quantity_days]])</f>
        <v>45818</v>
      </c>
      <c r="G190">
        <f>IF(TableRefills3[[#This Row],[prev_refill_end]]="","",TableRefills3[[#This Row],[refill_date]]-TableRefills3[[#This Row],[prev_refill_end]])</f>
        <v>0</v>
      </c>
      <c r="H190" s="10">
        <f>IF(TableRefills3[[#This Row],[gap_days]]="",0,IF(TableRefills3[[#This Row],[gap_days]]&gt;2,1,0))</f>
        <v>0</v>
      </c>
      <c r="I190">
        <f>_xlfn.MAXIFS(TableRefills3[discountinuation_flag], TableRefills3[patient_id], A190)</f>
        <v>1</v>
      </c>
    </row>
    <row r="191" spans="1:9" x14ac:dyDescent="0.25">
      <c r="A191" t="s">
        <v>300</v>
      </c>
      <c r="B191" t="s">
        <v>301</v>
      </c>
      <c r="C191" s="3">
        <v>45846</v>
      </c>
      <c r="D191">
        <v>28</v>
      </c>
      <c r="E191" s="3">
        <f t="shared" si="2"/>
        <v>45818</v>
      </c>
      <c r="F191" s="3">
        <f>IF(TableRefills3[[#This Row],[prev_refill_days]]="","",TableRefills3[[#This Row],[prev_refill_days]]+TableRefills3[[#This Row],[quantity_days]])</f>
        <v>45846</v>
      </c>
      <c r="G191">
        <f>IF(TableRefills3[[#This Row],[prev_refill_end]]="","",TableRefills3[[#This Row],[refill_date]]-TableRefills3[[#This Row],[prev_refill_end]])</f>
        <v>0</v>
      </c>
      <c r="H191" s="10">
        <f>IF(TableRefills3[[#This Row],[gap_days]]="",0,IF(TableRefills3[[#This Row],[gap_days]]&gt;2,1,0))</f>
        <v>0</v>
      </c>
      <c r="I191">
        <f>_xlfn.MAXIFS(TableRefills3[discountinuation_flag], TableRefills3[patient_id], A191)</f>
        <v>1</v>
      </c>
    </row>
    <row r="192" spans="1:9" x14ac:dyDescent="0.25">
      <c r="A192" t="s">
        <v>300</v>
      </c>
      <c r="B192" t="s">
        <v>301</v>
      </c>
      <c r="C192" s="3">
        <v>45876</v>
      </c>
      <c r="D192">
        <v>28</v>
      </c>
      <c r="E192" s="3">
        <f t="shared" si="2"/>
        <v>45846</v>
      </c>
      <c r="F192" s="3">
        <f>IF(TableRefills3[[#This Row],[prev_refill_days]]="","",TableRefills3[[#This Row],[prev_refill_days]]+TableRefills3[[#This Row],[quantity_days]])</f>
        <v>45874</v>
      </c>
      <c r="G192">
        <f>IF(TableRefills3[[#This Row],[prev_refill_end]]="","",TableRefills3[[#This Row],[refill_date]]-TableRefills3[[#This Row],[prev_refill_end]])</f>
        <v>2</v>
      </c>
      <c r="H192" s="10">
        <f>IF(TableRefills3[[#This Row],[gap_days]]="",0,IF(TableRefills3[[#This Row],[gap_days]]&gt;2,1,0))</f>
        <v>0</v>
      </c>
      <c r="I192">
        <f>_xlfn.MAXIFS(TableRefills3[discountinuation_flag], TableRefills3[patient_id], A192)</f>
        <v>1</v>
      </c>
    </row>
    <row r="193" spans="1:9" x14ac:dyDescent="0.25">
      <c r="A193" t="s">
        <v>300</v>
      </c>
      <c r="B193" t="s">
        <v>301</v>
      </c>
      <c r="C193" s="3">
        <v>45902</v>
      </c>
      <c r="D193">
        <v>28</v>
      </c>
      <c r="E193" s="3">
        <f t="shared" si="2"/>
        <v>45876</v>
      </c>
      <c r="F193" s="3">
        <f>IF(TableRefills3[[#This Row],[prev_refill_days]]="","",TableRefills3[[#This Row],[prev_refill_days]]+TableRefills3[[#This Row],[quantity_days]])</f>
        <v>45904</v>
      </c>
      <c r="G193">
        <f>IF(TableRefills3[[#This Row],[prev_refill_end]]="","",TableRefills3[[#This Row],[refill_date]]-TableRefills3[[#This Row],[prev_refill_end]])</f>
        <v>-2</v>
      </c>
      <c r="H193" s="10">
        <f>IF(TableRefills3[[#This Row],[gap_days]]="",0,IF(TableRefills3[[#This Row],[gap_days]]&gt;2,1,0))</f>
        <v>0</v>
      </c>
      <c r="I193">
        <f>_xlfn.MAXIFS(TableRefills3[discountinuation_flag], TableRefills3[patient_id], A193)</f>
        <v>1</v>
      </c>
    </row>
    <row r="194" spans="1:9" x14ac:dyDescent="0.25">
      <c r="A194" t="s">
        <v>300</v>
      </c>
      <c r="B194" t="s">
        <v>301</v>
      </c>
      <c r="C194" s="3">
        <v>45930</v>
      </c>
      <c r="D194">
        <v>28</v>
      </c>
      <c r="E194" s="3">
        <f t="shared" ref="E194:E257" si="3">IF(A193=A194,C193,"")</f>
        <v>45902</v>
      </c>
      <c r="F194" s="3">
        <f>IF(TableRefills3[[#This Row],[prev_refill_days]]="","",TableRefills3[[#This Row],[prev_refill_days]]+TableRefills3[[#This Row],[quantity_days]])</f>
        <v>45930</v>
      </c>
      <c r="G194">
        <f>IF(TableRefills3[[#This Row],[prev_refill_end]]="","",TableRefills3[[#This Row],[refill_date]]-TableRefills3[[#This Row],[prev_refill_end]])</f>
        <v>0</v>
      </c>
      <c r="H194" s="10">
        <f>IF(TableRefills3[[#This Row],[gap_days]]="",0,IF(TableRefills3[[#This Row],[gap_days]]&gt;2,1,0))</f>
        <v>0</v>
      </c>
      <c r="I194">
        <f>_xlfn.MAXIFS(TableRefills3[discountinuation_flag], TableRefills3[patient_id], A194)</f>
        <v>1</v>
      </c>
    </row>
    <row r="195" spans="1:9" x14ac:dyDescent="0.25">
      <c r="A195" t="s">
        <v>300</v>
      </c>
      <c r="B195" t="s">
        <v>301</v>
      </c>
      <c r="C195" s="3">
        <v>45961</v>
      </c>
      <c r="D195">
        <v>28</v>
      </c>
      <c r="E195" s="3">
        <f t="shared" si="3"/>
        <v>45930</v>
      </c>
      <c r="F195" s="3">
        <f>IF(TableRefills3[[#This Row],[prev_refill_days]]="","",TableRefills3[[#This Row],[prev_refill_days]]+TableRefills3[[#This Row],[quantity_days]])</f>
        <v>45958</v>
      </c>
      <c r="G195">
        <f>IF(TableRefills3[[#This Row],[prev_refill_end]]="","",TableRefills3[[#This Row],[refill_date]]-TableRefills3[[#This Row],[prev_refill_end]])</f>
        <v>3</v>
      </c>
      <c r="H195" s="10">
        <f>IF(TableRefills3[[#This Row],[gap_days]]="",0,IF(TableRefills3[[#This Row],[gap_days]]&gt;2,1,0))</f>
        <v>1</v>
      </c>
      <c r="I195">
        <f>_xlfn.MAXIFS(TableRefills3[discountinuation_flag], TableRefills3[patient_id], A195)</f>
        <v>1</v>
      </c>
    </row>
    <row r="196" spans="1:9" x14ac:dyDescent="0.25">
      <c r="A196" t="s">
        <v>309</v>
      </c>
      <c r="B196" t="s">
        <v>310</v>
      </c>
      <c r="C196" s="3">
        <v>45885</v>
      </c>
      <c r="D196">
        <v>28</v>
      </c>
      <c r="E196" s="3" t="str">
        <f t="shared" si="3"/>
        <v/>
      </c>
      <c r="F196" s="3" t="str">
        <f>IF(TableRefills3[[#This Row],[prev_refill_days]]="","",TableRefills3[[#This Row],[prev_refill_days]]+TableRefills3[[#This Row],[quantity_days]])</f>
        <v/>
      </c>
      <c r="G196" t="str">
        <f>IF(TableRefills3[[#This Row],[prev_refill_end]]="","",TableRefills3[[#This Row],[refill_date]]-TableRefills3[[#This Row],[prev_refill_end]])</f>
        <v/>
      </c>
      <c r="H196" s="10">
        <f>IF(TableRefills3[[#This Row],[gap_days]]="",0,IF(TableRefills3[[#This Row],[gap_days]]&gt;2,1,0))</f>
        <v>0</v>
      </c>
      <c r="I196">
        <f>_xlfn.MAXIFS(TableRefills3[discountinuation_flag], TableRefills3[patient_id], A196)</f>
        <v>1</v>
      </c>
    </row>
    <row r="197" spans="1:9" x14ac:dyDescent="0.25">
      <c r="A197" t="s">
        <v>309</v>
      </c>
      <c r="B197" t="s">
        <v>310</v>
      </c>
      <c r="C197" s="3">
        <v>45910</v>
      </c>
      <c r="D197">
        <v>28</v>
      </c>
      <c r="E197" s="3">
        <f t="shared" si="3"/>
        <v>45885</v>
      </c>
      <c r="F197" s="3">
        <f>IF(TableRefills3[[#This Row],[prev_refill_days]]="","",TableRefills3[[#This Row],[prev_refill_days]]+TableRefills3[[#This Row],[quantity_days]])</f>
        <v>45913</v>
      </c>
      <c r="G197">
        <f>IF(TableRefills3[[#This Row],[prev_refill_end]]="","",TableRefills3[[#This Row],[refill_date]]-TableRefills3[[#This Row],[prev_refill_end]])</f>
        <v>-3</v>
      </c>
      <c r="H197" s="10">
        <f>IF(TableRefills3[[#This Row],[gap_days]]="",0,IF(TableRefills3[[#This Row],[gap_days]]&gt;2,1,0))</f>
        <v>0</v>
      </c>
      <c r="I197">
        <f>_xlfn.MAXIFS(TableRefills3[discountinuation_flag], TableRefills3[patient_id], A197)</f>
        <v>1</v>
      </c>
    </row>
    <row r="198" spans="1:9" x14ac:dyDescent="0.25">
      <c r="A198" t="s">
        <v>309</v>
      </c>
      <c r="B198" t="s">
        <v>310</v>
      </c>
      <c r="C198" s="3">
        <v>45941</v>
      </c>
      <c r="D198">
        <v>28</v>
      </c>
      <c r="E198" s="3">
        <f t="shared" si="3"/>
        <v>45910</v>
      </c>
      <c r="F198" s="3">
        <f>IF(TableRefills3[[#This Row],[prev_refill_days]]="","",TableRefills3[[#This Row],[prev_refill_days]]+TableRefills3[[#This Row],[quantity_days]])</f>
        <v>45938</v>
      </c>
      <c r="G198">
        <f>IF(TableRefills3[[#This Row],[prev_refill_end]]="","",TableRefills3[[#This Row],[refill_date]]-TableRefills3[[#This Row],[prev_refill_end]])</f>
        <v>3</v>
      </c>
      <c r="H198" s="10">
        <f>IF(TableRefills3[[#This Row],[gap_days]]="",0,IF(TableRefills3[[#This Row],[gap_days]]&gt;2,1,0))</f>
        <v>1</v>
      </c>
      <c r="I198">
        <f>_xlfn.MAXIFS(TableRefills3[discountinuation_flag], TableRefills3[patient_id], A198)</f>
        <v>1</v>
      </c>
    </row>
    <row r="199" spans="1:9" x14ac:dyDescent="0.25">
      <c r="A199" t="s">
        <v>314</v>
      </c>
      <c r="B199" t="s">
        <v>315</v>
      </c>
      <c r="C199" s="3">
        <v>45937</v>
      </c>
      <c r="D199">
        <v>28</v>
      </c>
      <c r="E199" s="3" t="str">
        <f t="shared" si="3"/>
        <v/>
      </c>
      <c r="F199" s="3" t="str">
        <f>IF(TableRefills3[[#This Row],[prev_refill_days]]="","",TableRefills3[[#This Row],[prev_refill_days]]+TableRefills3[[#This Row],[quantity_days]])</f>
        <v/>
      </c>
      <c r="G199" t="str">
        <f>IF(TableRefills3[[#This Row],[prev_refill_end]]="","",TableRefills3[[#This Row],[refill_date]]-TableRefills3[[#This Row],[prev_refill_end]])</f>
        <v/>
      </c>
      <c r="H199" s="10">
        <f>IF(TableRefills3[[#This Row],[gap_days]]="",0,IF(TableRefills3[[#This Row],[gap_days]]&gt;2,1,0))</f>
        <v>0</v>
      </c>
      <c r="I199">
        <f>_xlfn.MAXIFS(TableRefills3[discountinuation_flag], TableRefills3[patient_id], A199)</f>
        <v>0</v>
      </c>
    </row>
    <row r="200" spans="1:9" x14ac:dyDescent="0.25">
      <c r="A200" t="s">
        <v>317</v>
      </c>
      <c r="B200" t="s">
        <v>318</v>
      </c>
      <c r="C200" s="3">
        <v>45794</v>
      </c>
      <c r="D200">
        <v>28</v>
      </c>
      <c r="E200" s="3" t="str">
        <f t="shared" si="3"/>
        <v/>
      </c>
      <c r="F200" s="3" t="str">
        <f>IF(TableRefills3[[#This Row],[prev_refill_days]]="","",TableRefills3[[#This Row],[prev_refill_days]]+TableRefills3[[#This Row],[quantity_days]])</f>
        <v/>
      </c>
      <c r="G200" t="str">
        <f>IF(TableRefills3[[#This Row],[prev_refill_end]]="","",TableRefills3[[#This Row],[refill_date]]-TableRefills3[[#This Row],[prev_refill_end]])</f>
        <v/>
      </c>
      <c r="H200" s="10">
        <f>IF(TableRefills3[[#This Row],[gap_days]]="",0,IF(TableRefills3[[#This Row],[gap_days]]&gt;2,1,0))</f>
        <v>0</v>
      </c>
      <c r="I200">
        <f>_xlfn.MAXIFS(TableRefills3[discountinuation_flag], TableRefills3[patient_id], A200)</f>
        <v>0</v>
      </c>
    </row>
    <row r="201" spans="1:9" x14ac:dyDescent="0.25">
      <c r="A201" t="s">
        <v>317</v>
      </c>
      <c r="B201" t="s">
        <v>318</v>
      </c>
      <c r="C201" s="3">
        <v>45822</v>
      </c>
      <c r="D201">
        <v>28</v>
      </c>
      <c r="E201" s="3">
        <f t="shared" si="3"/>
        <v>45794</v>
      </c>
      <c r="F201" s="3">
        <f>IF(TableRefills3[[#This Row],[prev_refill_days]]="","",TableRefills3[[#This Row],[prev_refill_days]]+TableRefills3[[#This Row],[quantity_days]])</f>
        <v>45822</v>
      </c>
      <c r="G201">
        <f>IF(TableRefills3[[#This Row],[prev_refill_end]]="","",TableRefills3[[#This Row],[refill_date]]-TableRefills3[[#This Row],[prev_refill_end]])</f>
        <v>0</v>
      </c>
      <c r="H201" s="10">
        <f>IF(TableRefills3[[#This Row],[gap_days]]="",0,IF(TableRefills3[[#This Row],[gap_days]]&gt;2,1,0))</f>
        <v>0</v>
      </c>
      <c r="I201">
        <f>_xlfn.MAXIFS(TableRefills3[discountinuation_flag], TableRefills3[patient_id], A201)</f>
        <v>0</v>
      </c>
    </row>
    <row r="202" spans="1:9" x14ac:dyDescent="0.25">
      <c r="A202" t="s">
        <v>317</v>
      </c>
      <c r="B202" t="s">
        <v>318</v>
      </c>
      <c r="C202" s="3">
        <v>45852</v>
      </c>
      <c r="D202">
        <v>28</v>
      </c>
      <c r="E202" s="3">
        <f t="shared" si="3"/>
        <v>45822</v>
      </c>
      <c r="F202" s="3">
        <f>IF(TableRefills3[[#This Row],[prev_refill_days]]="","",TableRefills3[[#This Row],[prev_refill_days]]+TableRefills3[[#This Row],[quantity_days]])</f>
        <v>45850</v>
      </c>
      <c r="G202">
        <f>IF(TableRefills3[[#This Row],[prev_refill_end]]="","",TableRefills3[[#This Row],[refill_date]]-TableRefills3[[#This Row],[prev_refill_end]])</f>
        <v>2</v>
      </c>
      <c r="H202" s="10">
        <f>IF(TableRefills3[[#This Row],[gap_days]]="",0,IF(TableRefills3[[#This Row],[gap_days]]&gt;2,1,0))</f>
        <v>0</v>
      </c>
      <c r="I202">
        <f>_xlfn.MAXIFS(TableRefills3[discountinuation_flag], TableRefills3[patient_id], A202)</f>
        <v>0</v>
      </c>
    </row>
    <row r="203" spans="1:9" x14ac:dyDescent="0.25">
      <c r="A203" t="s">
        <v>317</v>
      </c>
      <c r="B203" t="s">
        <v>318</v>
      </c>
      <c r="C203" s="3">
        <v>45882</v>
      </c>
      <c r="D203">
        <v>28</v>
      </c>
      <c r="E203" s="3">
        <f t="shared" si="3"/>
        <v>45852</v>
      </c>
      <c r="F203" s="3">
        <f>IF(TableRefills3[[#This Row],[prev_refill_days]]="","",TableRefills3[[#This Row],[prev_refill_days]]+TableRefills3[[#This Row],[quantity_days]])</f>
        <v>45880</v>
      </c>
      <c r="G203">
        <f>IF(TableRefills3[[#This Row],[prev_refill_end]]="","",TableRefills3[[#This Row],[refill_date]]-TableRefills3[[#This Row],[prev_refill_end]])</f>
        <v>2</v>
      </c>
      <c r="H203" s="10">
        <f>IF(TableRefills3[[#This Row],[gap_days]]="",0,IF(TableRefills3[[#This Row],[gap_days]]&gt;2,1,0))</f>
        <v>0</v>
      </c>
      <c r="I203">
        <f>_xlfn.MAXIFS(TableRefills3[discountinuation_flag], TableRefills3[patient_id], A203)</f>
        <v>0</v>
      </c>
    </row>
    <row r="204" spans="1:9" x14ac:dyDescent="0.25">
      <c r="A204" t="s">
        <v>317</v>
      </c>
      <c r="B204" t="s">
        <v>318</v>
      </c>
      <c r="C204" s="3">
        <v>45911</v>
      </c>
      <c r="D204">
        <v>28</v>
      </c>
      <c r="E204" s="3">
        <f t="shared" si="3"/>
        <v>45882</v>
      </c>
      <c r="F204" s="3">
        <f>IF(TableRefills3[[#This Row],[prev_refill_days]]="","",TableRefills3[[#This Row],[prev_refill_days]]+TableRefills3[[#This Row],[quantity_days]])</f>
        <v>45910</v>
      </c>
      <c r="G204">
        <f>IF(TableRefills3[[#This Row],[prev_refill_end]]="","",TableRefills3[[#This Row],[refill_date]]-TableRefills3[[#This Row],[prev_refill_end]])</f>
        <v>1</v>
      </c>
      <c r="H204" s="10">
        <f>IF(TableRefills3[[#This Row],[gap_days]]="",0,IF(TableRefills3[[#This Row],[gap_days]]&gt;2,1,0))</f>
        <v>0</v>
      </c>
      <c r="I204">
        <f>_xlfn.MAXIFS(TableRefills3[discountinuation_flag], TableRefills3[patient_id], A204)</f>
        <v>0</v>
      </c>
    </row>
    <row r="205" spans="1:9" x14ac:dyDescent="0.25">
      <c r="A205" t="s">
        <v>317</v>
      </c>
      <c r="B205" t="s">
        <v>318</v>
      </c>
      <c r="C205" s="3">
        <v>45938</v>
      </c>
      <c r="D205">
        <v>28</v>
      </c>
      <c r="E205" s="3">
        <f t="shared" si="3"/>
        <v>45911</v>
      </c>
      <c r="F205" s="3">
        <f>IF(TableRefills3[[#This Row],[prev_refill_days]]="","",TableRefills3[[#This Row],[prev_refill_days]]+TableRefills3[[#This Row],[quantity_days]])</f>
        <v>45939</v>
      </c>
      <c r="G205">
        <f>IF(TableRefills3[[#This Row],[prev_refill_end]]="","",TableRefills3[[#This Row],[refill_date]]-TableRefills3[[#This Row],[prev_refill_end]])</f>
        <v>-1</v>
      </c>
      <c r="H205" s="10">
        <f>IF(TableRefills3[[#This Row],[gap_days]]="",0,IF(TableRefills3[[#This Row],[gap_days]]&gt;2,1,0))</f>
        <v>0</v>
      </c>
      <c r="I205">
        <f>_xlfn.MAXIFS(TableRefills3[discountinuation_flag], TableRefills3[patient_id], A205)</f>
        <v>0</v>
      </c>
    </row>
    <row r="206" spans="1:9" x14ac:dyDescent="0.25">
      <c r="A206" t="s">
        <v>325</v>
      </c>
      <c r="B206" t="s">
        <v>326</v>
      </c>
      <c r="C206" s="3">
        <v>45905</v>
      </c>
      <c r="D206">
        <v>28</v>
      </c>
      <c r="E206" s="3" t="str">
        <f t="shared" si="3"/>
        <v/>
      </c>
      <c r="F206" s="3" t="str">
        <f>IF(TableRefills3[[#This Row],[prev_refill_days]]="","",TableRefills3[[#This Row],[prev_refill_days]]+TableRefills3[[#This Row],[quantity_days]])</f>
        <v/>
      </c>
      <c r="G206" t="str">
        <f>IF(TableRefills3[[#This Row],[prev_refill_end]]="","",TableRefills3[[#This Row],[refill_date]]-TableRefills3[[#This Row],[prev_refill_end]])</f>
        <v/>
      </c>
      <c r="H206" s="10">
        <f>IF(TableRefills3[[#This Row],[gap_days]]="",0,IF(TableRefills3[[#This Row],[gap_days]]&gt;2,1,0))</f>
        <v>0</v>
      </c>
      <c r="I206">
        <f>_xlfn.MAXIFS(TableRefills3[discountinuation_flag], TableRefills3[patient_id], A206)</f>
        <v>0</v>
      </c>
    </row>
    <row r="207" spans="1:9" x14ac:dyDescent="0.25">
      <c r="A207" t="s">
        <v>325</v>
      </c>
      <c r="B207" t="s">
        <v>326</v>
      </c>
      <c r="C207" s="3">
        <v>45930</v>
      </c>
      <c r="D207">
        <v>28</v>
      </c>
      <c r="E207" s="3">
        <f t="shared" si="3"/>
        <v>45905</v>
      </c>
      <c r="F207" s="3">
        <f>IF(TableRefills3[[#This Row],[prev_refill_days]]="","",TableRefills3[[#This Row],[prev_refill_days]]+TableRefills3[[#This Row],[quantity_days]])</f>
        <v>45933</v>
      </c>
      <c r="G207">
        <f>IF(TableRefills3[[#This Row],[prev_refill_end]]="","",TableRefills3[[#This Row],[refill_date]]-TableRefills3[[#This Row],[prev_refill_end]])</f>
        <v>-3</v>
      </c>
      <c r="H207" s="10">
        <f>IF(TableRefills3[[#This Row],[gap_days]]="",0,IF(TableRefills3[[#This Row],[gap_days]]&gt;2,1,0))</f>
        <v>0</v>
      </c>
      <c r="I207">
        <f>_xlfn.MAXIFS(TableRefills3[discountinuation_flag], TableRefills3[patient_id], A207)</f>
        <v>0</v>
      </c>
    </row>
    <row r="208" spans="1:9" x14ac:dyDescent="0.25">
      <c r="A208" t="s">
        <v>325</v>
      </c>
      <c r="B208" t="s">
        <v>326</v>
      </c>
      <c r="C208" s="3">
        <v>45956</v>
      </c>
      <c r="D208">
        <v>28</v>
      </c>
      <c r="E208" s="3">
        <f t="shared" si="3"/>
        <v>45930</v>
      </c>
      <c r="F208" s="3">
        <f>IF(TableRefills3[[#This Row],[prev_refill_days]]="","",TableRefills3[[#This Row],[prev_refill_days]]+TableRefills3[[#This Row],[quantity_days]])</f>
        <v>45958</v>
      </c>
      <c r="G208">
        <f>IF(TableRefills3[[#This Row],[prev_refill_end]]="","",TableRefills3[[#This Row],[refill_date]]-TableRefills3[[#This Row],[prev_refill_end]])</f>
        <v>-2</v>
      </c>
      <c r="H208" s="10">
        <f>IF(TableRefills3[[#This Row],[gap_days]]="",0,IF(TableRefills3[[#This Row],[gap_days]]&gt;2,1,0))</f>
        <v>0</v>
      </c>
      <c r="I208">
        <f>_xlfn.MAXIFS(TableRefills3[discountinuation_flag], TableRefills3[patient_id], A208)</f>
        <v>0</v>
      </c>
    </row>
    <row r="209" spans="1:9" x14ac:dyDescent="0.25">
      <c r="A209" t="s">
        <v>330</v>
      </c>
      <c r="B209" t="s">
        <v>331</v>
      </c>
      <c r="C209" s="3">
        <v>45915</v>
      </c>
      <c r="D209">
        <v>28</v>
      </c>
      <c r="E209" s="3" t="str">
        <f t="shared" si="3"/>
        <v/>
      </c>
      <c r="F209" s="3" t="str">
        <f>IF(TableRefills3[[#This Row],[prev_refill_days]]="","",TableRefills3[[#This Row],[prev_refill_days]]+TableRefills3[[#This Row],[quantity_days]])</f>
        <v/>
      </c>
      <c r="G209" t="str">
        <f>IF(TableRefills3[[#This Row],[prev_refill_end]]="","",TableRefills3[[#This Row],[refill_date]]-TableRefills3[[#This Row],[prev_refill_end]])</f>
        <v/>
      </c>
      <c r="H209" s="10">
        <f>IF(TableRefills3[[#This Row],[gap_days]]="",0,IF(TableRefills3[[#This Row],[gap_days]]&gt;2,1,0))</f>
        <v>0</v>
      </c>
      <c r="I209">
        <f>_xlfn.MAXIFS(TableRefills3[discountinuation_flag], TableRefills3[patient_id], A209)</f>
        <v>1</v>
      </c>
    </row>
    <row r="210" spans="1:9" x14ac:dyDescent="0.25">
      <c r="A210" t="s">
        <v>330</v>
      </c>
      <c r="B210" t="s">
        <v>331</v>
      </c>
      <c r="C210" s="3">
        <v>45946</v>
      </c>
      <c r="D210">
        <v>28</v>
      </c>
      <c r="E210" s="3">
        <f t="shared" si="3"/>
        <v>45915</v>
      </c>
      <c r="F210" s="3">
        <f>IF(TableRefills3[[#This Row],[prev_refill_days]]="","",TableRefills3[[#This Row],[prev_refill_days]]+TableRefills3[[#This Row],[quantity_days]])</f>
        <v>45943</v>
      </c>
      <c r="G210">
        <f>IF(TableRefills3[[#This Row],[prev_refill_end]]="","",TableRefills3[[#This Row],[refill_date]]-TableRefills3[[#This Row],[prev_refill_end]])</f>
        <v>3</v>
      </c>
      <c r="H210" s="10">
        <f>IF(TableRefills3[[#This Row],[gap_days]]="",0,IF(TableRefills3[[#This Row],[gap_days]]&gt;2,1,0))</f>
        <v>1</v>
      </c>
      <c r="I210">
        <f>_xlfn.MAXIFS(TableRefills3[discountinuation_flag], TableRefills3[patient_id], A210)</f>
        <v>1</v>
      </c>
    </row>
    <row r="211" spans="1:9" x14ac:dyDescent="0.25">
      <c r="A211" t="s">
        <v>334</v>
      </c>
      <c r="B211" t="s">
        <v>335</v>
      </c>
      <c r="C211" s="3">
        <v>45939</v>
      </c>
      <c r="D211">
        <v>28</v>
      </c>
      <c r="E211" s="3" t="str">
        <f t="shared" si="3"/>
        <v/>
      </c>
      <c r="F211" s="3" t="str">
        <f>IF(TableRefills3[[#This Row],[prev_refill_days]]="","",TableRefills3[[#This Row],[prev_refill_days]]+TableRefills3[[#This Row],[quantity_days]])</f>
        <v/>
      </c>
      <c r="G211" t="str">
        <f>IF(TableRefills3[[#This Row],[prev_refill_end]]="","",TableRefills3[[#This Row],[refill_date]]-TableRefills3[[#This Row],[prev_refill_end]])</f>
        <v/>
      </c>
      <c r="H211" s="10">
        <f>IF(TableRefills3[[#This Row],[gap_days]]="",0,IF(TableRefills3[[#This Row],[gap_days]]&gt;2,1,0))</f>
        <v>0</v>
      </c>
      <c r="I211">
        <f>_xlfn.MAXIFS(TableRefills3[discountinuation_flag], TableRefills3[patient_id], A211)</f>
        <v>0</v>
      </c>
    </row>
    <row r="212" spans="1:9" x14ac:dyDescent="0.25">
      <c r="A212" t="s">
        <v>337</v>
      </c>
      <c r="B212" t="s">
        <v>338</v>
      </c>
      <c r="C212" s="3">
        <v>45925</v>
      </c>
      <c r="D212">
        <v>28</v>
      </c>
      <c r="E212" s="3" t="str">
        <f t="shared" si="3"/>
        <v/>
      </c>
      <c r="F212" s="3" t="str">
        <f>IF(TableRefills3[[#This Row],[prev_refill_days]]="","",TableRefills3[[#This Row],[prev_refill_days]]+TableRefills3[[#This Row],[quantity_days]])</f>
        <v/>
      </c>
      <c r="G212" t="str">
        <f>IF(TableRefills3[[#This Row],[prev_refill_end]]="","",TableRefills3[[#This Row],[refill_date]]-TableRefills3[[#This Row],[prev_refill_end]])</f>
        <v/>
      </c>
      <c r="H212" s="10">
        <f>IF(TableRefills3[[#This Row],[gap_days]]="",0,IF(TableRefills3[[#This Row],[gap_days]]&gt;2,1,0))</f>
        <v>0</v>
      </c>
      <c r="I212">
        <f>_xlfn.MAXIFS(TableRefills3[discountinuation_flag], TableRefills3[patient_id], A212)</f>
        <v>0</v>
      </c>
    </row>
    <row r="213" spans="1:9" x14ac:dyDescent="0.25">
      <c r="A213" t="s">
        <v>337</v>
      </c>
      <c r="B213" t="s">
        <v>338</v>
      </c>
      <c r="C213" s="3">
        <v>45950</v>
      </c>
      <c r="D213">
        <v>28</v>
      </c>
      <c r="E213" s="3">
        <f t="shared" si="3"/>
        <v>45925</v>
      </c>
      <c r="F213" s="3">
        <f>IF(TableRefills3[[#This Row],[prev_refill_days]]="","",TableRefills3[[#This Row],[prev_refill_days]]+TableRefills3[[#This Row],[quantity_days]])</f>
        <v>45953</v>
      </c>
      <c r="G213">
        <f>IF(TableRefills3[[#This Row],[prev_refill_end]]="","",TableRefills3[[#This Row],[refill_date]]-TableRefills3[[#This Row],[prev_refill_end]])</f>
        <v>-3</v>
      </c>
      <c r="H213" s="10">
        <f>IF(TableRefills3[[#This Row],[gap_days]]="",0,IF(TableRefills3[[#This Row],[gap_days]]&gt;2,1,0))</f>
        <v>0</v>
      </c>
      <c r="I213">
        <f>_xlfn.MAXIFS(TableRefills3[discountinuation_flag], TableRefills3[patient_id], A213)</f>
        <v>0</v>
      </c>
    </row>
    <row r="214" spans="1:9" x14ac:dyDescent="0.25">
      <c r="A214" t="s">
        <v>341</v>
      </c>
      <c r="B214" t="s">
        <v>342</v>
      </c>
      <c r="C214" s="3">
        <v>45961</v>
      </c>
      <c r="D214">
        <v>30</v>
      </c>
      <c r="E214" s="3" t="str">
        <f t="shared" si="3"/>
        <v/>
      </c>
      <c r="F214" s="3" t="str">
        <f>IF(TableRefills3[[#This Row],[prev_refill_days]]="","",TableRefills3[[#This Row],[prev_refill_days]]+TableRefills3[[#This Row],[quantity_days]])</f>
        <v/>
      </c>
      <c r="G214" t="str">
        <f>IF(TableRefills3[[#This Row],[prev_refill_end]]="","",TableRefills3[[#This Row],[refill_date]]-TableRefills3[[#This Row],[prev_refill_end]])</f>
        <v/>
      </c>
      <c r="H214" s="10">
        <f>IF(TableRefills3[[#This Row],[gap_days]]="",0,IF(TableRefills3[[#This Row],[gap_days]]&gt;2,1,0))</f>
        <v>0</v>
      </c>
      <c r="I214">
        <f>_xlfn.MAXIFS(TableRefills3[discountinuation_flag], TableRefills3[patient_id], A214)</f>
        <v>0</v>
      </c>
    </row>
    <row r="215" spans="1:9" x14ac:dyDescent="0.25">
      <c r="A215" t="s">
        <v>344</v>
      </c>
      <c r="B215" t="s">
        <v>345</v>
      </c>
      <c r="C215" s="3">
        <v>45852</v>
      </c>
      <c r="D215">
        <v>28</v>
      </c>
      <c r="E215" s="3" t="str">
        <f t="shared" si="3"/>
        <v/>
      </c>
      <c r="F215" s="3" t="str">
        <f>IF(TableRefills3[[#This Row],[prev_refill_days]]="","",TableRefills3[[#This Row],[prev_refill_days]]+TableRefills3[[#This Row],[quantity_days]])</f>
        <v/>
      </c>
      <c r="G215" t="str">
        <f>IF(TableRefills3[[#This Row],[prev_refill_end]]="","",TableRefills3[[#This Row],[refill_date]]-TableRefills3[[#This Row],[prev_refill_end]])</f>
        <v/>
      </c>
      <c r="H215" s="10">
        <f>IF(TableRefills3[[#This Row],[gap_days]]="",0,IF(TableRefills3[[#This Row],[gap_days]]&gt;2,1,0))</f>
        <v>0</v>
      </c>
      <c r="I215">
        <f>_xlfn.MAXIFS(TableRefills3[discountinuation_flag], TableRefills3[patient_id], A215)</f>
        <v>1</v>
      </c>
    </row>
    <row r="216" spans="1:9" x14ac:dyDescent="0.25">
      <c r="A216" t="s">
        <v>344</v>
      </c>
      <c r="B216" t="s">
        <v>345</v>
      </c>
      <c r="C216" s="3">
        <v>45881</v>
      </c>
      <c r="D216">
        <v>28</v>
      </c>
      <c r="E216" s="3">
        <f t="shared" si="3"/>
        <v>45852</v>
      </c>
      <c r="F216" s="3">
        <f>IF(TableRefills3[[#This Row],[prev_refill_days]]="","",TableRefills3[[#This Row],[prev_refill_days]]+TableRefills3[[#This Row],[quantity_days]])</f>
        <v>45880</v>
      </c>
      <c r="G216">
        <f>IF(TableRefills3[[#This Row],[prev_refill_end]]="","",TableRefills3[[#This Row],[refill_date]]-TableRefills3[[#This Row],[prev_refill_end]])</f>
        <v>1</v>
      </c>
      <c r="H216" s="10">
        <f>IF(TableRefills3[[#This Row],[gap_days]]="",0,IF(TableRefills3[[#This Row],[gap_days]]&gt;2,1,0))</f>
        <v>0</v>
      </c>
      <c r="I216">
        <f>_xlfn.MAXIFS(TableRefills3[discountinuation_flag], TableRefills3[patient_id], A216)</f>
        <v>1</v>
      </c>
    </row>
    <row r="217" spans="1:9" x14ac:dyDescent="0.25">
      <c r="A217" t="s">
        <v>344</v>
      </c>
      <c r="B217" t="s">
        <v>345</v>
      </c>
      <c r="C217" s="3">
        <v>45912</v>
      </c>
      <c r="D217">
        <v>28</v>
      </c>
      <c r="E217" s="3">
        <f t="shared" si="3"/>
        <v>45881</v>
      </c>
      <c r="F217" s="3">
        <f>IF(TableRefills3[[#This Row],[prev_refill_days]]="","",TableRefills3[[#This Row],[prev_refill_days]]+TableRefills3[[#This Row],[quantity_days]])</f>
        <v>45909</v>
      </c>
      <c r="G217">
        <f>IF(TableRefills3[[#This Row],[prev_refill_end]]="","",TableRefills3[[#This Row],[refill_date]]-TableRefills3[[#This Row],[prev_refill_end]])</f>
        <v>3</v>
      </c>
      <c r="H217" s="10">
        <f>IF(TableRefills3[[#This Row],[gap_days]]="",0,IF(TableRefills3[[#This Row],[gap_days]]&gt;2,1,0))</f>
        <v>1</v>
      </c>
      <c r="I217">
        <f>_xlfn.MAXIFS(TableRefills3[discountinuation_flag], TableRefills3[patient_id], A217)</f>
        <v>1</v>
      </c>
    </row>
    <row r="218" spans="1:9" x14ac:dyDescent="0.25">
      <c r="A218" t="s">
        <v>344</v>
      </c>
      <c r="B218" t="s">
        <v>345</v>
      </c>
      <c r="C218" s="3">
        <v>45940</v>
      </c>
      <c r="D218">
        <v>28</v>
      </c>
      <c r="E218" s="3">
        <f t="shared" si="3"/>
        <v>45912</v>
      </c>
      <c r="F218" s="3">
        <f>IF(TableRefills3[[#This Row],[prev_refill_days]]="","",TableRefills3[[#This Row],[prev_refill_days]]+TableRefills3[[#This Row],[quantity_days]])</f>
        <v>45940</v>
      </c>
      <c r="G218">
        <f>IF(TableRefills3[[#This Row],[prev_refill_end]]="","",TableRefills3[[#This Row],[refill_date]]-TableRefills3[[#This Row],[prev_refill_end]])</f>
        <v>0</v>
      </c>
      <c r="H218" s="10">
        <f>IF(TableRefills3[[#This Row],[gap_days]]="",0,IF(TableRefills3[[#This Row],[gap_days]]&gt;2,1,0))</f>
        <v>0</v>
      </c>
      <c r="I218">
        <f>_xlfn.MAXIFS(TableRefills3[discountinuation_flag], TableRefills3[patient_id], A218)</f>
        <v>1</v>
      </c>
    </row>
    <row r="219" spans="1:9" x14ac:dyDescent="0.25">
      <c r="A219" t="s">
        <v>350</v>
      </c>
      <c r="B219" t="s">
        <v>351</v>
      </c>
      <c r="C219" s="3">
        <v>45778</v>
      </c>
      <c r="D219">
        <v>28</v>
      </c>
      <c r="E219" s="3" t="str">
        <f t="shared" si="3"/>
        <v/>
      </c>
      <c r="F219" s="3" t="str">
        <f>IF(TableRefills3[[#This Row],[prev_refill_days]]="","",TableRefills3[[#This Row],[prev_refill_days]]+TableRefills3[[#This Row],[quantity_days]])</f>
        <v/>
      </c>
      <c r="G219" t="str">
        <f>IF(TableRefills3[[#This Row],[prev_refill_end]]="","",TableRefills3[[#This Row],[refill_date]]-TableRefills3[[#This Row],[prev_refill_end]])</f>
        <v/>
      </c>
      <c r="H219" s="10">
        <f>IF(TableRefills3[[#This Row],[gap_days]]="",0,IF(TableRefills3[[#This Row],[gap_days]]&gt;2,1,0))</f>
        <v>0</v>
      </c>
      <c r="I219">
        <f>_xlfn.MAXIFS(TableRefills3[discountinuation_flag], TableRefills3[patient_id], A219)</f>
        <v>0</v>
      </c>
    </row>
    <row r="220" spans="1:9" x14ac:dyDescent="0.25">
      <c r="A220" t="s">
        <v>350</v>
      </c>
      <c r="B220" t="s">
        <v>351</v>
      </c>
      <c r="C220" s="3">
        <v>45806</v>
      </c>
      <c r="D220">
        <v>28</v>
      </c>
      <c r="E220" s="3">
        <f t="shared" si="3"/>
        <v>45778</v>
      </c>
      <c r="F220" s="3">
        <f>IF(TableRefills3[[#This Row],[prev_refill_days]]="","",TableRefills3[[#This Row],[prev_refill_days]]+TableRefills3[[#This Row],[quantity_days]])</f>
        <v>45806</v>
      </c>
      <c r="G220">
        <f>IF(TableRefills3[[#This Row],[prev_refill_end]]="","",TableRefills3[[#This Row],[refill_date]]-TableRefills3[[#This Row],[prev_refill_end]])</f>
        <v>0</v>
      </c>
      <c r="H220" s="10">
        <f>IF(TableRefills3[[#This Row],[gap_days]]="",0,IF(TableRefills3[[#This Row],[gap_days]]&gt;2,1,0))</f>
        <v>0</v>
      </c>
      <c r="I220">
        <f>_xlfn.MAXIFS(TableRefills3[discountinuation_flag], TableRefills3[patient_id], A220)</f>
        <v>0</v>
      </c>
    </row>
    <row r="221" spans="1:9" x14ac:dyDescent="0.25">
      <c r="A221" t="s">
        <v>354</v>
      </c>
      <c r="B221" t="s">
        <v>355</v>
      </c>
      <c r="C221" s="3">
        <v>45868</v>
      </c>
      <c r="D221">
        <v>30</v>
      </c>
      <c r="E221" s="3" t="str">
        <f t="shared" si="3"/>
        <v/>
      </c>
      <c r="F221" s="3" t="str">
        <f>IF(TableRefills3[[#This Row],[prev_refill_days]]="","",TableRefills3[[#This Row],[prev_refill_days]]+TableRefills3[[#This Row],[quantity_days]])</f>
        <v/>
      </c>
      <c r="G221" t="str">
        <f>IF(TableRefills3[[#This Row],[prev_refill_end]]="","",TableRefills3[[#This Row],[refill_date]]-TableRefills3[[#This Row],[prev_refill_end]])</f>
        <v/>
      </c>
      <c r="H221" s="10">
        <f>IF(TableRefills3[[#This Row],[gap_days]]="",0,IF(TableRefills3[[#This Row],[gap_days]]&gt;2,1,0))</f>
        <v>0</v>
      </c>
      <c r="I221">
        <f>_xlfn.MAXIFS(TableRefills3[discountinuation_flag], TableRefills3[patient_id], A221)</f>
        <v>0</v>
      </c>
    </row>
    <row r="222" spans="1:9" x14ac:dyDescent="0.25">
      <c r="A222" t="s">
        <v>354</v>
      </c>
      <c r="B222" t="s">
        <v>355</v>
      </c>
      <c r="C222" s="3">
        <v>45896</v>
      </c>
      <c r="D222">
        <v>30</v>
      </c>
      <c r="E222" s="3">
        <f t="shared" si="3"/>
        <v>45868</v>
      </c>
      <c r="F222" s="3">
        <f>IF(TableRefills3[[#This Row],[prev_refill_days]]="","",TableRefills3[[#This Row],[prev_refill_days]]+TableRefills3[[#This Row],[quantity_days]])</f>
        <v>45898</v>
      </c>
      <c r="G222">
        <f>IF(TableRefills3[[#This Row],[prev_refill_end]]="","",TableRefills3[[#This Row],[refill_date]]-TableRefills3[[#This Row],[prev_refill_end]])</f>
        <v>-2</v>
      </c>
      <c r="H222" s="10">
        <f>IF(TableRefills3[[#This Row],[gap_days]]="",0,IF(TableRefills3[[#This Row],[gap_days]]&gt;2,1,0))</f>
        <v>0</v>
      </c>
      <c r="I222">
        <f>_xlfn.MAXIFS(TableRefills3[discountinuation_flag], TableRefills3[patient_id], A222)</f>
        <v>0</v>
      </c>
    </row>
    <row r="223" spans="1:9" x14ac:dyDescent="0.25">
      <c r="A223" t="s">
        <v>354</v>
      </c>
      <c r="B223" t="s">
        <v>355</v>
      </c>
      <c r="C223" s="3">
        <v>45925</v>
      </c>
      <c r="D223">
        <v>30</v>
      </c>
      <c r="E223" s="3">
        <f t="shared" si="3"/>
        <v>45896</v>
      </c>
      <c r="F223" s="3">
        <f>IF(TableRefills3[[#This Row],[prev_refill_days]]="","",TableRefills3[[#This Row],[prev_refill_days]]+TableRefills3[[#This Row],[quantity_days]])</f>
        <v>45926</v>
      </c>
      <c r="G223">
        <f>IF(TableRefills3[[#This Row],[prev_refill_end]]="","",TableRefills3[[#This Row],[refill_date]]-TableRefills3[[#This Row],[prev_refill_end]])</f>
        <v>-1</v>
      </c>
      <c r="H223" s="10">
        <f>IF(TableRefills3[[#This Row],[gap_days]]="",0,IF(TableRefills3[[#This Row],[gap_days]]&gt;2,1,0))</f>
        <v>0</v>
      </c>
      <c r="I223">
        <f>_xlfn.MAXIFS(TableRefills3[discountinuation_flag], TableRefills3[patient_id], A223)</f>
        <v>0</v>
      </c>
    </row>
    <row r="224" spans="1:9" x14ac:dyDescent="0.25">
      <c r="A224" t="s">
        <v>354</v>
      </c>
      <c r="B224" t="s">
        <v>355</v>
      </c>
      <c r="C224" s="3">
        <v>45953</v>
      </c>
      <c r="D224">
        <v>30</v>
      </c>
      <c r="E224" s="3">
        <f t="shared" si="3"/>
        <v>45925</v>
      </c>
      <c r="F224" s="3">
        <f>IF(TableRefills3[[#This Row],[prev_refill_days]]="","",TableRefills3[[#This Row],[prev_refill_days]]+TableRefills3[[#This Row],[quantity_days]])</f>
        <v>45955</v>
      </c>
      <c r="G224">
        <f>IF(TableRefills3[[#This Row],[prev_refill_end]]="","",TableRefills3[[#This Row],[refill_date]]-TableRefills3[[#This Row],[prev_refill_end]])</f>
        <v>-2</v>
      </c>
      <c r="H224" s="10">
        <f>IF(TableRefills3[[#This Row],[gap_days]]="",0,IF(TableRefills3[[#This Row],[gap_days]]&gt;2,1,0))</f>
        <v>0</v>
      </c>
      <c r="I224">
        <f>_xlfn.MAXIFS(TableRefills3[discountinuation_flag], TableRefills3[patient_id], A224)</f>
        <v>0</v>
      </c>
    </row>
    <row r="225" spans="1:9" x14ac:dyDescent="0.25">
      <c r="A225" t="s">
        <v>360</v>
      </c>
      <c r="B225" t="s">
        <v>361</v>
      </c>
      <c r="C225" s="3">
        <v>45924</v>
      </c>
      <c r="D225">
        <v>28</v>
      </c>
      <c r="E225" s="3" t="str">
        <f t="shared" si="3"/>
        <v/>
      </c>
      <c r="F225" s="3" t="str">
        <f>IF(TableRefills3[[#This Row],[prev_refill_days]]="","",TableRefills3[[#This Row],[prev_refill_days]]+TableRefills3[[#This Row],[quantity_days]])</f>
        <v/>
      </c>
      <c r="G225" t="str">
        <f>IF(TableRefills3[[#This Row],[prev_refill_end]]="","",TableRefills3[[#This Row],[refill_date]]-TableRefills3[[#This Row],[prev_refill_end]])</f>
        <v/>
      </c>
      <c r="H225" s="10">
        <f>IF(TableRefills3[[#This Row],[gap_days]]="",0,IF(TableRefills3[[#This Row],[gap_days]]&gt;2,1,0))</f>
        <v>0</v>
      </c>
      <c r="I225">
        <f>_xlfn.MAXIFS(TableRefills3[discountinuation_flag], TableRefills3[patient_id], A225)</f>
        <v>0</v>
      </c>
    </row>
    <row r="226" spans="1:9" x14ac:dyDescent="0.25">
      <c r="A226" t="s">
        <v>360</v>
      </c>
      <c r="B226" t="s">
        <v>361</v>
      </c>
      <c r="C226" s="3">
        <v>45950</v>
      </c>
      <c r="D226">
        <v>28</v>
      </c>
      <c r="E226" s="3">
        <f t="shared" si="3"/>
        <v>45924</v>
      </c>
      <c r="F226" s="3">
        <f>IF(TableRefills3[[#This Row],[prev_refill_days]]="","",TableRefills3[[#This Row],[prev_refill_days]]+TableRefills3[[#This Row],[quantity_days]])</f>
        <v>45952</v>
      </c>
      <c r="G226">
        <f>IF(TableRefills3[[#This Row],[prev_refill_end]]="","",TableRefills3[[#This Row],[refill_date]]-TableRefills3[[#This Row],[prev_refill_end]])</f>
        <v>-2</v>
      </c>
      <c r="H226" s="10">
        <f>IF(TableRefills3[[#This Row],[gap_days]]="",0,IF(TableRefills3[[#This Row],[gap_days]]&gt;2,1,0))</f>
        <v>0</v>
      </c>
      <c r="I226">
        <f>_xlfn.MAXIFS(TableRefills3[discountinuation_flag], TableRefills3[patient_id], A226)</f>
        <v>0</v>
      </c>
    </row>
    <row r="227" spans="1:9" x14ac:dyDescent="0.25">
      <c r="A227" t="s">
        <v>364</v>
      </c>
      <c r="B227" t="s">
        <v>365</v>
      </c>
      <c r="C227" s="3">
        <v>45825</v>
      </c>
      <c r="D227">
        <v>28</v>
      </c>
      <c r="E227" s="3" t="str">
        <f t="shared" si="3"/>
        <v/>
      </c>
      <c r="F227" s="3" t="str">
        <f>IF(TableRefills3[[#This Row],[prev_refill_days]]="","",TableRefills3[[#This Row],[prev_refill_days]]+TableRefills3[[#This Row],[quantity_days]])</f>
        <v/>
      </c>
      <c r="G227" t="str">
        <f>IF(TableRefills3[[#This Row],[prev_refill_end]]="","",TableRefills3[[#This Row],[refill_date]]-TableRefills3[[#This Row],[prev_refill_end]])</f>
        <v/>
      </c>
      <c r="H227" s="10">
        <f>IF(TableRefills3[[#This Row],[gap_days]]="",0,IF(TableRefills3[[#This Row],[gap_days]]&gt;2,1,0))</f>
        <v>0</v>
      </c>
      <c r="I227">
        <f>_xlfn.MAXIFS(TableRefills3[discountinuation_flag], TableRefills3[patient_id], A227)</f>
        <v>0</v>
      </c>
    </row>
    <row r="228" spans="1:9" x14ac:dyDescent="0.25">
      <c r="A228" t="s">
        <v>364</v>
      </c>
      <c r="B228" t="s">
        <v>365</v>
      </c>
      <c r="C228" s="3">
        <v>45853</v>
      </c>
      <c r="D228">
        <v>28</v>
      </c>
      <c r="E228" s="3">
        <f t="shared" si="3"/>
        <v>45825</v>
      </c>
      <c r="F228" s="3">
        <f>IF(TableRefills3[[#This Row],[prev_refill_days]]="","",TableRefills3[[#This Row],[prev_refill_days]]+TableRefills3[[#This Row],[quantity_days]])</f>
        <v>45853</v>
      </c>
      <c r="G228">
        <f>IF(TableRefills3[[#This Row],[prev_refill_end]]="","",TableRefills3[[#This Row],[refill_date]]-TableRefills3[[#This Row],[prev_refill_end]])</f>
        <v>0</v>
      </c>
      <c r="H228" s="10">
        <f>IF(TableRefills3[[#This Row],[gap_days]]="",0,IF(TableRefills3[[#This Row],[gap_days]]&gt;2,1,0))</f>
        <v>0</v>
      </c>
      <c r="I228">
        <f>_xlfn.MAXIFS(TableRefills3[discountinuation_flag], TableRefills3[patient_id], A228)</f>
        <v>0</v>
      </c>
    </row>
    <row r="229" spans="1:9" x14ac:dyDescent="0.25">
      <c r="A229" t="s">
        <v>364</v>
      </c>
      <c r="B229" t="s">
        <v>365</v>
      </c>
      <c r="C229" s="3">
        <v>45882</v>
      </c>
      <c r="D229">
        <v>28</v>
      </c>
      <c r="E229" s="3">
        <f t="shared" si="3"/>
        <v>45853</v>
      </c>
      <c r="F229" s="3">
        <f>IF(TableRefills3[[#This Row],[prev_refill_days]]="","",TableRefills3[[#This Row],[prev_refill_days]]+TableRefills3[[#This Row],[quantity_days]])</f>
        <v>45881</v>
      </c>
      <c r="G229">
        <f>IF(TableRefills3[[#This Row],[prev_refill_end]]="","",TableRefills3[[#This Row],[refill_date]]-TableRefills3[[#This Row],[prev_refill_end]])</f>
        <v>1</v>
      </c>
      <c r="H229" s="10">
        <f>IF(TableRefills3[[#This Row],[gap_days]]="",0,IF(TableRefills3[[#This Row],[gap_days]]&gt;2,1,0))</f>
        <v>0</v>
      </c>
      <c r="I229">
        <f>_xlfn.MAXIFS(TableRefills3[discountinuation_flag], TableRefills3[patient_id], A229)</f>
        <v>0</v>
      </c>
    </row>
    <row r="230" spans="1:9" x14ac:dyDescent="0.25">
      <c r="A230" t="s">
        <v>364</v>
      </c>
      <c r="B230" t="s">
        <v>365</v>
      </c>
      <c r="C230" s="3">
        <v>45907</v>
      </c>
      <c r="D230">
        <v>28</v>
      </c>
      <c r="E230" s="3">
        <f t="shared" si="3"/>
        <v>45882</v>
      </c>
      <c r="F230" s="3">
        <f>IF(TableRefills3[[#This Row],[prev_refill_days]]="","",TableRefills3[[#This Row],[prev_refill_days]]+TableRefills3[[#This Row],[quantity_days]])</f>
        <v>45910</v>
      </c>
      <c r="G230">
        <f>IF(TableRefills3[[#This Row],[prev_refill_end]]="","",TableRefills3[[#This Row],[refill_date]]-TableRefills3[[#This Row],[prev_refill_end]])</f>
        <v>-3</v>
      </c>
      <c r="H230" s="10">
        <f>IF(TableRefills3[[#This Row],[gap_days]]="",0,IF(TableRefills3[[#This Row],[gap_days]]&gt;2,1,0))</f>
        <v>0</v>
      </c>
      <c r="I230">
        <f>_xlfn.MAXIFS(TableRefills3[discountinuation_flag], TableRefills3[patient_id], A230)</f>
        <v>0</v>
      </c>
    </row>
    <row r="231" spans="1:9" x14ac:dyDescent="0.25">
      <c r="A231" t="s">
        <v>364</v>
      </c>
      <c r="B231" t="s">
        <v>365</v>
      </c>
      <c r="C231" s="3">
        <v>45934</v>
      </c>
      <c r="D231">
        <v>28</v>
      </c>
      <c r="E231" s="3">
        <f t="shared" si="3"/>
        <v>45907</v>
      </c>
      <c r="F231" s="3">
        <f>IF(TableRefills3[[#This Row],[prev_refill_days]]="","",TableRefills3[[#This Row],[prev_refill_days]]+TableRefills3[[#This Row],[quantity_days]])</f>
        <v>45935</v>
      </c>
      <c r="G231">
        <f>IF(TableRefills3[[#This Row],[prev_refill_end]]="","",TableRefills3[[#This Row],[refill_date]]-TableRefills3[[#This Row],[prev_refill_end]])</f>
        <v>-1</v>
      </c>
      <c r="H231" s="10">
        <f>IF(TableRefills3[[#This Row],[gap_days]]="",0,IF(TableRefills3[[#This Row],[gap_days]]&gt;2,1,0))</f>
        <v>0</v>
      </c>
      <c r="I231">
        <f>_xlfn.MAXIFS(TableRefills3[discountinuation_flag], TableRefills3[patient_id], A231)</f>
        <v>0</v>
      </c>
    </row>
    <row r="232" spans="1:9" x14ac:dyDescent="0.25">
      <c r="A232" t="s">
        <v>364</v>
      </c>
      <c r="B232" t="s">
        <v>365</v>
      </c>
      <c r="C232" s="3">
        <v>45960</v>
      </c>
      <c r="D232">
        <v>28</v>
      </c>
      <c r="E232" s="3">
        <f t="shared" si="3"/>
        <v>45934</v>
      </c>
      <c r="F232" s="3">
        <f>IF(TableRefills3[[#This Row],[prev_refill_days]]="","",TableRefills3[[#This Row],[prev_refill_days]]+TableRefills3[[#This Row],[quantity_days]])</f>
        <v>45962</v>
      </c>
      <c r="G232">
        <f>IF(TableRefills3[[#This Row],[prev_refill_end]]="","",TableRefills3[[#This Row],[refill_date]]-TableRefills3[[#This Row],[prev_refill_end]])</f>
        <v>-2</v>
      </c>
      <c r="H232" s="10">
        <f>IF(TableRefills3[[#This Row],[gap_days]]="",0,IF(TableRefills3[[#This Row],[gap_days]]&gt;2,1,0))</f>
        <v>0</v>
      </c>
      <c r="I232">
        <f>_xlfn.MAXIFS(TableRefills3[discountinuation_flag], TableRefills3[patient_id], A232)</f>
        <v>0</v>
      </c>
    </row>
    <row r="233" spans="1:9" x14ac:dyDescent="0.25">
      <c r="A233" t="s">
        <v>372</v>
      </c>
      <c r="B233" t="s">
        <v>373</v>
      </c>
      <c r="C233" s="3">
        <v>45949</v>
      </c>
      <c r="D233">
        <v>28</v>
      </c>
      <c r="E233" s="3" t="str">
        <f t="shared" si="3"/>
        <v/>
      </c>
      <c r="F233" s="3" t="str">
        <f>IF(TableRefills3[[#This Row],[prev_refill_days]]="","",TableRefills3[[#This Row],[prev_refill_days]]+TableRefills3[[#This Row],[quantity_days]])</f>
        <v/>
      </c>
      <c r="G233" t="str">
        <f>IF(TableRefills3[[#This Row],[prev_refill_end]]="","",TableRefills3[[#This Row],[refill_date]]-TableRefills3[[#This Row],[prev_refill_end]])</f>
        <v/>
      </c>
      <c r="H233" s="10">
        <f>IF(TableRefills3[[#This Row],[gap_days]]="",0,IF(TableRefills3[[#This Row],[gap_days]]&gt;2,1,0))</f>
        <v>0</v>
      </c>
      <c r="I233">
        <f>_xlfn.MAXIFS(TableRefills3[discountinuation_flag], TableRefills3[patient_id], A233)</f>
        <v>0</v>
      </c>
    </row>
    <row r="234" spans="1:9" x14ac:dyDescent="0.25">
      <c r="A234" t="s">
        <v>375</v>
      </c>
      <c r="B234" t="s">
        <v>376</v>
      </c>
      <c r="C234" s="3">
        <v>45912</v>
      </c>
      <c r="D234">
        <v>21</v>
      </c>
      <c r="E234" s="3" t="str">
        <f t="shared" si="3"/>
        <v/>
      </c>
      <c r="F234" s="3" t="str">
        <f>IF(TableRefills3[[#This Row],[prev_refill_days]]="","",TableRefills3[[#This Row],[prev_refill_days]]+TableRefills3[[#This Row],[quantity_days]])</f>
        <v/>
      </c>
      <c r="G234" t="str">
        <f>IF(TableRefills3[[#This Row],[prev_refill_end]]="","",TableRefills3[[#This Row],[refill_date]]-TableRefills3[[#This Row],[prev_refill_end]])</f>
        <v/>
      </c>
      <c r="H234" s="10">
        <f>IF(TableRefills3[[#This Row],[gap_days]]="",0,IF(TableRefills3[[#This Row],[gap_days]]&gt;2,1,0))</f>
        <v>0</v>
      </c>
      <c r="I234">
        <f>_xlfn.MAXIFS(TableRefills3[discountinuation_flag], TableRefills3[patient_id], A234)</f>
        <v>1</v>
      </c>
    </row>
    <row r="235" spans="1:9" x14ac:dyDescent="0.25">
      <c r="A235" t="s">
        <v>375</v>
      </c>
      <c r="B235" t="s">
        <v>376</v>
      </c>
      <c r="C235" s="3">
        <v>45936</v>
      </c>
      <c r="D235">
        <v>21</v>
      </c>
      <c r="E235" s="3">
        <f t="shared" si="3"/>
        <v>45912</v>
      </c>
      <c r="F235" s="3">
        <f>IF(TableRefills3[[#This Row],[prev_refill_days]]="","",TableRefills3[[#This Row],[prev_refill_days]]+TableRefills3[[#This Row],[quantity_days]])</f>
        <v>45933</v>
      </c>
      <c r="G235">
        <f>IF(TableRefills3[[#This Row],[prev_refill_end]]="","",TableRefills3[[#This Row],[refill_date]]-TableRefills3[[#This Row],[prev_refill_end]])</f>
        <v>3</v>
      </c>
      <c r="H235" s="10">
        <f>IF(TableRefills3[[#This Row],[gap_days]]="",0,IF(TableRefills3[[#This Row],[gap_days]]&gt;2,1,0))</f>
        <v>1</v>
      </c>
      <c r="I235">
        <f>_xlfn.MAXIFS(TableRefills3[discountinuation_flag], TableRefills3[patient_id], A235)</f>
        <v>1</v>
      </c>
    </row>
    <row r="236" spans="1:9" x14ac:dyDescent="0.25">
      <c r="A236" t="s">
        <v>375</v>
      </c>
      <c r="B236" t="s">
        <v>376</v>
      </c>
      <c r="C236" s="3">
        <v>45960</v>
      </c>
      <c r="D236">
        <v>21</v>
      </c>
      <c r="E236" s="3">
        <f t="shared" si="3"/>
        <v>45936</v>
      </c>
      <c r="F236" s="3">
        <f>IF(TableRefills3[[#This Row],[prev_refill_days]]="","",TableRefills3[[#This Row],[prev_refill_days]]+TableRefills3[[#This Row],[quantity_days]])</f>
        <v>45957</v>
      </c>
      <c r="G236">
        <f>IF(TableRefills3[[#This Row],[prev_refill_end]]="","",TableRefills3[[#This Row],[refill_date]]-TableRefills3[[#This Row],[prev_refill_end]])</f>
        <v>3</v>
      </c>
      <c r="H236" s="10">
        <f>IF(TableRefills3[[#This Row],[gap_days]]="",0,IF(TableRefills3[[#This Row],[gap_days]]&gt;2,1,0))</f>
        <v>1</v>
      </c>
      <c r="I236">
        <f>_xlfn.MAXIFS(TableRefills3[discountinuation_flag], TableRefills3[patient_id], A236)</f>
        <v>1</v>
      </c>
    </row>
    <row r="237" spans="1:9" x14ac:dyDescent="0.25">
      <c r="A237" t="s">
        <v>380</v>
      </c>
      <c r="B237" t="s">
        <v>381</v>
      </c>
      <c r="C237" s="3">
        <v>45795</v>
      </c>
      <c r="D237">
        <v>30</v>
      </c>
      <c r="E237" s="3" t="str">
        <f t="shared" si="3"/>
        <v/>
      </c>
      <c r="F237" s="3" t="str">
        <f>IF(TableRefills3[[#This Row],[prev_refill_days]]="","",TableRefills3[[#This Row],[prev_refill_days]]+TableRefills3[[#This Row],[quantity_days]])</f>
        <v/>
      </c>
      <c r="G237" t="str">
        <f>IF(TableRefills3[[#This Row],[prev_refill_end]]="","",TableRefills3[[#This Row],[refill_date]]-TableRefills3[[#This Row],[prev_refill_end]])</f>
        <v/>
      </c>
      <c r="H237" s="10">
        <f>IF(TableRefills3[[#This Row],[gap_days]]="",0,IF(TableRefills3[[#This Row],[gap_days]]&gt;2,1,0))</f>
        <v>0</v>
      </c>
      <c r="I237">
        <f>_xlfn.MAXIFS(TableRefills3[discountinuation_flag], TableRefills3[patient_id], A237)</f>
        <v>1</v>
      </c>
    </row>
    <row r="238" spans="1:9" x14ac:dyDescent="0.25">
      <c r="A238" t="s">
        <v>380</v>
      </c>
      <c r="B238" t="s">
        <v>381</v>
      </c>
      <c r="C238" s="3">
        <v>45824</v>
      </c>
      <c r="D238">
        <v>30</v>
      </c>
      <c r="E238" s="3">
        <f t="shared" si="3"/>
        <v>45795</v>
      </c>
      <c r="F238" s="3">
        <f>IF(TableRefills3[[#This Row],[prev_refill_days]]="","",TableRefills3[[#This Row],[prev_refill_days]]+TableRefills3[[#This Row],[quantity_days]])</f>
        <v>45825</v>
      </c>
      <c r="G238">
        <f>IF(TableRefills3[[#This Row],[prev_refill_end]]="","",TableRefills3[[#This Row],[refill_date]]-TableRefills3[[#This Row],[prev_refill_end]])</f>
        <v>-1</v>
      </c>
      <c r="H238" s="10">
        <f>IF(TableRefills3[[#This Row],[gap_days]]="",0,IF(TableRefills3[[#This Row],[gap_days]]&gt;2,1,0))</f>
        <v>0</v>
      </c>
      <c r="I238">
        <f>_xlfn.MAXIFS(TableRefills3[discountinuation_flag], TableRefills3[patient_id], A238)</f>
        <v>1</v>
      </c>
    </row>
    <row r="239" spans="1:9" x14ac:dyDescent="0.25">
      <c r="A239" t="s">
        <v>380</v>
      </c>
      <c r="B239" t="s">
        <v>381</v>
      </c>
      <c r="C239" s="3">
        <v>45857</v>
      </c>
      <c r="D239">
        <v>30</v>
      </c>
      <c r="E239" s="3">
        <f t="shared" si="3"/>
        <v>45824</v>
      </c>
      <c r="F239" s="3">
        <f>IF(TableRefills3[[#This Row],[prev_refill_days]]="","",TableRefills3[[#This Row],[prev_refill_days]]+TableRefills3[[#This Row],[quantity_days]])</f>
        <v>45854</v>
      </c>
      <c r="G239">
        <f>IF(TableRefills3[[#This Row],[prev_refill_end]]="","",TableRefills3[[#This Row],[refill_date]]-TableRefills3[[#This Row],[prev_refill_end]])</f>
        <v>3</v>
      </c>
      <c r="H239" s="10">
        <f>IF(TableRefills3[[#This Row],[gap_days]]="",0,IF(TableRefills3[[#This Row],[gap_days]]&gt;2,1,0))</f>
        <v>1</v>
      </c>
      <c r="I239">
        <f>_xlfn.MAXIFS(TableRefills3[discountinuation_flag], TableRefills3[patient_id], A239)</f>
        <v>1</v>
      </c>
    </row>
    <row r="240" spans="1:9" x14ac:dyDescent="0.25">
      <c r="A240" t="s">
        <v>385</v>
      </c>
      <c r="B240" t="s">
        <v>386</v>
      </c>
      <c r="C240" s="3">
        <v>45917</v>
      </c>
      <c r="D240">
        <v>28</v>
      </c>
      <c r="E240" s="3" t="str">
        <f t="shared" si="3"/>
        <v/>
      </c>
      <c r="F240" s="3" t="str">
        <f>IF(TableRefills3[[#This Row],[prev_refill_days]]="","",TableRefills3[[#This Row],[prev_refill_days]]+TableRefills3[[#This Row],[quantity_days]])</f>
        <v/>
      </c>
      <c r="G240" t="str">
        <f>IF(TableRefills3[[#This Row],[prev_refill_end]]="","",TableRefills3[[#This Row],[refill_date]]-TableRefills3[[#This Row],[prev_refill_end]])</f>
        <v/>
      </c>
      <c r="H240" s="10">
        <f>IF(TableRefills3[[#This Row],[gap_days]]="",0,IF(TableRefills3[[#This Row],[gap_days]]&gt;2,1,0))</f>
        <v>0</v>
      </c>
      <c r="I240">
        <f>_xlfn.MAXIFS(TableRefills3[discountinuation_flag], TableRefills3[patient_id], A240)</f>
        <v>0</v>
      </c>
    </row>
    <row r="241" spans="1:9" x14ac:dyDescent="0.25">
      <c r="A241" t="s">
        <v>385</v>
      </c>
      <c r="B241" t="s">
        <v>386</v>
      </c>
      <c r="C241" s="3">
        <v>45946</v>
      </c>
      <c r="D241">
        <v>28</v>
      </c>
      <c r="E241" s="3">
        <f t="shared" si="3"/>
        <v>45917</v>
      </c>
      <c r="F241" s="3">
        <f>IF(TableRefills3[[#This Row],[prev_refill_days]]="","",TableRefills3[[#This Row],[prev_refill_days]]+TableRefills3[[#This Row],[quantity_days]])</f>
        <v>45945</v>
      </c>
      <c r="G241">
        <f>IF(TableRefills3[[#This Row],[prev_refill_end]]="","",TableRefills3[[#This Row],[refill_date]]-TableRefills3[[#This Row],[prev_refill_end]])</f>
        <v>1</v>
      </c>
      <c r="H241" s="10">
        <f>IF(TableRefills3[[#This Row],[gap_days]]="",0,IF(TableRefills3[[#This Row],[gap_days]]&gt;2,1,0))</f>
        <v>0</v>
      </c>
      <c r="I241">
        <f>_xlfn.MAXIFS(TableRefills3[discountinuation_flag], TableRefills3[patient_id], A241)</f>
        <v>0</v>
      </c>
    </row>
    <row r="242" spans="1:9" x14ac:dyDescent="0.25">
      <c r="A242" t="s">
        <v>389</v>
      </c>
      <c r="B242" t="s">
        <v>390</v>
      </c>
      <c r="C242" s="3">
        <v>45907</v>
      </c>
      <c r="D242">
        <v>28</v>
      </c>
      <c r="E242" s="3" t="str">
        <f t="shared" si="3"/>
        <v/>
      </c>
      <c r="F242" s="3" t="str">
        <f>IF(TableRefills3[[#This Row],[prev_refill_days]]="","",TableRefills3[[#This Row],[prev_refill_days]]+TableRefills3[[#This Row],[quantity_days]])</f>
        <v/>
      </c>
      <c r="G242" t="str">
        <f>IF(TableRefills3[[#This Row],[prev_refill_end]]="","",TableRefills3[[#This Row],[refill_date]]-TableRefills3[[#This Row],[prev_refill_end]])</f>
        <v/>
      </c>
      <c r="H242" s="10">
        <f>IF(TableRefills3[[#This Row],[gap_days]]="",0,IF(TableRefills3[[#This Row],[gap_days]]&gt;2,1,0))</f>
        <v>0</v>
      </c>
      <c r="I242">
        <f>_xlfn.MAXIFS(TableRefills3[discountinuation_flag], TableRefills3[patient_id], A242)</f>
        <v>0</v>
      </c>
    </row>
    <row r="243" spans="1:9" x14ac:dyDescent="0.25">
      <c r="A243" t="s">
        <v>389</v>
      </c>
      <c r="B243" t="s">
        <v>390</v>
      </c>
      <c r="C243" s="3">
        <v>45933</v>
      </c>
      <c r="D243">
        <v>28</v>
      </c>
      <c r="E243" s="3">
        <f t="shared" si="3"/>
        <v>45907</v>
      </c>
      <c r="F243" s="3">
        <f>IF(TableRefills3[[#This Row],[prev_refill_days]]="","",TableRefills3[[#This Row],[prev_refill_days]]+TableRefills3[[#This Row],[quantity_days]])</f>
        <v>45935</v>
      </c>
      <c r="G243">
        <f>IF(TableRefills3[[#This Row],[prev_refill_end]]="","",TableRefills3[[#This Row],[refill_date]]-TableRefills3[[#This Row],[prev_refill_end]])</f>
        <v>-2</v>
      </c>
      <c r="H243" s="10">
        <f>IF(TableRefills3[[#This Row],[gap_days]]="",0,IF(TableRefills3[[#This Row],[gap_days]]&gt;2,1,0))</f>
        <v>0</v>
      </c>
      <c r="I243">
        <f>_xlfn.MAXIFS(TableRefills3[discountinuation_flag], TableRefills3[patient_id], A243)</f>
        <v>0</v>
      </c>
    </row>
    <row r="244" spans="1:9" x14ac:dyDescent="0.25">
      <c r="A244" t="s">
        <v>389</v>
      </c>
      <c r="B244" t="s">
        <v>390</v>
      </c>
      <c r="C244" s="3">
        <v>45960</v>
      </c>
      <c r="D244">
        <v>28</v>
      </c>
      <c r="E244" s="3">
        <f t="shared" si="3"/>
        <v>45933</v>
      </c>
      <c r="F244" s="3">
        <f>IF(TableRefills3[[#This Row],[prev_refill_days]]="","",TableRefills3[[#This Row],[prev_refill_days]]+TableRefills3[[#This Row],[quantity_days]])</f>
        <v>45961</v>
      </c>
      <c r="G244">
        <f>IF(TableRefills3[[#This Row],[prev_refill_end]]="","",TableRefills3[[#This Row],[refill_date]]-TableRefills3[[#This Row],[prev_refill_end]])</f>
        <v>-1</v>
      </c>
      <c r="H244" s="10">
        <f>IF(TableRefills3[[#This Row],[gap_days]]="",0,IF(TableRefills3[[#This Row],[gap_days]]&gt;2,1,0))</f>
        <v>0</v>
      </c>
      <c r="I244">
        <f>_xlfn.MAXIFS(TableRefills3[discountinuation_flag], TableRefills3[patient_id], A244)</f>
        <v>0</v>
      </c>
    </row>
    <row r="245" spans="1:9" x14ac:dyDescent="0.25">
      <c r="A245" t="s">
        <v>394</v>
      </c>
      <c r="B245" t="s">
        <v>395</v>
      </c>
      <c r="C245" s="3">
        <v>45783</v>
      </c>
      <c r="D245">
        <v>28</v>
      </c>
      <c r="E245" s="3" t="str">
        <f t="shared" si="3"/>
        <v/>
      </c>
      <c r="F245" s="3" t="str">
        <f>IF(TableRefills3[[#This Row],[prev_refill_days]]="","",TableRefills3[[#This Row],[prev_refill_days]]+TableRefills3[[#This Row],[quantity_days]])</f>
        <v/>
      </c>
      <c r="G245" t="str">
        <f>IF(TableRefills3[[#This Row],[prev_refill_end]]="","",TableRefills3[[#This Row],[refill_date]]-TableRefills3[[#This Row],[prev_refill_end]])</f>
        <v/>
      </c>
      <c r="H245" s="10">
        <f>IF(TableRefills3[[#This Row],[gap_days]]="",0,IF(TableRefills3[[#This Row],[gap_days]]&gt;2,1,0))</f>
        <v>0</v>
      </c>
      <c r="I245">
        <f>_xlfn.MAXIFS(TableRefills3[discountinuation_flag], TableRefills3[patient_id], A245)</f>
        <v>1</v>
      </c>
    </row>
    <row r="246" spans="1:9" x14ac:dyDescent="0.25">
      <c r="A246" t="s">
        <v>394</v>
      </c>
      <c r="B246" t="s">
        <v>395</v>
      </c>
      <c r="C246" s="3">
        <v>45814</v>
      </c>
      <c r="D246">
        <v>28</v>
      </c>
      <c r="E246" s="3">
        <f t="shared" si="3"/>
        <v>45783</v>
      </c>
      <c r="F246" s="3">
        <f>IF(TableRefills3[[#This Row],[prev_refill_days]]="","",TableRefills3[[#This Row],[prev_refill_days]]+TableRefills3[[#This Row],[quantity_days]])</f>
        <v>45811</v>
      </c>
      <c r="G246">
        <f>IF(TableRefills3[[#This Row],[prev_refill_end]]="","",TableRefills3[[#This Row],[refill_date]]-TableRefills3[[#This Row],[prev_refill_end]])</f>
        <v>3</v>
      </c>
      <c r="H246" s="10">
        <f>IF(TableRefills3[[#This Row],[gap_days]]="",0,IF(TableRefills3[[#This Row],[gap_days]]&gt;2,1,0))</f>
        <v>1</v>
      </c>
      <c r="I246">
        <f>_xlfn.MAXIFS(TableRefills3[discountinuation_flag], TableRefills3[patient_id], A246)</f>
        <v>1</v>
      </c>
    </row>
    <row r="247" spans="1:9" x14ac:dyDescent="0.25">
      <c r="A247" t="s">
        <v>394</v>
      </c>
      <c r="B247" t="s">
        <v>395</v>
      </c>
      <c r="C247" s="3">
        <v>45841</v>
      </c>
      <c r="D247">
        <v>28</v>
      </c>
      <c r="E247" s="3">
        <f t="shared" si="3"/>
        <v>45814</v>
      </c>
      <c r="F247" s="3">
        <f>IF(TableRefills3[[#This Row],[prev_refill_days]]="","",TableRefills3[[#This Row],[prev_refill_days]]+TableRefills3[[#This Row],[quantity_days]])</f>
        <v>45842</v>
      </c>
      <c r="G247">
        <f>IF(TableRefills3[[#This Row],[prev_refill_end]]="","",TableRefills3[[#This Row],[refill_date]]-TableRefills3[[#This Row],[prev_refill_end]])</f>
        <v>-1</v>
      </c>
      <c r="H247" s="10">
        <f>IF(TableRefills3[[#This Row],[gap_days]]="",0,IF(TableRefills3[[#This Row],[gap_days]]&gt;2,1,0))</f>
        <v>0</v>
      </c>
      <c r="I247">
        <f>_xlfn.MAXIFS(TableRefills3[discountinuation_flag], TableRefills3[patient_id], A247)</f>
        <v>1</v>
      </c>
    </row>
    <row r="248" spans="1:9" x14ac:dyDescent="0.25">
      <c r="A248" t="s">
        <v>394</v>
      </c>
      <c r="B248" t="s">
        <v>395</v>
      </c>
      <c r="C248" s="3">
        <v>45872</v>
      </c>
      <c r="D248">
        <v>28</v>
      </c>
      <c r="E248" s="3">
        <f t="shared" si="3"/>
        <v>45841</v>
      </c>
      <c r="F248" s="3">
        <f>IF(TableRefills3[[#This Row],[prev_refill_days]]="","",TableRefills3[[#This Row],[prev_refill_days]]+TableRefills3[[#This Row],[quantity_days]])</f>
        <v>45869</v>
      </c>
      <c r="G248">
        <f>IF(TableRefills3[[#This Row],[prev_refill_end]]="","",TableRefills3[[#This Row],[refill_date]]-TableRefills3[[#This Row],[prev_refill_end]])</f>
        <v>3</v>
      </c>
      <c r="H248" s="10">
        <f>IF(TableRefills3[[#This Row],[gap_days]]="",0,IF(TableRefills3[[#This Row],[gap_days]]&gt;2,1,0))</f>
        <v>1</v>
      </c>
      <c r="I248">
        <f>_xlfn.MAXIFS(TableRefills3[discountinuation_flag], TableRefills3[patient_id], A248)</f>
        <v>1</v>
      </c>
    </row>
    <row r="249" spans="1:9" x14ac:dyDescent="0.25">
      <c r="A249" t="s">
        <v>394</v>
      </c>
      <c r="B249" t="s">
        <v>395</v>
      </c>
      <c r="C249" s="3">
        <v>45901</v>
      </c>
      <c r="D249">
        <v>28</v>
      </c>
      <c r="E249" s="3">
        <f t="shared" si="3"/>
        <v>45872</v>
      </c>
      <c r="F249" s="3">
        <f>IF(TableRefills3[[#This Row],[prev_refill_days]]="","",TableRefills3[[#This Row],[prev_refill_days]]+TableRefills3[[#This Row],[quantity_days]])</f>
        <v>45900</v>
      </c>
      <c r="G249">
        <f>IF(TableRefills3[[#This Row],[prev_refill_end]]="","",TableRefills3[[#This Row],[refill_date]]-TableRefills3[[#This Row],[prev_refill_end]])</f>
        <v>1</v>
      </c>
      <c r="H249" s="10">
        <f>IF(TableRefills3[[#This Row],[gap_days]]="",0,IF(TableRefills3[[#This Row],[gap_days]]&gt;2,1,0))</f>
        <v>0</v>
      </c>
      <c r="I249">
        <f>_xlfn.MAXIFS(TableRefills3[discountinuation_flag], TableRefills3[patient_id], A249)</f>
        <v>1</v>
      </c>
    </row>
    <row r="250" spans="1:9" x14ac:dyDescent="0.25">
      <c r="A250" t="s">
        <v>394</v>
      </c>
      <c r="B250" t="s">
        <v>395</v>
      </c>
      <c r="C250" s="3">
        <v>45932</v>
      </c>
      <c r="D250">
        <v>28</v>
      </c>
      <c r="E250" s="3">
        <f t="shared" si="3"/>
        <v>45901</v>
      </c>
      <c r="F250" s="3">
        <f>IF(TableRefills3[[#This Row],[prev_refill_days]]="","",TableRefills3[[#This Row],[prev_refill_days]]+TableRefills3[[#This Row],[quantity_days]])</f>
        <v>45929</v>
      </c>
      <c r="G250">
        <f>IF(TableRefills3[[#This Row],[prev_refill_end]]="","",TableRefills3[[#This Row],[refill_date]]-TableRefills3[[#This Row],[prev_refill_end]])</f>
        <v>3</v>
      </c>
      <c r="H250" s="10">
        <f>IF(TableRefills3[[#This Row],[gap_days]]="",0,IF(TableRefills3[[#This Row],[gap_days]]&gt;2,1,0))</f>
        <v>1</v>
      </c>
      <c r="I250">
        <f>_xlfn.MAXIFS(TableRefills3[discountinuation_flag], TableRefills3[patient_id], A250)</f>
        <v>1</v>
      </c>
    </row>
    <row r="251" spans="1:9" x14ac:dyDescent="0.25">
      <c r="A251" t="s">
        <v>394</v>
      </c>
      <c r="B251" t="s">
        <v>395</v>
      </c>
      <c r="C251" s="3">
        <v>45958</v>
      </c>
      <c r="D251">
        <v>28</v>
      </c>
      <c r="E251" s="3">
        <f t="shared" si="3"/>
        <v>45932</v>
      </c>
      <c r="F251" s="3">
        <f>IF(TableRefills3[[#This Row],[prev_refill_days]]="","",TableRefills3[[#This Row],[prev_refill_days]]+TableRefills3[[#This Row],[quantity_days]])</f>
        <v>45960</v>
      </c>
      <c r="G251">
        <f>IF(TableRefills3[[#This Row],[prev_refill_end]]="","",TableRefills3[[#This Row],[refill_date]]-TableRefills3[[#This Row],[prev_refill_end]])</f>
        <v>-2</v>
      </c>
      <c r="H251" s="10">
        <f>IF(TableRefills3[[#This Row],[gap_days]]="",0,IF(TableRefills3[[#This Row],[gap_days]]&gt;2,1,0))</f>
        <v>0</v>
      </c>
      <c r="I251">
        <f>_xlfn.MAXIFS(TableRefills3[discountinuation_flag], TableRefills3[patient_id], A251)</f>
        <v>1</v>
      </c>
    </row>
    <row r="252" spans="1:9" x14ac:dyDescent="0.25">
      <c r="A252" t="s">
        <v>403</v>
      </c>
      <c r="B252" t="s">
        <v>404</v>
      </c>
      <c r="C252" s="3">
        <v>45898</v>
      </c>
      <c r="D252">
        <v>28</v>
      </c>
      <c r="E252" s="3" t="str">
        <f t="shared" si="3"/>
        <v/>
      </c>
      <c r="F252" s="3" t="str">
        <f>IF(TableRefills3[[#This Row],[prev_refill_days]]="","",TableRefills3[[#This Row],[prev_refill_days]]+TableRefills3[[#This Row],[quantity_days]])</f>
        <v/>
      </c>
      <c r="G252" t="str">
        <f>IF(TableRefills3[[#This Row],[prev_refill_end]]="","",TableRefills3[[#This Row],[refill_date]]-TableRefills3[[#This Row],[prev_refill_end]])</f>
        <v/>
      </c>
      <c r="H252" s="10">
        <f>IF(TableRefills3[[#This Row],[gap_days]]="",0,IF(TableRefills3[[#This Row],[gap_days]]&gt;2,1,0))</f>
        <v>0</v>
      </c>
      <c r="I252">
        <f>_xlfn.MAXIFS(TableRefills3[discountinuation_flag], TableRefills3[patient_id], A252)</f>
        <v>0</v>
      </c>
    </row>
    <row r="253" spans="1:9" x14ac:dyDescent="0.25">
      <c r="A253" t="s">
        <v>403</v>
      </c>
      <c r="B253" t="s">
        <v>404</v>
      </c>
      <c r="C253" s="3">
        <v>45928</v>
      </c>
      <c r="D253">
        <v>28</v>
      </c>
      <c r="E253" s="3">
        <f t="shared" si="3"/>
        <v>45898</v>
      </c>
      <c r="F253" s="3">
        <f>IF(TableRefills3[[#This Row],[prev_refill_days]]="","",TableRefills3[[#This Row],[prev_refill_days]]+TableRefills3[[#This Row],[quantity_days]])</f>
        <v>45926</v>
      </c>
      <c r="G253">
        <f>IF(TableRefills3[[#This Row],[prev_refill_end]]="","",TableRefills3[[#This Row],[refill_date]]-TableRefills3[[#This Row],[prev_refill_end]])</f>
        <v>2</v>
      </c>
      <c r="H253" s="10">
        <f>IF(TableRefills3[[#This Row],[gap_days]]="",0,IF(TableRefills3[[#This Row],[gap_days]]&gt;2,1,0))</f>
        <v>0</v>
      </c>
      <c r="I253">
        <f>_xlfn.MAXIFS(TableRefills3[discountinuation_flag], TableRefills3[patient_id], A253)</f>
        <v>0</v>
      </c>
    </row>
    <row r="254" spans="1:9" x14ac:dyDescent="0.25">
      <c r="A254" t="s">
        <v>403</v>
      </c>
      <c r="B254" t="s">
        <v>404</v>
      </c>
      <c r="C254" s="3">
        <v>45955</v>
      </c>
      <c r="D254">
        <v>28</v>
      </c>
      <c r="E254" s="3">
        <f t="shared" si="3"/>
        <v>45928</v>
      </c>
      <c r="F254" s="3">
        <f>IF(TableRefills3[[#This Row],[prev_refill_days]]="","",TableRefills3[[#This Row],[prev_refill_days]]+TableRefills3[[#This Row],[quantity_days]])</f>
        <v>45956</v>
      </c>
      <c r="G254">
        <f>IF(TableRefills3[[#This Row],[prev_refill_end]]="","",TableRefills3[[#This Row],[refill_date]]-TableRefills3[[#This Row],[prev_refill_end]])</f>
        <v>-1</v>
      </c>
      <c r="H254" s="10">
        <f>IF(TableRefills3[[#This Row],[gap_days]]="",0,IF(TableRefills3[[#This Row],[gap_days]]&gt;2,1,0))</f>
        <v>0</v>
      </c>
      <c r="I254">
        <f>_xlfn.MAXIFS(TableRefills3[discountinuation_flag], TableRefills3[patient_id], A254)</f>
        <v>0</v>
      </c>
    </row>
    <row r="255" spans="1:9" x14ac:dyDescent="0.25">
      <c r="A255" t="s">
        <v>408</v>
      </c>
      <c r="B255" t="s">
        <v>409</v>
      </c>
      <c r="C255" s="3">
        <v>45940</v>
      </c>
      <c r="D255">
        <v>28</v>
      </c>
      <c r="E255" s="3" t="str">
        <f t="shared" si="3"/>
        <v/>
      </c>
      <c r="F255" s="3" t="str">
        <f>IF(TableRefills3[[#This Row],[prev_refill_days]]="","",TableRefills3[[#This Row],[prev_refill_days]]+TableRefills3[[#This Row],[quantity_days]])</f>
        <v/>
      </c>
      <c r="G255" t="str">
        <f>IF(TableRefills3[[#This Row],[prev_refill_end]]="","",TableRefills3[[#This Row],[refill_date]]-TableRefills3[[#This Row],[prev_refill_end]])</f>
        <v/>
      </c>
      <c r="H255" s="10">
        <f>IF(TableRefills3[[#This Row],[gap_days]]="",0,IF(TableRefills3[[#This Row],[gap_days]]&gt;2,1,0))</f>
        <v>0</v>
      </c>
      <c r="I255">
        <f>_xlfn.MAXIFS(TableRefills3[discountinuation_flag], TableRefills3[patient_id], A255)</f>
        <v>0</v>
      </c>
    </row>
    <row r="256" spans="1:9" x14ac:dyDescent="0.25">
      <c r="A256" t="s">
        <v>411</v>
      </c>
      <c r="B256" t="s">
        <v>412</v>
      </c>
      <c r="C256" s="3">
        <v>45873</v>
      </c>
      <c r="D256">
        <v>21</v>
      </c>
      <c r="E256" s="3" t="str">
        <f t="shared" si="3"/>
        <v/>
      </c>
      <c r="F256" s="3" t="str">
        <f>IF(TableRefills3[[#This Row],[prev_refill_days]]="","",TableRefills3[[#This Row],[prev_refill_days]]+TableRefills3[[#This Row],[quantity_days]])</f>
        <v/>
      </c>
      <c r="G256" t="str">
        <f>IF(TableRefills3[[#This Row],[prev_refill_end]]="","",TableRefills3[[#This Row],[refill_date]]-TableRefills3[[#This Row],[prev_refill_end]])</f>
        <v/>
      </c>
      <c r="H256" s="10">
        <f>IF(TableRefills3[[#This Row],[gap_days]]="",0,IF(TableRefills3[[#This Row],[gap_days]]&gt;2,1,0))</f>
        <v>0</v>
      </c>
      <c r="I256">
        <f>_xlfn.MAXIFS(TableRefills3[discountinuation_flag], TableRefills3[patient_id], A256)</f>
        <v>0</v>
      </c>
    </row>
    <row r="257" spans="1:9" x14ac:dyDescent="0.25">
      <c r="A257" t="s">
        <v>414</v>
      </c>
      <c r="B257" t="s">
        <v>415</v>
      </c>
      <c r="C257" s="3">
        <v>45782</v>
      </c>
      <c r="D257">
        <v>14</v>
      </c>
      <c r="E257" s="3" t="str">
        <f t="shared" si="3"/>
        <v/>
      </c>
      <c r="F257" s="3" t="str">
        <f>IF(TableRefills3[[#This Row],[prev_refill_days]]="","",TableRefills3[[#This Row],[prev_refill_days]]+TableRefills3[[#This Row],[quantity_days]])</f>
        <v/>
      </c>
      <c r="G257" t="str">
        <f>IF(TableRefills3[[#This Row],[prev_refill_end]]="","",TableRefills3[[#This Row],[refill_date]]-TableRefills3[[#This Row],[prev_refill_end]])</f>
        <v/>
      </c>
      <c r="H257" s="10">
        <f>IF(TableRefills3[[#This Row],[gap_days]]="",0,IF(TableRefills3[[#This Row],[gap_days]]&gt;2,1,0))</f>
        <v>0</v>
      </c>
      <c r="I257">
        <f>_xlfn.MAXIFS(TableRefills3[discountinuation_flag], TableRefills3[patient_id], A257)</f>
        <v>0</v>
      </c>
    </row>
    <row r="258" spans="1:9" x14ac:dyDescent="0.25">
      <c r="A258" t="s">
        <v>414</v>
      </c>
      <c r="B258" t="s">
        <v>415</v>
      </c>
      <c r="C258" s="3">
        <v>45795</v>
      </c>
      <c r="D258">
        <v>14</v>
      </c>
      <c r="E258" s="3">
        <f t="shared" ref="E258:E321" si="4">IF(A257=A258,C257,"")</f>
        <v>45782</v>
      </c>
      <c r="F258" s="3">
        <f>IF(TableRefills3[[#This Row],[prev_refill_days]]="","",TableRefills3[[#This Row],[prev_refill_days]]+TableRefills3[[#This Row],[quantity_days]])</f>
        <v>45796</v>
      </c>
      <c r="G258">
        <f>IF(TableRefills3[[#This Row],[prev_refill_end]]="","",TableRefills3[[#This Row],[refill_date]]-TableRefills3[[#This Row],[prev_refill_end]])</f>
        <v>-1</v>
      </c>
      <c r="H258" s="10">
        <f>IF(TableRefills3[[#This Row],[gap_days]]="",0,IF(TableRefills3[[#This Row],[gap_days]]&gt;2,1,0))</f>
        <v>0</v>
      </c>
      <c r="I258">
        <f>_xlfn.MAXIFS(TableRefills3[discountinuation_flag], TableRefills3[patient_id], A258)</f>
        <v>0</v>
      </c>
    </row>
    <row r="259" spans="1:9" x14ac:dyDescent="0.25">
      <c r="A259" t="s">
        <v>418</v>
      </c>
      <c r="B259" t="s">
        <v>419</v>
      </c>
      <c r="C259" s="3">
        <v>45795</v>
      </c>
      <c r="D259">
        <v>28</v>
      </c>
      <c r="E259" s="3" t="str">
        <f t="shared" si="4"/>
        <v/>
      </c>
      <c r="F259" s="3" t="str">
        <f>IF(TableRefills3[[#This Row],[prev_refill_days]]="","",TableRefills3[[#This Row],[prev_refill_days]]+TableRefills3[[#This Row],[quantity_days]])</f>
        <v/>
      </c>
      <c r="G259" t="str">
        <f>IF(TableRefills3[[#This Row],[prev_refill_end]]="","",TableRefills3[[#This Row],[refill_date]]-TableRefills3[[#This Row],[prev_refill_end]])</f>
        <v/>
      </c>
      <c r="H259" s="10">
        <f>IF(TableRefills3[[#This Row],[gap_days]]="",0,IF(TableRefills3[[#This Row],[gap_days]]&gt;2,1,0))</f>
        <v>0</v>
      </c>
      <c r="I259">
        <f>_xlfn.MAXIFS(TableRefills3[discountinuation_flag], TableRefills3[patient_id], A259)</f>
        <v>0</v>
      </c>
    </row>
    <row r="260" spans="1:9" x14ac:dyDescent="0.25">
      <c r="A260" t="s">
        <v>418</v>
      </c>
      <c r="B260" t="s">
        <v>419</v>
      </c>
      <c r="C260" s="3">
        <v>45821</v>
      </c>
      <c r="D260">
        <v>28</v>
      </c>
      <c r="E260" s="3">
        <f t="shared" si="4"/>
        <v>45795</v>
      </c>
      <c r="F260" s="3">
        <f>IF(TableRefills3[[#This Row],[prev_refill_days]]="","",TableRefills3[[#This Row],[prev_refill_days]]+TableRefills3[[#This Row],[quantity_days]])</f>
        <v>45823</v>
      </c>
      <c r="G260">
        <f>IF(TableRefills3[[#This Row],[prev_refill_end]]="","",TableRefills3[[#This Row],[refill_date]]-TableRefills3[[#This Row],[prev_refill_end]])</f>
        <v>-2</v>
      </c>
      <c r="H260" s="10">
        <f>IF(TableRefills3[[#This Row],[gap_days]]="",0,IF(TableRefills3[[#This Row],[gap_days]]&gt;2,1,0))</f>
        <v>0</v>
      </c>
      <c r="I260">
        <f>_xlfn.MAXIFS(TableRefills3[discountinuation_flag], TableRefills3[patient_id], A260)</f>
        <v>0</v>
      </c>
    </row>
    <row r="261" spans="1:9" x14ac:dyDescent="0.25">
      <c r="A261" t="s">
        <v>418</v>
      </c>
      <c r="B261" t="s">
        <v>419</v>
      </c>
      <c r="C261" s="3">
        <v>45848</v>
      </c>
      <c r="D261">
        <v>28</v>
      </c>
      <c r="E261" s="3">
        <f t="shared" si="4"/>
        <v>45821</v>
      </c>
      <c r="F261" s="3">
        <f>IF(TableRefills3[[#This Row],[prev_refill_days]]="","",TableRefills3[[#This Row],[prev_refill_days]]+TableRefills3[[#This Row],[quantity_days]])</f>
        <v>45849</v>
      </c>
      <c r="G261">
        <f>IF(TableRefills3[[#This Row],[prev_refill_end]]="","",TableRefills3[[#This Row],[refill_date]]-TableRefills3[[#This Row],[prev_refill_end]])</f>
        <v>-1</v>
      </c>
      <c r="H261" s="10">
        <f>IF(TableRefills3[[#This Row],[gap_days]]="",0,IF(TableRefills3[[#This Row],[gap_days]]&gt;2,1,0))</f>
        <v>0</v>
      </c>
      <c r="I261">
        <f>_xlfn.MAXIFS(TableRefills3[discountinuation_flag], TableRefills3[patient_id], A261)</f>
        <v>0</v>
      </c>
    </row>
    <row r="262" spans="1:9" x14ac:dyDescent="0.25">
      <c r="A262" t="s">
        <v>418</v>
      </c>
      <c r="B262" t="s">
        <v>419</v>
      </c>
      <c r="C262" s="3">
        <v>45878</v>
      </c>
      <c r="D262">
        <v>28</v>
      </c>
      <c r="E262" s="3">
        <f t="shared" si="4"/>
        <v>45848</v>
      </c>
      <c r="F262" s="3">
        <f>IF(TableRefills3[[#This Row],[prev_refill_days]]="","",TableRefills3[[#This Row],[prev_refill_days]]+TableRefills3[[#This Row],[quantity_days]])</f>
        <v>45876</v>
      </c>
      <c r="G262">
        <f>IF(TableRefills3[[#This Row],[prev_refill_end]]="","",TableRefills3[[#This Row],[refill_date]]-TableRefills3[[#This Row],[prev_refill_end]])</f>
        <v>2</v>
      </c>
      <c r="H262" s="10">
        <f>IF(TableRefills3[[#This Row],[gap_days]]="",0,IF(TableRefills3[[#This Row],[gap_days]]&gt;2,1,0))</f>
        <v>0</v>
      </c>
      <c r="I262">
        <f>_xlfn.MAXIFS(TableRefills3[discountinuation_flag], TableRefills3[patient_id], A262)</f>
        <v>0</v>
      </c>
    </row>
    <row r="263" spans="1:9" x14ac:dyDescent="0.25">
      <c r="A263" t="s">
        <v>418</v>
      </c>
      <c r="B263" t="s">
        <v>419</v>
      </c>
      <c r="C263" s="3">
        <v>45905</v>
      </c>
      <c r="D263">
        <v>28</v>
      </c>
      <c r="E263" s="3">
        <f t="shared" si="4"/>
        <v>45878</v>
      </c>
      <c r="F263" s="3">
        <f>IF(TableRefills3[[#This Row],[prev_refill_days]]="","",TableRefills3[[#This Row],[prev_refill_days]]+TableRefills3[[#This Row],[quantity_days]])</f>
        <v>45906</v>
      </c>
      <c r="G263">
        <f>IF(TableRefills3[[#This Row],[prev_refill_end]]="","",TableRefills3[[#This Row],[refill_date]]-TableRefills3[[#This Row],[prev_refill_end]])</f>
        <v>-1</v>
      </c>
      <c r="H263" s="10">
        <f>IF(TableRefills3[[#This Row],[gap_days]]="",0,IF(TableRefills3[[#This Row],[gap_days]]&gt;2,1,0))</f>
        <v>0</v>
      </c>
      <c r="I263">
        <f>_xlfn.MAXIFS(TableRefills3[discountinuation_flag], TableRefills3[patient_id], A263)</f>
        <v>0</v>
      </c>
    </row>
    <row r="264" spans="1:9" x14ac:dyDescent="0.25">
      <c r="A264" t="s">
        <v>418</v>
      </c>
      <c r="B264" t="s">
        <v>419</v>
      </c>
      <c r="C264" s="3">
        <v>45934</v>
      </c>
      <c r="D264">
        <v>28</v>
      </c>
      <c r="E264" s="3">
        <f t="shared" si="4"/>
        <v>45905</v>
      </c>
      <c r="F264" s="3">
        <f>IF(TableRefills3[[#This Row],[prev_refill_days]]="","",TableRefills3[[#This Row],[prev_refill_days]]+TableRefills3[[#This Row],[quantity_days]])</f>
        <v>45933</v>
      </c>
      <c r="G264">
        <f>IF(TableRefills3[[#This Row],[prev_refill_end]]="","",TableRefills3[[#This Row],[refill_date]]-TableRefills3[[#This Row],[prev_refill_end]])</f>
        <v>1</v>
      </c>
      <c r="H264" s="10">
        <f>IF(TableRefills3[[#This Row],[gap_days]]="",0,IF(TableRefills3[[#This Row],[gap_days]]&gt;2,1,0))</f>
        <v>0</v>
      </c>
      <c r="I264">
        <f>_xlfn.MAXIFS(TableRefills3[discountinuation_flag], TableRefills3[patient_id], A264)</f>
        <v>0</v>
      </c>
    </row>
    <row r="265" spans="1:9" x14ac:dyDescent="0.25">
      <c r="A265" t="s">
        <v>426</v>
      </c>
      <c r="B265" t="s">
        <v>427</v>
      </c>
      <c r="C265" s="3">
        <v>45839</v>
      </c>
      <c r="D265">
        <v>30</v>
      </c>
      <c r="E265" s="3" t="str">
        <f t="shared" si="4"/>
        <v/>
      </c>
      <c r="F265" s="3" t="str">
        <f>IF(TableRefills3[[#This Row],[prev_refill_days]]="","",TableRefills3[[#This Row],[prev_refill_days]]+TableRefills3[[#This Row],[quantity_days]])</f>
        <v/>
      </c>
      <c r="G265" t="str">
        <f>IF(TableRefills3[[#This Row],[prev_refill_end]]="","",TableRefills3[[#This Row],[refill_date]]-TableRefills3[[#This Row],[prev_refill_end]])</f>
        <v/>
      </c>
      <c r="H265" s="10">
        <f>IF(TableRefills3[[#This Row],[gap_days]]="",0,IF(TableRefills3[[#This Row],[gap_days]]&gt;2,1,0))</f>
        <v>0</v>
      </c>
      <c r="I265">
        <f>_xlfn.MAXIFS(TableRefills3[discountinuation_flag], TableRefills3[patient_id], A265)</f>
        <v>0</v>
      </c>
    </row>
    <row r="266" spans="1:9" x14ac:dyDescent="0.25">
      <c r="A266" t="s">
        <v>426</v>
      </c>
      <c r="B266" t="s">
        <v>427</v>
      </c>
      <c r="C266" s="3">
        <v>45868</v>
      </c>
      <c r="D266">
        <v>30</v>
      </c>
      <c r="E266" s="3">
        <f t="shared" si="4"/>
        <v>45839</v>
      </c>
      <c r="F266" s="3">
        <f>IF(TableRefills3[[#This Row],[prev_refill_days]]="","",TableRefills3[[#This Row],[prev_refill_days]]+TableRefills3[[#This Row],[quantity_days]])</f>
        <v>45869</v>
      </c>
      <c r="G266">
        <f>IF(TableRefills3[[#This Row],[prev_refill_end]]="","",TableRefills3[[#This Row],[refill_date]]-TableRefills3[[#This Row],[prev_refill_end]])</f>
        <v>-1</v>
      </c>
      <c r="H266" s="10">
        <f>IF(TableRefills3[[#This Row],[gap_days]]="",0,IF(TableRefills3[[#This Row],[gap_days]]&gt;2,1,0))</f>
        <v>0</v>
      </c>
      <c r="I266">
        <f>_xlfn.MAXIFS(TableRefills3[discountinuation_flag], TableRefills3[patient_id], A266)</f>
        <v>0</v>
      </c>
    </row>
    <row r="267" spans="1:9" x14ac:dyDescent="0.25">
      <c r="A267" t="s">
        <v>426</v>
      </c>
      <c r="B267" t="s">
        <v>427</v>
      </c>
      <c r="C267" s="3">
        <v>45899</v>
      </c>
      <c r="D267">
        <v>30</v>
      </c>
      <c r="E267" s="3">
        <f t="shared" si="4"/>
        <v>45868</v>
      </c>
      <c r="F267" s="3">
        <f>IF(TableRefills3[[#This Row],[prev_refill_days]]="","",TableRefills3[[#This Row],[prev_refill_days]]+TableRefills3[[#This Row],[quantity_days]])</f>
        <v>45898</v>
      </c>
      <c r="G267">
        <f>IF(TableRefills3[[#This Row],[prev_refill_end]]="","",TableRefills3[[#This Row],[refill_date]]-TableRefills3[[#This Row],[prev_refill_end]])</f>
        <v>1</v>
      </c>
      <c r="H267" s="10">
        <f>IF(TableRefills3[[#This Row],[gap_days]]="",0,IF(TableRefills3[[#This Row],[gap_days]]&gt;2,1,0))</f>
        <v>0</v>
      </c>
      <c r="I267">
        <f>_xlfn.MAXIFS(TableRefills3[discountinuation_flag], TableRefills3[patient_id], A267)</f>
        <v>0</v>
      </c>
    </row>
    <row r="268" spans="1:9" x14ac:dyDescent="0.25">
      <c r="A268" t="s">
        <v>426</v>
      </c>
      <c r="B268" t="s">
        <v>427</v>
      </c>
      <c r="C268" s="3">
        <v>45927</v>
      </c>
      <c r="D268">
        <v>30</v>
      </c>
      <c r="E268" s="3">
        <f t="shared" si="4"/>
        <v>45899</v>
      </c>
      <c r="F268" s="3">
        <f>IF(TableRefills3[[#This Row],[prev_refill_days]]="","",TableRefills3[[#This Row],[prev_refill_days]]+TableRefills3[[#This Row],[quantity_days]])</f>
        <v>45929</v>
      </c>
      <c r="G268">
        <f>IF(TableRefills3[[#This Row],[prev_refill_end]]="","",TableRefills3[[#This Row],[refill_date]]-TableRefills3[[#This Row],[prev_refill_end]])</f>
        <v>-2</v>
      </c>
      <c r="H268" s="10">
        <f>IF(TableRefills3[[#This Row],[gap_days]]="",0,IF(TableRefills3[[#This Row],[gap_days]]&gt;2,1,0))</f>
        <v>0</v>
      </c>
      <c r="I268">
        <f>_xlfn.MAXIFS(TableRefills3[discountinuation_flag], TableRefills3[patient_id], A268)</f>
        <v>0</v>
      </c>
    </row>
    <row r="269" spans="1:9" x14ac:dyDescent="0.25">
      <c r="A269" t="s">
        <v>426</v>
      </c>
      <c r="B269" t="s">
        <v>427</v>
      </c>
      <c r="C269" s="3">
        <v>45955</v>
      </c>
      <c r="D269">
        <v>30</v>
      </c>
      <c r="E269" s="3">
        <f t="shared" si="4"/>
        <v>45927</v>
      </c>
      <c r="F269" s="3">
        <f>IF(TableRefills3[[#This Row],[prev_refill_days]]="","",TableRefills3[[#This Row],[prev_refill_days]]+TableRefills3[[#This Row],[quantity_days]])</f>
        <v>45957</v>
      </c>
      <c r="G269">
        <f>IF(TableRefills3[[#This Row],[prev_refill_end]]="","",TableRefills3[[#This Row],[refill_date]]-TableRefills3[[#This Row],[prev_refill_end]])</f>
        <v>-2</v>
      </c>
      <c r="H269" s="10">
        <f>IF(TableRefills3[[#This Row],[gap_days]]="",0,IF(TableRefills3[[#This Row],[gap_days]]&gt;2,1,0))</f>
        <v>0</v>
      </c>
      <c r="I269">
        <f>_xlfn.MAXIFS(TableRefills3[discountinuation_flag], TableRefills3[patient_id], A269)</f>
        <v>0</v>
      </c>
    </row>
    <row r="270" spans="1:9" x14ac:dyDescent="0.25">
      <c r="A270" t="s">
        <v>433</v>
      </c>
      <c r="B270" t="s">
        <v>434</v>
      </c>
      <c r="C270" s="3">
        <v>45946</v>
      </c>
      <c r="D270">
        <v>28</v>
      </c>
      <c r="E270" s="3" t="str">
        <f t="shared" si="4"/>
        <v/>
      </c>
      <c r="F270" s="3" t="str">
        <f>IF(TableRefills3[[#This Row],[prev_refill_days]]="","",TableRefills3[[#This Row],[prev_refill_days]]+TableRefills3[[#This Row],[quantity_days]])</f>
        <v/>
      </c>
      <c r="G270" t="str">
        <f>IF(TableRefills3[[#This Row],[prev_refill_end]]="","",TableRefills3[[#This Row],[refill_date]]-TableRefills3[[#This Row],[prev_refill_end]])</f>
        <v/>
      </c>
      <c r="H270" s="10">
        <f>IF(TableRefills3[[#This Row],[gap_days]]="",0,IF(TableRefills3[[#This Row],[gap_days]]&gt;2,1,0))</f>
        <v>0</v>
      </c>
      <c r="I270">
        <f>_xlfn.MAXIFS(TableRefills3[discountinuation_flag], TableRefills3[patient_id], A270)</f>
        <v>0</v>
      </c>
    </row>
    <row r="271" spans="1:9" x14ac:dyDescent="0.25">
      <c r="A271" t="s">
        <v>436</v>
      </c>
      <c r="B271" t="s">
        <v>437</v>
      </c>
      <c r="C271" s="3">
        <v>45804</v>
      </c>
      <c r="D271">
        <v>28</v>
      </c>
      <c r="E271" s="3" t="str">
        <f t="shared" si="4"/>
        <v/>
      </c>
      <c r="F271" s="3" t="str">
        <f>IF(TableRefills3[[#This Row],[prev_refill_days]]="","",TableRefills3[[#This Row],[prev_refill_days]]+TableRefills3[[#This Row],[quantity_days]])</f>
        <v/>
      </c>
      <c r="G271" t="str">
        <f>IF(TableRefills3[[#This Row],[prev_refill_end]]="","",TableRefills3[[#This Row],[refill_date]]-TableRefills3[[#This Row],[prev_refill_end]])</f>
        <v/>
      </c>
      <c r="H271" s="10">
        <f>IF(TableRefills3[[#This Row],[gap_days]]="",0,IF(TableRefills3[[#This Row],[gap_days]]&gt;2,1,0))</f>
        <v>0</v>
      </c>
      <c r="I271">
        <f>_xlfn.MAXIFS(TableRefills3[discountinuation_flag], TableRefills3[patient_id], A271)</f>
        <v>0</v>
      </c>
    </row>
    <row r="272" spans="1:9" x14ac:dyDescent="0.25">
      <c r="A272" t="s">
        <v>436</v>
      </c>
      <c r="B272" t="s">
        <v>437</v>
      </c>
      <c r="C272" s="3">
        <v>45831</v>
      </c>
      <c r="D272">
        <v>28</v>
      </c>
      <c r="E272" s="3">
        <f t="shared" si="4"/>
        <v>45804</v>
      </c>
      <c r="F272" s="3">
        <f>IF(TableRefills3[[#This Row],[prev_refill_days]]="","",TableRefills3[[#This Row],[prev_refill_days]]+TableRefills3[[#This Row],[quantity_days]])</f>
        <v>45832</v>
      </c>
      <c r="G272">
        <f>IF(TableRefills3[[#This Row],[prev_refill_end]]="","",TableRefills3[[#This Row],[refill_date]]-TableRefills3[[#This Row],[prev_refill_end]])</f>
        <v>-1</v>
      </c>
      <c r="H272" s="10">
        <f>IF(TableRefills3[[#This Row],[gap_days]]="",0,IF(TableRefills3[[#This Row],[gap_days]]&gt;2,1,0))</f>
        <v>0</v>
      </c>
      <c r="I272">
        <f>_xlfn.MAXIFS(TableRefills3[discountinuation_flag], TableRefills3[patient_id], A272)</f>
        <v>0</v>
      </c>
    </row>
    <row r="273" spans="1:9" x14ac:dyDescent="0.25">
      <c r="A273" t="s">
        <v>436</v>
      </c>
      <c r="B273" t="s">
        <v>437</v>
      </c>
      <c r="C273" s="3">
        <v>45859</v>
      </c>
      <c r="D273">
        <v>28</v>
      </c>
      <c r="E273" s="3">
        <f t="shared" si="4"/>
        <v>45831</v>
      </c>
      <c r="F273" s="3">
        <f>IF(TableRefills3[[#This Row],[prev_refill_days]]="","",TableRefills3[[#This Row],[prev_refill_days]]+TableRefills3[[#This Row],[quantity_days]])</f>
        <v>45859</v>
      </c>
      <c r="G273">
        <f>IF(TableRefills3[[#This Row],[prev_refill_end]]="","",TableRefills3[[#This Row],[refill_date]]-TableRefills3[[#This Row],[prev_refill_end]])</f>
        <v>0</v>
      </c>
      <c r="H273" s="10">
        <f>IF(TableRefills3[[#This Row],[gap_days]]="",0,IF(TableRefills3[[#This Row],[gap_days]]&gt;2,1,0))</f>
        <v>0</v>
      </c>
      <c r="I273">
        <f>_xlfn.MAXIFS(TableRefills3[discountinuation_flag], TableRefills3[patient_id], A273)</f>
        <v>0</v>
      </c>
    </row>
    <row r="274" spans="1:9" x14ac:dyDescent="0.25">
      <c r="A274" t="s">
        <v>436</v>
      </c>
      <c r="B274" t="s">
        <v>437</v>
      </c>
      <c r="C274" s="3">
        <v>45884</v>
      </c>
      <c r="D274">
        <v>28</v>
      </c>
      <c r="E274" s="3">
        <f t="shared" si="4"/>
        <v>45859</v>
      </c>
      <c r="F274" s="3">
        <f>IF(TableRefills3[[#This Row],[prev_refill_days]]="","",TableRefills3[[#This Row],[prev_refill_days]]+TableRefills3[[#This Row],[quantity_days]])</f>
        <v>45887</v>
      </c>
      <c r="G274">
        <f>IF(TableRefills3[[#This Row],[prev_refill_end]]="","",TableRefills3[[#This Row],[refill_date]]-TableRefills3[[#This Row],[prev_refill_end]])</f>
        <v>-3</v>
      </c>
      <c r="H274" s="10">
        <f>IF(TableRefills3[[#This Row],[gap_days]]="",0,IF(TableRefills3[[#This Row],[gap_days]]&gt;2,1,0))</f>
        <v>0</v>
      </c>
      <c r="I274">
        <f>_xlfn.MAXIFS(TableRefills3[discountinuation_flag], TableRefills3[patient_id], A274)</f>
        <v>0</v>
      </c>
    </row>
    <row r="275" spans="1:9" x14ac:dyDescent="0.25">
      <c r="A275" t="s">
        <v>436</v>
      </c>
      <c r="B275" t="s">
        <v>437</v>
      </c>
      <c r="C275" s="3">
        <v>45910</v>
      </c>
      <c r="D275">
        <v>28</v>
      </c>
      <c r="E275" s="3">
        <f t="shared" si="4"/>
        <v>45884</v>
      </c>
      <c r="F275" s="3">
        <f>IF(TableRefills3[[#This Row],[prev_refill_days]]="","",TableRefills3[[#This Row],[prev_refill_days]]+TableRefills3[[#This Row],[quantity_days]])</f>
        <v>45912</v>
      </c>
      <c r="G275">
        <f>IF(TableRefills3[[#This Row],[prev_refill_end]]="","",TableRefills3[[#This Row],[refill_date]]-TableRefills3[[#This Row],[prev_refill_end]])</f>
        <v>-2</v>
      </c>
      <c r="H275" s="10">
        <f>IF(TableRefills3[[#This Row],[gap_days]]="",0,IF(TableRefills3[[#This Row],[gap_days]]&gt;2,1,0))</f>
        <v>0</v>
      </c>
      <c r="I275">
        <f>_xlfn.MAXIFS(TableRefills3[discountinuation_flag], TableRefills3[patient_id], A275)</f>
        <v>0</v>
      </c>
    </row>
    <row r="276" spans="1:9" x14ac:dyDescent="0.25">
      <c r="A276" t="s">
        <v>436</v>
      </c>
      <c r="B276" t="s">
        <v>437</v>
      </c>
      <c r="C276" s="3">
        <v>45936</v>
      </c>
      <c r="D276">
        <v>28</v>
      </c>
      <c r="E276" s="3">
        <f t="shared" si="4"/>
        <v>45910</v>
      </c>
      <c r="F276" s="3">
        <f>IF(TableRefills3[[#This Row],[prev_refill_days]]="","",TableRefills3[[#This Row],[prev_refill_days]]+TableRefills3[[#This Row],[quantity_days]])</f>
        <v>45938</v>
      </c>
      <c r="G276">
        <f>IF(TableRefills3[[#This Row],[prev_refill_end]]="","",TableRefills3[[#This Row],[refill_date]]-TableRefills3[[#This Row],[prev_refill_end]])</f>
        <v>-2</v>
      </c>
      <c r="H276" s="10">
        <f>IF(TableRefills3[[#This Row],[gap_days]]="",0,IF(TableRefills3[[#This Row],[gap_days]]&gt;2,1,0))</f>
        <v>0</v>
      </c>
      <c r="I276">
        <f>_xlfn.MAXIFS(TableRefills3[discountinuation_flag], TableRefills3[patient_id], A276)</f>
        <v>0</v>
      </c>
    </row>
    <row r="277" spans="1:9" x14ac:dyDescent="0.25">
      <c r="A277" t="s">
        <v>444</v>
      </c>
      <c r="B277" t="s">
        <v>445</v>
      </c>
      <c r="C277" s="3">
        <v>45926</v>
      </c>
      <c r="D277">
        <v>30</v>
      </c>
      <c r="E277" s="3" t="str">
        <f t="shared" si="4"/>
        <v/>
      </c>
      <c r="F277" s="3" t="str">
        <f>IF(TableRefills3[[#This Row],[prev_refill_days]]="","",TableRefills3[[#This Row],[prev_refill_days]]+TableRefills3[[#This Row],[quantity_days]])</f>
        <v/>
      </c>
      <c r="G277" t="str">
        <f>IF(TableRefills3[[#This Row],[prev_refill_end]]="","",TableRefills3[[#This Row],[refill_date]]-TableRefills3[[#This Row],[prev_refill_end]])</f>
        <v/>
      </c>
      <c r="H277" s="10">
        <f>IF(TableRefills3[[#This Row],[gap_days]]="",0,IF(TableRefills3[[#This Row],[gap_days]]&gt;2,1,0))</f>
        <v>0</v>
      </c>
      <c r="I277">
        <f>_xlfn.MAXIFS(TableRefills3[discountinuation_flag], TableRefills3[patient_id], A277)</f>
        <v>0</v>
      </c>
    </row>
    <row r="278" spans="1:9" x14ac:dyDescent="0.25">
      <c r="A278" t="s">
        <v>447</v>
      </c>
      <c r="B278" t="s">
        <v>448</v>
      </c>
      <c r="C278" s="3">
        <v>45863</v>
      </c>
      <c r="D278">
        <v>30</v>
      </c>
      <c r="E278" s="3" t="str">
        <f t="shared" si="4"/>
        <v/>
      </c>
      <c r="F278" s="3" t="str">
        <f>IF(TableRefills3[[#This Row],[prev_refill_days]]="","",TableRefills3[[#This Row],[prev_refill_days]]+TableRefills3[[#This Row],[quantity_days]])</f>
        <v/>
      </c>
      <c r="G278" t="str">
        <f>IF(TableRefills3[[#This Row],[prev_refill_end]]="","",TableRefills3[[#This Row],[refill_date]]-TableRefills3[[#This Row],[prev_refill_end]])</f>
        <v/>
      </c>
      <c r="H278" s="10">
        <f>IF(TableRefills3[[#This Row],[gap_days]]="",0,IF(TableRefills3[[#This Row],[gap_days]]&gt;2,1,0))</f>
        <v>0</v>
      </c>
      <c r="I278">
        <f>_xlfn.MAXIFS(TableRefills3[discountinuation_flag], TableRefills3[patient_id], A278)</f>
        <v>1</v>
      </c>
    </row>
    <row r="279" spans="1:9" x14ac:dyDescent="0.25">
      <c r="A279" t="s">
        <v>447</v>
      </c>
      <c r="B279" t="s">
        <v>448</v>
      </c>
      <c r="C279" s="3">
        <v>45894</v>
      </c>
      <c r="D279">
        <v>30</v>
      </c>
      <c r="E279" s="3">
        <f t="shared" si="4"/>
        <v>45863</v>
      </c>
      <c r="F279" s="3">
        <f>IF(TableRefills3[[#This Row],[prev_refill_days]]="","",TableRefills3[[#This Row],[prev_refill_days]]+TableRefills3[[#This Row],[quantity_days]])</f>
        <v>45893</v>
      </c>
      <c r="G279">
        <f>IF(TableRefills3[[#This Row],[prev_refill_end]]="","",TableRefills3[[#This Row],[refill_date]]-TableRefills3[[#This Row],[prev_refill_end]])</f>
        <v>1</v>
      </c>
      <c r="H279" s="10">
        <f>IF(TableRefills3[[#This Row],[gap_days]]="",0,IF(TableRefills3[[#This Row],[gap_days]]&gt;2,1,0))</f>
        <v>0</v>
      </c>
      <c r="I279">
        <f>_xlfn.MAXIFS(TableRefills3[discountinuation_flag], TableRefills3[patient_id], A279)</f>
        <v>1</v>
      </c>
    </row>
    <row r="280" spans="1:9" x14ac:dyDescent="0.25">
      <c r="A280" t="s">
        <v>447</v>
      </c>
      <c r="B280" t="s">
        <v>448</v>
      </c>
      <c r="C280" s="3">
        <v>45927</v>
      </c>
      <c r="D280">
        <v>30</v>
      </c>
      <c r="E280" s="3">
        <f t="shared" si="4"/>
        <v>45894</v>
      </c>
      <c r="F280" s="3">
        <f>IF(TableRefills3[[#This Row],[prev_refill_days]]="","",TableRefills3[[#This Row],[prev_refill_days]]+TableRefills3[[#This Row],[quantity_days]])</f>
        <v>45924</v>
      </c>
      <c r="G280">
        <f>IF(TableRefills3[[#This Row],[prev_refill_end]]="","",TableRefills3[[#This Row],[refill_date]]-TableRefills3[[#This Row],[prev_refill_end]])</f>
        <v>3</v>
      </c>
      <c r="H280" s="10">
        <f>IF(TableRefills3[[#This Row],[gap_days]]="",0,IF(TableRefills3[[#This Row],[gap_days]]&gt;2,1,0))</f>
        <v>1</v>
      </c>
      <c r="I280">
        <f>_xlfn.MAXIFS(TableRefills3[discountinuation_flag], TableRefills3[patient_id], A280)</f>
        <v>1</v>
      </c>
    </row>
    <row r="281" spans="1:9" x14ac:dyDescent="0.25">
      <c r="A281" t="s">
        <v>447</v>
      </c>
      <c r="B281" t="s">
        <v>448</v>
      </c>
      <c r="C281" s="3">
        <v>45956</v>
      </c>
      <c r="D281">
        <v>30</v>
      </c>
      <c r="E281" s="3">
        <f t="shared" si="4"/>
        <v>45927</v>
      </c>
      <c r="F281" s="3">
        <f>IF(TableRefills3[[#This Row],[prev_refill_days]]="","",TableRefills3[[#This Row],[prev_refill_days]]+TableRefills3[[#This Row],[quantity_days]])</f>
        <v>45957</v>
      </c>
      <c r="G281">
        <f>IF(TableRefills3[[#This Row],[prev_refill_end]]="","",TableRefills3[[#This Row],[refill_date]]-TableRefills3[[#This Row],[prev_refill_end]])</f>
        <v>-1</v>
      </c>
      <c r="H281" s="10">
        <f>IF(TableRefills3[[#This Row],[gap_days]]="",0,IF(TableRefills3[[#This Row],[gap_days]]&gt;2,1,0))</f>
        <v>0</v>
      </c>
      <c r="I281">
        <f>_xlfn.MAXIFS(TableRefills3[discountinuation_flag], TableRefills3[patient_id], A281)</f>
        <v>1</v>
      </c>
    </row>
    <row r="282" spans="1:9" x14ac:dyDescent="0.25">
      <c r="A282" t="s">
        <v>453</v>
      </c>
      <c r="B282" t="s">
        <v>454</v>
      </c>
      <c r="C282" s="3">
        <v>45789</v>
      </c>
      <c r="D282">
        <v>28</v>
      </c>
      <c r="E282" s="3" t="str">
        <f t="shared" si="4"/>
        <v/>
      </c>
      <c r="F282" s="3" t="str">
        <f>IF(TableRefills3[[#This Row],[prev_refill_days]]="","",TableRefills3[[#This Row],[prev_refill_days]]+TableRefills3[[#This Row],[quantity_days]])</f>
        <v/>
      </c>
      <c r="G282" t="str">
        <f>IF(TableRefills3[[#This Row],[prev_refill_end]]="","",TableRefills3[[#This Row],[refill_date]]-TableRefills3[[#This Row],[prev_refill_end]])</f>
        <v/>
      </c>
      <c r="H282" s="10">
        <f>IF(TableRefills3[[#This Row],[gap_days]]="",0,IF(TableRefills3[[#This Row],[gap_days]]&gt;2,1,0))</f>
        <v>0</v>
      </c>
      <c r="I282">
        <f>_xlfn.MAXIFS(TableRefills3[discountinuation_flag], TableRefills3[patient_id], A282)</f>
        <v>0</v>
      </c>
    </row>
    <row r="283" spans="1:9" x14ac:dyDescent="0.25">
      <c r="A283" t="s">
        <v>453</v>
      </c>
      <c r="B283" t="s">
        <v>454</v>
      </c>
      <c r="C283" s="3">
        <v>45814</v>
      </c>
      <c r="D283">
        <v>28</v>
      </c>
      <c r="E283" s="3">
        <f t="shared" si="4"/>
        <v>45789</v>
      </c>
      <c r="F283" s="3">
        <f>IF(TableRefills3[[#This Row],[prev_refill_days]]="","",TableRefills3[[#This Row],[prev_refill_days]]+TableRefills3[[#This Row],[quantity_days]])</f>
        <v>45817</v>
      </c>
      <c r="G283">
        <f>IF(TableRefills3[[#This Row],[prev_refill_end]]="","",TableRefills3[[#This Row],[refill_date]]-TableRefills3[[#This Row],[prev_refill_end]])</f>
        <v>-3</v>
      </c>
      <c r="H283" s="10">
        <f>IF(TableRefills3[[#This Row],[gap_days]]="",0,IF(TableRefills3[[#This Row],[gap_days]]&gt;2,1,0))</f>
        <v>0</v>
      </c>
      <c r="I283">
        <f>_xlfn.MAXIFS(TableRefills3[discountinuation_flag], TableRefills3[patient_id], A283)</f>
        <v>0</v>
      </c>
    </row>
    <row r="284" spans="1:9" x14ac:dyDescent="0.25">
      <c r="A284" t="s">
        <v>457</v>
      </c>
      <c r="B284" t="s">
        <v>458</v>
      </c>
      <c r="C284" s="3">
        <v>45917</v>
      </c>
      <c r="D284">
        <v>56</v>
      </c>
      <c r="E284" s="3" t="str">
        <f t="shared" si="4"/>
        <v/>
      </c>
      <c r="F284" s="3" t="str">
        <f>IF(TableRefills3[[#This Row],[prev_refill_days]]="","",TableRefills3[[#This Row],[prev_refill_days]]+TableRefills3[[#This Row],[quantity_days]])</f>
        <v/>
      </c>
      <c r="G284" t="str">
        <f>IF(TableRefills3[[#This Row],[prev_refill_end]]="","",TableRefills3[[#This Row],[refill_date]]-TableRefills3[[#This Row],[prev_refill_end]])</f>
        <v/>
      </c>
      <c r="H284" s="10">
        <f>IF(TableRefills3[[#This Row],[gap_days]]="",0,IF(TableRefills3[[#This Row],[gap_days]]&gt;2,1,0))</f>
        <v>0</v>
      </c>
      <c r="I284">
        <f>_xlfn.MAXIFS(TableRefills3[discountinuation_flag], TableRefills3[patient_id], A284)</f>
        <v>0</v>
      </c>
    </row>
    <row r="285" spans="1:9" x14ac:dyDescent="0.25">
      <c r="A285" t="s">
        <v>460</v>
      </c>
      <c r="B285" t="s">
        <v>461</v>
      </c>
      <c r="C285" s="3">
        <v>45942</v>
      </c>
      <c r="D285">
        <v>30</v>
      </c>
      <c r="E285" s="3" t="str">
        <f t="shared" si="4"/>
        <v/>
      </c>
      <c r="F285" s="3" t="str">
        <f>IF(TableRefills3[[#This Row],[prev_refill_days]]="","",TableRefills3[[#This Row],[prev_refill_days]]+TableRefills3[[#This Row],[quantity_days]])</f>
        <v/>
      </c>
      <c r="G285" t="str">
        <f>IF(TableRefills3[[#This Row],[prev_refill_end]]="","",TableRefills3[[#This Row],[refill_date]]-TableRefills3[[#This Row],[prev_refill_end]])</f>
        <v/>
      </c>
      <c r="H285" s="10">
        <f>IF(TableRefills3[[#This Row],[gap_days]]="",0,IF(TableRefills3[[#This Row],[gap_days]]&gt;2,1,0))</f>
        <v>0</v>
      </c>
      <c r="I285">
        <f>_xlfn.MAXIFS(TableRefills3[discountinuation_flag], TableRefills3[patient_id], A285)</f>
        <v>0</v>
      </c>
    </row>
    <row r="286" spans="1:9" x14ac:dyDescent="0.25">
      <c r="A286" t="s">
        <v>463</v>
      </c>
      <c r="B286" t="s">
        <v>464</v>
      </c>
      <c r="C286" s="3">
        <v>45953</v>
      </c>
      <c r="D286">
        <v>30</v>
      </c>
      <c r="E286" s="3" t="str">
        <f t="shared" si="4"/>
        <v/>
      </c>
      <c r="F286" s="3" t="str">
        <f>IF(TableRefills3[[#This Row],[prev_refill_days]]="","",TableRefills3[[#This Row],[prev_refill_days]]+TableRefills3[[#This Row],[quantity_days]])</f>
        <v/>
      </c>
      <c r="G286" t="str">
        <f>IF(TableRefills3[[#This Row],[prev_refill_end]]="","",TableRefills3[[#This Row],[refill_date]]-TableRefills3[[#This Row],[prev_refill_end]])</f>
        <v/>
      </c>
      <c r="H286" s="10">
        <f>IF(TableRefills3[[#This Row],[gap_days]]="",0,IF(TableRefills3[[#This Row],[gap_days]]&gt;2,1,0))</f>
        <v>0</v>
      </c>
      <c r="I286">
        <f>_xlfn.MAXIFS(TableRefills3[discountinuation_flag], TableRefills3[patient_id], A286)</f>
        <v>0</v>
      </c>
    </row>
    <row r="287" spans="1:9" x14ac:dyDescent="0.25">
      <c r="A287" t="s">
        <v>466</v>
      </c>
      <c r="B287" t="s">
        <v>467</v>
      </c>
      <c r="C287" s="3">
        <v>45956</v>
      </c>
      <c r="D287">
        <v>28</v>
      </c>
      <c r="E287" s="3" t="str">
        <f t="shared" si="4"/>
        <v/>
      </c>
      <c r="F287" s="3" t="str">
        <f>IF(TableRefills3[[#This Row],[prev_refill_days]]="","",TableRefills3[[#This Row],[prev_refill_days]]+TableRefills3[[#This Row],[quantity_days]])</f>
        <v/>
      </c>
      <c r="G287" t="str">
        <f>IF(TableRefills3[[#This Row],[prev_refill_end]]="","",TableRefills3[[#This Row],[refill_date]]-TableRefills3[[#This Row],[prev_refill_end]])</f>
        <v/>
      </c>
      <c r="H287" s="10">
        <f>IF(TableRefills3[[#This Row],[gap_days]]="",0,IF(TableRefills3[[#This Row],[gap_days]]&gt;2,1,0))</f>
        <v>0</v>
      </c>
      <c r="I287">
        <f>_xlfn.MAXIFS(TableRefills3[discountinuation_flag], TableRefills3[patient_id], A287)</f>
        <v>0</v>
      </c>
    </row>
    <row r="288" spans="1:9" x14ac:dyDescent="0.25">
      <c r="A288" t="s">
        <v>469</v>
      </c>
      <c r="B288" t="s">
        <v>470</v>
      </c>
      <c r="C288" s="3">
        <v>45939</v>
      </c>
      <c r="D288">
        <v>28</v>
      </c>
      <c r="E288" s="3" t="str">
        <f t="shared" si="4"/>
        <v/>
      </c>
      <c r="F288" s="3" t="str">
        <f>IF(TableRefills3[[#This Row],[prev_refill_days]]="","",TableRefills3[[#This Row],[prev_refill_days]]+TableRefills3[[#This Row],[quantity_days]])</f>
        <v/>
      </c>
      <c r="G288" t="str">
        <f>IF(TableRefills3[[#This Row],[prev_refill_end]]="","",TableRefills3[[#This Row],[refill_date]]-TableRefills3[[#This Row],[prev_refill_end]])</f>
        <v/>
      </c>
      <c r="H288" s="10">
        <f>IF(TableRefills3[[#This Row],[gap_days]]="",0,IF(TableRefills3[[#This Row],[gap_days]]&gt;2,1,0))</f>
        <v>0</v>
      </c>
      <c r="I288">
        <f>_xlfn.MAXIFS(TableRefills3[discountinuation_flag], TableRefills3[patient_id], A288)</f>
        <v>0</v>
      </c>
    </row>
    <row r="289" spans="1:9" x14ac:dyDescent="0.25">
      <c r="A289" t="s">
        <v>472</v>
      </c>
      <c r="B289" t="s">
        <v>473</v>
      </c>
      <c r="C289" s="3">
        <v>45812</v>
      </c>
      <c r="D289">
        <v>56</v>
      </c>
      <c r="E289" s="3" t="str">
        <f t="shared" si="4"/>
        <v/>
      </c>
      <c r="F289" s="3" t="str">
        <f>IF(TableRefills3[[#This Row],[prev_refill_days]]="","",TableRefills3[[#This Row],[prev_refill_days]]+TableRefills3[[#This Row],[quantity_days]])</f>
        <v/>
      </c>
      <c r="G289" t="str">
        <f>IF(TableRefills3[[#This Row],[prev_refill_end]]="","",TableRefills3[[#This Row],[refill_date]]-TableRefills3[[#This Row],[prev_refill_end]])</f>
        <v/>
      </c>
      <c r="H289" s="10">
        <f>IF(TableRefills3[[#This Row],[gap_days]]="",0,IF(TableRefills3[[#This Row],[gap_days]]&gt;2,1,0))</f>
        <v>0</v>
      </c>
      <c r="I289">
        <f>_xlfn.MAXIFS(TableRefills3[discountinuation_flag], TableRefills3[patient_id], A289)</f>
        <v>0</v>
      </c>
    </row>
    <row r="290" spans="1:9" x14ac:dyDescent="0.25">
      <c r="A290" t="s">
        <v>472</v>
      </c>
      <c r="B290" t="s">
        <v>473</v>
      </c>
      <c r="C290" s="3">
        <v>45870</v>
      </c>
      <c r="D290">
        <v>56</v>
      </c>
      <c r="E290" s="3">
        <f t="shared" si="4"/>
        <v>45812</v>
      </c>
      <c r="F290" s="3">
        <f>IF(TableRefills3[[#This Row],[prev_refill_days]]="","",TableRefills3[[#This Row],[prev_refill_days]]+TableRefills3[[#This Row],[quantity_days]])</f>
        <v>45868</v>
      </c>
      <c r="G290">
        <f>IF(TableRefills3[[#This Row],[prev_refill_end]]="","",TableRefills3[[#This Row],[refill_date]]-TableRefills3[[#This Row],[prev_refill_end]])</f>
        <v>2</v>
      </c>
      <c r="H290" s="10">
        <f>IF(TableRefills3[[#This Row],[gap_days]]="",0,IF(TableRefills3[[#This Row],[gap_days]]&gt;2,1,0))</f>
        <v>0</v>
      </c>
      <c r="I290">
        <f>_xlfn.MAXIFS(TableRefills3[discountinuation_flag], TableRefills3[patient_id], A290)</f>
        <v>0</v>
      </c>
    </row>
    <row r="291" spans="1:9" x14ac:dyDescent="0.25">
      <c r="A291" t="s">
        <v>472</v>
      </c>
      <c r="B291" t="s">
        <v>473</v>
      </c>
      <c r="C291" s="3">
        <v>45927</v>
      </c>
      <c r="D291">
        <v>56</v>
      </c>
      <c r="E291" s="3">
        <f t="shared" si="4"/>
        <v>45870</v>
      </c>
      <c r="F291" s="3">
        <f>IF(TableRefills3[[#This Row],[prev_refill_days]]="","",TableRefills3[[#This Row],[prev_refill_days]]+TableRefills3[[#This Row],[quantity_days]])</f>
        <v>45926</v>
      </c>
      <c r="G291">
        <f>IF(TableRefills3[[#This Row],[prev_refill_end]]="","",TableRefills3[[#This Row],[refill_date]]-TableRefills3[[#This Row],[prev_refill_end]])</f>
        <v>1</v>
      </c>
      <c r="H291" s="10">
        <f>IF(TableRefills3[[#This Row],[gap_days]]="",0,IF(TableRefills3[[#This Row],[gap_days]]&gt;2,1,0))</f>
        <v>0</v>
      </c>
      <c r="I291">
        <f>_xlfn.MAXIFS(TableRefills3[discountinuation_flag], TableRefills3[patient_id], A291)</f>
        <v>0</v>
      </c>
    </row>
    <row r="292" spans="1:9" x14ac:dyDescent="0.25">
      <c r="A292" t="s">
        <v>477</v>
      </c>
      <c r="B292" t="s">
        <v>478</v>
      </c>
      <c r="C292" s="3">
        <v>45961</v>
      </c>
      <c r="D292">
        <v>28</v>
      </c>
      <c r="E292" s="3" t="str">
        <f t="shared" si="4"/>
        <v/>
      </c>
      <c r="F292" s="3" t="str">
        <f>IF(TableRefills3[[#This Row],[prev_refill_days]]="","",TableRefills3[[#This Row],[prev_refill_days]]+TableRefills3[[#This Row],[quantity_days]])</f>
        <v/>
      </c>
      <c r="G292" t="str">
        <f>IF(TableRefills3[[#This Row],[prev_refill_end]]="","",TableRefills3[[#This Row],[refill_date]]-TableRefills3[[#This Row],[prev_refill_end]])</f>
        <v/>
      </c>
      <c r="H292" s="10">
        <f>IF(TableRefills3[[#This Row],[gap_days]]="",0,IF(TableRefills3[[#This Row],[gap_days]]&gt;2,1,0))</f>
        <v>0</v>
      </c>
      <c r="I292">
        <f>_xlfn.MAXIFS(TableRefills3[discountinuation_flag], TableRefills3[patient_id], A292)</f>
        <v>0</v>
      </c>
    </row>
    <row r="293" spans="1:9" x14ac:dyDescent="0.25">
      <c r="A293" t="s">
        <v>480</v>
      </c>
      <c r="B293" t="s">
        <v>481</v>
      </c>
      <c r="C293" s="3">
        <v>45895</v>
      </c>
      <c r="D293">
        <v>28</v>
      </c>
      <c r="E293" s="3" t="str">
        <f t="shared" si="4"/>
        <v/>
      </c>
      <c r="F293" s="3" t="str">
        <f>IF(TableRefills3[[#This Row],[prev_refill_days]]="","",TableRefills3[[#This Row],[prev_refill_days]]+TableRefills3[[#This Row],[quantity_days]])</f>
        <v/>
      </c>
      <c r="G293" t="str">
        <f>IF(TableRefills3[[#This Row],[prev_refill_end]]="","",TableRefills3[[#This Row],[refill_date]]-TableRefills3[[#This Row],[prev_refill_end]])</f>
        <v/>
      </c>
      <c r="H293" s="10">
        <f>IF(TableRefills3[[#This Row],[gap_days]]="",0,IF(TableRefills3[[#This Row],[gap_days]]&gt;2,1,0))</f>
        <v>0</v>
      </c>
      <c r="I293">
        <f>_xlfn.MAXIFS(TableRefills3[discountinuation_flag], TableRefills3[patient_id], A293)</f>
        <v>0</v>
      </c>
    </row>
    <row r="294" spans="1:9" x14ac:dyDescent="0.25">
      <c r="A294" t="s">
        <v>480</v>
      </c>
      <c r="B294" t="s">
        <v>481</v>
      </c>
      <c r="C294" s="3">
        <v>45925</v>
      </c>
      <c r="D294">
        <v>28</v>
      </c>
      <c r="E294" s="3">
        <f t="shared" si="4"/>
        <v>45895</v>
      </c>
      <c r="F294" s="3">
        <f>IF(TableRefills3[[#This Row],[prev_refill_days]]="","",TableRefills3[[#This Row],[prev_refill_days]]+TableRefills3[[#This Row],[quantity_days]])</f>
        <v>45923</v>
      </c>
      <c r="G294">
        <f>IF(TableRefills3[[#This Row],[prev_refill_end]]="","",TableRefills3[[#This Row],[refill_date]]-TableRefills3[[#This Row],[prev_refill_end]])</f>
        <v>2</v>
      </c>
      <c r="H294" s="10">
        <f>IF(TableRefills3[[#This Row],[gap_days]]="",0,IF(TableRefills3[[#This Row],[gap_days]]&gt;2,1,0))</f>
        <v>0</v>
      </c>
      <c r="I294">
        <f>_xlfn.MAXIFS(TableRefills3[discountinuation_flag], TableRefills3[patient_id], A294)</f>
        <v>0</v>
      </c>
    </row>
    <row r="295" spans="1:9" x14ac:dyDescent="0.25">
      <c r="A295" t="s">
        <v>480</v>
      </c>
      <c r="B295" t="s">
        <v>481</v>
      </c>
      <c r="C295" s="3">
        <v>45953</v>
      </c>
      <c r="D295">
        <v>28</v>
      </c>
      <c r="E295" s="3">
        <f t="shared" si="4"/>
        <v>45925</v>
      </c>
      <c r="F295" s="3">
        <f>IF(TableRefills3[[#This Row],[prev_refill_days]]="","",TableRefills3[[#This Row],[prev_refill_days]]+TableRefills3[[#This Row],[quantity_days]])</f>
        <v>45953</v>
      </c>
      <c r="G295">
        <f>IF(TableRefills3[[#This Row],[prev_refill_end]]="","",TableRefills3[[#This Row],[refill_date]]-TableRefills3[[#This Row],[prev_refill_end]])</f>
        <v>0</v>
      </c>
      <c r="H295" s="10">
        <f>IF(TableRefills3[[#This Row],[gap_days]]="",0,IF(TableRefills3[[#This Row],[gap_days]]&gt;2,1,0))</f>
        <v>0</v>
      </c>
      <c r="I295">
        <f>_xlfn.MAXIFS(TableRefills3[discountinuation_flag], TableRefills3[patient_id], A295)</f>
        <v>0</v>
      </c>
    </row>
    <row r="296" spans="1:9" x14ac:dyDescent="0.25">
      <c r="A296" t="s">
        <v>485</v>
      </c>
      <c r="B296" t="s">
        <v>486</v>
      </c>
      <c r="C296" s="3">
        <v>45853</v>
      </c>
      <c r="D296">
        <v>28</v>
      </c>
      <c r="E296" s="3" t="str">
        <f t="shared" si="4"/>
        <v/>
      </c>
      <c r="F296" s="3" t="str">
        <f>IF(TableRefills3[[#This Row],[prev_refill_days]]="","",TableRefills3[[#This Row],[prev_refill_days]]+TableRefills3[[#This Row],[quantity_days]])</f>
        <v/>
      </c>
      <c r="G296" t="str">
        <f>IF(TableRefills3[[#This Row],[prev_refill_end]]="","",TableRefills3[[#This Row],[refill_date]]-TableRefills3[[#This Row],[prev_refill_end]])</f>
        <v/>
      </c>
      <c r="H296" s="10">
        <f>IF(TableRefills3[[#This Row],[gap_days]]="",0,IF(TableRefills3[[#This Row],[gap_days]]&gt;2,1,0))</f>
        <v>0</v>
      </c>
      <c r="I296">
        <f>_xlfn.MAXIFS(TableRefills3[discountinuation_flag], TableRefills3[patient_id], A296)</f>
        <v>0</v>
      </c>
    </row>
    <row r="297" spans="1:9" x14ac:dyDescent="0.25">
      <c r="A297" t="s">
        <v>485</v>
      </c>
      <c r="B297" t="s">
        <v>486</v>
      </c>
      <c r="C297" s="3">
        <v>45880</v>
      </c>
      <c r="D297">
        <v>28</v>
      </c>
      <c r="E297" s="3">
        <f t="shared" si="4"/>
        <v>45853</v>
      </c>
      <c r="F297" s="3">
        <f>IF(TableRefills3[[#This Row],[prev_refill_days]]="","",TableRefills3[[#This Row],[prev_refill_days]]+TableRefills3[[#This Row],[quantity_days]])</f>
        <v>45881</v>
      </c>
      <c r="G297">
        <f>IF(TableRefills3[[#This Row],[prev_refill_end]]="","",TableRefills3[[#This Row],[refill_date]]-TableRefills3[[#This Row],[prev_refill_end]])</f>
        <v>-1</v>
      </c>
      <c r="H297" s="10">
        <f>IF(TableRefills3[[#This Row],[gap_days]]="",0,IF(TableRefills3[[#This Row],[gap_days]]&gt;2,1,0))</f>
        <v>0</v>
      </c>
      <c r="I297">
        <f>_xlfn.MAXIFS(TableRefills3[discountinuation_flag], TableRefills3[patient_id], A297)</f>
        <v>0</v>
      </c>
    </row>
    <row r="298" spans="1:9" x14ac:dyDescent="0.25">
      <c r="A298" t="s">
        <v>485</v>
      </c>
      <c r="B298" t="s">
        <v>486</v>
      </c>
      <c r="C298" s="3">
        <v>45909</v>
      </c>
      <c r="D298">
        <v>28</v>
      </c>
      <c r="E298" s="3">
        <f t="shared" si="4"/>
        <v>45880</v>
      </c>
      <c r="F298" s="3">
        <f>IF(TableRefills3[[#This Row],[prev_refill_days]]="","",TableRefills3[[#This Row],[prev_refill_days]]+TableRefills3[[#This Row],[quantity_days]])</f>
        <v>45908</v>
      </c>
      <c r="G298">
        <f>IF(TableRefills3[[#This Row],[prev_refill_end]]="","",TableRefills3[[#This Row],[refill_date]]-TableRefills3[[#This Row],[prev_refill_end]])</f>
        <v>1</v>
      </c>
      <c r="H298" s="10">
        <f>IF(TableRefills3[[#This Row],[gap_days]]="",0,IF(TableRefills3[[#This Row],[gap_days]]&gt;2,1,0))</f>
        <v>0</v>
      </c>
      <c r="I298">
        <f>_xlfn.MAXIFS(TableRefills3[discountinuation_flag], TableRefills3[patient_id], A298)</f>
        <v>0</v>
      </c>
    </row>
    <row r="299" spans="1:9" x14ac:dyDescent="0.25">
      <c r="A299" t="s">
        <v>490</v>
      </c>
      <c r="B299" t="s">
        <v>491</v>
      </c>
      <c r="C299" s="3">
        <v>45789</v>
      </c>
      <c r="D299">
        <v>28</v>
      </c>
      <c r="E299" s="3" t="str">
        <f t="shared" si="4"/>
        <v/>
      </c>
      <c r="F299" s="3" t="str">
        <f>IF(TableRefills3[[#This Row],[prev_refill_days]]="","",TableRefills3[[#This Row],[prev_refill_days]]+TableRefills3[[#This Row],[quantity_days]])</f>
        <v/>
      </c>
      <c r="G299" t="str">
        <f>IF(TableRefills3[[#This Row],[prev_refill_end]]="","",TableRefills3[[#This Row],[refill_date]]-TableRefills3[[#This Row],[prev_refill_end]])</f>
        <v/>
      </c>
      <c r="H299" s="10">
        <f>IF(TableRefills3[[#This Row],[gap_days]]="",0,IF(TableRefills3[[#This Row],[gap_days]]&gt;2,1,0))</f>
        <v>0</v>
      </c>
      <c r="I299">
        <f>_xlfn.MAXIFS(TableRefills3[discountinuation_flag], TableRefills3[patient_id], A299)</f>
        <v>1</v>
      </c>
    </row>
    <row r="300" spans="1:9" x14ac:dyDescent="0.25">
      <c r="A300" t="s">
        <v>490</v>
      </c>
      <c r="B300" t="s">
        <v>491</v>
      </c>
      <c r="C300" s="3">
        <v>45816</v>
      </c>
      <c r="D300">
        <v>28</v>
      </c>
      <c r="E300" s="3">
        <f t="shared" si="4"/>
        <v>45789</v>
      </c>
      <c r="F300" s="3">
        <f>IF(TableRefills3[[#This Row],[prev_refill_days]]="","",TableRefills3[[#This Row],[prev_refill_days]]+TableRefills3[[#This Row],[quantity_days]])</f>
        <v>45817</v>
      </c>
      <c r="G300">
        <f>IF(TableRefills3[[#This Row],[prev_refill_end]]="","",TableRefills3[[#This Row],[refill_date]]-TableRefills3[[#This Row],[prev_refill_end]])</f>
        <v>-1</v>
      </c>
      <c r="H300" s="10">
        <f>IF(TableRefills3[[#This Row],[gap_days]]="",0,IF(TableRefills3[[#This Row],[gap_days]]&gt;2,1,0))</f>
        <v>0</v>
      </c>
      <c r="I300">
        <f>_xlfn.MAXIFS(TableRefills3[discountinuation_flag], TableRefills3[patient_id], A300)</f>
        <v>1</v>
      </c>
    </row>
    <row r="301" spans="1:9" x14ac:dyDescent="0.25">
      <c r="A301" t="s">
        <v>490</v>
      </c>
      <c r="B301" t="s">
        <v>491</v>
      </c>
      <c r="C301" s="3">
        <v>45846</v>
      </c>
      <c r="D301">
        <v>28</v>
      </c>
      <c r="E301" s="3">
        <f t="shared" si="4"/>
        <v>45816</v>
      </c>
      <c r="F301" s="3">
        <f>IF(TableRefills3[[#This Row],[prev_refill_days]]="","",TableRefills3[[#This Row],[prev_refill_days]]+TableRefills3[[#This Row],[quantity_days]])</f>
        <v>45844</v>
      </c>
      <c r="G301">
        <f>IF(TableRefills3[[#This Row],[prev_refill_end]]="","",TableRefills3[[#This Row],[refill_date]]-TableRefills3[[#This Row],[prev_refill_end]])</f>
        <v>2</v>
      </c>
      <c r="H301" s="10">
        <f>IF(TableRefills3[[#This Row],[gap_days]]="",0,IF(TableRefills3[[#This Row],[gap_days]]&gt;2,1,0))</f>
        <v>0</v>
      </c>
      <c r="I301">
        <f>_xlfn.MAXIFS(TableRefills3[discountinuation_flag], TableRefills3[patient_id], A301)</f>
        <v>1</v>
      </c>
    </row>
    <row r="302" spans="1:9" x14ac:dyDescent="0.25">
      <c r="A302" t="s">
        <v>490</v>
      </c>
      <c r="B302" t="s">
        <v>491</v>
      </c>
      <c r="C302" s="3">
        <v>45877</v>
      </c>
      <c r="D302">
        <v>28</v>
      </c>
      <c r="E302" s="3">
        <f t="shared" si="4"/>
        <v>45846</v>
      </c>
      <c r="F302" s="3">
        <f>IF(TableRefills3[[#This Row],[prev_refill_days]]="","",TableRefills3[[#This Row],[prev_refill_days]]+TableRefills3[[#This Row],[quantity_days]])</f>
        <v>45874</v>
      </c>
      <c r="G302">
        <f>IF(TableRefills3[[#This Row],[prev_refill_end]]="","",TableRefills3[[#This Row],[refill_date]]-TableRefills3[[#This Row],[prev_refill_end]])</f>
        <v>3</v>
      </c>
      <c r="H302" s="10">
        <f>IF(TableRefills3[[#This Row],[gap_days]]="",0,IF(TableRefills3[[#This Row],[gap_days]]&gt;2,1,0))</f>
        <v>1</v>
      </c>
      <c r="I302">
        <f>_xlfn.MAXIFS(TableRefills3[discountinuation_flag], TableRefills3[patient_id], A302)</f>
        <v>1</v>
      </c>
    </row>
    <row r="303" spans="1:9" x14ac:dyDescent="0.25">
      <c r="A303" t="s">
        <v>490</v>
      </c>
      <c r="B303" t="s">
        <v>491</v>
      </c>
      <c r="C303" s="3">
        <v>45905</v>
      </c>
      <c r="D303">
        <v>28</v>
      </c>
      <c r="E303" s="3">
        <f t="shared" si="4"/>
        <v>45877</v>
      </c>
      <c r="F303" s="3">
        <f>IF(TableRefills3[[#This Row],[prev_refill_days]]="","",TableRefills3[[#This Row],[prev_refill_days]]+TableRefills3[[#This Row],[quantity_days]])</f>
        <v>45905</v>
      </c>
      <c r="G303">
        <f>IF(TableRefills3[[#This Row],[prev_refill_end]]="","",TableRefills3[[#This Row],[refill_date]]-TableRefills3[[#This Row],[prev_refill_end]])</f>
        <v>0</v>
      </c>
      <c r="H303" s="10">
        <f>IF(TableRefills3[[#This Row],[gap_days]]="",0,IF(TableRefills3[[#This Row],[gap_days]]&gt;2,1,0))</f>
        <v>0</v>
      </c>
      <c r="I303">
        <f>_xlfn.MAXIFS(TableRefills3[discountinuation_flag], TableRefills3[patient_id], A303)</f>
        <v>1</v>
      </c>
    </row>
    <row r="304" spans="1:9" x14ac:dyDescent="0.25">
      <c r="A304" t="s">
        <v>490</v>
      </c>
      <c r="B304" t="s">
        <v>491</v>
      </c>
      <c r="C304" s="3">
        <v>45935</v>
      </c>
      <c r="D304">
        <v>28</v>
      </c>
      <c r="E304" s="3">
        <f t="shared" si="4"/>
        <v>45905</v>
      </c>
      <c r="F304" s="3">
        <f>IF(TableRefills3[[#This Row],[prev_refill_days]]="","",TableRefills3[[#This Row],[prev_refill_days]]+TableRefills3[[#This Row],[quantity_days]])</f>
        <v>45933</v>
      </c>
      <c r="G304">
        <f>IF(TableRefills3[[#This Row],[prev_refill_end]]="","",TableRefills3[[#This Row],[refill_date]]-TableRefills3[[#This Row],[prev_refill_end]])</f>
        <v>2</v>
      </c>
      <c r="H304" s="10">
        <f>IF(TableRefills3[[#This Row],[gap_days]]="",0,IF(TableRefills3[[#This Row],[gap_days]]&gt;2,1,0))</f>
        <v>0</v>
      </c>
      <c r="I304">
        <f>_xlfn.MAXIFS(TableRefills3[discountinuation_flag], TableRefills3[patient_id], A304)</f>
        <v>1</v>
      </c>
    </row>
    <row r="305" spans="1:9" x14ac:dyDescent="0.25">
      <c r="A305" t="s">
        <v>498</v>
      </c>
      <c r="B305" t="s">
        <v>499</v>
      </c>
      <c r="C305" s="3">
        <v>45829</v>
      </c>
      <c r="D305">
        <v>28</v>
      </c>
      <c r="E305" s="3" t="str">
        <f t="shared" si="4"/>
        <v/>
      </c>
      <c r="F305" s="3" t="str">
        <f>IF(TableRefills3[[#This Row],[prev_refill_days]]="","",TableRefills3[[#This Row],[prev_refill_days]]+TableRefills3[[#This Row],[quantity_days]])</f>
        <v/>
      </c>
      <c r="G305" t="str">
        <f>IF(TableRefills3[[#This Row],[prev_refill_end]]="","",TableRefills3[[#This Row],[refill_date]]-TableRefills3[[#This Row],[prev_refill_end]])</f>
        <v/>
      </c>
      <c r="H305" s="10">
        <f>IF(TableRefills3[[#This Row],[gap_days]]="",0,IF(TableRefills3[[#This Row],[gap_days]]&gt;2,1,0))</f>
        <v>0</v>
      </c>
      <c r="I305">
        <f>_xlfn.MAXIFS(TableRefills3[discountinuation_flag], TableRefills3[patient_id], A305)</f>
        <v>0</v>
      </c>
    </row>
    <row r="306" spans="1:9" x14ac:dyDescent="0.25">
      <c r="A306" t="s">
        <v>501</v>
      </c>
      <c r="B306" t="s">
        <v>502</v>
      </c>
      <c r="C306" s="3">
        <v>45858</v>
      </c>
      <c r="D306">
        <v>28</v>
      </c>
      <c r="E306" s="3" t="str">
        <f t="shared" si="4"/>
        <v/>
      </c>
      <c r="F306" s="3" t="str">
        <f>IF(TableRefills3[[#This Row],[prev_refill_days]]="","",TableRefills3[[#This Row],[prev_refill_days]]+TableRefills3[[#This Row],[quantity_days]])</f>
        <v/>
      </c>
      <c r="G306" t="str">
        <f>IF(TableRefills3[[#This Row],[prev_refill_end]]="","",TableRefills3[[#This Row],[refill_date]]-TableRefills3[[#This Row],[prev_refill_end]])</f>
        <v/>
      </c>
      <c r="H306" s="10">
        <f>IF(TableRefills3[[#This Row],[gap_days]]="",0,IF(TableRefills3[[#This Row],[gap_days]]&gt;2,1,0))</f>
        <v>0</v>
      </c>
      <c r="I306">
        <f>_xlfn.MAXIFS(TableRefills3[discountinuation_flag], TableRefills3[patient_id], A306)</f>
        <v>0</v>
      </c>
    </row>
    <row r="307" spans="1:9" x14ac:dyDescent="0.25">
      <c r="A307" t="s">
        <v>501</v>
      </c>
      <c r="B307" t="s">
        <v>502</v>
      </c>
      <c r="C307" s="3">
        <v>45883</v>
      </c>
      <c r="D307">
        <v>28</v>
      </c>
      <c r="E307" s="3">
        <f t="shared" si="4"/>
        <v>45858</v>
      </c>
      <c r="F307" s="3">
        <f>IF(TableRefills3[[#This Row],[prev_refill_days]]="","",TableRefills3[[#This Row],[prev_refill_days]]+TableRefills3[[#This Row],[quantity_days]])</f>
        <v>45886</v>
      </c>
      <c r="G307">
        <f>IF(TableRefills3[[#This Row],[prev_refill_end]]="","",TableRefills3[[#This Row],[refill_date]]-TableRefills3[[#This Row],[prev_refill_end]])</f>
        <v>-3</v>
      </c>
      <c r="H307" s="10">
        <f>IF(TableRefills3[[#This Row],[gap_days]]="",0,IF(TableRefills3[[#This Row],[gap_days]]&gt;2,1,0))</f>
        <v>0</v>
      </c>
      <c r="I307">
        <f>_xlfn.MAXIFS(TableRefills3[discountinuation_flag], TableRefills3[patient_id], A307)</f>
        <v>0</v>
      </c>
    </row>
    <row r="308" spans="1:9" x14ac:dyDescent="0.25">
      <c r="A308" t="s">
        <v>501</v>
      </c>
      <c r="B308" t="s">
        <v>502</v>
      </c>
      <c r="C308" s="3">
        <v>45913</v>
      </c>
      <c r="D308">
        <v>28</v>
      </c>
      <c r="E308" s="3">
        <f t="shared" si="4"/>
        <v>45883</v>
      </c>
      <c r="F308" s="3">
        <f>IF(TableRefills3[[#This Row],[prev_refill_days]]="","",TableRefills3[[#This Row],[prev_refill_days]]+TableRefills3[[#This Row],[quantity_days]])</f>
        <v>45911</v>
      </c>
      <c r="G308">
        <f>IF(TableRefills3[[#This Row],[prev_refill_end]]="","",TableRefills3[[#This Row],[refill_date]]-TableRefills3[[#This Row],[prev_refill_end]])</f>
        <v>2</v>
      </c>
      <c r="H308" s="10">
        <f>IF(TableRefills3[[#This Row],[gap_days]]="",0,IF(TableRefills3[[#This Row],[gap_days]]&gt;2,1,0))</f>
        <v>0</v>
      </c>
      <c r="I308">
        <f>_xlfn.MAXIFS(TableRefills3[discountinuation_flag], TableRefills3[patient_id], A308)</f>
        <v>0</v>
      </c>
    </row>
    <row r="309" spans="1:9" x14ac:dyDescent="0.25">
      <c r="A309" t="s">
        <v>501</v>
      </c>
      <c r="B309" t="s">
        <v>502</v>
      </c>
      <c r="C309" s="3">
        <v>45942</v>
      </c>
      <c r="D309">
        <v>28</v>
      </c>
      <c r="E309" s="3">
        <f t="shared" si="4"/>
        <v>45913</v>
      </c>
      <c r="F309" s="3">
        <f>IF(TableRefills3[[#This Row],[prev_refill_days]]="","",TableRefills3[[#This Row],[prev_refill_days]]+TableRefills3[[#This Row],[quantity_days]])</f>
        <v>45941</v>
      </c>
      <c r="G309">
        <f>IF(TableRefills3[[#This Row],[prev_refill_end]]="","",TableRefills3[[#This Row],[refill_date]]-TableRefills3[[#This Row],[prev_refill_end]])</f>
        <v>1</v>
      </c>
      <c r="H309" s="10">
        <f>IF(TableRefills3[[#This Row],[gap_days]]="",0,IF(TableRefills3[[#This Row],[gap_days]]&gt;2,1,0))</f>
        <v>0</v>
      </c>
      <c r="I309">
        <f>_xlfn.MAXIFS(TableRefills3[discountinuation_flag], TableRefills3[patient_id], A309)</f>
        <v>0</v>
      </c>
    </row>
    <row r="310" spans="1:9" x14ac:dyDescent="0.25">
      <c r="A310" t="s">
        <v>507</v>
      </c>
      <c r="B310" t="s">
        <v>508</v>
      </c>
      <c r="C310" s="3">
        <v>45909</v>
      </c>
      <c r="D310">
        <v>30</v>
      </c>
      <c r="E310" s="3" t="str">
        <f t="shared" si="4"/>
        <v/>
      </c>
      <c r="F310" s="3" t="str">
        <f>IF(TableRefills3[[#This Row],[prev_refill_days]]="","",TableRefills3[[#This Row],[prev_refill_days]]+TableRefills3[[#This Row],[quantity_days]])</f>
        <v/>
      </c>
      <c r="G310" t="str">
        <f>IF(TableRefills3[[#This Row],[prev_refill_end]]="","",TableRefills3[[#This Row],[refill_date]]-TableRefills3[[#This Row],[prev_refill_end]])</f>
        <v/>
      </c>
      <c r="H310" s="10">
        <f>IF(TableRefills3[[#This Row],[gap_days]]="",0,IF(TableRefills3[[#This Row],[gap_days]]&gt;2,1,0))</f>
        <v>0</v>
      </c>
      <c r="I310">
        <f>_xlfn.MAXIFS(TableRefills3[discountinuation_flag], TableRefills3[patient_id], A310)</f>
        <v>0</v>
      </c>
    </row>
    <row r="311" spans="1:9" x14ac:dyDescent="0.25">
      <c r="A311" t="s">
        <v>507</v>
      </c>
      <c r="B311" t="s">
        <v>508</v>
      </c>
      <c r="C311" s="3">
        <v>45940</v>
      </c>
      <c r="D311">
        <v>30</v>
      </c>
      <c r="E311" s="3">
        <f t="shared" si="4"/>
        <v>45909</v>
      </c>
      <c r="F311" s="3">
        <f>IF(TableRefills3[[#This Row],[prev_refill_days]]="","",TableRefills3[[#This Row],[prev_refill_days]]+TableRefills3[[#This Row],[quantity_days]])</f>
        <v>45939</v>
      </c>
      <c r="G311">
        <f>IF(TableRefills3[[#This Row],[prev_refill_end]]="","",TableRefills3[[#This Row],[refill_date]]-TableRefills3[[#This Row],[prev_refill_end]])</f>
        <v>1</v>
      </c>
      <c r="H311" s="10">
        <f>IF(TableRefills3[[#This Row],[gap_days]]="",0,IF(TableRefills3[[#This Row],[gap_days]]&gt;2,1,0))</f>
        <v>0</v>
      </c>
      <c r="I311">
        <f>_xlfn.MAXIFS(TableRefills3[discountinuation_flag], TableRefills3[patient_id], A311)</f>
        <v>0</v>
      </c>
    </row>
    <row r="312" spans="1:9" x14ac:dyDescent="0.25">
      <c r="A312" t="s">
        <v>511</v>
      </c>
      <c r="B312" t="s">
        <v>512</v>
      </c>
      <c r="C312" s="3">
        <v>45917</v>
      </c>
      <c r="D312">
        <v>28</v>
      </c>
      <c r="E312" s="3" t="str">
        <f t="shared" si="4"/>
        <v/>
      </c>
      <c r="F312" s="3" t="str">
        <f>IF(TableRefills3[[#This Row],[prev_refill_days]]="","",TableRefills3[[#This Row],[prev_refill_days]]+TableRefills3[[#This Row],[quantity_days]])</f>
        <v/>
      </c>
      <c r="G312" t="str">
        <f>IF(TableRefills3[[#This Row],[prev_refill_end]]="","",TableRefills3[[#This Row],[refill_date]]-TableRefills3[[#This Row],[prev_refill_end]])</f>
        <v/>
      </c>
      <c r="H312" s="10">
        <f>IF(TableRefills3[[#This Row],[gap_days]]="",0,IF(TableRefills3[[#This Row],[gap_days]]&gt;2,1,0))</f>
        <v>0</v>
      </c>
      <c r="I312">
        <f>_xlfn.MAXIFS(TableRefills3[discountinuation_flag], TableRefills3[patient_id], A312)</f>
        <v>0</v>
      </c>
    </row>
    <row r="313" spans="1:9" x14ac:dyDescent="0.25">
      <c r="A313" t="s">
        <v>511</v>
      </c>
      <c r="B313" t="s">
        <v>512</v>
      </c>
      <c r="C313" s="3">
        <v>45944</v>
      </c>
      <c r="D313">
        <v>28</v>
      </c>
      <c r="E313" s="3">
        <f t="shared" si="4"/>
        <v>45917</v>
      </c>
      <c r="F313" s="3">
        <f>IF(TableRefills3[[#This Row],[prev_refill_days]]="","",TableRefills3[[#This Row],[prev_refill_days]]+TableRefills3[[#This Row],[quantity_days]])</f>
        <v>45945</v>
      </c>
      <c r="G313">
        <f>IF(TableRefills3[[#This Row],[prev_refill_end]]="","",TableRefills3[[#This Row],[refill_date]]-TableRefills3[[#This Row],[prev_refill_end]])</f>
        <v>-1</v>
      </c>
      <c r="H313" s="10">
        <f>IF(TableRefills3[[#This Row],[gap_days]]="",0,IF(TableRefills3[[#This Row],[gap_days]]&gt;2,1,0))</f>
        <v>0</v>
      </c>
      <c r="I313">
        <f>_xlfn.MAXIFS(TableRefills3[discountinuation_flag], TableRefills3[patient_id], A313)</f>
        <v>0</v>
      </c>
    </row>
    <row r="314" spans="1:9" x14ac:dyDescent="0.25">
      <c r="A314" t="s">
        <v>515</v>
      </c>
      <c r="B314" t="s">
        <v>516</v>
      </c>
      <c r="C314" s="3">
        <v>45842</v>
      </c>
      <c r="D314">
        <v>28</v>
      </c>
      <c r="E314" s="3" t="str">
        <f t="shared" si="4"/>
        <v/>
      </c>
      <c r="F314" s="3" t="str">
        <f>IF(TableRefills3[[#This Row],[prev_refill_days]]="","",TableRefills3[[#This Row],[prev_refill_days]]+TableRefills3[[#This Row],[quantity_days]])</f>
        <v/>
      </c>
      <c r="G314" t="str">
        <f>IF(TableRefills3[[#This Row],[prev_refill_end]]="","",TableRefills3[[#This Row],[refill_date]]-TableRefills3[[#This Row],[prev_refill_end]])</f>
        <v/>
      </c>
      <c r="H314" s="10">
        <f>IF(TableRefills3[[#This Row],[gap_days]]="",0,IF(TableRefills3[[#This Row],[gap_days]]&gt;2,1,0))</f>
        <v>0</v>
      </c>
      <c r="I314">
        <f>_xlfn.MAXIFS(TableRefills3[discountinuation_flag], TableRefills3[patient_id], A314)</f>
        <v>0</v>
      </c>
    </row>
    <row r="315" spans="1:9" x14ac:dyDescent="0.25">
      <c r="A315" t="s">
        <v>515</v>
      </c>
      <c r="B315" t="s">
        <v>516</v>
      </c>
      <c r="C315" s="3">
        <v>45868</v>
      </c>
      <c r="D315">
        <v>28</v>
      </c>
      <c r="E315" s="3">
        <f t="shared" si="4"/>
        <v>45842</v>
      </c>
      <c r="F315" s="3">
        <f>IF(TableRefills3[[#This Row],[prev_refill_days]]="","",TableRefills3[[#This Row],[prev_refill_days]]+TableRefills3[[#This Row],[quantity_days]])</f>
        <v>45870</v>
      </c>
      <c r="G315">
        <f>IF(TableRefills3[[#This Row],[prev_refill_end]]="","",TableRefills3[[#This Row],[refill_date]]-TableRefills3[[#This Row],[prev_refill_end]])</f>
        <v>-2</v>
      </c>
      <c r="H315" s="10">
        <f>IF(TableRefills3[[#This Row],[gap_days]]="",0,IF(TableRefills3[[#This Row],[gap_days]]&gt;2,1,0))</f>
        <v>0</v>
      </c>
      <c r="I315">
        <f>_xlfn.MAXIFS(TableRefills3[discountinuation_flag], TableRefills3[patient_id], A315)</f>
        <v>0</v>
      </c>
    </row>
    <row r="316" spans="1:9" x14ac:dyDescent="0.25">
      <c r="A316" t="s">
        <v>515</v>
      </c>
      <c r="B316" t="s">
        <v>516</v>
      </c>
      <c r="C316" s="3">
        <v>45897</v>
      </c>
      <c r="D316">
        <v>28</v>
      </c>
      <c r="E316" s="3">
        <f t="shared" si="4"/>
        <v>45868</v>
      </c>
      <c r="F316" s="3">
        <f>IF(TableRefills3[[#This Row],[prev_refill_days]]="","",TableRefills3[[#This Row],[prev_refill_days]]+TableRefills3[[#This Row],[quantity_days]])</f>
        <v>45896</v>
      </c>
      <c r="G316">
        <f>IF(TableRefills3[[#This Row],[prev_refill_end]]="","",TableRefills3[[#This Row],[refill_date]]-TableRefills3[[#This Row],[prev_refill_end]])</f>
        <v>1</v>
      </c>
      <c r="H316" s="10">
        <f>IF(TableRefills3[[#This Row],[gap_days]]="",0,IF(TableRefills3[[#This Row],[gap_days]]&gt;2,1,0))</f>
        <v>0</v>
      </c>
      <c r="I316">
        <f>_xlfn.MAXIFS(TableRefills3[discountinuation_flag], TableRefills3[patient_id], A316)</f>
        <v>0</v>
      </c>
    </row>
    <row r="317" spans="1:9" x14ac:dyDescent="0.25">
      <c r="A317" t="s">
        <v>515</v>
      </c>
      <c r="B317" t="s">
        <v>516</v>
      </c>
      <c r="C317" s="3">
        <v>45925</v>
      </c>
      <c r="D317">
        <v>28</v>
      </c>
      <c r="E317" s="3">
        <f t="shared" si="4"/>
        <v>45897</v>
      </c>
      <c r="F317" s="3">
        <f>IF(TableRefills3[[#This Row],[prev_refill_days]]="","",TableRefills3[[#This Row],[prev_refill_days]]+TableRefills3[[#This Row],[quantity_days]])</f>
        <v>45925</v>
      </c>
      <c r="G317">
        <f>IF(TableRefills3[[#This Row],[prev_refill_end]]="","",TableRefills3[[#This Row],[refill_date]]-TableRefills3[[#This Row],[prev_refill_end]])</f>
        <v>0</v>
      </c>
      <c r="H317" s="10">
        <f>IF(TableRefills3[[#This Row],[gap_days]]="",0,IF(TableRefills3[[#This Row],[gap_days]]&gt;2,1,0))</f>
        <v>0</v>
      </c>
      <c r="I317">
        <f>_xlfn.MAXIFS(TableRefills3[discountinuation_flag], TableRefills3[patient_id], A317)</f>
        <v>0</v>
      </c>
    </row>
    <row r="318" spans="1:9" x14ac:dyDescent="0.25">
      <c r="A318" t="s">
        <v>515</v>
      </c>
      <c r="B318" t="s">
        <v>516</v>
      </c>
      <c r="C318" s="3">
        <v>45952</v>
      </c>
      <c r="D318">
        <v>28</v>
      </c>
      <c r="E318" s="3">
        <f t="shared" si="4"/>
        <v>45925</v>
      </c>
      <c r="F318" s="3">
        <f>IF(TableRefills3[[#This Row],[prev_refill_days]]="","",TableRefills3[[#This Row],[prev_refill_days]]+TableRefills3[[#This Row],[quantity_days]])</f>
        <v>45953</v>
      </c>
      <c r="G318">
        <f>IF(TableRefills3[[#This Row],[prev_refill_end]]="","",TableRefills3[[#This Row],[refill_date]]-TableRefills3[[#This Row],[prev_refill_end]])</f>
        <v>-1</v>
      </c>
      <c r="H318" s="10">
        <f>IF(TableRefills3[[#This Row],[gap_days]]="",0,IF(TableRefills3[[#This Row],[gap_days]]&gt;2,1,0))</f>
        <v>0</v>
      </c>
      <c r="I318">
        <f>_xlfn.MAXIFS(TableRefills3[discountinuation_flag], TableRefills3[patient_id], A318)</f>
        <v>0</v>
      </c>
    </row>
    <row r="319" spans="1:9" x14ac:dyDescent="0.25">
      <c r="A319" t="s">
        <v>522</v>
      </c>
      <c r="B319" t="s">
        <v>523</v>
      </c>
      <c r="C319" s="3">
        <v>45943</v>
      </c>
      <c r="D319">
        <v>28</v>
      </c>
      <c r="E319" s="3" t="str">
        <f t="shared" si="4"/>
        <v/>
      </c>
      <c r="F319" s="3" t="str">
        <f>IF(TableRefills3[[#This Row],[prev_refill_days]]="","",TableRefills3[[#This Row],[prev_refill_days]]+TableRefills3[[#This Row],[quantity_days]])</f>
        <v/>
      </c>
      <c r="G319" t="str">
        <f>IF(TableRefills3[[#This Row],[prev_refill_end]]="","",TableRefills3[[#This Row],[refill_date]]-TableRefills3[[#This Row],[prev_refill_end]])</f>
        <v/>
      </c>
      <c r="H319" s="10">
        <f>IF(TableRefills3[[#This Row],[gap_days]]="",0,IF(TableRefills3[[#This Row],[gap_days]]&gt;2,1,0))</f>
        <v>0</v>
      </c>
      <c r="I319">
        <f>_xlfn.MAXIFS(TableRefills3[discountinuation_flag], TableRefills3[patient_id], A319)</f>
        <v>0</v>
      </c>
    </row>
    <row r="320" spans="1:9" x14ac:dyDescent="0.25">
      <c r="A320" t="s">
        <v>525</v>
      </c>
      <c r="B320" t="s">
        <v>526</v>
      </c>
      <c r="C320" s="3">
        <v>45851</v>
      </c>
      <c r="D320">
        <v>28</v>
      </c>
      <c r="E320" s="3" t="str">
        <f t="shared" si="4"/>
        <v/>
      </c>
      <c r="F320" s="3" t="str">
        <f>IF(TableRefills3[[#This Row],[prev_refill_days]]="","",TableRefills3[[#This Row],[prev_refill_days]]+TableRefills3[[#This Row],[quantity_days]])</f>
        <v/>
      </c>
      <c r="G320" t="str">
        <f>IF(TableRefills3[[#This Row],[prev_refill_end]]="","",TableRefills3[[#This Row],[refill_date]]-TableRefills3[[#This Row],[prev_refill_end]])</f>
        <v/>
      </c>
      <c r="H320" s="10">
        <f>IF(TableRefills3[[#This Row],[gap_days]]="",0,IF(TableRefills3[[#This Row],[gap_days]]&gt;2,1,0))</f>
        <v>0</v>
      </c>
      <c r="I320">
        <f>_xlfn.MAXIFS(TableRefills3[discountinuation_flag], TableRefills3[patient_id], A320)</f>
        <v>0</v>
      </c>
    </row>
    <row r="321" spans="1:9" x14ac:dyDescent="0.25">
      <c r="A321" t="s">
        <v>528</v>
      </c>
      <c r="B321" t="s">
        <v>529</v>
      </c>
      <c r="C321" s="3">
        <v>45790</v>
      </c>
      <c r="D321">
        <v>30</v>
      </c>
      <c r="E321" s="3" t="str">
        <f t="shared" si="4"/>
        <v/>
      </c>
      <c r="F321" s="3" t="str">
        <f>IF(TableRefills3[[#This Row],[prev_refill_days]]="","",TableRefills3[[#This Row],[prev_refill_days]]+TableRefills3[[#This Row],[quantity_days]])</f>
        <v/>
      </c>
      <c r="G321" t="str">
        <f>IF(TableRefills3[[#This Row],[prev_refill_end]]="","",TableRefills3[[#This Row],[refill_date]]-TableRefills3[[#This Row],[prev_refill_end]])</f>
        <v/>
      </c>
      <c r="H321" s="10">
        <f>IF(TableRefills3[[#This Row],[gap_days]]="",0,IF(TableRefills3[[#This Row],[gap_days]]&gt;2,1,0))</f>
        <v>0</v>
      </c>
      <c r="I321">
        <f>_xlfn.MAXIFS(TableRefills3[discountinuation_flag], TableRefills3[patient_id], A321)</f>
        <v>0</v>
      </c>
    </row>
    <row r="322" spans="1:9" x14ac:dyDescent="0.25">
      <c r="A322" t="s">
        <v>528</v>
      </c>
      <c r="B322" t="s">
        <v>529</v>
      </c>
      <c r="C322" s="3">
        <v>45817</v>
      </c>
      <c r="D322">
        <v>30</v>
      </c>
      <c r="E322" s="3">
        <f t="shared" ref="E322:E385" si="5">IF(A321=A322,C321,"")</f>
        <v>45790</v>
      </c>
      <c r="F322" s="3">
        <f>IF(TableRefills3[[#This Row],[prev_refill_days]]="","",TableRefills3[[#This Row],[prev_refill_days]]+TableRefills3[[#This Row],[quantity_days]])</f>
        <v>45820</v>
      </c>
      <c r="G322">
        <f>IF(TableRefills3[[#This Row],[prev_refill_end]]="","",TableRefills3[[#This Row],[refill_date]]-TableRefills3[[#This Row],[prev_refill_end]])</f>
        <v>-3</v>
      </c>
      <c r="H322" s="10">
        <f>IF(TableRefills3[[#This Row],[gap_days]]="",0,IF(TableRefills3[[#This Row],[gap_days]]&gt;2,1,0))</f>
        <v>0</v>
      </c>
      <c r="I322">
        <f>_xlfn.MAXIFS(TableRefills3[discountinuation_flag], TableRefills3[patient_id], A322)</f>
        <v>0</v>
      </c>
    </row>
    <row r="323" spans="1:9" x14ac:dyDescent="0.25">
      <c r="A323" t="s">
        <v>528</v>
      </c>
      <c r="B323" t="s">
        <v>529</v>
      </c>
      <c r="C323" s="3">
        <v>45849</v>
      </c>
      <c r="D323">
        <v>30</v>
      </c>
      <c r="E323" s="3">
        <f t="shared" si="5"/>
        <v>45817</v>
      </c>
      <c r="F323" s="3">
        <f>IF(TableRefills3[[#This Row],[prev_refill_days]]="","",TableRefills3[[#This Row],[prev_refill_days]]+TableRefills3[[#This Row],[quantity_days]])</f>
        <v>45847</v>
      </c>
      <c r="G323">
        <f>IF(TableRefills3[[#This Row],[prev_refill_end]]="","",TableRefills3[[#This Row],[refill_date]]-TableRefills3[[#This Row],[prev_refill_end]])</f>
        <v>2</v>
      </c>
      <c r="H323" s="10">
        <f>IF(TableRefills3[[#This Row],[gap_days]]="",0,IF(TableRefills3[[#This Row],[gap_days]]&gt;2,1,0))</f>
        <v>0</v>
      </c>
      <c r="I323">
        <f>_xlfn.MAXIFS(TableRefills3[discountinuation_flag], TableRefills3[patient_id], A323)</f>
        <v>0</v>
      </c>
    </row>
    <row r="324" spans="1:9" x14ac:dyDescent="0.25">
      <c r="A324" t="s">
        <v>528</v>
      </c>
      <c r="B324" t="s">
        <v>529</v>
      </c>
      <c r="C324" s="3">
        <v>45881</v>
      </c>
      <c r="D324">
        <v>30</v>
      </c>
      <c r="E324" s="3">
        <f t="shared" si="5"/>
        <v>45849</v>
      </c>
      <c r="F324" s="3">
        <f>IF(TableRefills3[[#This Row],[prev_refill_days]]="","",TableRefills3[[#This Row],[prev_refill_days]]+TableRefills3[[#This Row],[quantity_days]])</f>
        <v>45879</v>
      </c>
      <c r="G324">
        <f>IF(TableRefills3[[#This Row],[prev_refill_end]]="","",TableRefills3[[#This Row],[refill_date]]-TableRefills3[[#This Row],[prev_refill_end]])</f>
        <v>2</v>
      </c>
      <c r="H324" s="10">
        <f>IF(TableRefills3[[#This Row],[gap_days]]="",0,IF(TableRefills3[[#This Row],[gap_days]]&gt;2,1,0))</f>
        <v>0</v>
      </c>
      <c r="I324">
        <f>_xlfn.MAXIFS(TableRefills3[discountinuation_flag], TableRefills3[patient_id], A324)</f>
        <v>0</v>
      </c>
    </row>
    <row r="325" spans="1:9" x14ac:dyDescent="0.25">
      <c r="A325" t="s">
        <v>528</v>
      </c>
      <c r="B325" t="s">
        <v>529</v>
      </c>
      <c r="C325" s="3">
        <v>45910</v>
      </c>
      <c r="D325">
        <v>30</v>
      </c>
      <c r="E325" s="3">
        <f t="shared" si="5"/>
        <v>45881</v>
      </c>
      <c r="F325" s="3">
        <f>IF(TableRefills3[[#This Row],[prev_refill_days]]="","",TableRefills3[[#This Row],[prev_refill_days]]+TableRefills3[[#This Row],[quantity_days]])</f>
        <v>45911</v>
      </c>
      <c r="G325">
        <f>IF(TableRefills3[[#This Row],[prev_refill_end]]="","",TableRefills3[[#This Row],[refill_date]]-TableRefills3[[#This Row],[prev_refill_end]])</f>
        <v>-1</v>
      </c>
      <c r="H325" s="10">
        <f>IF(TableRefills3[[#This Row],[gap_days]]="",0,IF(TableRefills3[[#This Row],[gap_days]]&gt;2,1,0))</f>
        <v>0</v>
      </c>
      <c r="I325">
        <f>_xlfn.MAXIFS(TableRefills3[discountinuation_flag], TableRefills3[patient_id], A325)</f>
        <v>0</v>
      </c>
    </row>
    <row r="326" spans="1:9" x14ac:dyDescent="0.25">
      <c r="A326" t="s">
        <v>528</v>
      </c>
      <c r="B326" t="s">
        <v>529</v>
      </c>
      <c r="C326" s="3">
        <v>45937</v>
      </c>
      <c r="D326">
        <v>30</v>
      </c>
      <c r="E326" s="3">
        <f t="shared" si="5"/>
        <v>45910</v>
      </c>
      <c r="F326" s="3">
        <f>IF(TableRefills3[[#This Row],[prev_refill_days]]="","",TableRefills3[[#This Row],[prev_refill_days]]+TableRefills3[[#This Row],[quantity_days]])</f>
        <v>45940</v>
      </c>
      <c r="G326">
        <f>IF(TableRefills3[[#This Row],[prev_refill_end]]="","",TableRefills3[[#This Row],[refill_date]]-TableRefills3[[#This Row],[prev_refill_end]])</f>
        <v>-3</v>
      </c>
      <c r="H326" s="10">
        <f>IF(TableRefills3[[#This Row],[gap_days]]="",0,IF(TableRefills3[[#This Row],[gap_days]]&gt;2,1,0))</f>
        <v>0</v>
      </c>
      <c r="I326">
        <f>_xlfn.MAXIFS(TableRefills3[discountinuation_flag], TableRefills3[patient_id], A326)</f>
        <v>0</v>
      </c>
    </row>
    <row r="327" spans="1:9" x14ac:dyDescent="0.25">
      <c r="A327" t="s">
        <v>536</v>
      </c>
      <c r="B327" t="s">
        <v>537</v>
      </c>
      <c r="C327" s="3">
        <v>45862</v>
      </c>
      <c r="D327">
        <v>28</v>
      </c>
      <c r="E327" s="3" t="str">
        <f t="shared" si="5"/>
        <v/>
      </c>
      <c r="F327" s="3" t="str">
        <f>IF(TableRefills3[[#This Row],[prev_refill_days]]="","",TableRefills3[[#This Row],[prev_refill_days]]+TableRefills3[[#This Row],[quantity_days]])</f>
        <v/>
      </c>
      <c r="G327" t="str">
        <f>IF(TableRefills3[[#This Row],[prev_refill_end]]="","",TableRefills3[[#This Row],[refill_date]]-TableRefills3[[#This Row],[prev_refill_end]])</f>
        <v/>
      </c>
      <c r="H327" s="10">
        <f>IF(TableRefills3[[#This Row],[gap_days]]="",0,IF(TableRefills3[[#This Row],[gap_days]]&gt;2,1,0))</f>
        <v>0</v>
      </c>
      <c r="I327">
        <f>_xlfn.MAXIFS(TableRefills3[discountinuation_flag], TableRefills3[patient_id], A327)</f>
        <v>1</v>
      </c>
    </row>
    <row r="328" spans="1:9" x14ac:dyDescent="0.25">
      <c r="A328" t="s">
        <v>536</v>
      </c>
      <c r="B328" t="s">
        <v>537</v>
      </c>
      <c r="C328" s="3">
        <v>45892</v>
      </c>
      <c r="D328">
        <v>28</v>
      </c>
      <c r="E328" s="3">
        <f t="shared" si="5"/>
        <v>45862</v>
      </c>
      <c r="F328" s="3">
        <f>IF(TableRefills3[[#This Row],[prev_refill_days]]="","",TableRefills3[[#This Row],[prev_refill_days]]+TableRefills3[[#This Row],[quantity_days]])</f>
        <v>45890</v>
      </c>
      <c r="G328">
        <f>IF(TableRefills3[[#This Row],[prev_refill_end]]="","",TableRefills3[[#This Row],[refill_date]]-TableRefills3[[#This Row],[prev_refill_end]])</f>
        <v>2</v>
      </c>
      <c r="H328" s="10">
        <f>IF(TableRefills3[[#This Row],[gap_days]]="",0,IF(TableRefills3[[#This Row],[gap_days]]&gt;2,1,0))</f>
        <v>0</v>
      </c>
      <c r="I328">
        <f>_xlfn.MAXIFS(TableRefills3[discountinuation_flag], TableRefills3[patient_id], A328)</f>
        <v>1</v>
      </c>
    </row>
    <row r="329" spans="1:9" x14ac:dyDescent="0.25">
      <c r="A329" t="s">
        <v>536</v>
      </c>
      <c r="B329" t="s">
        <v>537</v>
      </c>
      <c r="C329" s="3">
        <v>45919</v>
      </c>
      <c r="D329">
        <v>28</v>
      </c>
      <c r="E329" s="3">
        <f t="shared" si="5"/>
        <v>45892</v>
      </c>
      <c r="F329" s="3">
        <f>IF(TableRefills3[[#This Row],[prev_refill_days]]="","",TableRefills3[[#This Row],[prev_refill_days]]+TableRefills3[[#This Row],[quantity_days]])</f>
        <v>45920</v>
      </c>
      <c r="G329">
        <f>IF(TableRefills3[[#This Row],[prev_refill_end]]="","",TableRefills3[[#This Row],[refill_date]]-TableRefills3[[#This Row],[prev_refill_end]])</f>
        <v>-1</v>
      </c>
      <c r="H329" s="10">
        <f>IF(TableRefills3[[#This Row],[gap_days]]="",0,IF(TableRefills3[[#This Row],[gap_days]]&gt;2,1,0))</f>
        <v>0</v>
      </c>
      <c r="I329">
        <f>_xlfn.MAXIFS(TableRefills3[discountinuation_flag], TableRefills3[patient_id], A329)</f>
        <v>1</v>
      </c>
    </row>
    <row r="330" spans="1:9" x14ac:dyDescent="0.25">
      <c r="A330" t="s">
        <v>536</v>
      </c>
      <c r="B330" t="s">
        <v>537</v>
      </c>
      <c r="C330" s="3">
        <v>45950</v>
      </c>
      <c r="D330">
        <v>28</v>
      </c>
      <c r="E330" s="3">
        <f t="shared" si="5"/>
        <v>45919</v>
      </c>
      <c r="F330" s="3">
        <f>IF(TableRefills3[[#This Row],[prev_refill_days]]="","",TableRefills3[[#This Row],[prev_refill_days]]+TableRefills3[[#This Row],[quantity_days]])</f>
        <v>45947</v>
      </c>
      <c r="G330">
        <f>IF(TableRefills3[[#This Row],[prev_refill_end]]="","",TableRefills3[[#This Row],[refill_date]]-TableRefills3[[#This Row],[prev_refill_end]])</f>
        <v>3</v>
      </c>
      <c r="H330" s="10">
        <f>IF(TableRefills3[[#This Row],[gap_days]]="",0,IF(TableRefills3[[#This Row],[gap_days]]&gt;2,1,0))</f>
        <v>1</v>
      </c>
      <c r="I330">
        <f>_xlfn.MAXIFS(TableRefills3[discountinuation_flag], TableRefills3[patient_id], A330)</f>
        <v>1</v>
      </c>
    </row>
    <row r="331" spans="1:9" x14ac:dyDescent="0.25">
      <c r="A331" t="s">
        <v>542</v>
      </c>
      <c r="B331" t="s">
        <v>543</v>
      </c>
      <c r="C331" s="3">
        <v>45809</v>
      </c>
      <c r="D331">
        <v>30</v>
      </c>
      <c r="E331" s="3" t="str">
        <f t="shared" si="5"/>
        <v/>
      </c>
      <c r="F331" s="3" t="str">
        <f>IF(TableRefills3[[#This Row],[prev_refill_days]]="","",TableRefills3[[#This Row],[prev_refill_days]]+TableRefills3[[#This Row],[quantity_days]])</f>
        <v/>
      </c>
      <c r="G331" t="str">
        <f>IF(TableRefills3[[#This Row],[prev_refill_end]]="","",TableRefills3[[#This Row],[refill_date]]-TableRefills3[[#This Row],[prev_refill_end]])</f>
        <v/>
      </c>
      <c r="H331" s="10">
        <f>IF(TableRefills3[[#This Row],[gap_days]]="",0,IF(TableRefills3[[#This Row],[gap_days]]&gt;2,1,0))</f>
        <v>0</v>
      </c>
      <c r="I331">
        <f>_xlfn.MAXIFS(TableRefills3[discountinuation_flag], TableRefills3[patient_id], A331)</f>
        <v>0</v>
      </c>
    </row>
    <row r="332" spans="1:9" x14ac:dyDescent="0.25">
      <c r="A332" t="s">
        <v>542</v>
      </c>
      <c r="B332" t="s">
        <v>543</v>
      </c>
      <c r="C332" s="3">
        <v>45836</v>
      </c>
      <c r="D332">
        <v>30</v>
      </c>
      <c r="E332" s="3">
        <f t="shared" si="5"/>
        <v>45809</v>
      </c>
      <c r="F332" s="3">
        <f>IF(TableRefills3[[#This Row],[prev_refill_days]]="","",TableRefills3[[#This Row],[prev_refill_days]]+TableRefills3[[#This Row],[quantity_days]])</f>
        <v>45839</v>
      </c>
      <c r="G332">
        <f>IF(TableRefills3[[#This Row],[prev_refill_end]]="","",TableRefills3[[#This Row],[refill_date]]-TableRefills3[[#This Row],[prev_refill_end]])</f>
        <v>-3</v>
      </c>
      <c r="H332" s="10">
        <f>IF(TableRefills3[[#This Row],[gap_days]]="",0,IF(TableRefills3[[#This Row],[gap_days]]&gt;2,1,0))</f>
        <v>0</v>
      </c>
      <c r="I332">
        <f>_xlfn.MAXIFS(TableRefills3[discountinuation_flag], TableRefills3[patient_id], A332)</f>
        <v>0</v>
      </c>
    </row>
    <row r="333" spans="1:9" x14ac:dyDescent="0.25">
      <c r="A333" t="s">
        <v>542</v>
      </c>
      <c r="B333" t="s">
        <v>543</v>
      </c>
      <c r="C333" s="3">
        <v>45866</v>
      </c>
      <c r="D333">
        <v>30</v>
      </c>
      <c r="E333" s="3">
        <f t="shared" si="5"/>
        <v>45836</v>
      </c>
      <c r="F333" s="3">
        <f>IF(TableRefills3[[#This Row],[prev_refill_days]]="","",TableRefills3[[#This Row],[prev_refill_days]]+TableRefills3[[#This Row],[quantity_days]])</f>
        <v>45866</v>
      </c>
      <c r="G333">
        <f>IF(TableRefills3[[#This Row],[prev_refill_end]]="","",TableRefills3[[#This Row],[refill_date]]-TableRefills3[[#This Row],[prev_refill_end]])</f>
        <v>0</v>
      </c>
      <c r="H333" s="10">
        <f>IF(TableRefills3[[#This Row],[gap_days]]="",0,IF(TableRefills3[[#This Row],[gap_days]]&gt;2,1,0))</f>
        <v>0</v>
      </c>
      <c r="I333">
        <f>_xlfn.MAXIFS(TableRefills3[discountinuation_flag], TableRefills3[patient_id], A333)</f>
        <v>0</v>
      </c>
    </row>
    <row r="334" spans="1:9" x14ac:dyDescent="0.25">
      <c r="A334" t="s">
        <v>542</v>
      </c>
      <c r="B334" t="s">
        <v>543</v>
      </c>
      <c r="C334" s="3">
        <v>45896</v>
      </c>
      <c r="D334">
        <v>30</v>
      </c>
      <c r="E334" s="3">
        <f t="shared" si="5"/>
        <v>45866</v>
      </c>
      <c r="F334" s="3">
        <f>IF(TableRefills3[[#This Row],[prev_refill_days]]="","",TableRefills3[[#This Row],[prev_refill_days]]+TableRefills3[[#This Row],[quantity_days]])</f>
        <v>45896</v>
      </c>
      <c r="G334">
        <f>IF(TableRefills3[[#This Row],[prev_refill_end]]="","",TableRefills3[[#This Row],[refill_date]]-TableRefills3[[#This Row],[prev_refill_end]])</f>
        <v>0</v>
      </c>
      <c r="H334" s="10">
        <f>IF(TableRefills3[[#This Row],[gap_days]]="",0,IF(TableRefills3[[#This Row],[gap_days]]&gt;2,1,0))</f>
        <v>0</v>
      </c>
      <c r="I334">
        <f>_xlfn.MAXIFS(TableRefills3[discountinuation_flag], TableRefills3[patient_id], A334)</f>
        <v>0</v>
      </c>
    </row>
    <row r="335" spans="1:9" x14ac:dyDescent="0.25">
      <c r="A335" t="s">
        <v>542</v>
      </c>
      <c r="B335" t="s">
        <v>543</v>
      </c>
      <c r="C335" s="3">
        <v>45926</v>
      </c>
      <c r="D335">
        <v>30</v>
      </c>
      <c r="E335" s="3">
        <f t="shared" si="5"/>
        <v>45896</v>
      </c>
      <c r="F335" s="3">
        <f>IF(TableRefills3[[#This Row],[prev_refill_days]]="","",TableRefills3[[#This Row],[prev_refill_days]]+TableRefills3[[#This Row],[quantity_days]])</f>
        <v>45926</v>
      </c>
      <c r="G335">
        <f>IF(TableRefills3[[#This Row],[prev_refill_end]]="","",TableRefills3[[#This Row],[refill_date]]-TableRefills3[[#This Row],[prev_refill_end]])</f>
        <v>0</v>
      </c>
      <c r="H335" s="10">
        <f>IF(TableRefills3[[#This Row],[gap_days]]="",0,IF(TableRefills3[[#This Row],[gap_days]]&gt;2,1,0))</f>
        <v>0</v>
      </c>
      <c r="I335">
        <f>_xlfn.MAXIFS(TableRefills3[discountinuation_flag], TableRefills3[patient_id], A335)</f>
        <v>0</v>
      </c>
    </row>
    <row r="336" spans="1:9" x14ac:dyDescent="0.25">
      <c r="A336" t="s">
        <v>542</v>
      </c>
      <c r="B336" t="s">
        <v>543</v>
      </c>
      <c r="C336" s="3">
        <v>45956</v>
      </c>
      <c r="D336">
        <v>30</v>
      </c>
      <c r="E336" s="3">
        <f t="shared" si="5"/>
        <v>45926</v>
      </c>
      <c r="F336" s="3">
        <f>IF(TableRefills3[[#This Row],[prev_refill_days]]="","",TableRefills3[[#This Row],[prev_refill_days]]+TableRefills3[[#This Row],[quantity_days]])</f>
        <v>45956</v>
      </c>
      <c r="G336">
        <f>IF(TableRefills3[[#This Row],[prev_refill_end]]="","",TableRefills3[[#This Row],[refill_date]]-TableRefills3[[#This Row],[prev_refill_end]])</f>
        <v>0</v>
      </c>
      <c r="H336" s="10">
        <f>IF(TableRefills3[[#This Row],[gap_days]]="",0,IF(TableRefills3[[#This Row],[gap_days]]&gt;2,1,0))</f>
        <v>0</v>
      </c>
      <c r="I336">
        <f>_xlfn.MAXIFS(TableRefills3[discountinuation_flag], TableRefills3[patient_id], A336)</f>
        <v>0</v>
      </c>
    </row>
    <row r="337" spans="1:9" x14ac:dyDescent="0.25">
      <c r="A337" t="s">
        <v>550</v>
      </c>
      <c r="B337" t="s">
        <v>551</v>
      </c>
      <c r="C337" s="3">
        <v>45872</v>
      </c>
      <c r="D337">
        <v>28</v>
      </c>
      <c r="E337" s="3" t="str">
        <f t="shared" si="5"/>
        <v/>
      </c>
      <c r="F337" s="3" t="str">
        <f>IF(TableRefills3[[#This Row],[prev_refill_days]]="","",TableRefills3[[#This Row],[prev_refill_days]]+TableRefills3[[#This Row],[quantity_days]])</f>
        <v/>
      </c>
      <c r="G337" t="str">
        <f>IF(TableRefills3[[#This Row],[prev_refill_end]]="","",TableRefills3[[#This Row],[refill_date]]-TableRefills3[[#This Row],[prev_refill_end]])</f>
        <v/>
      </c>
      <c r="H337" s="10">
        <f>IF(TableRefills3[[#This Row],[gap_days]]="",0,IF(TableRefills3[[#This Row],[gap_days]]&gt;2,1,0))</f>
        <v>0</v>
      </c>
      <c r="I337">
        <f>_xlfn.MAXIFS(TableRefills3[discountinuation_flag], TableRefills3[patient_id], A337)</f>
        <v>1</v>
      </c>
    </row>
    <row r="338" spans="1:9" x14ac:dyDescent="0.25">
      <c r="A338" t="s">
        <v>550</v>
      </c>
      <c r="B338" t="s">
        <v>551</v>
      </c>
      <c r="C338" s="3">
        <v>45897</v>
      </c>
      <c r="D338">
        <v>28</v>
      </c>
      <c r="E338" s="3">
        <f t="shared" si="5"/>
        <v>45872</v>
      </c>
      <c r="F338" s="3">
        <f>IF(TableRefills3[[#This Row],[prev_refill_days]]="","",TableRefills3[[#This Row],[prev_refill_days]]+TableRefills3[[#This Row],[quantity_days]])</f>
        <v>45900</v>
      </c>
      <c r="G338">
        <f>IF(TableRefills3[[#This Row],[prev_refill_end]]="","",TableRefills3[[#This Row],[refill_date]]-TableRefills3[[#This Row],[prev_refill_end]])</f>
        <v>-3</v>
      </c>
      <c r="H338" s="10">
        <f>IF(TableRefills3[[#This Row],[gap_days]]="",0,IF(TableRefills3[[#This Row],[gap_days]]&gt;2,1,0))</f>
        <v>0</v>
      </c>
      <c r="I338">
        <f>_xlfn.MAXIFS(TableRefills3[discountinuation_flag], TableRefills3[patient_id], A338)</f>
        <v>1</v>
      </c>
    </row>
    <row r="339" spans="1:9" x14ac:dyDescent="0.25">
      <c r="A339" t="s">
        <v>550</v>
      </c>
      <c r="B339" t="s">
        <v>551</v>
      </c>
      <c r="C339" s="3">
        <v>45925</v>
      </c>
      <c r="D339">
        <v>28</v>
      </c>
      <c r="E339" s="3">
        <f t="shared" si="5"/>
        <v>45897</v>
      </c>
      <c r="F339" s="3">
        <f>IF(TableRefills3[[#This Row],[prev_refill_days]]="","",TableRefills3[[#This Row],[prev_refill_days]]+TableRefills3[[#This Row],[quantity_days]])</f>
        <v>45925</v>
      </c>
      <c r="G339">
        <f>IF(TableRefills3[[#This Row],[prev_refill_end]]="","",TableRefills3[[#This Row],[refill_date]]-TableRefills3[[#This Row],[prev_refill_end]])</f>
        <v>0</v>
      </c>
      <c r="H339" s="10">
        <f>IF(TableRefills3[[#This Row],[gap_days]]="",0,IF(TableRefills3[[#This Row],[gap_days]]&gt;2,1,0))</f>
        <v>0</v>
      </c>
      <c r="I339">
        <f>_xlfn.MAXIFS(TableRefills3[discountinuation_flag], TableRefills3[patient_id], A339)</f>
        <v>1</v>
      </c>
    </row>
    <row r="340" spans="1:9" x14ac:dyDescent="0.25">
      <c r="A340" t="s">
        <v>550</v>
      </c>
      <c r="B340" t="s">
        <v>551</v>
      </c>
      <c r="C340" s="3">
        <v>45956</v>
      </c>
      <c r="D340">
        <v>28</v>
      </c>
      <c r="E340" s="3">
        <f t="shared" si="5"/>
        <v>45925</v>
      </c>
      <c r="F340" s="3">
        <f>IF(TableRefills3[[#This Row],[prev_refill_days]]="","",TableRefills3[[#This Row],[prev_refill_days]]+TableRefills3[[#This Row],[quantity_days]])</f>
        <v>45953</v>
      </c>
      <c r="G340">
        <f>IF(TableRefills3[[#This Row],[prev_refill_end]]="","",TableRefills3[[#This Row],[refill_date]]-TableRefills3[[#This Row],[prev_refill_end]])</f>
        <v>3</v>
      </c>
      <c r="H340" s="10">
        <f>IF(TableRefills3[[#This Row],[gap_days]]="",0,IF(TableRefills3[[#This Row],[gap_days]]&gt;2,1,0))</f>
        <v>1</v>
      </c>
      <c r="I340">
        <f>_xlfn.MAXIFS(TableRefills3[discountinuation_flag], TableRefills3[patient_id], A340)</f>
        <v>1</v>
      </c>
    </row>
    <row r="341" spans="1:9" x14ac:dyDescent="0.25">
      <c r="A341" t="s">
        <v>556</v>
      </c>
      <c r="B341" t="s">
        <v>557</v>
      </c>
      <c r="C341" s="3">
        <v>45880</v>
      </c>
      <c r="D341">
        <v>28</v>
      </c>
      <c r="E341" s="3" t="str">
        <f t="shared" si="5"/>
        <v/>
      </c>
      <c r="F341" s="3" t="str">
        <f>IF(TableRefills3[[#This Row],[prev_refill_days]]="","",TableRefills3[[#This Row],[prev_refill_days]]+TableRefills3[[#This Row],[quantity_days]])</f>
        <v/>
      </c>
      <c r="G341" t="str">
        <f>IF(TableRefills3[[#This Row],[prev_refill_end]]="","",TableRefills3[[#This Row],[refill_date]]-TableRefills3[[#This Row],[prev_refill_end]])</f>
        <v/>
      </c>
      <c r="H341" s="10">
        <f>IF(TableRefills3[[#This Row],[gap_days]]="",0,IF(TableRefills3[[#This Row],[gap_days]]&gt;2,1,0))</f>
        <v>0</v>
      </c>
      <c r="I341">
        <f>_xlfn.MAXIFS(TableRefills3[discountinuation_flag], TableRefills3[patient_id], A341)</f>
        <v>0</v>
      </c>
    </row>
    <row r="342" spans="1:9" x14ac:dyDescent="0.25">
      <c r="A342" t="s">
        <v>556</v>
      </c>
      <c r="B342" t="s">
        <v>557</v>
      </c>
      <c r="C342" s="3">
        <v>45910</v>
      </c>
      <c r="D342">
        <v>28</v>
      </c>
      <c r="E342" s="3">
        <f t="shared" si="5"/>
        <v>45880</v>
      </c>
      <c r="F342" s="3">
        <f>IF(TableRefills3[[#This Row],[prev_refill_days]]="","",TableRefills3[[#This Row],[prev_refill_days]]+TableRefills3[[#This Row],[quantity_days]])</f>
        <v>45908</v>
      </c>
      <c r="G342">
        <f>IF(TableRefills3[[#This Row],[prev_refill_end]]="","",TableRefills3[[#This Row],[refill_date]]-TableRefills3[[#This Row],[prev_refill_end]])</f>
        <v>2</v>
      </c>
      <c r="H342" s="10">
        <f>IF(TableRefills3[[#This Row],[gap_days]]="",0,IF(TableRefills3[[#This Row],[gap_days]]&gt;2,1,0))</f>
        <v>0</v>
      </c>
      <c r="I342">
        <f>_xlfn.MAXIFS(TableRefills3[discountinuation_flag], TableRefills3[patient_id], A342)</f>
        <v>0</v>
      </c>
    </row>
    <row r="343" spans="1:9" x14ac:dyDescent="0.25">
      <c r="A343" t="s">
        <v>556</v>
      </c>
      <c r="B343" t="s">
        <v>557</v>
      </c>
      <c r="C343" s="3">
        <v>45936</v>
      </c>
      <c r="D343">
        <v>28</v>
      </c>
      <c r="E343" s="3">
        <f t="shared" si="5"/>
        <v>45910</v>
      </c>
      <c r="F343" s="3">
        <f>IF(TableRefills3[[#This Row],[prev_refill_days]]="","",TableRefills3[[#This Row],[prev_refill_days]]+TableRefills3[[#This Row],[quantity_days]])</f>
        <v>45938</v>
      </c>
      <c r="G343">
        <f>IF(TableRefills3[[#This Row],[prev_refill_end]]="","",TableRefills3[[#This Row],[refill_date]]-TableRefills3[[#This Row],[prev_refill_end]])</f>
        <v>-2</v>
      </c>
      <c r="H343" s="10">
        <f>IF(TableRefills3[[#This Row],[gap_days]]="",0,IF(TableRefills3[[#This Row],[gap_days]]&gt;2,1,0))</f>
        <v>0</v>
      </c>
      <c r="I343">
        <f>_xlfn.MAXIFS(TableRefills3[discountinuation_flag], TableRefills3[patient_id], A343)</f>
        <v>0</v>
      </c>
    </row>
    <row r="344" spans="1:9" x14ac:dyDescent="0.25">
      <c r="A344" t="s">
        <v>556</v>
      </c>
      <c r="B344" t="s">
        <v>557</v>
      </c>
      <c r="C344" s="3">
        <v>45961</v>
      </c>
      <c r="D344">
        <v>28</v>
      </c>
      <c r="E344" s="3">
        <f t="shared" si="5"/>
        <v>45936</v>
      </c>
      <c r="F344" s="3">
        <f>IF(TableRefills3[[#This Row],[prev_refill_days]]="","",TableRefills3[[#This Row],[prev_refill_days]]+TableRefills3[[#This Row],[quantity_days]])</f>
        <v>45964</v>
      </c>
      <c r="G344">
        <f>IF(TableRefills3[[#This Row],[prev_refill_end]]="","",TableRefills3[[#This Row],[refill_date]]-TableRefills3[[#This Row],[prev_refill_end]])</f>
        <v>-3</v>
      </c>
      <c r="H344" s="10">
        <f>IF(TableRefills3[[#This Row],[gap_days]]="",0,IF(TableRefills3[[#This Row],[gap_days]]&gt;2,1,0))</f>
        <v>0</v>
      </c>
      <c r="I344">
        <f>_xlfn.MAXIFS(TableRefills3[discountinuation_flag], TableRefills3[patient_id], A344)</f>
        <v>0</v>
      </c>
    </row>
    <row r="345" spans="1:9" x14ac:dyDescent="0.25">
      <c r="A345" t="s">
        <v>562</v>
      </c>
      <c r="B345" t="s">
        <v>563</v>
      </c>
      <c r="C345" s="3">
        <v>45890</v>
      </c>
      <c r="D345">
        <v>28</v>
      </c>
      <c r="E345" s="3" t="str">
        <f t="shared" si="5"/>
        <v/>
      </c>
      <c r="F345" s="3" t="str">
        <f>IF(TableRefills3[[#This Row],[prev_refill_days]]="","",TableRefills3[[#This Row],[prev_refill_days]]+TableRefills3[[#This Row],[quantity_days]])</f>
        <v/>
      </c>
      <c r="G345" t="str">
        <f>IF(TableRefills3[[#This Row],[prev_refill_end]]="","",TableRefills3[[#This Row],[refill_date]]-TableRefills3[[#This Row],[prev_refill_end]])</f>
        <v/>
      </c>
      <c r="H345" s="10">
        <f>IF(TableRefills3[[#This Row],[gap_days]]="",0,IF(TableRefills3[[#This Row],[gap_days]]&gt;2,1,0))</f>
        <v>0</v>
      </c>
      <c r="I345">
        <f>_xlfn.MAXIFS(TableRefills3[discountinuation_flag], TableRefills3[patient_id], A345)</f>
        <v>0</v>
      </c>
    </row>
    <row r="346" spans="1:9" x14ac:dyDescent="0.25">
      <c r="A346" t="s">
        <v>562</v>
      </c>
      <c r="B346" t="s">
        <v>563</v>
      </c>
      <c r="C346" s="3">
        <v>45915</v>
      </c>
      <c r="D346">
        <v>28</v>
      </c>
      <c r="E346" s="3">
        <f t="shared" si="5"/>
        <v>45890</v>
      </c>
      <c r="F346" s="3">
        <f>IF(TableRefills3[[#This Row],[prev_refill_days]]="","",TableRefills3[[#This Row],[prev_refill_days]]+TableRefills3[[#This Row],[quantity_days]])</f>
        <v>45918</v>
      </c>
      <c r="G346">
        <f>IF(TableRefills3[[#This Row],[prev_refill_end]]="","",TableRefills3[[#This Row],[refill_date]]-TableRefills3[[#This Row],[prev_refill_end]])</f>
        <v>-3</v>
      </c>
      <c r="H346" s="10">
        <f>IF(TableRefills3[[#This Row],[gap_days]]="",0,IF(TableRefills3[[#This Row],[gap_days]]&gt;2,1,0))</f>
        <v>0</v>
      </c>
      <c r="I346">
        <f>_xlfn.MAXIFS(TableRefills3[discountinuation_flag], TableRefills3[patient_id], A346)</f>
        <v>0</v>
      </c>
    </row>
    <row r="347" spans="1:9" x14ac:dyDescent="0.25">
      <c r="A347" t="s">
        <v>566</v>
      </c>
      <c r="B347" t="s">
        <v>567</v>
      </c>
      <c r="C347" s="3">
        <v>45864</v>
      </c>
      <c r="D347">
        <v>28</v>
      </c>
      <c r="E347" s="3" t="str">
        <f t="shared" si="5"/>
        <v/>
      </c>
      <c r="F347" s="3" t="str">
        <f>IF(TableRefills3[[#This Row],[prev_refill_days]]="","",TableRefills3[[#This Row],[prev_refill_days]]+TableRefills3[[#This Row],[quantity_days]])</f>
        <v/>
      </c>
      <c r="G347" t="str">
        <f>IF(TableRefills3[[#This Row],[prev_refill_end]]="","",TableRefills3[[#This Row],[refill_date]]-TableRefills3[[#This Row],[prev_refill_end]])</f>
        <v/>
      </c>
      <c r="H347" s="10">
        <f>IF(TableRefills3[[#This Row],[gap_days]]="",0,IF(TableRefills3[[#This Row],[gap_days]]&gt;2,1,0))</f>
        <v>0</v>
      </c>
      <c r="I347">
        <f>_xlfn.MAXIFS(TableRefills3[discountinuation_flag], TableRefills3[patient_id], A347)</f>
        <v>0</v>
      </c>
    </row>
    <row r="348" spans="1:9" x14ac:dyDescent="0.25">
      <c r="A348" t="s">
        <v>566</v>
      </c>
      <c r="B348" t="s">
        <v>567</v>
      </c>
      <c r="C348" s="3">
        <v>45889</v>
      </c>
      <c r="D348">
        <v>28</v>
      </c>
      <c r="E348" s="3">
        <f t="shared" si="5"/>
        <v>45864</v>
      </c>
      <c r="F348" s="3">
        <f>IF(TableRefills3[[#This Row],[prev_refill_days]]="","",TableRefills3[[#This Row],[prev_refill_days]]+TableRefills3[[#This Row],[quantity_days]])</f>
        <v>45892</v>
      </c>
      <c r="G348">
        <f>IF(TableRefills3[[#This Row],[prev_refill_end]]="","",TableRefills3[[#This Row],[refill_date]]-TableRefills3[[#This Row],[prev_refill_end]])</f>
        <v>-3</v>
      </c>
      <c r="H348" s="10">
        <f>IF(TableRefills3[[#This Row],[gap_days]]="",0,IF(TableRefills3[[#This Row],[gap_days]]&gt;2,1,0))</f>
        <v>0</v>
      </c>
      <c r="I348">
        <f>_xlfn.MAXIFS(TableRefills3[discountinuation_flag], TableRefills3[patient_id], A348)</f>
        <v>0</v>
      </c>
    </row>
    <row r="349" spans="1:9" x14ac:dyDescent="0.25">
      <c r="A349" t="s">
        <v>566</v>
      </c>
      <c r="B349" t="s">
        <v>567</v>
      </c>
      <c r="C349" s="3">
        <v>45916</v>
      </c>
      <c r="D349">
        <v>28</v>
      </c>
      <c r="E349" s="3">
        <f t="shared" si="5"/>
        <v>45889</v>
      </c>
      <c r="F349" s="3">
        <f>IF(TableRefills3[[#This Row],[prev_refill_days]]="","",TableRefills3[[#This Row],[prev_refill_days]]+TableRefills3[[#This Row],[quantity_days]])</f>
        <v>45917</v>
      </c>
      <c r="G349">
        <f>IF(TableRefills3[[#This Row],[prev_refill_end]]="","",TableRefills3[[#This Row],[refill_date]]-TableRefills3[[#This Row],[prev_refill_end]])</f>
        <v>-1</v>
      </c>
      <c r="H349" s="10">
        <f>IF(TableRefills3[[#This Row],[gap_days]]="",0,IF(TableRefills3[[#This Row],[gap_days]]&gt;2,1,0))</f>
        <v>0</v>
      </c>
      <c r="I349">
        <f>_xlfn.MAXIFS(TableRefills3[discountinuation_flag], TableRefills3[patient_id], A349)</f>
        <v>0</v>
      </c>
    </row>
    <row r="350" spans="1:9" x14ac:dyDescent="0.25">
      <c r="A350" t="s">
        <v>566</v>
      </c>
      <c r="B350" t="s">
        <v>567</v>
      </c>
      <c r="C350" s="3">
        <v>45944</v>
      </c>
      <c r="D350">
        <v>28</v>
      </c>
      <c r="E350" s="3">
        <f t="shared" si="5"/>
        <v>45916</v>
      </c>
      <c r="F350" s="3">
        <f>IF(TableRefills3[[#This Row],[prev_refill_days]]="","",TableRefills3[[#This Row],[prev_refill_days]]+TableRefills3[[#This Row],[quantity_days]])</f>
        <v>45944</v>
      </c>
      <c r="G350">
        <f>IF(TableRefills3[[#This Row],[prev_refill_end]]="","",TableRefills3[[#This Row],[refill_date]]-TableRefills3[[#This Row],[prev_refill_end]])</f>
        <v>0</v>
      </c>
      <c r="H350" s="10">
        <f>IF(TableRefills3[[#This Row],[gap_days]]="",0,IF(TableRefills3[[#This Row],[gap_days]]&gt;2,1,0))</f>
        <v>0</v>
      </c>
      <c r="I350">
        <f>_xlfn.MAXIFS(TableRefills3[discountinuation_flag], TableRefills3[patient_id], A350)</f>
        <v>0</v>
      </c>
    </row>
    <row r="351" spans="1:9" x14ac:dyDescent="0.25">
      <c r="A351" t="s">
        <v>572</v>
      </c>
      <c r="B351" t="s">
        <v>573</v>
      </c>
      <c r="C351" s="3">
        <v>45905</v>
      </c>
      <c r="D351">
        <v>28</v>
      </c>
      <c r="E351" s="3" t="str">
        <f t="shared" si="5"/>
        <v/>
      </c>
      <c r="F351" s="3" t="str">
        <f>IF(TableRefills3[[#This Row],[prev_refill_days]]="","",TableRefills3[[#This Row],[prev_refill_days]]+TableRefills3[[#This Row],[quantity_days]])</f>
        <v/>
      </c>
      <c r="G351" t="str">
        <f>IF(TableRefills3[[#This Row],[prev_refill_end]]="","",TableRefills3[[#This Row],[refill_date]]-TableRefills3[[#This Row],[prev_refill_end]])</f>
        <v/>
      </c>
      <c r="H351" s="10">
        <f>IF(TableRefills3[[#This Row],[gap_days]]="",0,IF(TableRefills3[[#This Row],[gap_days]]&gt;2,1,0))</f>
        <v>0</v>
      </c>
      <c r="I351">
        <f>_xlfn.MAXIFS(TableRefills3[discountinuation_flag], TableRefills3[patient_id], A351)</f>
        <v>0</v>
      </c>
    </row>
    <row r="352" spans="1:9" x14ac:dyDescent="0.25">
      <c r="A352" t="s">
        <v>572</v>
      </c>
      <c r="B352" t="s">
        <v>573</v>
      </c>
      <c r="C352" s="3">
        <v>45934</v>
      </c>
      <c r="D352">
        <v>28</v>
      </c>
      <c r="E352" s="3">
        <f t="shared" si="5"/>
        <v>45905</v>
      </c>
      <c r="F352" s="3">
        <f>IF(TableRefills3[[#This Row],[prev_refill_days]]="","",TableRefills3[[#This Row],[prev_refill_days]]+TableRefills3[[#This Row],[quantity_days]])</f>
        <v>45933</v>
      </c>
      <c r="G352">
        <f>IF(TableRefills3[[#This Row],[prev_refill_end]]="","",TableRefills3[[#This Row],[refill_date]]-TableRefills3[[#This Row],[prev_refill_end]])</f>
        <v>1</v>
      </c>
      <c r="H352" s="10">
        <f>IF(TableRefills3[[#This Row],[gap_days]]="",0,IF(TableRefills3[[#This Row],[gap_days]]&gt;2,1,0))</f>
        <v>0</v>
      </c>
      <c r="I352">
        <f>_xlfn.MAXIFS(TableRefills3[discountinuation_flag], TableRefills3[patient_id], A352)</f>
        <v>0</v>
      </c>
    </row>
    <row r="353" spans="1:9" x14ac:dyDescent="0.25">
      <c r="A353" t="s">
        <v>572</v>
      </c>
      <c r="B353" t="s">
        <v>573</v>
      </c>
      <c r="C353" s="3">
        <v>45959</v>
      </c>
      <c r="D353">
        <v>28</v>
      </c>
      <c r="E353" s="3">
        <f t="shared" si="5"/>
        <v>45934</v>
      </c>
      <c r="F353" s="3">
        <f>IF(TableRefills3[[#This Row],[prev_refill_days]]="","",TableRefills3[[#This Row],[prev_refill_days]]+TableRefills3[[#This Row],[quantity_days]])</f>
        <v>45962</v>
      </c>
      <c r="G353">
        <f>IF(TableRefills3[[#This Row],[prev_refill_end]]="","",TableRefills3[[#This Row],[refill_date]]-TableRefills3[[#This Row],[prev_refill_end]])</f>
        <v>-3</v>
      </c>
      <c r="H353" s="10">
        <f>IF(TableRefills3[[#This Row],[gap_days]]="",0,IF(TableRefills3[[#This Row],[gap_days]]&gt;2,1,0))</f>
        <v>0</v>
      </c>
      <c r="I353">
        <f>_xlfn.MAXIFS(TableRefills3[discountinuation_flag], TableRefills3[patient_id], A353)</f>
        <v>0</v>
      </c>
    </row>
    <row r="354" spans="1:9" x14ac:dyDescent="0.25">
      <c r="A354" t="s">
        <v>577</v>
      </c>
      <c r="B354" t="s">
        <v>578</v>
      </c>
      <c r="C354" s="3">
        <v>45905</v>
      </c>
      <c r="D354">
        <v>30</v>
      </c>
      <c r="E354" s="3" t="str">
        <f t="shared" si="5"/>
        <v/>
      </c>
      <c r="F354" s="3" t="str">
        <f>IF(TableRefills3[[#This Row],[prev_refill_days]]="","",TableRefills3[[#This Row],[prev_refill_days]]+TableRefills3[[#This Row],[quantity_days]])</f>
        <v/>
      </c>
      <c r="G354" t="str">
        <f>IF(TableRefills3[[#This Row],[prev_refill_end]]="","",TableRefills3[[#This Row],[refill_date]]-TableRefills3[[#This Row],[prev_refill_end]])</f>
        <v/>
      </c>
      <c r="H354" s="10">
        <f>IF(TableRefills3[[#This Row],[gap_days]]="",0,IF(TableRefills3[[#This Row],[gap_days]]&gt;2,1,0))</f>
        <v>0</v>
      </c>
      <c r="I354">
        <f>_xlfn.MAXIFS(TableRefills3[discountinuation_flag], TableRefills3[patient_id], A354)</f>
        <v>0</v>
      </c>
    </row>
    <row r="355" spans="1:9" x14ac:dyDescent="0.25">
      <c r="A355" t="s">
        <v>577</v>
      </c>
      <c r="B355" t="s">
        <v>578</v>
      </c>
      <c r="C355" s="3">
        <v>45935</v>
      </c>
      <c r="D355">
        <v>30</v>
      </c>
      <c r="E355" s="3">
        <f t="shared" si="5"/>
        <v>45905</v>
      </c>
      <c r="F355" s="3">
        <f>IF(TableRefills3[[#This Row],[prev_refill_days]]="","",TableRefills3[[#This Row],[prev_refill_days]]+TableRefills3[[#This Row],[quantity_days]])</f>
        <v>45935</v>
      </c>
      <c r="G355">
        <f>IF(TableRefills3[[#This Row],[prev_refill_end]]="","",TableRefills3[[#This Row],[refill_date]]-TableRefills3[[#This Row],[prev_refill_end]])</f>
        <v>0</v>
      </c>
      <c r="H355" s="10">
        <f>IF(TableRefills3[[#This Row],[gap_days]]="",0,IF(TableRefills3[[#This Row],[gap_days]]&gt;2,1,0))</f>
        <v>0</v>
      </c>
      <c r="I355">
        <f>_xlfn.MAXIFS(TableRefills3[discountinuation_flag], TableRefills3[patient_id], A355)</f>
        <v>0</v>
      </c>
    </row>
    <row r="356" spans="1:9" x14ac:dyDescent="0.25">
      <c r="A356" t="s">
        <v>581</v>
      </c>
      <c r="B356" t="s">
        <v>582</v>
      </c>
      <c r="C356" s="3">
        <v>45910</v>
      </c>
      <c r="D356">
        <v>30</v>
      </c>
      <c r="E356" s="3" t="str">
        <f t="shared" si="5"/>
        <v/>
      </c>
      <c r="F356" s="3" t="str">
        <f>IF(TableRefills3[[#This Row],[prev_refill_days]]="","",TableRefills3[[#This Row],[prev_refill_days]]+TableRefills3[[#This Row],[quantity_days]])</f>
        <v/>
      </c>
      <c r="G356" t="str">
        <f>IF(TableRefills3[[#This Row],[prev_refill_end]]="","",TableRefills3[[#This Row],[refill_date]]-TableRefills3[[#This Row],[prev_refill_end]])</f>
        <v/>
      </c>
      <c r="H356" s="10">
        <f>IF(TableRefills3[[#This Row],[gap_days]]="",0,IF(TableRefills3[[#This Row],[gap_days]]&gt;2,1,0))</f>
        <v>0</v>
      </c>
      <c r="I356">
        <f>_xlfn.MAXIFS(TableRefills3[discountinuation_flag], TableRefills3[patient_id], A356)</f>
        <v>0</v>
      </c>
    </row>
    <row r="357" spans="1:9" x14ac:dyDescent="0.25">
      <c r="A357" t="s">
        <v>581</v>
      </c>
      <c r="B357" t="s">
        <v>582</v>
      </c>
      <c r="C357" s="3">
        <v>45942</v>
      </c>
      <c r="D357">
        <v>30</v>
      </c>
      <c r="E357" s="3">
        <f t="shared" si="5"/>
        <v>45910</v>
      </c>
      <c r="F357" s="3">
        <f>IF(TableRefills3[[#This Row],[prev_refill_days]]="","",TableRefills3[[#This Row],[prev_refill_days]]+TableRefills3[[#This Row],[quantity_days]])</f>
        <v>45940</v>
      </c>
      <c r="G357">
        <f>IF(TableRefills3[[#This Row],[prev_refill_end]]="","",TableRefills3[[#This Row],[refill_date]]-TableRefills3[[#This Row],[prev_refill_end]])</f>
        <v>2</v>
      </c>
      <c r="H357" s="10">
        <f>IF(TableRefills3[[#This Row],[gap_days]]="",0,IF(TableRefills3[[#This Row],[gap_days]]&gt;2,1,0))</f>
        <v>0</v>
      </c>
      <c r="I357">
        <f>_xlfn.MAXIFS(TableRefills3[discountinuation_flag], TableRefills3[patient_id], A357)</f>
        <v>0</v>
      </c>
    </row>
    <row r="358" spans="1:9" x14ac:dyDescent="0.25">
      <c r="A358" t="s">
        <v>585</v>
      </c>
      <c r="B358" t="s">
        <v>586</v>
      </c>
      <c r="C358" s="3">
        <v>45799</v>
      </c>
      <c r="D358">
        <v>28</v>
      </c>
      <c r="E358" s="3" t="str">
        <f t="shared" si="5"/>
        <v/>
      </c>
      <c r="F358" s="3" t="str">
        <f>IF(TableRefills3[[#This Row],[prev_refill_days]]="","",TableRefills3[[#This Row],[prev_refill_days]]+TableRefills3[[#This Row],[quantity_days]])</f>
        <v/>
      </c>
      <c r="G358" t="str">
        <f>IF(TableRefills3[[#This Row],[prev_refill_end]]="","",TableRefills3[[#This Row],[refill_date]]-TableRefills3[[#This Row],[prev_refill_end]])</f>
        <v/>
      </c>
      <c r="H358" s="10">
        <f>IF(TableRefills3[[#This Row],[gap_days]]="",0,IF(TableRefills3[[#This Row],[gap_days]]&gt;2,1,0))</f>
        <v>0</v>
      </c>
      <c r="I358">
        <f>_xlfn.MAXIFS(TableRefills3[discountinuation_flag], TableRefills3[patient_id], A358)</f>
        <v>0</v>
      </c>
    </row>
    <row r="359" spans="1:9" x14ac:dyDescent="0.25">
      <c r="A359" t="s">
        <v>585</v>
      </c>
      <c r="B359" t="s">
        <v>586</v>
      </c>
      <c r="C359" s="3">
        <v>45827</v>
      </c>
      <c r="D359">
        <v>28</v>
      </c>
      <c r="E359" s="3">
        <f t="shared" si="5"/>
        <v>45799</v>
      </c>
      <c r="F359" s="3">
        <f>IF(TableRefills3[[#This Row],[prev_refill_days]]="","",TableRefills3[[#This Row],[prev_refill_days]]+TableRefills3[[#This Row],[quantity_days]])</f>
        <v>45827</v>
      </c>
      <c r="G359">
        <f>IF(TableRefills3[[#This Row],[prev_refill_end]]="","",TableRefills3[[#This Row],[refill_date]]-TableRefills3[[#This Row],[prev_refill_end]])</f>
        <v>0</v>
      </c>
      <c r="H359" s="10">
        <f>IF(TableRefills3[[#This Row],[gap_days]]="",0,IF(TableRefills3[[#This Row],[gap_days]]&gt;2,1,0))</f>
        <v>0</v>
      </c>
      <c r="I359">
        <f>_xlfn.MAXIFS(TableRefills3[discountinuation_flag], TableRefills3[patient_id], A359)</f>
        <v>0</v>
      </c>
    </row>
    <row r="360" spans="1:9" x14ac:dyDescent="0.25">
      <c r="A360" t="s">
        <v>585</v>
      </c>
      <c r="B360" t="s">
        <v>586</v>
      </c>
      <c r="C360" s="3">
        <v>45852</v>
      </c>
      <c r="D360">
        <v>28</v>
      </c>
      <c r="E360" s="3">
        <f t="shared" si="5"/>
        <v>45827</v>
      </c>
      <c r="F360" s="3">
        <f>IF(TableRefills3[[#This Row],[prev_refill_days]]="","",TableRefills3[[#This Row],[prev_refill_days]]+TableRefills3[[#This Row],[quantity_days]])</f>
        <v>45855</v>
      </c>
      <c r="G360">
        <f>IF(TableRefills3[[#This Row],[prev_refill_end]]="","",TableRefills3[[#This Row],[refill_date]]-TableRefills3[[#This Row],[prev_refill_end]])</f>
        <v>-3</v>
      </c>
      <c r="H360" s="10">
        <f>IF(TableRefills3[[#This Row],[gap_days]]="",0,IF(TableRefills3[[#This Row],[gap_days]]&gt;2,1,0))</f>
        <v>0</v>
      </c>
      <c r="I360">
        <f>_xlfn.MAXIFS(TableRefills3[discountinuation_flag], TableRefills3[patient_id], A360)</f>
        <v>0</v>
      </c>
    </row>
    <row r="361" spans="1:9" x14ac:dyDescent="0.25">
      <c r="A361" t="s">
        <v>585</v>
      </c>
      <c r="B361" t="s">
        <v>586</v>
      </c>
      <c r="C361" s="3">
        <v>45879</v>
      </c>
      <c r="D361">
        <v>28</v>
      </c>
      <c r="E361" s="3">
        <f t="shared" si="5"/>
        <v>45852</v>
      </c>
      <c r="F361" s="3">
        <f>IF(TableRefills3[[#This Row],[prev_refill_days]]="","",TableRefills3[[#This Row],[prev_refill_days]]+TableRefills3[[#This Row],[quantity_days]])</f>
        <v>45880</v>
      </c>
      <c r="G361">
        <f>IF(TableRefills3[[#This Row],[prev_refill_end]]="","",TableRefills3[[#This Row],[refill_date]]-TableRefills3[[#This Row],[prev_refill_end]])</f>
        <v>-1</v>
      </c>
      <c r="H361" s="10">
        <f>IF(TableRefills3[[#This Row],[gap_days]]="",0,IF(TableRefills3[[#This Row],[gap_days]]&gt;2,1,0))</f>
        <v>0</v>
      </c>
      <c r="I361">
        <f>_xlfn.MAXIFS(TableRefills3[discountinuation_flag], TableRefills3[patient_id], A361)</f>
        <v>0</v>
      </c>
    </row>
    <row r="362" spans="1:9" x14ac:dyDescent="0.25">
      <c r="A362" t="s">
        <v>585</v>
      </c>
      <c r="B362" t="s">
        <v>586</v>
      </c>
      <c r="C362" s="3">
        <v>45905</v>
      </c>
      <c r="D362">
        <v>28</v>
      </c>
      <c r="E362" s="3">
        <f t="shared" si="5"/>
        <v>45879</v>
      </c>
      <c r="F362" s="3">
        <f>IF(TableRefills3[[#This Row],[prev_refill_days]]="","",TableRefills3[[#This Row],[prev_refill_days]]+TableRefills3[[#This Row],[quantity_days]])</f>
        <v>45907</v>
      </c>
      <c r="G362">
        <f>IF(TableRefills3[[#This Row],[prev_refill_end]]="","",TableRefills3[[#This Row],[refill_date]]-TableRefills3[[#This Row],[prev_refill_end]])</f>
        <v>-2</v>
      </c>
      <c r="H362" s="10">
        <f>IF(TableRefills3[[#This Row],[gap_days]]="",0,IF(TableRefills3[[#This Row],[gap_days]]&gt;2,1,0))</f>
        <v>0</v>
      </c>
      <c r="I362">
        <f>_xlfn.MAXIFS(TableRefills3[discountinuation_flag], TableRefills3[patient_id], A362)</f>
        <v>0</v>
      </c>
    </row>
    <row r="363" spans="1:9" x14ac:dyDescent="0.25">
      <c r="A363" t="s">
        <v>585</v>
      </c>
      <c r="B363" t="s">
        <v>586</v>
      </c>
      <c r="C363" s="3">
        <v>45935</v>
      </c>
      <c r="D363">
        <v>28</v>
      </c>
      <c r="E363" s="3">
        <f t="shared" si="5"/>
        <v>45905</v>
      </c>
      <c r="F363" s="3">
        <f>IF(TableRefills3[[#This Row],[prev_refill_days]]="","",TableRefills3[[#This Row],[prev_refill_days]]+TableRefills3[[#This Row],[quantity_days]])</f>
        <v>45933</v>
      </c>
      <c r="G363">
        <f>IF(TableRefills3[[#This Row],[prev_refill_end]]="","",TableRefills3[[#This Row],[refill_date]]-TableRefills3[[#This Row],[prev_refill_end]])</f>
        <v>2</v>
      </c>
      <c r="H363" s="10">
        <f>IF(TableRefills3[[#This Row],[gap_days]]="",0,IF(TableRefills3[[#This Row],[gap_days]]&gt;2,1,0))</f>
        <v>0</v>
      </c>
      <c r="I363">
        <f>_xlfn.MAXIFS(TableRefills3[discountinuation_flag], TableRefills3[patient_id], A363)</f>
        <v>0</v>
      </c>
    </row>
    <row r="364" spans="1:9" x14ac:dyDescent="0.25">
      <c r="A364" t="s">
        <v>593</v>
      </c>
      <c r="B364" t="s">
        <v>594</v>
      </c>
      <c r="C364" s="3">
        <v>45886</v>
      </c>
      <c r="D364">
        <v>28</v>
      </c>
      <c r="E364" s="3" t="str">
        <f t="shared" si="5"/>
        <v/>
      </c>
      <c r="F364" s="3" t="str">
        <f>IF(TableRefills3[[#This Row],[prev_refill_days]]="","",TableRefills3[[#This Row],[prev_refill_days]]+TableRefills3[[#This Row],[quantity_days]])</f>
        <v/>
      </c>
      <c r="G364" t="str">
        <f>IF(TableRefills3[[#This Row],[prev_refill_end]]="","",TableRefills3[[#This Row],[refill_date]]-TableRefills3[[#This Row],[prev_refill_end]])</f>
        <v/>
      </c>
      <c r="H364" s="10">
        <f>IF(TableRefills3[[#This Row],[gap_days]]="",0,IF(TableRefills3[[#This Row],[gap_days]]&gt;2,1,0))</f>
        <v>0</v>
      </c>
      <c r="I364">
        <f>_xlfn.MAXIFS(TableRefills3[discountinuation_flag], TableRefills3[patient_id], A364)</f>
        <v>0</v>
      </c>
    </row>
    <row r="365" spans="1:9" x14ac:dyDescent="0.25">
      <c r="A365" t="s">
        <v>593</v>
      </c>
      <c r="B365" t="s">
        <v>594</v>
      </c>
      <c r="C365" s="3">
        <v>45915</v>
      </c>
      <c r="D365">
        <v>28</v>
      </c>
      <c r="E365" s="3">
        <f t="shared" si="5"/>
        <v>45886</v>
      </c>
      <c r="F365" s="3">
        <f>IF(TableRefills3[[#This Row],[prev_refill_days]]="","",TableRefills3[[#This Row],[prev_refill_days]]+TableRefills3[[#This Row],[quantity_days]])</f>
        <v>45914</v>
      </c>
      <c r="G365">
        <f>IF(TableRefills3[[#This Row],[prev_refill_end]]="","",TableRefills3[[#This Row],[refill_date]]-TableRefills3[[#This Row],[prev_refill_end]])</f>
        <v>1</v>
      </c>
      <c r="H365" s="10">
        <f>IF(TableRefills3[[#This Row],[gap_days]]="",0,IF(TableRefills3[[#This Row],[gap_days]]&gt;2,1,0))</f>
        <v>0</v>
      </c>
      <c r="I365">
        <f>_xlfn.MAXIFS(TableRefills3[discountinuation_flag], TableRefills3[patient_id], A365)</f>
        <v>0</v>
      </c>
    </row>
    <row r="366" spans="1:9" x14ac:dyDescent="0.25">
      <c r="A366" t="s">
        <v>593</v>
      </c>
      <c r="B366" t="s">
        <v>594</v>
      </c>
      <c r="C366" s="3">
        <v>45942</v>
      </c>
      <c r="D366">
        <v>28</v>
      </c>
      <c r="E366" s="3">
        <f t="shared" si="5"/>
        <v>45915</v>
      </c>
      <c r="F366" s="3">
        <f>IF(TableRefills3[[#This Row],[prev_refill_days]]="","",TableRefills3[[#This Row],[prev_refill_days]]+TableRefills3[[#This Row],[quantity_days]])</f>
        <v>45943</v>
      </c>
      <c r="G366">
        <f>IF(TableRefills3[[#This Row],[prev_refill_end]]="","",TableRefills3[[#This Row],[refill_date]]-TableRefills3[[#This Row],[prev_refill_end]])</f>
        <v>-1</v>
      </c>
      <c r="H366" s="10">
        <f>IF(TableRefills3[[#This Row],[gap_days]]="",0,IF(TableRefills3[[#This Row],[gap_days]]&gt;2,1,0))</f>
        <v>0</v>
      </c>
      <c r="I366">
        <f>_xlfn.MAXIFS(TableRefills3[discountinuation_flag], TableRefills3[patient_id], A366)</f>
        <v>0</v>
      </c>
    </row>
    <row r="367" spans="1:9" x14ac:dyDescent="0.25">
      <c r="A367" t="s">
        <v>598</v>
      </c>
      <c r="B367" t="s">
        <v>599</v>
      </c>
      <c r="C367" s="3">
        <v>45888</v>
      </c>
      <c r="D367">
        <v>28</v>
      </c>
      <c r="E367" s="3" t="str">
        <f t="shared" si="5"/>
        <v/>
      </c>
      <c r="F367" s="3" t="str">
        <f>IF(TableRefills3[[#This Row],[prev_refill_days]]="","",TableRefills3[[#This Row],[prev_refill_days]]+TableRefills3[[#This Row],[quantity_days]])</f>
        <v/>
      </c>
      <c r="G367" t="str">
        <f>IF(TableRefills3[[#This Row],[prev_refill_end]]="","",TableRefills3[[#This Row],[refill_date]]-TableRefills3[[#This Row],[prev_refill_end]])</f>
        <v/>
      </c>
      <c r="H367" s="10">
        <f>IF(TableRefills3[[#This Row],[gap_days]]="",0,IF(TableRefills3[[#This Row],[gap_days]]&gt;2,1,0))</f>
        <v>0</v>
      </c>
      <c r="I367">
        <f>_xlfn.MAXIFS(TableRefills3[discountinuation_flag], TableRefills3[patient_id], A367)</f>
        <v>0</v>
      </c>
    </row>
    <row r="368" spans="1:9" x14ac:dyDescent="0.25">
      <c r="A368" t="s">
        <v>598</v>
      </c>
      <c r="B368" t="s">
        <v>599</v>
      </c>
      <c r="C368" s="3">
        <v>45913</v>
      </c>
      <c r="D368">
        <v>28</v>
      </c>
      <c r="E368" s="3">
        <f t="shared" si="5"/>
        <v>45888</v>
      </c>
      <c r="F368" s="3">
        <f>IF(TableRefills3[[#This Row],[prev_refill_days]]="","",TableRefills3[[#This Row],[prev_refill_days]]+TableRefills3[[#This Row],[quantity_days]])</f>
        <v>45916</v>
      </c>
      <c r="G368">
        <f>IF(TableRefills3[[#This Row],[prev_refill_end]]="","",TableRefills3[[#This Row],[refill_date]]-TableRefills3[[#This Row],[prev_refill_end]])</f>
        <v>-3</v>
      </c>
      <c r="H368" s="10">
        <f>IF(TableRefills3[[#This Row],[gap_days]]="",0,IF(TableRefills3[[#This Row],[gap_days]]&gt;2,1,0))</f>
        <v>0</v>
      </c>
      <c r="I368">
        <f>_xlfn.MAXIFS(TableRefills3[discountinuation_flag], TableRefills3[patient_id], A368)</f>
        <v>0</v>
      </c>
    </row>
    <row r="369" spans="1:9" x14ac:dyDescent="0.25">
      <c r="A369" t="s">
        <v>598</v>
      </c>
      <c r="B369" t="s">
        <v>599</v>
      </c>
      <c r="C369" s="3">
        <v>45942</v>
      </c>
      <c r="D369">
        <v>28</v>
      </c>
      <c r="E369" s="3">
        <f t="shared" si="5"/>
        <v>45913</v>
      </c>
      <c r="F369" s="3">
        <f>IF(TableRefills3[[#This Row],[prev_refill_days]]="","",TableRefills3[[#This Row],[prev_refill_days]]+TableRefills3[[#This Row],[quantity_days]])</f>
        <v>45941</v>
      </c>
      <c r="G369">
        <f>IF(TableRefills3[[#This Row],[prev_refill_end]]="","",TableRefills3[[#This Row],[refill_date]]-TableRefills3[[#This Row],[prev_refill_end]])</f>
        <v>1</v>
      </c>
      <c r="H369" s="10">
        <f>IF(TableRefills3[[#This Row],[gap_days]]="",0,IF(TableRefills3[[#This Row],[gap_days]]&gt;2,1,0))</f>
        <v>0</v>
      </c>
      <c r="I369">
        <f>_xlfn.MAXIFS(TableRefills3[discountinuation_flag], TableRefills3[patient_id], A369)</f>
        <v>0</v>
      </c>
    </row>
    <row r="370" spans="1:9" x14ac:dyDescent="0.25">
      <c r="A370" t="s">
        <v>603</v>
      </c>
      <c r="B370" t="s">
        <v>604</v>
      </c>
      <c r="C370" s="3">
        <v>45824</v>
      </c>
      <c r="D370">
        <v>28</v>
      </c>
      <c r="E370" s="3" t="str">
        <f t="shared" si="5"/>
        <v/>
      </c>
      <c r="F370" s="3" t="str">
        <f>IF(TableRefills3[[#This Row],[prev_refill_days]]="","",TableRefills3[[#This Row],[prev_refill_days]]+TableRefills3[[#This Row],[quantity_days]])</f>
        <v/>
      </c>
      <c r="G370" t="str">
        <f>IF(TableRefills3[[#This Row],[prev_refill_end]]="","",TableRefills3[[#This Row],[refill_date]]-TableRefills3[[#This Row],[prev_refill_end]])</f>
        <v/>
      </c>
      <c r="H370" s="10">
        <f>IF(TableRefills3[[#This Row],[gap_days]]="",0,IF(TableRefills3[[#This Row],[gap_days]]&gt;2,1,0))</f>
        <v>0</v>
      </c>
      <c r="I370">
        <f>_xlfn.MAXIFS(TableRefills3[discountinuation_flag], TableRefills3[patient_id], A370)</f>
        <v>0</v>
      </c>
    </row>
    <row r="371" spans="1:9" x14ac:dyDescent="0.25">
      <c r="A371" t="s">
        <v>603</v>
      </c>
      <c r="B371" t="s">
        <v>604</v>
      </c>
      <c r="C371" s="3">
        <v>45850</v>
      </c>
      <c r="D371">
        <v>28</v>
      </c>
      <c r="E371" s="3">
        <f t="shared" si="5"/>
        <v>45824</v>
      </c>
      <c r="F371" s="3">
        <f>IF(TableRefills3[[#This Row],[prev_refill_days]]="","",TableRefills3[[#This Row],[prev_refill_days]]+TableRefills3[[#This Row],[quantity_days]])</f>
        <v>45852</v>
      </c>
      <c r="G371">
        <f>IF(TableRefills3[[#This Row],[prev_refill_end]]="","",TableRefills3[[#This Row],[refill_date]]-TableRefills3[[#This Row],[prev_refill_end]])</f>
        <v>-2</v>
      </c>
      <c r="H371" s="10">
        <f>IF(TableRefills3[[#This Row],[gap_days]]="",0,IF(TableRefills3[[#This Row],[gap_days]]&gt;2,1,0))</f>
        <v>0</v>
      </c>
      <c r="I371">
        <f>_xlfn.MAXIFS(TableRefills3[discountinuation_flag], TableRefills3[patient_id], A371)</f>
        <v>0</v>
      </c>
    </row>
    <row r="372" spans="1:9" x14ac:dyDescent="0.25">
      <c r="A372" t="s">
        <v>603</v>
      </c>
      <c r="B372" t="s">
        <v>604</v>
      </c>
      <c r="C372" s="3">
        <v>45877</v>
      </c>
      <c r="D372">
        <v>28</v>
      </c>
      <c r="E372" s="3">
        <f t="shared" si="5"/>
        <v>45850</v>
      </c>
      <c r="F372" s="3">
        <f>IF(TableRefills3[[#This Row],[prev_refill_days]]="","",TableRefills3[[#This Row],[prev_refill_days]]+TableRefills3[[#This Row],[quantity_days]])</f>
        <v>45878</v>
      </c>
      <c r="G372">
        <f>IF(TableRefills3[[#This Row],[prev_refill_end]]="","",TableRefills3[[#This Row],[refill_date]]-TableRefills3[[#This Row],[prev_refill_end]])</f>
        <v>-1</v>
      </c>
      <c r="H372" s="10">
        <f>IF(TableRefills3[[#This Row],[gap_days]]="",0,IF(TableRefills3[[#This Row],[gap_days]]&gt;2,1,0))</f>
        <v>0</v>
      </c>
      <c r="I372">
        <f>_xlfn.MAXIFS(TableRefills3[discountinuation_flag], TableRefills3[patient_id], A372)</f>
        <v>0</v>
      </c>
    </row>
    <row r="373" spans="1:9" x14ac:dyDescent="0.25">
      <c r="A373" t="s">
        <v>603</v>
      </c>
      <c r="B373" t="s">
        <v>604</v>
      </c>
      <c r="C373" s="3">
        <v>45905</v>
      </c>
      <c r="D373">
        <v>28</v>
      </c>
      <c r="E373" s="3">
        <f t="shared" si="5"/>
        <v>45877</v>
      </c>
      <c r="F373" s="3">
        <f>IF(TableRefills3[[#This Row],[prev_refill_days]]="","",TableRefills3[[#This Row],[prev_refill_days]]+TableRefills3[[#This Row],[quantity_days]])</f>
        <v>45905</v>
      </c>
      <c r="G373">
        <f>IF(TableRefills3[[#This Row],[prev_refill_end]]="","",TableRefills3[[#This Row],[refill_date]]-TableRefills3[[#This Row],[prev_refill_end]])</f>
        <v>0</v>
      </c>
      <c r="H373" s="10">
        <f>IF(TableRefills3[[#This Row],[gap_days]]="",0,IF(TableRefills3[[#This Row],[gap_days]]&gt;2,1,0))</f>
        <v>0</v>
      </c>
      <c r="I373">
        <f>_xlfn.MAXIFS(TableRefills3[discountinuation_flag], TableRefills3[patient_id], A373)</f>
        <v>0</v>
      </c>
    </row>
    <row r="374" spans="1:9" x14ac:dyDescent="0.25">
      <c r="A374" t="s">
        <v>603</v>
      </c>
      <c r="B374" t="s">
        <v>604</v>
      </c>
      <c r="C374" s="3">
        <v>45932</v>
      </c>
      <c r="D374">
        <v>28</v>
      </c>
      <c r="E374" s="3">
        <f t="shared" si="5"/>
        <v>45905</v>
      </c>
      <c r="F374" s="3">
        <f>IF(TableRefills3[[#This Row],[prev_refill_days]]="","",TableRefills3[[#This Row],[prev_refill_days]]+TableRefills3[[#This Row],[quantity_days]])</f>
        <v>45933</v>
      </c>
      <c r="G374">
        <f>IF(TableRefills3[[#This Row],[prev_refill_end]]="","",TableRefills3[[#This Row],[refill_date]]-TableRefills3[[#This Row],[prev_refill_end]])</f>
        <v>-1</v>
      </c>
      <c r="H374" s="10">
        <f>IF(TableRefills3[[#This Row],[gap_days]]="",0,IF(TableRefills3[[#This Row],[gap_days]]&gt;2,1,0))</f>
        <v>0</v>
      </c>
      <c r="I374">
        <f>_xlfn.MAXIFS(TableRefills3[discountinuation_flag], TableRefills3[patient_id], A374)</f>
        <v>0</v>
      </c>
    </row>
    <row r="375" spans="1:9" x14ac:dyDescent="0.25">
      <c r="A375" t="s">
        <v>610</v>
      </c>
      <c r="B375" t="s">
        <v>611</v>
      </c>
      <c r="C375" s="3">
        <v>45853</v>
      </c>
      <c r="D375">
        <v>30</v>
      </c>
      <c r="E375" s="3" t="str">
        <f t="shared" si="5"/>
        <v/>
      </c>
      <c r="F375" s="3" t="str">
        <f>IF(TableRefills3[[#This Row],[prev_refill_days]]="","",TableRefills3[[#This Row],[prev_refill_days]]+TableRefills3[[#This Row],[quantity_days]])</f>
        <v/>
      </c>
      <c r="G375" t="str">
        <f>IF(TableRefills3[[#This Row],[prev_refill_end]]="","",TableRefills3[[#This Row],[refill_date]]-TableRefills3[[#This Row],[prev_refill_end]])</f>
        <v/>
      </c>
      <c r="H375" s="10">
        <f>IF(TableRefills3[[#This Row],[gap_days]]="",0,IF(TableRefills3[[#This Row],[gap_days]]&gt;2,1,0))</f>
        <v>0</v>
      </c>
      <c r="I375">
        <f>_xlfn.MAXIFS(TableRefills3[discountinuation_flag], TableRefills3[patient_id], A375)</f>
        <v>0</v>
      </c>
    </row>
    <row r="376" spans="1:9" x14ac:dyDescent="0.25">
      <c r="A376" t="s">
        <v>610</v>
      </c>
      <c r="B376" t="s">
        <v>611</v>
      </c>
      <c r="C376" s="3">
        <v>45883</v>
      </c>
      <c r="D376">
        <v>30</v>
      </c>
      <c r="E376" s="3">
        <f t="shared" si="5"/>
        <v>45853</v>
      </c>
      <c r="F376" s="3">
        <f>IF(TableRefills3[[#This Row],[prev_refill_days]]="","",TableRefills3[[#This Row],[prev_refill_days]]+TableRefills3[[#This Row],[quantity_days]])</f>
        <v>45883</v>
      </c>
      <c r="G376">
        <f>IF(TableRefills3[[#This Row],[prev_refill_end]]="","",TableRefills3[[#This Row],[refill_date]]-TableRefills3[[#This Row],[prev_refill_end]])</f>
        <v>0</v>
      </c>
      <c r="H376" s="10">
        <f>IF(TableRefills3[[#This Row],[gap_days]]="",0,IF(TableRefills3[[#This Row],[gap_days]]&gt;2,1,0))</f>
        <v>0</v>
      </c>
      <c r="I376">
        <f>_xlfn.MAXIFS(TableRefills3[discountinuation_flag], TableRefills3[patient_id], A376)</f>
        <v>0</v>
      </c>
    </row>
    <row r="377" spans="1:9" x14ac:dyDescent="0.25">
      <c r="A377" t="s">
        <v>614</v>
      </c>
      <c r="B377" t="s">
        <v>615</v>
      </c>
      <c r="C377" s="3">
        <v>45804</v>
      </c>
      <c r="D377">
        <v>14</v>
      </c>
      <c r="E377" s="3" t="str">
        <f t="shared" si="5"/>
        <v/>
      </c>
      <c r="F377" s="3" t="str">
        <f>IF(TableRefills3[[#This Row],[prev_refill_days]]="","",TableRefills3[[#This Row],[prev_refill_days]]+TableRefills3[[#This Row],[quantity_days]])</f>
        <v/>
      </c>
      <c r="G377" t="str">
        <f>IF(TableRefills3[[#This Row],[prev_refill_end]]="","",TableRefills3[[#This Row],[refill_date]]-TableRefills3[[#This Row],[prev_refill_end]])</f>
        <v/>
      </c>
      <c r="H377" s="10">
        <f>IF(TableRefills3[[#This Row],[gap_days]]="",0,IF(TableRefills3[[#This Row],[gap_days]]&gt;2,1,0))</f>
        <v>0</v>
      </c>
      <c r="I377">
        <f>_xlfn.MAXIFS(TableRefills3[discountinuation_flag], TableRefills3[patient_id], A377)</f>
        <v>1</v>
      </c>
    </row>
    <row r="378" spans="1:9" x14ac:dyDescent="0.25">
      <c r="A378" t="s">
        <v>614</v>
      </c>
      <c r="B378" t="s">
        <v>615</v>
      </c>
      <c r="C378" s="3">
        <v>45816</v>
      </c>
      <c r="D378">
        <v>14</v>
      </c>
      <c r="E378" s="3">
        <f t="shared" si="5"/>
        <v>45804</v>
      </c>
      <c r="F378" s="3">
        <f>IF(TableRefills3[[#This Row],[prev_refill_days]]="","",TableRefills3[[#This Row],[prev_refill_days]]+TableRefills3[[#This Row],[quantity_days]])</f>
        <v>45818</v>
      </c>
      <c r="G378">
        <f>IF(TableRefills3[[#This Row],[prev_refill_end]]="","",TableRefills3[[#This Row],[refill_date]]-TableRefills3[[#This Row],[prev_refill_end]])</f>
        <v>-2</v>
      </c>
      <c r="H378" s="10">
        <f>IF(TableRefills3[[#This Row],[gap_days]]="",0,IF(TableRefills3[[#This Row],[gap_days]]&gt;2,1,0))</f>
        <v>0</v>
      </c>
      <c r="I378">
        <f>_xlfn.MAXIFS(TableRefills3[discountinuation_flag], TableRefills3[patient_id], A378)</f>
        <v>1</v>
      </c>
    </row>
    <row r="379" spans="1:9" x14ac:dyDescent="0.25">
      <c r="A379" t="s">
        <v>614</v>
      </c>
      <c r="B379" t="s">
        <v>615</v>
      </c>
      <c r="C379" s="3">
        <v>45832</v>
      </c>
      <c r="D379">
        <v>14</v>
      </c>
      <c r="E379" s="3">
        <f t="shared" si="5"/>
        <v>45816</v>
      </c>
      <c r="F379" s="3">
        <f>IF(TableRefills3[[#This Row],[prev_refill_days]]="","",TableRefills3[[#This Row],[prev_refill_days]]+TableRefills3[[#This Row],[quantity_days]])</f>
        <v>45830</v>
      </c>
      <c r="G379">
        <f>IF(TableRefills3[[#This Row],[prev_refill_end]]="","",TableRefills3[[#This Row],[refill_date]]-TableRefills3[[#This Row],[prev_refill_end]])</f>
        <v>2</v>
      </c>
      <c r="H379" s="10">
        <f>IF(TableRefills3[[#This Row],[gap_days]]="",0,IF(TableRefills3[[#This Row],[gap_days]]&gt;2,1,0))</f>
        <v>0</v>
      </c>
      <c r="I379">
        <f>_xlfn.MAXIFS(TableRefills3[discountinuation_flag], TableRefills3[patient_id], A379)</f>
        <v>1</v>
      </c>
    </row>
    <row r="380" spans="1:9" x14ac:dyDescent="0.25">
      <c r="A380" t="s">
        <v>614</v>
      </c>
      <c r="B380" t="s">
        <v>615</v>
      </c>
      <c r="C380" s="3">
        <v>45843</v>
      </c>
      <c r="D380">
        <v>14</v>
      </c>
      <c r="E380" s="3">
        <f t="shared" si="5"/>
        <v>45832</v>
      </c>
      <c r="F380" s="3">
        <f>IF(TableRefills3[[#This Row],[prev_refill_days]]="","",TableRefills3[[#This Row],[prev_refill_days]]+TableRefills3[[#This Row],[quantity_days]])</f>
        <v>45846</v>
      </c>
      <c r="G380">
        <f>IF(TableRefills3[[#This Row],[prev_refill_end]]="","",TableRefills3[[#This Row],[refill_date]]-TableRefills3[[#This Row],[prev_refill_end]])</f>
        <v>-3</v>
      </c>
      <c r="H380" s="10">
        <f>IF(TableRefills3[[#This Row],[gap_days]]="",0,IF(TableRefills3[[#This Row],[gap_days]]&gt;2,1,0))</f>
        <v>0</v>
      </c>
      <c r="I380">
        <f>_xlfn.MAXIFS(TableRefills3[discountinuation_flag], TableRefills3[patient_id], A380)</f>
        <v>1</v>
      </c>
    </row>
    <row r="381" spans="1:9" x14ac:dyDescent="0.25">
      <c r="A381" t="s">
        <v>614</v>
      </c>
      <c r="B381" t="s">
        <v>615</v>
      </c>
      <c r="C381" s="3">
        <v>45860</v>
      </c>
      <c r="D381">
        <v>14</v>
      </c>
      <c r="E381" s="3">
        <f t="shared" si="5"/>
        <v>45843</v>
      </c>
      <c r="F381" s="3">
        <f>IF(TableRefills3[[#This Row],[prev_refill_days]]="","",TableRefills3[[#This Row],[prev_refill_days]]+TableRefills3[[#This Row],[quantity_days]])</f>
        <v>45857</v>
      </c>
      <c r="G381">
        <f>IF(TableRefills3[[#This Row],[prev_refill_end]]="","",TableRefills3[[#This Row],[refill_date]]-TableRefills3[[#This Row],[prev_refill_end]])</f>
        <v>3</v>
      </c>
      <c r="H381" s="10">
        <f>IF(TableRefills3[[#This Row],[gap_days]]="",0,IF(TableRefills3[[#This Row],[gap_days]]&gt;2,1,0))</f>
        <v>1</v>
      </c>
      <c r="I381">
        <f>_xlfn.MAXIFS(TableRefills3[discountinuation_flag], TableRefills3[patient_id], A381)</f>
        <v>1</v>
      </c>
    </row>
    <row r="382" spans="1:9" x14ac:dyDescent="0.25">
      <c r="A382" t="s">
        <v>614</v>
      </c>
      <c r="B382" t="s">
        <v>615</v>
      </c>
      <c r="C382" s="3">
        <v>45873</v>
      </c>
      <c r="D382">
        <v>14</v>
      </c>
      <c r="E382" s="3">
        <f t="shared" si="5"/>
        <v>45860</v>
      </c>
      <c r="F382" s="3">
        <f>IF(TableRefills3[[#This Row],[prev_refill_days]]="","",TableRefills3[[#This Row],[prev_refill_days]]+TableRefills3[[#This Row],[quantity_days]])</f>
        <v>45874</v>
      </c>
      <c r="G382">
        <f>IF(TableRefills3[[#This Row],[prev_refill_end]]="","",TableRefills3[[#This Row],[refill_date]]-TableRefills3[[#This Row],[prev_refill_end]])</f>
        <v>-1</v>
      </c>
      <c r="H382" s="10">
        <f>IF(TableRefills3[[#This Row],[gap_days]]="",0,IF(TableRefills3[[#This Row],[gap_days]]&gt;2,1,0))</f>
        <v>0</v>
      </c>
      <c r="I382">
        <f>_xlfn.MAXIFS(TableRefills3[discountinuation_flag], TableRefills3[patient_id], A382)</f>
        <v>1</v>
      </c>
    </row>
    <row r="383" spans="1:9" x14ac:dyDescent="0.25">
      <c r="A383" t="s">
        <v>614</v>
      </c>
      <c r="B383" t="s">
        <v>615</v>
      </c>
      <c r="C383" s="3">
        <v>45887</v>
      </c>
      <c r="D383">
        <v>14</v>
      </c>
      <c r="E383" s="3">
        <f t="shared" si="5"/>
        <v>45873</v>
      </c>
      <c r="F383" s="3">
        <f>IF(TableRefills3[[#This Row],[prev_refill_days]]="","",TableRefills3[[#This Row],[prev_refill_days]]+TableRefills3[[#This Row],[quantity_days]])</f>
        <v>45887</v>
      </c>
      <c r="G383">
        <f>IF(TableRefills3[[#This Row],[prev_refill_end]]="","",TableRefills3[[#This Row],[refill_date]]-TableRefills3[[#This Row],[prev_refill_end]])</f>
        <v>0</v>
      </c>
      <c r="H383" s="10">
        <f>IF(TableRefills3[[#This Row],[gap_days]]="",0,IF(TableRefills3[[#This Row],[gap_days]]&gt;2,1,0))</f>
        <v>0</v>
      </c>
      <c r="I383">
        <f>_xlfn.MAXIFS(TableRefills3[discountinuation_flag], TableRefills3[patient_id], A383)</f>
        <v>1</v>
      </c>
    </row>
    <row r="384" spans="1:9" x14ac:dyDescent="0.25">
      <c r="A384" t="s">
        <v>614</v>
      </c>
      <c r="B384" t="s">
        <v>615</v>
      </c>
      <c r="C384" s="3">
        <v>45901</v>
      </c>
      <c r="D384">
        <v>14</v>
      </c>
      <c r="E384" s="3">
        <f t="shared" si="5"/>
        <v>45887</v>
      </c>
      <c r="F384" s="3">
        <f>IF(TableRefills3[[#This Row],[prev_refill_days]]="","",TableRefills3[[#This Row],[prev_refill_days]]+TableRefills3[[#This Row],[quantity_days]])</f>
        <v>45901</v>
      </c>
      <c r="G384">
        <f>IF(TableRefills3[[#This Row],[prev_refill_end]]="","",TableRefills3[[#This Row],[refill_date]]-TableRefills3[[#This Row],[prev_refill_end]])</f>
        <v>0</v>
      </c>
      <c r="H384" s="10">
        <f>IF(TableRefills3[[#This Row],[gap_days]]="",0,IF(TableRefills3[[#This Row],[gap_days]]&gt;2,1,0))</f>
        <v>0</v>
      </c>
      <c r="I384">
        <f>_xlfn.MAXIFS(TableRefills3[discountinuation_flag], TableRefills3[patient_id], A384)</f>
        <v>1</v>
      </c>
    </row>
    <row r="385" spans="1:9" x14ac:dyDescent="0.25">
      <c r="A385" t="s">
        <v>614</v>
      </c>
      <c r="B385" t="s">
        <v>615</v>
      </c>
      <c r="C385" s="3">
        <v>45917</v>
      </c>
      <c r="D385">
        <v>14</v>
      </c>
      <c r="E385" s="3">
        <f t="shared" si="5"/>
        <v>45901</v>
      </c>
      <c r="F385" s="3">
        <f>IF(TableRefills3[[#This Row],[prev_refill_days]]="","",TableRefills3[[#This Row],[prev_refill_days]]+TableRefills3[[#This Row],[quantity_days]])</f>
        <v>45915</v>
      </c>
      <c r="G385">
        <f>IF(TableRefills3[[#This Row],[prev_refill_end]]="","",TableRefills3[[#This Row],[refill_date]]-TableRefills3[[#This Row],[prev_refill_end]])</f>
        <v>2</v>
      </c>
      <c r="H385" s="10">
        <f>IF(TableRefills3[[#This Row],[gap_days]]="",0,IF(TableRefills3[[#This Row],[gap_days]]&gt;2,1,0))</f>
        <v>0</v>
      </c>
      <c r="I385">
        <f>_xlfn.MAXIFS(TableRefills3[discountinuation_flag], TableRefills3[patient_id], A385)</f>
        <v>1</v>
      </c>
    </row>
    <row r="386" spans="1:9" x14ac:dyDescent="0.25">
      <c r="A386" t="s">
        <v>614</v>
      </c>
      <c r="B386" t="s">
        <v>615</v>
      </c>
      <c r="C386" s="3">
        <v>45928</v>
      </c>
      <c r="D386">
        <v>14</v>
      </c>
      <c r="E386" s="3">
        <f t="shared" ref="E386:E449" si="6">IF(A385=A386,C385,"")</f>
        <v>45917</v>
      </c>
      <c r="F386" s="3">
        <f>IF(TableRefills3[[#This Row],[prev_refill_days]]="","",TableRefills3[[#This Row],[prev_refill_days]]+TableRefills3[[#This Row],[quantity_days]])</f>
        <v>45931</v>
      </c>
      <c r="G386">
        <f>IF(TableRefills3[[#This Row],[prev_refill_end]]="","",TableRefills3[[#This Row],[refill_date]]-TableRefills3[[#This Row],[prev_refill_end]])</f>
        <v>-3</v>
      </c>
      <c r="H386" s="10">
        <f>IF(TableRefills3[[#This Row],[gap_days]]="",0,IF(TableRefills3[[#This Row],[gap_days]]&gt;2,1,0))</f>
        <v>0</v>
      </c>
      <c r="I386">
        <f>_xlfn.MAXIFS(TableRefills3[discountinuation_flag], TableRefills3[patient_id], A386)</f>
        <v>1</v>
      </c>
    </row>
    <row r="387" spans="1:9" x14ac:dyDescent="0.25">
      <c r="A387" t="s">
        <v>614</v>
      </c>
      <c r="B387" t="s">
        <v>615</v>
      </c>
      <c r="C387" s="3">
        <v>45943</v>
      </c>
      <c r="D387">
        <v>14</v>
      </c>
      <c r="E387" s="3">
        <f t="shared" si="6"/>
        <v>45928</v>
      </c>
      <c r="F387" s="3">
        <f>IF(TableRefills3[[#This Row],[prev_refill_days]]="","",TableRefills3[[#This Row],[prev_refill_days]]+TableRefills3[[#This Row],[quantity_days]])</f>
        <v>45942</v>
      </c>
      <c r="G387">
        <f>IF(TableRefills3[[#This Row],[prev_refill_end]]="","",TableRefills3[[#This Row],[refill_date]]-TableRefills3[[#This Row],[prev_refill_end]])</f>
        <v>1</v>
      </c>
      <c r="H387" s="10">
        <f>IF(TableRefills3[[#This Row],[gap_days]]="",0,IF(TableRefills3[[#This Row],[gap_days]]&gt;2,1,0))</f>
        <v>0</v>
      </c>
      <c r="I387">
        <f>_xlfn.MAXIFS(TableRefills3[discountinuation_flag], TableRefills3[patient_id], A387)</f>
        <v>1</v>
      </c>
    </row>
    <row r="388" spans="1:9" x14ac:dyDescent="0.25">
      <c r="A388" t="s">
        <v>614</v>
      </c>
      <c r="B388" t="s">
        <v>615</v>
      </c>
      <c r="C388" s="3">
        <v>45955</v>
      </c>
      <c r="D388">
        <v>14</v>
      </c>
      <c r="E388" s="3">
        <f t="shared" si="6"/>
        <v>45943</v>
      </c>
      <c r="F388" s="3">
        <f>IF(TableRefills3[[#This Row],[prev_refill_days]]="","",TableRefills3[[#This Row],[prev_refill_days]]+TableRefills3[[#This Row],[quantity_days]])</f>
        <v>45957</v>
      </c>
      <c r="G388">
        <f>IF(TableRefills3[[#This Row],[prev_refill_end]]="","",TableRefills3[[#This Row],[refill_date]]-TableRefills3[[#This Row],[prev_refill_end]])</f>
        <v>-2</v>
      </c>
      <c r="H388" s="10">
        <f>IF(TableRefills3[[#This Row],[gap_days]]="",0,IF(TableRefills3[[#This Row],[gap_days]]&gt;2,1,0))</f>
        <v>0</v>
      </c>
      <c r="I388">
        <f>_xlfn.MAXIFS(TableRefills3[discountinuation_flag], TableRefills3[patient_id], A388)</f>
        <v>1</v>
      </c>
    </row>
    <row r="389" spans="1:9" x14ac:dyDescent="0.25">
      <c r="A389" t="s">
        <v>628</v>
      </c>
      <c r="B389" t="s">
        <v>629</v>
      </c>
      <c r="C389" s="3">
        <v>45861</v>
      </c>
      <c r="D389">
        <v>28</v>
      </c>
      <c r="E389" s="3" t="str">
        <f t="shared" si="6"/>
        <v/>
      </c>
      <c r="F389" s="3" t="str">
        <f>IF(TableRefills3[[#This Row],[prev_refill_days]]="","",TableRefills3[[#This Row],[prev_refill_days]]+TableRefills3[[#This Row],[quantity_days]])</f>
        <v/>
      </c>
      <c r="G389" t="str">
        <f>IF(TableRefills3[[#This Row],[prev_refill_end]]="","",TableRefills3[[#This Row],[refill_date]]-TableRefills3[[#This Row],[prev_refill_end]])</f>
        <v/>
      </c>
      <c r="H389" s="10">
        <f>IF(TableRefills3[[#This Row],[gap_days]]="",0,IF(TableRefills3[[#This Row],[gap_days]]&gt;2,1,0))</f>
        <v>0</v>
      </c>
      <c r="I389">
        <f>_xlfn.MAXIFS(TableRefills3[discountinuation_flag], TableRefills3[patient_id], A389)</f>
        <v>0</v>
      </c>
    </row>
    <row r="390" spans="1:9" x14ac:dyDescent="0.25">
      <c r="A390" t="s">
        <v>631</v>
      </c>
      <c r="B390" t="s">
        <v>632</v>
      </c>
      <c r="C390" s="3">
        <v>45853</v>
      </c>
      <c r="D390">
        <v>28</v>
      </c>
      <c r="E390" s="3" t="str">
        <f t="shared" si="6"/>
        <v/>
      </c>
      <c r="F390" s="3" t="str">
        <f>IF(TableRefills3[[#This Row],[prev_refill_days]]="","",TableRefills3[[#This Row],[prev_refill_days]]+TableRefills3[[#This Row],[quantity_days]])</f>
        <v/>
      </c>
      <c r="G390" t="str">
        <f>IF(TableRefills3[[#This Row],[prev_refill_end]]="","",TableRefills3[[#This Row],[refill_date]]-TableRefills3[[#This Row],[prev_refill_end]])</f>
        <v/>
      </c>
      <c r="H390" s="10">
        <f>IF(TableRefills3[[#This Row],[gap_days]]="",0,IF(TableRefills3[[#This Row],[gap_days]]&gt;2,1,0))</f>
        <v>0</v>
      </c>
      <c r="I390">
        <f>_xlfn.MAXIFS(TableRefills3[discountinuation_flag], TableRefills3[patient_id], A390)</f>
        <v>0</v>
      </c>
    </row>
    <row r="391" spans="1:9" x14ac:dyDescent="0.25">
      <c r="A391" t="s">
        <v>631</v>
      </c>
      <c r="B391" t="s">
        <v>632</v>
      </c>
      <c r="C391" s="3">
        <v>45878</v>
      </c>
      <c r="D391">
        <v>28</v>
      </c>
      <c r="E391" s="3">
        <f t="shared" si="6"/>
        <v>45853</v>
      </c>
      <c r="F391" s="3">
        <f>IF(TableRefills3[[#This Row],[prev_refill_days]]="","",TableRefills3[[#This Row],[prev_refill_days]]+TableRefills3[[#This Row],[quantity_days]])</f>
        <v>45881</v>
      </c>
      <c r="G391">
        <f>IF(TableRefills3[[#This Row],[prev_refill_end]]="","",TableRefills3[[#This Row],[refill_date]]-TableRefills3[[#This Row],[prev_refill_end]])</f>
        <v>-3</v>
      </c>
      <c r="H391" s="10">
        <f>IF(TableRefills3[[#This Row],[gap_days]]="",0,IF(TableRefills3[[#This Row],[gap_days]]&gt;2,1,0))</f>
        <v>0</v>
      </c>
      <c r="I391">
        <f>_xlfn.MAXIFS(TableRefills3[discountinuation_flag], TableRefills3[patient_id], A391)</f>
        <v>0</v>
      </c>
    </row>
    <row r="392" spans="1:9" x14ac:dyDescent="0.25">
      <c r="A392" t="s">
        <v>631</v>
      </c>
      <c r="B392" t="s">
        <v>632</v>
      </c>
      <c r="C392" s="3">
        <v>45906</v>
      </c>
      <c r="D392">
        <v>28</v>
      </c>
      <c r="E392" s="3">
        <f t="shared" si="6"/>
        <v>45878</v>
      </c>
      <c r="F392" s="3">
        <f>IF(TableRefills3[[#This Row],[prev_refill_days]]="","",TableRefills3[[#This Row],[prev_refill_days]]+TableRefills3[[#This Row],[quantity_days]])</f>
        <v>45906</v>
      </c>
      <c r="G392">
        <f>IF(TableRefills3[[#This Row],[prev_refill_end]]="","",TableRefills3[[#This Row],[refill_date]]-TableRefills3[[#This Row],[prev_refill_end]])</f>
        <v>0</v>
      </c>
      <c r="H392" s="10">
        <f>IF(TableRefills3[[#This Row],[gap_days]]="",0,IF(TableRefills3[[#This Row],[gap_days]]&gt;2,1,0))</f>
        <v>0</v>
      </c>
      <c r="I392">
        <f>_xlfn.MAXIFS(TableRefills3[discountinuation_flag], TableRefills3[patient_id], A392)</f>
        <v>0</v>
      </c>
    </row>
    <row r="393" spans="1:9" x14ac:dyDescent="0.25">
      <c r="A393" t="s">
        <v>631</v>
      </c>
      <c r="B393" t="s">
        <v>632</v>
      </c>
      <c r="C393" s="3">
        <v>45933</v>
      </c>
      <c r="D393">
        <v>28</v>
      </c>
      <c r="E393" s="3">
        <f t="shared" si="6"/>
        <v>45906</v>
      </c>
      <c r="F393" s="3">
        <f>IF(TableRefills3[[#This Row],[prev_refill_days]]="","",TableRefills3[[#This Row],[prev_refill_days]]+TableRefills3[[#This Row],[quantity_days]])</f>
        <v>45934</v>
      </c>
      <c r="G393">
        <f>IF(TableRefills3[[#This Row],[prev_refill_end]]="","",TableRefills3[[#This Row],[refill_date]]-TableRefills3[[#This Row],[prev_refill_end]])</f>
        <v>-1</v>
      </c>
      <c r="H393" s="10">
        <f>IF(TableRefills3[[#This Row],[gap_days]]="",0,IF(TableRefills3[[#This Row],[gap_days]]&gt;2,1,0))</f>
        <v>0</v>
      </c>
      <c r="I393">
        <f>_xlfn.MAXIFS(TableRefills3[discountinuation_flag], TableRefills3[patient_id], A393)</f>
        <v>0</v>
      </c>
    </row>
    <row r="394" spans="1:9" x14ac:dyDescent="0.25">
      <c r="A394" t="s">
        <v>637</v>
      </c>
      <c r="B394" t="s">
        <v>638</v>
      </c>
      <c r="C394" s="3">
        <v>45892</v>
      </c>
      <c r="D394">
        <v>30</v>
      </c>
      <c r="E394" s="3" t="str">
        <f t="shared" si="6"/>
        <v/>
      </c>
      <c r="F394" s="3" t="str">
        <f>IF(TableRefills3[[#This Row],[prev_refill_days]]="","",TableRefills3[[#This Row],[prev_refill_days]]+TableRefills3[[#This Row],[quantity_days]])</f>
        <v/>
      </c>
      <c r="G394" t="str">
        <f>IF(TableRefills3[[#This Row],[prev_refill_end]]="","",TableRefills3[[#This Row],[refill_date]]-TableRefills3[[#This Row],[prev_refill_end]])</f>
        <v/>
      </c>
      <c r="H394" s="10">
        <f>IF(TableRefills3[[#This Row],[gap_days]]="",0,IF(TableRefills3[[#This Row],[gap_days]]&gt;2,1,0))</f>
        <v>0</v>
      </c>
      <c r="I394">
        <f>_xlfn.MAXIFS(TableRefills3[discountinuation_flag], TableRefills3[patient_id], A394)</f>
        <v>0</v>
      </c>
    </row>
    <row r="395" spans="1:9" x14ac:dyDescent="0.25">
      <c r="A395" t="s">
        <v>637</v>
      </c>
      <c r="B395" t="s">
        <v>638</v>
      </c>
      <c r="C395" s="3">
        <v>45923</v>
      </c>
      <c r="D395">
        <v>30</v>
      </c>
      <c r="E395" s="3">
        <f t="shared" si="6"/>
        <v>45892</v>
      </c>
      <c r="F395" s="3">
        <f>IF(TableRefills3[[#This Row],[prev_refill_days]]="","",TableRefills3[[#This Row],[prev_refill_days]]+TableRefills3[[#This Row],[quantity_days]])</f>
        <v>45922</v>
      </c>
      <c r="G395">
        <f>IF(TableRefills3[[#This Row],[prev_refill_end]]="","",TableRefills3[[#This Row],[refill_date]]-TableRefills3[[#This Row],[prev_refill_end]])</f>
        <v>1</v>
      </c>
      <c r="H395" s="10">
        <f>IF(TableRefills3[[#This Row],[gap_days]]="",0,IF(TableRefills3[[#This Row],[gap_days]]&gt;2,1,0))</f>
        <v>0</v>
      </c>
      <c r="I395">
        <f>_xlfn.MAXIFS(TableRefills3[discountinuation_flag], TableRefills3[patient_id], A395)</f>
        <v>0</v>
      </c>
    </row>
    <row r="396" spans="1:9" x14ac:dyDescent="0.25">
      <c r="A396" t="s">
        <v>637</v>
      </c>
      <c r="B396" t="s">
        <v>638</v>
      </c>
      <c r="C396" s="3">
        <v>45951</v>
      </c>
      <c r="D396">
        <v>30</v>
      </c>
      <c r="E396" s="3">
        <f t="shared" si="6"/>
        <v>45923</v>
      </c>
      <c r="F396" s="3">
        <f>IF(TableRefills3[[#This Row],[prev_refill_days]]="","",TableRefills3[[#This Row],[prev_refill_days]]+TableRefills3[[#This Row],[quantity_days]])</f>
        <v>45953</v>
      </c>
      <c r="G396">
        <f>IF(TableRefills3[[#This Row],[prev_refill_end]]="","",TableRefills3[[#This Row],[refill_date]]-TableRefills3[[#This Row],[prev_refill_end]])</f>
        <v>-2</v>
      </c>
      <c r="H396" s="10">
        <f>IF(TableRefills3[[#This Row],[gap_days]]="",0,IF(TableRefills3[[#This Row],[gap_days]]&gt;2,1,0))</f>
        <v>0</v>
      </c>
      <c r="I396">
        <f>_xlfn.MAXIFS(TableRefills3[discountinuation_flag], TableRefills3[patient_id], A396)</f>
        <v>0</v>
      </c>
    </row>
    <row r="397" spans="1:9" x14ac:dyDescent="0.25">
      <c r="A397" t="s">
        <v>642</v>
      </c>
      <c r="B397" t="s">
        <v>643</v>
      </c>
      <c r="C397" s="3">
        <v>45961</v>
      </c>
      <c r="D397">
        <v>28</v>
      </c>
      <c r="E397" s="3" t="str">
        <f t="shared" si="6"/>
        <v/>
      </c>
      <c r="F397" s="3" t="str">
        <f>IF(TableRefills3[[#This Row],[prev_refill_days]]="","",TableRefills3[[#This Row],[prev_refill_days]]+TableRefills3[[#This Row],[quantity_days]])</f>
        <v/>
      </c>
      <c r="G397" t="str">
        <f>IF(TableRefills3[[#This Row],[prev_refill_end]]="","",TableRefills3[[#This Row],[refill_date]]-TableRefills3[[#This Row],[prev_refill_end]])</f>
        <v/>
      </c>
      <c r="H397" s="10">
        <f>IF(TableRefills3[[#This Row],[gap_days]]="",0,IF(TableRefills3[[#This Row],[gap_days]]&gt;2,1,0))</f>
        <v>0</v>
      </c>
      <c r="I397">
        <f>_xlfn.MAXIFS(TableRefills3[discountinuation_flag], TableRefills3[patient_id], A397)</f>
        <v>0</v>
      </c>
    </row>
    <row r="398" spans="1:9" x14ac:dyDescent="0.25">
      <c r="A398" t="s">
        <v>645</v>
      </c>
      <c r="B398" t="s">
        <v>646</v>
      </c>
      <c r="C398" s="3">
        <v>45820</v>
      </c>
      <c r="D398">
        <v>28</v>
      </c>
      <c r="E398" s="3" t="str">
        <f t="shared" si="6"/>
        <v/>
      </c>
      <c r="F398" s="3" t="str">
        <f>IF(TableRefills3[[#This Row],[prev_refill_days]]="","",TableRefills3[[#This Row],[prev_refill_days]]+TableRefills3[[#This Row],[quantity_days]])</f>
        <v/>
      </c>
      <c r="G398" t="str">
        <f>IF(TableRefills3[[#This Row],[prev_refill_end]]="","",TableRefills3[[#This Row],[refill_date]]-TableRefills3[[#This Row],[prev_refill_end]])</f>
        <v/>
      </c>
      <c r="H398" s="10">
        <f>IF(TableRefills3[[#This Row],[gap_days]]="",0,IF(TableRefills3[[#This Row],[gap_days]]&gt;2,1,0))</f>
        <v>0</v>
      </c>
      <c r="I398">
        <f>_xlfn.MAXIFS(TableRefills3[discountinuation_flag], TableRefills3[patient_id], A398)</f>
        <v>1</v>
      </c>
    </row>
    <row r="399" spans="1:9" x14ac:dyDescent="0.25">
      <c r="A399" t="s">
        <v>645</v>
      </c>
      <c r="B399" t="s">
        <v>646</v>
      </c>
      <c r="C399" s="3">
        <v>45850</v>
      </c>
      <c r="D399">
        <v>28</v>
      </c>
      <c r="E399" s="3">
        <f t="shared" si="6"/>
        <v>45820</v>
      </c>
      <c r="F399" s="3">
        <f>IF(TableRefills3[[#This Row],[prev_refill_days]]="","",TableRefills3[[#This Row],[prev_refill_days]]+TableRefills3[[#This Row],[quantity_days]])</f>
        <v>45848</v>
      </c>
      <c r="G399">
        <f>IF(TableRefills3[[#This Row],[prev_refill_end]]="","",TableRefills3[[#This Row],[refill_date]]-TableRefills3[[#This Row],[prev_refill_end]])</f>
        <v>2</v>
      </c>
      <c r="H399" s="10">
        <f>IF(TableRefills3[[#This Row],[gap_days]]="",0,IF(TableRefills3[[#This Row],[gap_days]]&gt;2,1,0))</f>
        <v>0</v>
      </c>
      <c r="I399">
        <f>_xlfn.MAXIFS(TableRefills3[discountinuation_flag], TableRefills3[patient_id], A399)</f>
        <v>1</v>
      </c>
    </row>
    <row r="400" spans="1:9" x14ac:dyDescent="0.25">
      <c r="A400" t="s">
        <v>645</v>
      </c>
      <c r="B400" t="s">
        <v>646</v>
      </c>
      <c r="C400" s="3">
        <v>45881</v>
      </c>
      <c r="D400">
        <v>28</v>
      </c>
      <c r="E400" s="3">
        <f t="shared" si="6"/>
        <v>45850</v>
      </c>
      <c r="F400" s="3">
        <f>IF(TableRefills3[[#This Row],[prev_refill_days]]="","",TableRefills3[[#This Row],[prev_refill_days]]+TableRefills3[[#This Row],[quantity_days]])</f>
        <v>45878</v>
      </c>
      <c r="G400">
        <f>IF(TableRefills3[[#This Row],[prev_refill_end]]="","",TableRefills3[[#This Row],[refill_date]]-TableRefills3[[#This Row],[prev_refill_end]])</f>
        <v>3</v>
      </c>
      <c r="H400" s="10">
        <f>IF(TableRefills3[[#This Row],[gap_days]]="",0,IF(TableRefills3[[#This Row],[gap_days]]&gt;2,1,0))</f>
        <v>1</v>
      </c>
      <c r="I400">
        <f>_xlfn.MAXIFS(TableRefills3[discountinuation_flag], TableRefills3[patient_id], A400)</f>
        <v>1</v>
      </c>
    </row>
    <row r="401" spans="1:9" x14ac:dyDescent="0.25">
      <c r="A401" t="s">
        <v>645</v>
      </c>
      <c r="B401" t="s">
        <v>646</v>
      </c>
      <c r="C401" s="3">
        <v>45909</v>
      </c>
      <c r="D401">
        <v>28</v>
      </c>
      <c r="E401" s="3">
        <f t="shared" si="6"/>
        <v>45881</v>
      </c>
      <c r="F401" s="3">
        <f>IF(TableRefills3[[#This Row],[prev_refill_days]]="","",TableRefills3[[#This Row],[prev_refill_days]]+TableRefills3[[#This Row],[quantity_days]])</f>
        <v>45909</v>
      </c>
      <c r="G401">
        <f>IF(TableRefills3[[#This Row],[prev_refill_end]]="","",TableRefills3[[#This Row],[refill_date]]-TableRefills3[[#This Row],[prev_refill_end]])</f>
        <v>0</v>
      </c>
      <c r="H401" s="10">
        <f>IF(TableRefills3[[#This Row],[gap_days]]="",0,IF(TableRefills3[[#This Row],[gap_days]]&gt;2,1,0))</f>
        <v>0</v>
      </c>
      <c r="I401">
        <f>_xlfn.MAXIFS(TableRefills3[discountinuation_flag], TableRefills3[patient_id], A401)</f>
        <v>1</v>
      </c>
    </row>
    <row r="402" spans="1:9" x14ac:dyDescent="0.25">
      <c r="A402" t="s">
        <v>645</v>
      </c>
      <c r="B402" t="s">
        <v>646</v>
      </c>
      <c r="C402" s="3">
        <v>45938</v>
      </c>
      <c r="D402">
        <v>28</v>
      </c>
      <c r="E402" s="3">
        <f t="shared" si="6"/>
        <v>45909</v>
      </c>
      <c r="F402" s="3">
        <f>IF(TableRefills3[[#This Row],[prev_refill_days]]="","",TableRefills3[[#This Row],[prev_refill_days]]+TableRefills3[[#This Row],[quantity_days]])</f>
        <v>45937</v>
      </c>
      <c r="G402">
        <f>IF(TableRefills3[[#This Row],[prev_refill_end]]="","",TableRefills3[[#This Row],[refill_date]]-TableRefills3[[#This Row],[prev_refill_end]])</f>
        <v>1</v>
      </c>
      <c r="H402" s="10">
        <f>IF(TableRefills3[[#This Row],[gap_days]]="",0,IF(TableRefills3[[#This Row],[gap_days]]&gt;2,1,0))</f>
        <v>0</v>
      </c>
      <c r="I402">
        <f>_xlfn.MAXIFS(TableRefills3[discountinuation_flag], TableRefills3[patient_id], A402)</f>
        <v>1</v>
      </c>
    </row>
    <row r="403" spans="1:9" x14ac:dyDescent="0.25">
      <c r="A403" t="s">
        <v>652</v>
      </c>
      <c r="B403" t="s">
        <v>653</v>
      </c>
      <c r="C403" s="3">
        <v>45891</v>
      </c>
      <c r="D403">
        <v>28</v>
      </c>
      <c r="E403" s="3" t="str">
        <f t="shared" si="6"/>
        <v/>
      </c>
      <c r="F403" s="3" t="str">
        <f>IF(TableRefills3[[#This Row],[prev_refill_days]]="","",TableRefills3[[#This Row],[prev_refill_days]]+TableRefills3[[#This Row],[quantity_days]])</f>
        <v/>
      </c>
      <c r="G403" t="str">
        <f>IF(TableRefills3[[#This Row],[prev_refill_end]]="","",TableRefills3[[#This Row],[refill_date]]-TableRefills3[[#This Row],[prev_refill_end]])</f>
        <v/>
      </c>
      <c r="H403" s="10">
        <f>IF(TableRefills3[[#This Row],[gap_days]]="",0,IF(TableRefills3[[#This Row],[gap_days]]&gt;2,1,0))</f>
        <v>0</v>
      </c>
      <c r="I403">
        <f>_xlfn.MAXIFS(TableRefills3[discountinuation_flag], TableRefills3[patient_id], A403)</f>
        <v>1</v>
      </c>
    </row>
    <row r="404" spans="1:9" x14ac:dyDescent="0.25">
      <c r="A404" t="s">
        <v>652</v>
      </c>
      <c r="B404" t="s">
        <v>653</v>
      </c>
      <c r="C404" s="3">
        <v>45922</v>
      </c>
      <c r="D404">
        <v>28</v>
      </c>
      <c r="E404" s="3">
        <f t="shared" si="6"/>
        <v>45891</v>
      </c>
      <c r="F404" s="3">
        <f>IF(TableRefills3[[#This Row],[prev_refill_days]]="","",TableRefills3[[#This Row],[prev_refill_days]]+TableRefills3[[#This Row],[quantity_days]])</f>
        <v>45919</v>
      </c>
      <c r="G404">
        <f>IF(TableRefills3[[#This Row],[prev_refill_end]]="","",TableRefills3[[#This Row],[refill_date]]-TableRefills3[[#This Row],[prev_refill_end]])</f>
        <v>3</v>
      </c>
      <c r="H404" s="10">
        <f>IF(TableRefills3[[#This Row],[gap_days]]="",0,IF(TableRefills3[[#This Row],[gap_days]]&gt;2,1,0))</f>
        <v>1</v>
      </c>
      <c r="I404">
        <f>_xlfn.MAXIFS(TableRefills3[discountinuation_flag], TableRefills3[patient_id], A404)</f>
        <v>1</v>
      </c>
    </row>
    <row r="405" spans="1:9" x14ac:dyDescent="0.25">
      <c r="A405" t="s">
        <v>652</v>
      </c>
      <c r="B405" t="s">
        <v>653</v>
      </c>
      <c r="C405" s="3">
        <v>45953</v>
      </c>
      <c r="D405">
        <v>28</v>
      </c>
      <c r="E405" s="3">
        <f t="shared" si="6"/>
        <v>45922</v>
      </c>
      <c r="F405" s="3">
        <f>IF(TableRefills3[[#This Row],[prev_refill_days]]="","",TableRefills3[[#This Row],[prev_refill_days]]+TableRefills3[[#This Row],[quantity_days]])</f>
        <v>45950</v>
      </c>
      <c r="G405">
        <f>IF(TableRefills3[[#This Row],[prev_refill_end]]="","",TableRefills3[[#This Row],[refill_date]]-TableRefills3[[#This Row],[prev_refill_end]])</f>
        <v>3</v>
      </c>
      <c r="H405" s="10">
        <f>IF(TableRefills3[[#This Row],[gap_days]]="",0,IF(TableRefills3[[#This Row],[gap_days]]&gt;2,1,0))</f>
        <v>1</v>
      </c>
      <c r="I405">
        <f>_xlfn.MAXIFS(TableRefills3[discountinuation_flag], TableRefills3[patient_id], A405)</f>
        <v>1</v>
      </c>
    </row>
    <row r="406" spans="1:9" x14ac:dyDescent="0.25">
      <c r="A406" t="s">
        <v>657</v>
      </c>
      <c r="B406" t="s">
        <v>658</v>
      </c>
      <c r="C406" s="3">
        <v>45892</v>
      </c>
      <c r="D406">
        <v>28</v>
      </c>
      <c r="E406" s="3" t="str">
        <f t="shared" si="6"/>
        <v/>
      </c>
      <c r="F406" s="3" t="str">
        <f>IF(TableRefills3[[#This Row],[prev_refill_days]]="","",TableRefills3[[#This Row],[prev_refill_days]]+TableRefills3[[#This Row],[quantity_days]])</f>
        <v/>
      </c>
      <c r="G406" t="str">
        <f>IF(TableRefills3[[#This Row],[prev_refill_end]]="","",TableRefills3[[#This Row],[refill_date]]-TableRefills3[[#This Row],[prev_refill_end]])</f>
        <v/>
      </c>
      <c r="H406" s="10">
        <f>IF(TableRefills3[[#This Row],[gap_days]]="",0,IF(TableRefills3[[#This Row],[gap_days]]&gt;2,1,0))</f>
        <v>0</v>
      </c>
      <c r="I406">
        <f>_xlfn.MAXIFS(TableRefills3[discountinuation_flag], TableRefills3[patient_id], A406)</f>
        <v>0</v>
      </c>
    </row>
    <row r="407" spans="1:9" x14ac:dyDescent="0.25">
      <c r="A407" t="s">
        <v>657</v>
      </c>
      <c r="B407" t="s">
        <v>658</v>
      </c>
      <c r="C407" s="3">
        <v>45922</v>
      </c>
      <c r="D407">
        <v>28</v>
      </c>
      <c r="E407" s="3">
        <f t="shared" si="6"/>
        <v>45892</v>
      </c>
      <c r="F407" s="3">
        <f>IF(TableRefills3[[#This Row],[prev_refill_days]]="","",TableRefills3[[#This Row],[prev_refill_days]]+TableRefills3[[#This Row],[quantity_days]])</f>
        <v>45920</v>
      </c>
      <c r="G407">
        <f>IF(TableRefills3[[#This Row],[prev_refill_end]]="","",TableRefills3[[#This Row],[refill_date]]-TableRefills3[[#This Row],[prev_refill_end]])</f>
        <v>2</v>
      </c>
      <c r="H407" s="10">
        <f>IF(TableRefills3[[#This Row],[gap_days]]="",0,IF(TableRefills3[[#This Row],[gap_days]]&gt;2,1,0))</f>
        <v>0</v>
      </c>
      <c r="I407">
        <f>_xlfn.MAXIFS(TableRefills3[discountinuation_flag], TableRefills3[patient_id], A407)</f>
        <v>0</v>
      </c>
    </row>
    <row r="408" spans="1:9" x14ac:dyDescent="0.25">
      <c r="A408" t="s">
        <v>657</v>
      </c>
      <c r="B408" t="s">
        <v>658</v>
      </c>
      <c r="C408" s="3">
        <v>45950</v>
      </c>
      <c r="D408">
        <v>28</v>
      </c>
      <c r="E408" s="3">
        <f t="shared" si="6"/>
        <v>45922</v>
      </c>
      <c r="F408" s="3">
        <f>IF(TableRefills3[[#This Row],[prev_refill_days]]="","",TableRefills3[[#This Row],[prev_refill_days]]+TableRefills3[[#This Row],[quantity_days]])</f>
        <v>45950</v>
      </c>
      <c r="G408">
        <f>IF(TableRefills3[[#This Row],[prev_refill_end]]="","",TableRefills3[[#This Row],[refill_date]]-TableRefills3[[#This Row],[prev_refill_end]])</f>
        <v>0</v>
      </c>
      <c r="H408" s="10">
        <f>IF(TableRefills3[[#This Row],[gap_days]]="",0,IF(TableRefills3[[#This Row],[gap_days]]&gt;2,1,0))</f>
        <v>0</v>
      </c>
      <c r="I408">
        <f>_xlfn.MAXIFS(TableRefills3[discountinuation_flag], TableRefills3[patient_id], A408)</f>
        <v>0</v>
      </c>
    </row>
    <row r="409" spans="1:9" x14ac:dyDescent="0.25">
      <c r="A409" t="s">
        <v>662</v>
      </c>
      <c r="B409" t="s">
        <v>663</v>
      </c>
      <c r="C409" s="3">
        <v>45868</v>
      </c>
      <c r="D409">
        <v>28</v>
      </c>
      <c r="E409" s="3" t="str">
        <f t="shared" si="6"/>
        <v/>
      </c>
      <c r="F409" s="3" t="str">
        <f>IF(TableRefills3[[#This Row],[prev_refill_days]]="","",TableRefills3[[#This Row],[prev_refill_days]]+TableRefills3[[#This Row],[quantity_days]])</f>
        <v/>
      </c>
      <c r="G409" t="str">
        <f>IF(TableRefills3[[#This Row],[prev_refill_end]]="","",TableRefills3[[#This Row],[refill_date]]-TableRefills3[[#This Row],[prev_refill_end]])</f>
        <v/>
      </c>
      <c r="H409" s="10">
        <f>IF(TableRefills3[[#This Row],[gap_days]]="",0,IF(TableRefills3[[#This Row],[gap_days]]&gt;2,1,0))</f>
        <v>0</v>
      </c>
      <c r="I409">
        <f>_xlfn.MAXIFS(TableRefills3[discountinuation_flag], TableRefills3[patient_id], A409)</f>
        <v>1</v>
      </c>
    </row>
    <row r="410" spans="1:9" x14ac:dyDescent="0.25">
      <c r="A410" t="s">
        <v>662</v>
      </c>
      <c r="B410" t="s">
        <v>663</v>
      </c>
      <c r="C410" s="3">
        <v>45895</v>
      </c>
      <c r="D410">
        <v>28</v>
      </c>
      <c r="E410" s="3">
        <f t="shared" si="6"/>
        <v>45868</v>
      </c>
      <c r="F410" s="3">
        <f>IF(TableRefills3[[#This Row],[prev_refill_days]]="","",TableRefills3[[#This Row],[prev_refill_days]]+TableRefills3[[#This Row],[quantity_days]])</f>
        <v>45896</v>
      </c>
      <c r="G410">
        <f>IF(TableRefills3[[#This Row],[prev_refill_end]]="","",TableRefills3[[#This Row],[refill_date]]-TableRefills3[[#This Row],[prev_refill_end]])</f>
        <v>-1</v>
      </c>
      <c r="H410" s="10">
        <f>IF(TableRefills3[[#This Row],[gap_days]]="",0,IF(TableRefills3[[#This Row],[gap_days]]&gt;2,1,0))</f>
        <v>0</v>
      </c>
      <c r="I410">
        <f>_xlfn.MAXIFS(TableRefills3[discountinuation_flag], TableRefills3[patient_id], A410)</f>
        <v>1</v>
      </c>
    </row>
    <row r="411" spans="1:9" x14ac:dyDescent="0.25">
      <c r="A411" t="s">
        <v>662</v>
      </c>
      <c r="B411" t="s">
        <v>663</v>
      </c>
      <c r="C411" s="3">
        <v>45923</v>
      </c>
      <c r="D411">
        <v>28</v>
      </c>
      <c r="E411" s="3">
        <f t="shared" si="6"/>
        <v>45895</v>
      </c>
      <c r="F411" s="3">
        <f>IF(TableRefills3[[#This Row],[prev_refill_days]]="","",TableRefills3[[#This Row],[prev_refill_days]]+TableRefills3[[#This Row],[quantity_days]])</f>
        <v>45923</v>
      </c>
      <c r="G411">
        <f>IF(TableRefills3[[#This Row],[prev_refill_end]]="","",TableRefills3[[#This Row],[refill_date]]-TableRefills3[[#This Row],[prev_refill_end]])</f>
        <v>0</v>
      </c>
      <c r="H411" s="10">
        <f>IF(TableRefills3[[#This Row],[gap_days]]="",0,IF(TableRefills3[[#This Row],[gap_days]]&gt;2,1,0))</f>
        <v>0</v>
      </c>
      <c r="I411">
        <f>_xlfn.MAXIFS(TableRefills3[discountinuation_flag], TableRefills3[patient_id], A411)</f>
        <v>1</v>
      </c>
    </row>
    <row r="412" spans="1:9" x14ac:dyDescent="0.25">
      <c r="A412" t="s">
        <v>662</v>
      </c>
      <c r="B412" t="s">
        <v>663</v>
      </c>
      <c r="C412" s="3">
        <v>45954</v>
      </c>
      <c r="D412">
        <v>28</v>
      </c>
      <c r="E412" s="3">
        <f t="shared" si="6"/>
        <v>45923</v>
      </c>
      <c r="F412" s="3">
        <f>IF(TableRefills3[[#This Row],[prev_refill_days]]="","",TableRefills3[[#This Row],[prev_refill_days]]+TableRefills3[[#This Row],[quantity_days]])</f>
        <v>45951</v>
      </c>
      <c r="G412">
        <f>IF(TableRefills3[[#This Row],[prev_refill_end]]="","",TableRefills3[[#This Row],[refill_date]]-TableRefills3[[#This Row],[prev_refill_end]])</f>
        <v>3</v>
      </c>
      <c r="H412" s="10">
        <f>IF(TableRefills3[[#This Row],[gap_days]]="",0,IF(TableRefills3[[#This Row],[gap_days]]&gt;2,1,0))</f>
        <v>1</v>
      </c>
      <c r="I412">
        <f>_xlfn.MAXIFS(TableRefills3[discountinuation_flag], TableRefills3[patient_id], A412)</f>
        <v>1</v>
      </c>
    </row>
    <row r="413" spans="1:9" x14ac:dyDescent="0.25">
      <c r="A413" t="s">
        <v>668</v>
      </c>
      <c r="B413" t="s">
        <v>669</v>
      </c>
      <c r="C413" s="3">
        <v>45889</v>
      </c>
      <c r="D413">
        <v>14</v>
      </c>
      <c r="E413" s="3" t="str">
        <f t="shared" si="6"/>
        <v/>
      </c>
      <c r="F413" s="3" t="str">
        <f>IF(TableRefills3[[#This Row],[prev_refill_days]]="","",TableRefills3[[#This Row],[prev_refill_days]]+TableRefills3[[#This Row],[quantity_days]])</f>
        <v/>
      </c>
      <c r="G413" t="str">
        <f>IF(TableRefills3[[#This Row],[prev_refill_end]]="","",TableRefills3[[#This Row],[refill_date]]-TableRefills3[[#This Row],[prev_refill_end]])</f>
        <v/>
      </c>
      <c r="H413" s="10">
        <f>IF(TableRefills3[[#This Row],[gap_days]]="",0,IF(TableRefills3[[#This Row],[gap_days]]&gt;2,1,0))</f>
        <v>0</v>
      </c>
      <c r="I413">
        <f>_xlfn.MAXIFS(TableRefills3[discountinuation_flag], TableRefills3[patient_id], A413)</f>
        <v>0</v>
      </c>
    </row>
    <row r="414" spans="1:9" x14ac:dyDescent="0.25">
      <c r="A414" t="s">
        <v>668</v>
      </c>
      <c r="B414" t="s">
        <v>669</v>
      </c>
      <c r="C414" s="3">
        <v>45904</v>
      </c>
      <c r="D414">
        <v>14</v>
      </c>
      <c r="E414" s="3">
        <f t="shared" si="6"/>
        <v>45889</v>
      </c>
      <c r="F414" s="3">
        <f>IF(TableRefills3[[#This Row],[prev_refill_days]]="","",TableRefills3[[#This Row],[prev_refill_days]]+TableRefills3[[#This Row],[quantity_days]])</f>
        <v>45903</v>
      </c>
      <c r="G414">
        <f>IF(TableRefills3[[#This Row],[prev_refill_end]]="","",TableRefills3[[#This Row],[refill_date]]-TableRefills3[[#This Row],[prev_refill_end]])</f>
        <v>1</v>
      </c>
      <c r="H414" s="10">
        <f>IF(TableRefills3[[#This Row],[gap_days]]="",0,IF(TableRefills3[[#This Row],[gap_days]]&gt;2,1,0))</f>
        <v>0</v>
      </c>
      <c r="I414">
        <f>_xlfn.MAXIFS(TableRefills3[discountinuation_flag], TableRefills3[patient_id], A414)</f>
        <v>0</v>
      </c>
    </row>
    <row r="415" spans="1:9" x14ac:dyDescent="0.25">
      <c r="A415" t="s">
        <v>668</v>
      </c>
      <c r="B415" t="s">
        <v>669</v>
      </c>
      <c r="C415" s="3">
        <v>45919</v>
      </c>
      <c r="D415">
        <v>14</v>
      </c>
      <c r="E415" s="3">
        <f t="shared" si="6"/>
        <v>45904</v>
      </c>
      <c r="F415" s="3">
        <f>IF(TableRefills3[[#This Row],[prev_refill_days]]="","",TableRefills3[[#This Row],[prev_refill_days]]+TableRefills3[[#This Row],[quantity_days]])</f>
        <v>45918</v>
      </c>
      <c r="G415">
        <f>IF(TableRefills3[[#This Row],[prev_refill_end]]="","",TableRefills3[[#This Row],[refill_date]]-TableRefills3[[#This Row],[prev_refill_end]])</f>
        <v>1</v>
      </c>
      <c r="H415" s="10">
        <f>IF(TableRefills3[[#This Row],[gap_days]]="",0,IF(TableRefills3[[#This Row],[gap_days]]&gt;2,1,0))</f>
        <v>0</v>
      </c>
      <c r="I415">
        <f>_xlfn.MAXIFS(TableRefills3[discountinuation_flag], TableRefills3[patient_id], A415)</f>
        <v>0</v>
      </c>
    </row>
    <row r="416" spans="1:9" x14ac:dyDescent="0.25">
      <c r="A416" t="s">
        <v>668</v>
      </c>
      <c r="B416" t="s">
        <v>669</v>
      </c>
      <c r="C416" s="3">
        <v>45934</v>
      </c>
      <c r="D416">
        <v>14</v>
      </c>
      <c r="E416" s="3">
        <f t="shared" si="6"/>
        <v>45919</v>
      </c>
      <c r="F416" s="3">
        <f>IF(TableRefills3[[#This Row],[prev_refill_days]]="","",TableRefills3[[#This Row],[prev_refill_days]]+TableRefills3[[#This Row],[quantity_days]])</f>
        <v>45933</v>
      </c>
      <c r="G416">
        <f>IF(TableRefills3[[#This Row],[prev_refill_end]]="","",TableRefills3[[#This Row],[refill_date]]-TableRefills3[[#This Row],[prev_refill_end]])</f>
        <v>1</v>
      </c>
      <c r="H416" s="10">
        <f>IF(TableRefills3[[#This Row],[gap_days]]="",0,IF(TableRefills3[[#This Row],[gap_days]]&gt;2,1,0))</f>
        <v>0</v>
      </c>
      <c r="I416">
        <f>_xlfn.MAXIFS(TableRefills3[discountinuation_flag], TableRefills3[patient_id], A416)</f>
        <v>0</v>
      </c>
    </row>
    <row r="417" spans="1:9" x14ac:dyDescent="0.25">
      <c r="A417" t="s">
        <v>668</v>
      </c>
      <c r="B417" t="s">
        <v>669</v>
      </c>
      <c r="C417" s="3">
        <v>45949</v>
      </c>
      <c r="D417">
        <v>14</v>
      </c>
      <c r="E417" s="3">
        <f t="shared" si="6"/>
        <v>45934</v>
      </c>
      <c r="F417" s="3">
        <f>IF(TableRefills3[[#This Row],[prev_refill_days]]="","",TableRefills3[[#This Row],[prev_refill_days]]+TableRefills3[[#This Row],[quantity_days]])</f>
        <v>45948</v>
      </c>
      <c r="G417">
        <f>IF(TableRefills3[[#This Row],[prev_refill_end]]="","",TableRefills3[[#This Row],[refill_date]]-TableRefills3[[#This Row],[prev_refill_end]])</f>
        <v>1</v>
      </c>
      <c r="H417" s="10">
        <f>IF(TableRefills3[[#This Row],[gap_days]]="",0,IF(TableRefills3[[#This Row],[gap_days]]&gt;2,1,0))</f>
        <v>0</v>
      </c>
      <c r="I417">
        <f>_xlfn.MAXIFS(TableRefills3[discountinuation_flag], TableRefills3[patient_id], A417)</f>
        <v>0</v>
      </c>
    </row>
    <row r="418" spans="1:9" x14ac:dyDescent="0.25">
      <c r="A418" t="s">
        <v>668</v>
      </c>
      <c r="B418" t="s">
        <v>669</v>
      </c>
      <c r="C418" s="3">
        <v>45960</v>
      </c>
      <c r="D418">
        <v>14</v>
      </c>
      <c r="E418" s="3">
        <f t="shared" si="6"/>
        <v>45949</v>
      </c>
      <c r="F418" s="3">
        <f>IF(TableRefills3[[#This Row],[prev_refill_days]]="","",TableRefills3[[#This Row],[prev_refill_days]]+TableRefills3[[#This Row],[quantity_days]])</f>
        <v>45963</v>
      </c>
      <c r="G418">
        <f>IF(TableRefills3[[#This Row],[prev_refill_end]]="","",TableRefills3[[#This Row],[refill_date]]-TableRefills3[[#This Row],[prev_refill_end]])</f>
        <v>-3</v>
      </c>
      <c r="H418" s="10">
        <f>IF(TableRefills3[[#This Row],[gap_days]]="",0,IF(TableRefills3[[#This Row],[gap_days]]&gt;2,1,0))</f>
        <v>0</v>
      </c>
      <c r="I418">
        <f>_xlfn.MAXIFS(TableRefills3[discountinuation_flag], TableRefills3[patient_id], A418)</f>
        <v>0</v>
      </c>
    </row>
    <row r="419" spans="1:9" x14ac:dyDescent="0.25">
      <c r="A419" t="s">
        <v>676</v>
      </c>
      <c r="B419" t="s">
        <v>677</v>
      </c>
      <c r="C419" s="3">
        <v>45941</v>
      </c>
      <c r="D419">
        <v>28</v>
      </c>
      <c r="E419" s="3" t="str">
        <f t="shared" si="6"/>
        <v/>
      </c>
      <c r="F419" s="3" t="str">
        <f>IF(TableRefills3[[#This Row],[prev_refill_days]]="","",TableRefills3[[#This Row],[prev_refill_days]]+TableRefills3[[#This Row],[quantity_days]])</f>
        <v/>
      </c>
      <c r="G419" t="str">
        <f>IF(TableRefills3[[#This Row],[prev_refill_end]]="","",TableRefills3[[#This Row],[refill_date]]-TableRefills3[[#This Row],[prev_refill_end]])</f>
        <v/>
      </c>
      <c r="H419" s="10">
        <f>IF(TableRefills3[[#This Row],[gap_days]]="",0,IF(TableRefills3[[#This Row],[gap_days]]&gt;2,1,0))</f>
        <v>0</v>
      </c>
      <c r="I419">
        <f>_xlfn.MAXIFS(TableRefills3[discountinuation_flag], TableRefills3[patient_id], A419)</f>
        <v>0</v>
      </c>
    </row>
    <row r="420" spans="1:9" x14ac:dyDescent="0.25">
      <c r="A420" t="s">
        <v>679</v>
      </c>
      <c r="B420" t="s">
        <v>680</v>
      </c>
      <c r="C420" s="3">
        <v>45792</v>
      </c>
      <c r="D420">
        <v>28</v>
      </c>
      <c r="E420" s="3" t="str">
        <f t="shared" si="6"/>
        <v/>
      </c>
      <c r="F420" s="3" t="str">
        <f>IF(TableRefills3[[#This Row],[prev_refill_days]]="","",TableRefills3[[#This Row],[prev_refill_days]]+TableRefills3[[#This Row],[quantity_days]])</f>
        <v/>
      </c>
      <c r="G420" t="str">
        <f>IF(TableRefills3[[#This Row],[prev_refill_end]]="","",TableRefills3[[#This Row],[refill_date]]-TableRefills3[[#This Row],[prev_refill_end]])</f>
        <v/>
      </c>
      <c r="H420" s="10">
        <f>IF(TableRefills3[[#This Row],[gap_days]]="",0,IF(TableRefills3[[#This Row],[gap_days]]&gt;2,1,0))</f>
        <v>0</v>
      </c>
      <c r="I420">
        <f>_xlfn.MAXIFS(TableRefills3[discountinuation_flag], TableRefills3[patient_id], A420)</f>
        <v>1</v>
      </c>
    </row>
    <row r="421" spans="1:9" x14ac:dyDescent="0.25">
      <c r="A421" t="s">
        <v>679</v>
      </c>
      <c r="B421" t="s">
        <v>680</v>
      </c>
      <c r="C421" s="3">
        <v>45818</v>
      </c>
      <c r="D421">
        <v>28</v>
      </c>
      <c r="E421" s="3">
        <f t="shared" si="6"/>
        <v>45792</v>
      </c>
      <c r="F421" s="3">
        <f>IF(TableRefills3[[#This Row],[prev_refill_days]]="","",TableRefills3[[#This Row],[prev_refill_days]]+TableRefills3[[#This Row],[quantity_days]])</f>
        <v>45820</v>
      </c>
      <c r="G421">
        <f>IF(TableRefills3[[#This Row],[prev_refill_end]]="","",TableRefills3[[#This Row],[refill_date]]-TableRefills3[[#This Row],[prev_refill_end]])</f>
        <v>-2</v>
      </c>
      <c r="H421" s="10">
        <f>IF(TableRefills3[[#This Row],[gap_days]]="",0,IF(TableRefills3[[#This Row],[gap_days]]&gt;2,1,0))</f>
        <v>0</v>
      </c>
      <c r="I421">
        <f>_xlfn.MAXIFS(TableRefills3[discountinuation_flag], TableRefills3[patient_id], A421)</f>
        <v>1</v>
      </c>
    </row>
    <row r="422" spans="1:9" x14ac:dyDescent="0.25">
      <c r="A422" t="s">
        <v>679</v>
      </c>
      <c r="B422" t="s">
        <v>680</v>
      </c>
      <c r="C422" s="3">
        <v>45849</v>
      </c>
      <c r="D422">
        <v>28</v>
      </c>
      <c r="E422" s="3">
        <f t="shared" si="6"/>
        <v>45818</v>
      </c>
      <c r="F422" s="3">
        <f>IF(TableRefills3[[#This Row],[prev_refill_days]]="","",TableRefills3[[#This Row],[prev_refill_days]]+TableRefills3[[#This Row],[quantity_days]])</f>
        <v>45846</v>
      </c>
      <c r="G422">
        <f>IF(TableRefills3[[#This Row],[prev_refill_end]]="","",TableRefills3[[#This Row],[refill_date]]-TableRefills3[[#This Row],[prev_refill_end]])</f>
        <v>3</v>
      </c>
      <c r="H422" s="10">
        <f>IF(TableRefills3[[#This Row],[gap_days]]="",0,IF(TableRefills3[[#This Row],[gap_days]]&gt;2,1,0))</f>
        <v>1</v>
      </c>
      <c r="I422">
        <f>_xlfn.MAXIFS(TableRefills3[discountinuation_flag], TableRefills3[patient_id], A422)</f>
        <v>1</v>
      </c>
    </row>
    <row r="423" spans="1:9" x14ac:dyDescent="0.25">
      <c r="A423" t="s">
        <v>679</v>
      </c>
      <c r="B423" t="s">
        <v>680</v>
      </c>
      <c r="C423" s="3">
        <v>45875</v>
      </c>
      <c r="D423">
        <v>28</v>
      </c>
      <c r="E423" s="3">
        <f t="shared" si="6"/>
        <v>45849</v>
      </c>
      <c r="F423" s="3">
        <f>IF(TableRefills3[[#This Row],[prev_refill_days]]="","",TableRefills3[[#This Row],[prev_refill_days]]+TableRefills3[[#This Row],[quantity_days]])</f>
        <v>45877</v>
      </c>
      <c r="G423">
        <f>IF(TableRefills3[[#This Row],[prev_refill_end]]="","",TableRefills3[[#This Row],[refill_date]]-TableRefills3[[#This Row],[prev_refill_end]])</f>
        <v>-2</v>
      </c>
      <c r="H423" s="10">
        <f>IF(TableRefills3[[#This Row],[gap_days]]="",0,IF(TableRefills3[[#This Row],[gap_days]]&gt;2,1,0))</f>
        <v>0</v>
      </c>
      <c r="I423">
        <f>_xlfn.MAXIFS(TableRefills3[discountinuation_flag], TableRefills3[patient_id], A423)</f>
        <v>1</v>
      </c>
    </row>
    <row r="424" spans="1:9" x14ac:dyDescent="0.25">
      <c r="A424" t="s">
        <v>679</v>
      </c>
      <c r="B424" t="s">
        <v>680</v>
      </c>
      <c r="C424" s="3">
        <v>45903</v>
      </c>
      <c r="D424">
        <v>28</v>
      </c>
      <c r="E424" s="3">
        <f t="shared" si="6"/>
        <v>45875</v>
      </c>
      <c r="F424" s="3">
        <f>IF(TableRefills3[[#This Row],[prev_refill_days]]="","",TableRefills3[[#This Row],[prev_refill_days]]+TableRefills3[[#This Row],[quantity_days]])</f>
        <v>45903</v>
      </c>
      <c r="G424">
        <f>IF(TableRefills3[[#This Row],[prev_refill_end]]="","",TableRefills3[[#This Row],[refill_date]]-TableRefills3[[#This Row],[prev_refill_end]])</f>
        <v>0</v>
      </c>
      <c r="H424" s="10">
        <f>IF(TableRefills3[[#This Row],[gap_days]]="",0,IF(TableRefills3[[#This Row],[gap_days]]&gt;2,1,0))</f>
        <v>0</v>
      </c>
      <c r="I424">
        <f>_xlfn.MAXIFS(TableRefills3[discountinuation_flag], TableRefills3[patient_id], A424)</f>
        <v>1</v>
      </c>
    </row>
    <row r="425" spans="1:9" x14ac:dyDescent="0.25">
      <c r="A425" t="s">
        <v>679</v>
      </c>
      <c r="B425" t="s">
        <v>680</v>
      </c>
      <c r="C425" s="3">
        <v>45933</v>
      </c>
      <c r="D425">
        <v>28</v>
      </c>
      <c r="E425" s="3">
        <f t="shared" si="6"/>
        <v>45903</v>
      </c>
      <c r="F425" s="3">
        <f>IF(TableRefills3[[#This Row],[prev_refill_days]]="","",TableRefills3[[#This Row],[prev_refill_days]]+TableRefills3[[#This Row],[quantity_days]])</f>
        <v>45931</v>
      </c>
      <c r="G425">
        <f>IF(TableRefills3[[#This Row],[prev_refill_end]]="","",TableRefills3[[#This Row],[refill_date]]-TableRefills3[[#This Row],[prev_refill_end]])</f>
        <v>2</v>
      </c>
      <c r="H425" s="10">
        <f>IF(TableRefills3[[#This Row],[gap_days]]="",0,IF(TableRefills3[[#This Row],[gap_days]]&gt;2,1,0))</f>
        <v>0</v>
      </c>
      <c r="I425">
        <f>_xlfn.MAXIFS(TableRefills3[discountinuation_flag], TableRefills3[patient_id], A425)</f>
        <v>1</v>
      </c>
    </row>
    <row r="426" spans="1:9" x14ac:dyDescent="0.25">
      <c r="A426" t="s">
        <v>679</v>
      </c>
      <c r="B426" t="s">
        <v>680</v>
      </c>
      <c r="C426" s="3">
        <v>45959</v>
      </c>
      <c r="D426">
        <v>28</v>
      </c>
      <c r="E426" s="3">
        <f t="shared" si="6"/>
        <v>45933</v>
      </c>
      <c r="F426" s="3">
        <f>IF(TableRefills3[[#This Row],[prev_refill_days]]="","",TableRefills3[[#This Row],[prev_refill_days]]+TableRefills3[[#This Row],[quantity_days]])</f>
        <v>45961</v>
      </c>
      <c r="G426">
        <f>IF(TableRefills3[[#This Row],[prev_refill_end]]="","",TableRefills3[[#This Row],[refill_date]]-TableRefills3[[#This Row],[prev_refill_end]])</f>
        <v>-2</v>
      </c>
      <c r="H426" s="10">
        <f>IF(TableRefills3[[#This Row],[gap_days]]="",0,IF(TableRefills3[[#This Row],[gap_days]]&gt;2,1,0))</f>
        <v>0</v>
      </c>
      <c r="I426">
        <f>_xlfn.MAXIFS(TableRefills3[discountinuation_flag], TableRefills3[patient_id], A426)</f>
        <v>1</v>
      </c>
    </row>
    <row r="427" spans="1:9" x14ac:dyDescent="0.25">
      <c r="A427" t="s">
        <v>688</v>
      </c>
      <c r="B427" t="s">
        <v>689</v>
      </c>
      <c r="C427" s="3">
        <v>45949</v>
      </c>
      <c r="D427">
        <v>30</v>
      </c>
      <c r="E427" s="3" t="str">
        <f t="shared" si="6"/>
        <v/>
      </c>
      <c r="F427" s="3" t="str">
        <f>IF(TableRefills3[[#This Row],[prev_refill_days]]="","",TableRefills3[[#This Row],[prev_refill_days]]+TableRefills3[[#This Row],[quantity_days]])</f>
        <v/>
      </c>
      <c r="G427" t="str">
        <f>IF(TableRefills3[[#This Row],[prev_refill_end]]="","",TableRefills3[[#This Row],[refill_date]]-TableRefills3[[#This Row],[prev_refill_end]])</f>
        <v/>
      </c>
      <c r="H427" s="10">
        <f>IF(TableRefills3[[#This Row],[gap_days]]="",0,IF(TableRefills3[[#This Row],[gap_days]]&gt;2,1,0))</f>
        <v>0</v>
      </c>
      <c r="I427">
        <f>_xlfn.MAXIFS(TableRefills3[discountinuation_flag], TableRefills3[patient_id], A427)</f>
        <v>0</v>
      </c>
    </row>
    <row r="428" spans="1:9" x14ac:dyDescent="0.25">
      <c r="A428" t="s">
        <v>691</v>
      </c>
      <c r="B428" t="s">
        <v>692</v>
      </c>
      <c r="C428" s="3">
        <v>45881</v>
      </c>
      <c r="D428">
        <v>56</v>
      </c>
      <c r="E428" s="3" t="str">
        <f t="shared" si="6"/>
        <v/>
      </c>
      <c r="F428" s="3" t="str">
        <f>IF(TableRefills3[[#This Row],[prev_refill_days]]="","",TableRefills3[[#This Row],[prev_refill_days]]+TableRefills3[[#This Row],[quantity_days]])</f>
        <v/>
      </c>
      <c r="G428" t="str">
        <f>IF(TableRefills3[[#This Row],[prev_refill_end]]="","",TableRefills3[[#This Row],[refill_date]]-TableRefills3[[#This Row],[prev_refill_end]])</f>
        <v/>
      </c>
      <c r="H428" s="10">
        <f>IF(TableRefills3[[#This Row],[gap_days]]="",0,IF(TableRefills3[[#This Row],[gap_days]]&gt;2,1,0))</f>
        <v>0</v>
      </c>
      <c r="I428">
        <f>_xlfn.MAXIFS(TableRefills3[discountinuation_flag], TableRefills3[patient_id], A428)</f>
        <v>0</v>
      </c>
    </row>
    <row r="429" spans="1:9" x14ac:dyDescent="0.25">
      <c r="A429" t="s">
        <v>691</v>
      </c>
      <c r="B429" t="s">
        <v>692</v>
      </c>
      <c r="C429" s="3">
        <v>45936</v>
      </c>
      <c r="D429">
        <v>56</v>
      </c>
      <c r="E429" s="3">
        <f t="shared" si="6"/>
        <v>45881</v>
      </c>
      <c r="F429" s="3">
        <f>IF(TableRefills3[[#This Row],[prev_refill_days]]="","",TableRefills3[[#This Row],[prev_refill_days]]+TableRefills3[[#This Row],[quantity_days]])</f>
        <v>45937</v>
      </c>
      <c r="G429">
        <f>IF(TableRefills3[[#This Row],[prev_refill_end]]="","",TableRefills3[[#This Row],[refill_date]]-TableRefills3[[#This Row],[prev_refill_end]])</f>
        <v>-1</v>
      </c>
      <c r="H429" s="10">
        <f>IF(TableRefills3[[#This Row],[gap_days]]="",0,IF(TableRefills3[[#This Row],[gap_days]]&gt;2,1,0))</f>
        <v>0</v>
      </c>
      <c r="I429">
        <f>_xlfn.MAXIFS(TableRefills3[discountinuation_flag], TableRefills3[patient_id], A429)</f>
        <v>0</v>
      </c>
    </row>
    <row r="430" spans="1:9" x14ac:dyDescent="0.25">
      <c r="A430" t="s">
        <v>695</v>
      </c>
      <c r="B430" t="s">
        <v>696</v>
      </c>
      <c r="C430" s="3">
        <v>45909</v>
      </c>
      <c r="D430">
        <v>28</v>
      </c>
      <c r="E430" s="3" t="str">
        <f t="shared" si="6"/>
        <v/>
      </c>
      <c r="F430" s="3" t="str">
        <f>IF(TableRefills3[[#This Row],[prev_refill_days]]="","",TableRefills3[[#This Row],[prev_refill_days]]+TableRefills3[[#This Row],[quantity_days]])</f>
        <v/>
      </c>
      <c r="G430" t="str">
        <f>IF(TableRefills3[[#This Row],[prev_refill_end]]="","",TableRefills3[[#This Row],[refill_date]]-TableRefills3[[#This Row],[prev_refill_end]])</f>
        <v/>
      </c>
      <c r="H430" s="10">
        <f>IF(TableRefills3[[#This Row],[gap_days]]="",0,IF(TableRefills3[[#This Row],[gap_days]]&gt;2,1,0))</f>
        <v>0</v>
      </c>
      <c r="I430">
        <f>_xlfn.MAXIFS(TableRefills3[discountinuation_flag], TableRefills3[patient_id], A430)</f>
        <v>1</v>
      </c>
    </row>
    <row r="431" spans="1:9" x14ac:dyDescent="0.25">
      <c r="A431" t="s">
        <v>695</v>
      </c>
      <c r="B431" t="s">
        <v>696</v>
      </c>
      <c r="C431" s="3">
        <v>45940</v>
      </c>
      <c r="D431">
        <v>28</v>
      </c>
      <c r="E431" s="3">
        <f t="shared" si="6"/>
        <v>45909</v>
      </c>
      <c r="F431" s="3">
        <f>IF(TableRefills3[[#This Row],[prev_refill_days]]="","",TableRefills3[[#This Row],[prev_refill_days]]+TableRefills3[[#This Row],[quantity_days]])</f>
        <v>45937</v>
      </c>
      <c r="G431">
        <f>IF(TableRefills3[[#This Row],[prev_refill_end]]="","",TableRefills3[[#This Row],[refill_date]]-TableRefills3[[#This Row],[prev_refill_end]])</f>
        <v>3</v>
      </c>
      <c r="H431" s="10">
        <f>IF(TableRefills3[[#This Row],[gap_days]]="",0,IF(TableRefills3[[#This Row],[gap_days]]&gt;2,1,0))</f>
        <v>1</v>
      </c>
      <c r="I431">
        <f>_xlfn.MAXIFS(TableRefills3[discountinuation_flag], TableRefills3[patient_id], A431)</f>
        <v>1</v>
      </c>
    </row>
    <row r="432" spans="1:9" x14ac:dyDescent="0.25">
      <c r="A432" t="s">
        <v>699</v>
      </c>
      <c r="B432" t="s">
        <v>700</v>
      </c>
      <c r="C432" s="3">
        <v>45951</v>
      </c>
      <c r="D432">
        <v>28</v>
      </c>
      <c r="E432" s="3" t="str">
        <f t="shared" si="6"/>
        <v/>
      </c>
      <c r="F432" s="3" t="str">
        <f>IF(TableRefills3[[#This Row],[prev_refill_days]]="","",TableRefills3[[#This Row],[prev_refill_days]]+TableRefills3[[#This Row],[quantity_days]])</f>
        <v/>
      </c>
      <c r="G432" t="str">
        <f>IF(TableRefills3[[#This Row],[prev_refill_end]]="","",TableRefills3[[#This Row],[refill_date]]-TableRefills3[[#This Row],[prev_refill_end]])</f>
        <v/>
      </c>
      <c r="H432" s="10">
        <f>IF(TableRefills3[[#This Row],[gap_days]]="",0,IF(TableRefills3[[#This Row],[gap_days]]&gt;2,1,0))</f>
        <v>0</v>
      </c>
      <c r="I432">
        <f>_xlfn.MAXIFS(TableRefills3[discountinuation_flag], TableRefills3[patient_id], A432)</f>
        <v>0</v>
      </c>
    </row>
    <row r="433" spans="1:9" x14ac:dyDescent="0.25">
      <c r="A433" t="s">
        <v>702</v>
      </c>
      <c r="B433" t="s">
        <v>703</v>
      </c>
      <c r="C433" s="3">
        <v>45785</v>
      </c>
      <c r="D433">
        <v>28</v>
      </c>
      <c r="E433" s="3" t="str">
        <f t="shared" si="6"/>
        <v/>
      </c>
      <c r="F433" s="3" t="str">
        <f>IF(TableRefills3[[#This Row],[prev_refill_days]]="","",TableRefills3[[#This Row],[prev_refill_days]]+TableRefills3[[#This Row],[quantity_days]])</f>
        <v/>
      </c>
      <c r="G433" t="str">
        <f>IF(TableRefills3[[#This Row],[prev_refill_end]]="","",TableRefills3[[#This Row],[refill_date]]-TableRefills3[[#This Row],[prev_refill_end]])</f>
        <v/>
      </c>
      <c r="H433" s="10">
        <f>IF(TableRefills3[[#This Row],[gap_days]]="",0,IF(TableRefills3[[#This Row],[gap_days]]&gt;2,1,0))</f>
        <v>0</v>
      </c>
      <c r="I433">
        <f>_xlfn.MAXIFS(TableRefills3[discountinuation_flag], TableRefills3[patient_id], A433)</f>
        <v>1</v>
      </c>
    </row>
    <row r="434" spans="1:9" x14ac:dyDescent="0.25">
      <c r="A434" t="s">
        <v>702</v>
      </c>
      <c r="B434" t="s">
        <v>703</v>
      </c>
      <c r="C434" s="3">
        <v>45814</v>
      </c>
      <c r="D434">
        <v>28</v>
      </c>
      <c r="E434" s="3">
        <f t="shared" si="6"/>
        <v>45785</v>
      </c>
      <c r="F434" s="3">
        <f>IF(TableRefills3[[#This Row],[prev_refill_days]]="","",TableRefills3[[#This Row],[prev_refill_days]]+TableRefills3[[#This Row],[quantity_days]])</f>
        <v>45813</v>
      </c>
      <c r="G434">
        <f>IF(TableRefills3[[#This Row],[prev_refill_end]]="","",TableRefills3[[#This Row],[refill_date]]-TableRefills3[[#This Row],[prev_refill_end]])</f>
        <v>1</v>
      </c>
      <c r="H434" s="10">
        <f>IF(TableRefills3[[#This Row],[gap_days]]="",0,IF(TableRefills3[[#This Row],[gap_days]]&gt;2,1,0))</f>
        <v>0</v>
      </c>
      <c r="I434">
        <f>_xlfn.MAXIFS(TableRefills3[discountinuation_flag], TableRefills3[patient_id], A434)</f>
        <v>1</v>
      </c>
    </row>
    <row r="435" spans="1:9" x14ac:dyDescent="0.25">
      <c r="A435" t="s">
        <v>702</v>
      </c>
      <c r="B435" t="s">
        <v>703</v>
      </c>
      <c r="C435" s="3">
        <v>45845</v>
      </c>
      <c r="D435">
        <v>28</v>
      </c>
      <c r="E435" s="3">
        <f t="shared" si="6"/>
        <v>45814</v>
      </c>
      <c r="F435" s="3">
        <f>IF(TableRefills3[[#This Row],[prev_refill_days]]="","",TableRefills3[[#This Row],[prev_refill_days]]+TableRefills3[[#This Row],[quantity_days]])</f>
        <v>45842</v>
      </c>
      <c r="G435">
        <f>IF(TableRefills3[[#This Row],[prev_refill_end]]="","",TableRefills3[[#This Row],[refill_date]]-TableRefills3[[#This Row],[prev_refill_end]])</f>
        <v>3</v>
      </c>
      <c r="H435" s="10">
        <f>IF(TableRefills3[[#This Row],[gap_days]]="",0,IF(TableRefills3[[#This Row],[gap_days]]&gt;2,1,0))</f>
        <v>1</v>
      </c>
      <c r="I435">
        <f>_xlfn.MAXIFS(TableRefills3[discountinuation_flag], TableRefills3[patient_id], A435)</f>
        <v>1</v>
      </c>
    </row>
    <row r="436" spans="1:9" x14ac:dyDescent="0.25">
      <c r="A436" t="s">
        <v>702</v>
      </c>
      <c r="B436" t="s">
        <v>703</v>
      </c>
      <c r="C436" s="3">
        <v>45874</v>
      </c>
      <c r="D436">
        <v>28</v>
      </c>
      <c r="E436" s="3">
        <f t="shared" si="6"/>
        <v>45845</v>
      </c>
      <c r="F436" s="3">
        <f>IF(TableRefills3[[#This Row],[prev_refill_days]]="","",TableRefills3[[#This Row],[prev_refill_days]]+TableRefills3[[#This Row],[quantity_days]])</f>
        <v>45873</v>
      </c>
      <c r="G436">
        <f>IF(TableRefills3[[#This Row],[prev_refill_end]]="","",TableRefills3[[#This Row],[refill_date]]-TableRefills3[[#This Row],[prev_refill_end]])</f>
        <v>1</v>
      </c>
      <c r="H436" s="10">
        <f>IF(TableRefills3[[#This Row],[gap_days]]="",0,IF(TableRefills3[[#This Row],[gap_days]]&gt;2,1,0))</f>
        <v>0</v>
      </c>
      <c r="I436">
        <f>_xlfn.MAXIFS(TableRefills3[discountinuation_flag], TableRefills3[patient_id], A436)</f>
        <v>1</v>
      </c>
    </row>
    <row r="437" spans="1:9" x14ac:dyDescent="0.25">
      <c r="A437" t="s">
        <v>702</v>
      </c>
      <c r="B437" t="s">
        <v>703</v>
      </c>
      <c r="C437" s="3">
        <v>45905</v>
      </c>
      <c r="D437">
        <v>28</v>
      </c>
      <c r="E437" s="3">
        <f t="shared" si="6"/>
        <v>45874</v>
      </c>
      <c r="F437" s="3">
        <f>IF(TableRefills3[[#This Row],[prev_refill_days]]="","",TableRefills3[[#This Row],[prev_refill_days]]+TableRefills3[[#This Row],[quantity_days]])</f>
        <v>45902</v>
      </c>
      <c r="G437">
        <f>IF(TableRefills3[[#This Row],[prev_refill_end]]="","",TableRefills3[[#This Row],[refill_date]]-TableRefills3[[#This Row],[prev_refill_end]])</f>
        <v>3</v>
      </c>
      <c r="H437" s="10">
        <f>IF(TableRefills3[[#This Row],[gap_days]]="",0,IF(TableRefills3[[#This Row],[gap_days]]&gt;2,1,0))</f>
        <v>1</v>
      </c>
      <c r="I437">
        <f>_xlfn.MAXIFS(TableRefills3[discountinuation_flag], TableRefills3[patient_id], A437)</f>
        <v>1</v>
      </c>
    </row>
    <row r="438" spans="1:9" x14ac:dyDescent="0.25">
      <c r="A438" t="s">
        <v>702</v>
      </c>
      <c r="B438" t="s">
        <v>703</v>
      </c>
      <c r="C438" s="3">
        <v>45936</v>
      </c>
      <c r="D438">
        <v>28</v>
      </c>
      <c r="E438" s="3">
        <f t="shared" si="6"/>
        <v>45905</v>
      </c>
      <c r="F438" s="3">
        <f>IF(TableRefills3[[#This Row],[prev_refill_days]]="","",TableRefills3[[#This Row],[prev_refill_days]]+TableRefills3[[#This Row],[quantity_days]])</f>
        <v>45933</v>
      </c>
      <c r="G438">
        <f>IF(TableRefills3[[#This Row],[prev_refill_end]]="","",TableRefills3[[#This Row],[refill_date]]-TableRefills3[[#This Row],[prev_refill_end]])</f>
        <v>3</v>
      </c>
      <c r="H438" s="10">
        <f>IF(TableRefills3[[#This Row],[gap_days]]="",0,IF(TableRefills3[[#This Row],[gap_days]]&gt;2,1,0))</f>
        <v>1</v>
      </c>
      <c r="I438">
        <f>_xlfn.MAXIFS(TableRefills3[discountinuation_flag], TableRefills3[patient_id], A438)</f>
        <v>1</v>
      </c>
    </row>
    <row r="439" spans="1:9" x14ac:dyDescent="0.25">
      <c r="A439" t="s">
        <v>710</v>
      </c>
      <c r="B439" t="s">
        <v>711</v>
      </c>
      <c r="C439" s="3">
        <v>45933</v>
      </c>
      <c r="D439">
        <v>28</v>
      </c>
      <c r="E439" s="3" t="str">
        <f t="shared" si="6"/>
        <v/>
      </c>
      <c r="F439" s="3" t="str">
        <f>IF(TableRefills3[[#This Row],[prev_refill_days]]="","",TableRefills3[[#This Row],[prev_refill_days]]+TableRefills3[[#This Row],[quantity_days]])</f>
        <v/>
      </c>
      <c r="G439" t="str">
        <f>IF(TableRefills3[[#This Row],[prev_refill_end]]="","",TableRefills3[[#This Row],[refill_date]]-TableRefills3[[#This Row],[prev_refill_end]])</f>
        <v/>
      </c>
      <c r="H439" s="10">
        <f>IF(TableRefills3[[#This Row],[gap_days]]="",0,IF(TableRefills3[[#This Row],[gap_days]]&gt;2,1,0))</f>
        <v>0</v>
      </c>
      <c r="I439">
        <f>_xlfn.MAXIFS(TableRefills3[discountinuation_flag], TableRefills3[patient_id], A439)</f>
        <v>0</v>
      </c>
    </row>
    <row r="440" spans="1:9" x14ac:dyDescent="0.25">
      <c r="A440" t="s">
        <v>713</v>
      </c>
      <c r="B440" t="s">
        <v>714</v>
      </c>
      <c r="C440" s="3">
        <v>45890</v>
      </c>
      <c r="D440">
        <v>28</v>
      </c>
      <c r="E440" s="3" t="str">
        <f t="shared" si="6"/>
        <v/>
      </c>
      <c r="F440" s="3" t="str">
        <f>IF(TableRefills3[[#This Row],[prev_refill_days]]="","",TableRefills3[[#This Row],[prev_refill_days]]+TableRefills3[[#This Row],[quantity_days]])</f>
        <v/>
      </c>
      <c r="G440" t="str">
        <f>IF(TableRefills3[[#This Row],[prev_refill_end]]="","",TableRefills3[[#This Row],[refill_date]]-TableRefills3[[#This Row],[prev_refill_end]])</f>
        <v/>
      </c>
      <c r="H440" s="10">
        <f>IF(TableRefills3[[#This Row],[gap_days]]="",0,IF(TableRefills3[[#This Row],[gap_days]]&gt;2,1,0))</f>
        <v>0</v>
      </c>
      <c r="I440">
        <f>_xlfn.MAXIFS(TableRefills3[discountinuation_flag], TableRefills3[patient_id], A440)</f>
        <v>0</v>
      </c>
    </row>
    <row r="441" spans="1:9" x14ac:dyDescent="0.25">
      <c r="A441" t="s">
        <v>713</v>
      </c>
      <c r="B441" t="s">
        <v>714</v>
      </c>
      <c r="C441" s="3">
        <v>45918</v>
      </c>
      <c r="D441">
        <v>28</v>
      </c>
      <c r="E441" s="3">
        <f t="shared" si="6"/>
        <v>45890</v>
      </c>
      <c r="F441" s="3">
        <f>IF(TableRefills3[[#This Row],[prev_refill_days]]="","",TableRefills3[[#This Row],[prev_refill_days]]+TableRefills3[[#This Row],[quantity_days]])</f>
        <v>45918</v>
      </c>
      <c r="G441">
        <f>IF(TableRefills3[[#This Row],[prev_refill_end]]="","",TableRefills3[[#This Row],[refill_date]]-TableRefills3[[#This Row],[prev_refill_end]])</f>
        <v>0</v>
      </c>
      <c r="H441" s="10">
        <f>IF(TableRefills3[[#This Row],[gap_days]]="",0,IF(TableRefills3[[#This Row],[gap_days]]&gt;2,1,0))</f>
        <v>0</v>
      </c>
      <c r="I441">
        <f>_xlfn.MAXIFS(TableRefills3[discountinuation_flag], TableRefills3[patient_id], A441)</f>
        <v>0</v>
      </c>
    </row>
    <row r="442" spans="1:9" x14ac:dyDescent="0.25">
      <c r="A442" t="s">
        <v>713</v>
      </c>
      <c r="B442" t="s">
        <v>714</v>
      </c>
      <c r="C442" s="3">
        <v>45946</v>
      </c>
      <c r="D442">
        <v>28</v>
      </c>
      <c r="E442" s="3">
        <f t="shared" si="6"/>
        <v>45918</v>
      </c>
      <c r="F442" s="3">
        <f>IF(TableRefills3[[#This Row],[prev_refill_days]]="","",TableRefills3[[#This Row],[prev_refill_days]]+TableRefills3[[#This Row],[quantity_days]])</f>
        <v>45946</v>
      </c>
      <c r="G442">
        <f>IF(TableRefills3[[#This Row],[prev_refill_end]]="","",TableRefills3[[#This Row],[refill_date]]-TableRefills3[[#This Row],[prev_refill_end]])</f>
        <v>0</v>
      </c>
      <c r="H442" s="10">
        <f>IF(TableRefills3[[#This Row],[gap_days]]="",0,IF(TableRefills3[[#This Row],[gap_days]]&gt;2,1,0))</f>
        <v>0</v>
      </c>
      <c r="I442">
        <f>_xlfn.MAXIFS(TableRefills3[discountinuation_flag], TableRefills3[patient_id], A442)</f>
        <v>0</v>
      </c>
    </row>
    <row r="443" spans="1:9" x14ac:dyDescent="0.25">
      <c r="A443" t="s">
        <v>718</v>
      </c>
      <c r="B443" t="s">
        <v>719</v>
      </c>
      <c r="C443" s="3">
        <v>45810</v>
      </c>
      <c r="D443">
        <v>28</v>
      </c>
      <c r="E443" s="3" t="str">
        <f t="shared" si="6"/>
        <v/>
      </c>
      <c r="F443" s="3" t="str">
        <f>IF(TableRefills3[[#This Row],[prev_refill_days]]="","",TableRefills3[[#This Row],[prev_refill_days]]+TableRefills3[[#This Row],[quantity_days]])</f>
        <v/>
      </c>
      <c r="G443" t="str">
        <f>IF(TableRefills3[[#This Row],[prev_refill_end]]="","",TableRefills3[[#This Row],[refill_date]]-TableRefills3[[#This Row],[prev_refill_end]])</f>
        <v/>
      </c>
      <c r="H443" s="10">
        <f>IF(TableRefills3[[#This Row],[gap_days]]="",0,IF(TableRefills3[[#This Row],[gap_days]]&gt;2,1,0))</f>
        <v>0</v>
      </c>
      <c r="I443">
        <f>_xlfn.MAXIFS(TableRefills3[discountinuation_flag], TableRefills3[patient_id], A443)</f>
        <v>1</v>
      </c>
    </row>
    <row r="444" spans="1:9" x14ac:dyDescent="0.25">
      <c r="A444" t="s">
        <v>718</v>
      </c>
      <c r="B444" t="s">
        <v>719</v>
      </c>
      <c r="C444" s="3">
        <v>45839</v>
      </c>
      <c r="D444">
        <v>28</v>
      </c>
      <c r="E444" s="3">
        <f t="shared" si="6"/>
        <v>45810</v>
      </c>
      <c r="F444" s="3">
        <f>IF(TableRefills3[[#This Row],[prev_refill_days]]="","",TableRefills3[[#This Row],[prev_refill_days]]+TableRefills3[[#This Row],[quantity_days]])</f>
        <v>45838</v>
      </c>
      <c r="G444">
        <f>IF(TableRefills3[[#This Row],[prev_refill_end]]="","",TableRefills3[[#This Row],[refill_date]]-TableRefills3[[#This Row],[prev_refill_end]])</f>
        <v>1</v>
      </c>
      <c r="H444" s="10">
        <f>IF(TableRefills3[[#This Row],[gap_days]]="",0,IF(TableRefills3[[#This Row],[gap_days]]&gt;2,1,0))</f>
        <v>0</v>
      </c>
      <c r="I444">
        <f>_xlfn.MAXIFS(TableRefills3[discountinuation_flag], TableRefills3[patient_id], A444)</f>
        <v>1</v>
      </c>
    </row>
    <row r="445" spans="1:9" x14ac:dyDescent="0.25">
      <c r="A445" t="s">
        <v>718</v>
      </c>
      <c r="B445" t="s">
        <v>719</v>
      </c>
      <c r="C445" s="3">
        <v>45870</v>
      </c>
      <c r="D445">
        <v>28</v>
      </c>
      <c r="E445" s="3">
        <f t="shared" si="6"/>
        <v>45839</v>
      </c>
      <c r="F445" s="3">
        <f>IF(TableRefills3[[#This Row],[prev_refill_days]]="","",TableRefills3[[#This Row],[prev_refill_days]]+TableRefills3[[#This Row],[quantity_days]])</f>
        <v>45867</v>
      </c>
      <c r="G445">
        <f>IF(TableRefills3[[#This Row],[prev_refill_end]]="","",TableRefills3[[#This Row],[refill_date]]-TableRefills3[[#This Row],[prev_refill_end]])</f>
        <v>3</v>
      </c>
      <c r="H445" s="10">
        <f>IF(TableRefills3[[#This Row],[gap_days]]="",0,IF(TableRefills3[[#This Row],[gap_days]]&gt;2,1,0))</f>
        <v>1</v>
      </c>
      <c r="I445">
        <f>_xlfn.MAXIFS(TableRefills3[discountinuation_flag], TableRefills3[patient_id], A445)</f>
        <v>1</v>
      </c>
    </row>
    <row r="446" spans="1:9" x14ac:dyDescent="0.25">
      <c r="A446" t="s">
        <v>718</v>
      </c>
      <c r="B446" t="s">
        <v>719</v>
      </c>
      <c r="C446" s="3">
        <v>45895</v>
      </c>
      <c r="D446">
        <v>28</v>
      </c>
      <c r="E446" s="3">
        <f t="shared" si="6"/>
        <v>45870</v>
      </c>
      <c r="F446" s="3">
        <f>IF(TableRefills3[[#This Row],[prev_refill_days]]="","",TableRefills3[[#This Row],[prev_refill_days]]+TableRefills3[[#This Row],[quantity_days]])</f>
        <v>45898</v>
      </c>
      <c r="G446">
        <f>IF(TableRefills3[[#This Row],[prev_refill_end]]="","",TableRefills3[[#This Row],[refill_date]]-TableRefills3[[#This Row],[prev_refill_end]])</f>
        <v>-3</v>
      </c>
      <c r="H446" s="10">
        <f>IF(TableRefills3[[#This Row],[gap_days]]="",0,IF(TableRefills3[[#This Row],[gap_days]]&gt;2,1,0))</f>
        <v>0</v>
      </c>
      <c r="I446">
        <f>_xlfn.MAXIFS(TableRefills3[discountinuation_flag], TableRefills3[patient_id], A446)</f>
        <v>1</v>
      </c>
    </row>
    <row r="447" spans="1:9" x14ac:dyDescent="0.25">
      <c r="A447" t="s">
        <v>718</v>
      </c>
      <c r="B447" t="s">
        <v>719</v>
      </c>
      <c r="C447" s="3">
        <v>45920</v>
      </c>
      <c r="D447">
        <v>28</v>
      </c>
      <c r="E447" s="3">
        <f t="shared" si="6"/>
        <v>45895</v>
      </c>
      <c r="F447" s="3">
        <f>IF(TableRefills3[[#This Row],[prev_refill_days]]="","",TableRefills3[[#This Row],[prev_refill_days]]+TableRefills3[[#This Row],[quantity_days]])</f>
        <v>45923</v>
      </c>
      <c r="G447">
        <f>IF(TableRefills3[[#This Row],[prev_refill_end]]="","",TableRefills3[[#This Row],[refill_date]]-TableRefills3[[#This Row],[prev_refill_end]])</f>
        <v>-3</v>
      </c>
      <c r="H447" s="10">
        <f>IF(TableRefills3[[#This Row],[gap_days]]="",0,IF(TableRefills3[[#This Row],[gap_days]]&gt;2,1,0))</f>
        <v>0</v>
      </c>
      <c r="I447">
        <f>_xlfn.MAXIFS(TableRefills3[discountinuation_flag], TableRefills3[patient_id], A447)</f>
        <v>1</v>
      </c>
    </row>
    <row r="448" spans="1:9" x14ac:dyDescent="0.25">
      <c r="A448" t="s">
        <v>718</v>
      </c>
      <c r="B448" t="s">
        <v>719</v>
      </c>
      <c r="C448" s="3">
        <v>45951</v>
      </c>
      <c r="D448">
        <v>28</v>
      </c>
      <c r="E448" s="3">
        <f t="shared" si="6"/>
        <v>45920</v>
      </c>
      <c r="F448" s="3">
        <f>IF(TableRefills3[[#This Row],[prev_refill_days]]="","",TableRefills3[[#This Row],[prev_refill_days]]+TableRefills3[[#This Row],[quantity_days]])</f>
        <v>45948</v>
      </c>
      <c r="G448">
        <f>IF(TableRefills3[[#This Row],[prev_refill_end]]="","",TableRefills3[[#This Row],[refill_date]]-TableRefills3[[#This Row],[prev_refill_end]])</f>
        <v>3</v>
      </c>
      <c r="H448" s="10">
        <f>IF(TableRefills3[[#This Row],[gap_days]]="",0,IF(TableRefills3[[#This Row],[gap_days]]&gt;2,1,0))</f>
        <v>1</v>
      </c>
      <c r="I448">
        <f>_xlfn.MAXIFS(TableRefills3[discountinuation_flag], TableRefills3[patient_id], A448)</f>
        <v>1</v>
      </c>
    </row>
    <row r="449" spans="1:9" x14ac:dyDescent="0.25">
      <c r="A449" t="s">
        <v>726</v>
      </c>
      <c r="B449" t="s">
        <v>727</v>
      </c>
      <c r="C449" s="3">
        <v>45838</v>
      </c>
      <c r="D449">
        <v>30</v>
      </c>
      <c r="E449" s="3" t="str">
        <f t="shared" si="6"/>
        <v/>
      </c>
      <c r="F449" s="3" t="str">
        <f>IF(TableRefills3[[#This Row],[prev_refill_days]]="","",TableRefills3[[#This Row],[prev_refill_days]]+TableRefills3[[#This Row],[quantity_days]])</f>
        <v/>
      </c>
      <c r="G449" t="str">
        <f>IF(TableRefills3[[#This Row],[prev_refill_end]]="","",TableRefills3[[#This Row],[refill_date]]-TableRefills3[[#This Row],[prev_refill_end]])</f>
        <v/>
      </c>
      <c r="H449" s="10">
        <f>IF(TableRefills3[[#This Row],[gap_days]]="",0,IF(TableRefills3[[#This Row],[gap_days]]&gt;2,1,0))</f>
        <v>0</v>
      </c>
      <c r="I449">
        <f>_xlfn.MAXIFS(TableRefills3[discountinuation_flag], TableRefills3[patient_id], A449)</f>
        <v>0</v>
      </c>
    </row>
    <row r="450" spans="1:9" x14ac:dyDescent="0.25">
      <c r="A450" t="s">
        <v>726</v>
      </c>
      <c r="B450" t="s">
        <v>727</v>
      </c>
      <c r="C450" s="3">
        <v>45867</v>
      </c>
      <c r="D450">
        <v>30</v>
      </c>
      <c r="E450" s="3">
        <f t="shared" ref="E450:E513" si="7">IF(A449=A450,C449,"")</f>
        <v>45838</v>
      </c>
      <c r="F450" s="3">
        <f>IF(TableRefills3[[#This Row],[prev_refill_days]]="","",TableRefills3[[#This Row],[prev_refill_days]]+TableRefills3[[#This Row],[quantity_days]])</f>
        <v>45868</v>
      </c>
      <c r="G450">
        <f>IF(TableRefills3[[#This Row],[prev_refill_end]]="","",TableRefills3[[#This Row],[refill_date]]-TableRefills3[[#This Row],[prev_refill_end]])</f>
        <v>-1</v>
      </c>
      <c r="H450" s="10">
        <f>IF(TableRefills3[[#This Row],[gap_days]]="",0,IF(TableRefills3[[#This Row],[gap_days]]&gt;2,1,0))</f>
        <v>0</v>
      </c>
      <c r="I450">
        <f>_xlfn.MAXIFS(TableRefills3[discountinuation_flag], TableRefills3[patient_id], A450)</f>
        <v>0</v>
      </c>
    </row>
    <row r="451" spans="1:9" x14ac:dyDescent="0.25">
      <c r="A451" t="s">
        <v>730</v>
      </c>
      <c r="B451" t="s">
        <v>731</v>
      </c>
      <c r="C451" s="3">
        <v>45943</v>
      </c>
      <c r="D451">
        <v>30</v>
      </c>
      <c r="E451" s="3" t="str">
        <f t="shared" si="7"/>
        <v/>
      </c>
      <c r="F451" s="3" t="str">
        <f>IF(TableRefills3[[#This Row],[prev_refill_days]]="","",TableRefills3[[#This Row],[prev_refill_days]]+TableRefills3[[#This Row],[quantity_days]])</f>
        <v/>
      </c>
      <c r="G451" t="str">
        <f>IF(TableRefills3[[#This Row],[prev_refill_end]]="","",TableRefills3[[#This Row],[refill_date]]-TableRefills3[[#This Row],[prev_refill_end]])</f>
        <v/>
      </c>
      <c r="H451" s="10">
        <f>IF(TableRefills3[[#This Row],[gap_days]]="",0,IF(TableRefills3[[#This Row],[gap_days]]&gt;2,1,0))</f>
        <v>0</v>
      </c>
      <c r="I451">
        <f>_xlfn.MAXIFS(TableRefills3[discountinuation_flag], TableRefills3[patient_id], A451)</f>
        <v>0</v>
      </c>
    </row>
    <row r="452" spans="1:9" x14ac:dyDescent="0.25">
      <c r="A452" t="s">
        <v>733</v>
      </c>
      <c r="B452" t="s">
        <v>734</v>
      </c>
      <c r="C452" s="3">
        <v>45870</v>
      </c>
      <c r="D452">
        <v>28</v>
      </c>
      <c r="E452" s="3" t="str">
        <f t="shared" si="7"/>
        <v/>
      </c>
      <c r="F452" s="3" t="str">
        <f>IF(TableRefills3[[#This Row],[prev_refill_days]]="","",TableRefills3[[#This Row],[prev_refill_days]]+TableRefills3[[#This Row],[quantity_days]])</f>
        <v/>
      </c>
      <c r="G452" t="str">
        <f>IF(TableRefills3[[#This Row],[prev_refill_end]]="","",TableRefills3[[#This Row],[refill_date]]-TableRefills3[[#This Row],[prev_refill_end]])</f>
        <v/>
      </c>
      <c r="H452" s="10">
        <f>IF(TableRefills3[[#This Row],[gap_days]]="",0,IF(TableRefills3[[#This Row],[gap_days]]&gt;2,1,0))</f>
        <v>0</v>
      </c>
      <c r="I452">
        <f>_xlfn.MAXIFS(TableRefills3[discountinuation_flag], TableRefills3[patient_id], A452)</f>
        <v>0</v>
      </c>
    </row>
    <row r="453" spans="1:9" x14ac:dyDescent="0.25">
      <c r="A453" t="s">
        <v>733</v>
      </c>
      <c r="B453" t="s">
        <v>734</v>
      </c>
      <c r="C453" s="3">
        <v>45898</v>
      </c>
      <c r="D453">
        <v>28</v>
      </c>
      <c r="E453" s="3">
        <f t="shared" si="7"/>
        <v>45870</v>
      </c>
      <c r="F453" s="3">
        <f>IF(TableRefills3[[#This Row],[prev_refill_days]]="","",TableRefills3[[#This Row],[prev_refill_days]]+TableRefills3[[#This Row],[quantity_days]])</f>
        <v>45898</v>
      </c>
      <c r="G453">
        <f>IF(TableRefills3[[#This Row],[prev_refill_end]]="","",TableRefills3[[#This Row],[refill_date]]-TableRefills3[[#This Row],[prev_refill_end]])</f>
        <v>0</v>
      </c>
      <c r="H453" s="10">
        <f>IF(TableRefills3[[#This Row],[gap_days]]="",0,IF(TableRefills3[[#This Row],[gap_days]]&gt;2,1,0))</f>
        <v>0</v>
      </c>
      <c r="I453">
        <f>_xlfn.MAXIFS(TableRefills3[discountinuation_flag], TableRefills3[patient_id], A453)</f>
        <v>0</v>
      </c>
    </row>
    <row r="454" spans="1:9" x14ac:dyDescent="0.25">
      <c r="A454" t="s">
        <v>733</v>
      </c>
      <c r="B454" t="s">
        <v>734</v>
      </c>
      <c r="C454" s="3">
        <v>45927</v>
      </c>
      <c r="D454">
        <v>28</v>
      </c>
      <c r="E454" s="3">
        <f t="shared" si="7"/>
        <v>45898</v>
      </c>
      <c r="F454" s="3">
        <f>IF(TableRefills3[[#This Row],[prev_refill_days]]="","",TableRefills3[[#This Row],[prev_refill_days]]+TableRefills3[[#This Row],[quantity_days]])</f>
        <v>45926</v>
      </c>
      <c r="G454">
        <f>IF(TableRefills3[[#This Row],[prev_refill_end]]="","",TableRefills3[[#This Row],[refill_date]]-TableRefills3[[#This Row],[prev_refill_end]])</f>
        <v>1</v>
      </c>
      <c r="H454" s="10">
        <f>IF(TableRefills3[[#This Row],[gap_days]]="",0,IF(TableRefills3[[#This Row],[gap_days]]&gt;2,1,0))</f>
        <v>0</v>
      </c>
      <c r="I454">
        <f>_xlfn.MAXIFS(TableRefills3[discountinuation_flag], TableRefills3[patient_id], A454)</f>
        <v>0</v>
      </c>
    </row>
    <row r="455" spans="1:9" x14ac:dyDescent="0.25">
      <c r="A455" t="s">
        <v>733</v>
      </c>
      <c r="B455" t="s">
        <v>734</v>
      </c>
      <c r="C455" s="3">
        <v>45952</v>
      </c>
      <c r="D455">
        <v>28</v>
      </c>
      <c r="E455" s="3">
        <f t="shared" si="7"/>
        <v>45927</v>
      </c>
      <c r="F455" s="3">
        <f>IF(TableRefills3[[#This Row],[prev_refill_days]]="","",TableRefills3[[#This Row],[prev_refill_days]]+TableRefills3[[#This Row],[quantity_days]])</f>
        <v>45955</v>
      </c>
      <c r="G455">
        <f>IF(TableRefills3[[#This Row],[prev_refill_end]]="","",TableRefills3[[#This Row],[refill_date]]-TableRefills3[[#This Row],[prev_refill_end]])</f>
        <v>-3</v>
      </c>
      <c r="H455" s="10">
        <f>IF(TableRefills3[[#This Row],[gap_days]]="",0,IF(TableRefills3[[#This Row],[gap_days]]&gt;2,1,0))</f>
        <v>0</v>
      </c>
      <c r="I455">
        <f>_xlfn.MAXIFS(TableRefills3[discountinuation_flag], TableRefills3[patient_id], A455)</f>
        <v>0</v>
      </c>
    </row>
    <row r="456" spans="1:9" x14ac:dyDescent="0.25">
      <c r="A456" t="s">
        <v>739</v>
      </c>
      <c r="B456" t="s">
        <v>740</v>
      </c>
      <c r="C456" s="3">
        <v>45923</v>
      </c>
      <c r="D456">
        <v>30</v>
      </c>
      <c r="E456" s="3" t="str">
        <f t="shared" si="7"/>
        <v/>
      </c>
      <c r="F456" s="3" t="str">
        <f>IF(TableRefills3[[#This Row],[prev_refill_days]]="","",TableRefills3[[#This Row],[prev_refill_days]]+TableRefills3[[#This Row],[quantity_days]])</f>
        <v/>
      </c>
      <c r="G456" t="str">
        <f>IF(TableRefills3[[#This Row],[prev_refill_end]]="","",TableRefills3[[#This Row],[refill_date]]-TableRefills3[[#This Row],[prev_refill_end]])</f>
        <v/>
      </c>
      <c r="H456" s="10">
        <f>IF(TableRefills3[[#This Row],[gap_days]]="",0,IF(TableRefills3[[#This Row],[gap_days]]&gt;2,1,0))</f>
        <v>0</v>
      </c>
      <c r="I456">
        <f>_xlfn.MAXIFS(TableRefills3[discountinuation_flag], TableRefills3[patient_id], A456)</f>
        <v>0</v>
      </c>
    </row>
    <row r="457" spans="1:9" x14ac:dyDescent="0.25">
      <c r="A457" t="s">
        <v>742</v>
      </c>
      <c r="B457" t="s">
        <v>743</v>
      </c>
      <c r="C457" s="3">
        <v>45932</v>
      </c>
      <c r="D457">
        <v>28</v>
      </c>
      <c r="E457" s="3" t="str">
        <f t="shared" si="7"/>
        <v/>
      </c>
      <c r="F457" s="3" t="str">
        <f>IF(TableRefills3[[#This Row],[prev_refill_days]]="","",TableRefills3[[#This Row],[prev_refill_days]]+TableRefills3[[#This Row],[quantity_days]])</f>
        <v/>
      </c>
      <c r="G457" t="str">
        <f>IF(TableRefills3[[#This Row],[prev_refill_end]]="","",TableRefills3[[#This Row],[refill_date]]-TableRefills3[[#This Row],[prev_refill_end]])</f>
        <v/>
      </c>
      <c r="H457" s="10">
        <f>IF(TableRefills3[[#This Row],[gap_days]]="",0,IF(TableRefills3[[#This Row],[gap_days]]&gt;2,1,0))</f>
        <v>0</v>
      </c>
      <c r="I457">
        <f>_xlfn.MAXIFS(TableRefills3[discountinuation_flag], TableRefills3[patient_id], A457)</f>
        <v>0</v>
      </c>
    </row>
    <row r="458" spans="1:9" x14ac:dyDescent="0.25">
      <c r="A458" t="s">
        <v>742</v>
      </c>
      <c r="B458" t="s">
        <v>743</v>
      </c>
      <c r="C458" s="3">
        <v>45961</v>
      </c>
      <c r="D458">
        <v>28</v>
      </c>
      <c r="E458" s="3">
        <f t="shared" si="7"/>
        <v>45932</v>
      </c>
      <c r="F458" s="3">
        <f>IF(TableRefills3[[#This Row],[prev_refill_days]]="","",TableRefills3[[#This Row],[prev_refill_days]]+TableRefills3[[#This Row],[quantity_days]])</f>
        <v>45960</v>
      </c>
      <c r="G458">
        <f>IF(TableRefills3[[#This Row],[prev_refill_end]]="","",TableRefills3[[#This Row],[refill_date]]-TableRefills3[[#This Row],[prev_refill_end]])</f>
        <v>1</v>
      </c>
      <c r="H458" s="10">
        <f>IF(TableRefills3[[#This Row],[gap_days]]="",0,IF(TableRefills3[[#This Row],[gap_days]]&gt;2,1,0))</f>
        <v>0</v>
      </c>
      <c r="I458">
        <f>_xlfn.MAXIFS(TableRefills3[discountinuation_flag], TableRefills3[patient_id], A458)</f>
        <v>0</v>
      </c>
    </row>
    <row r="459" spans="1:9" x14ac:dyDescent="0.25">
      <c r="A459" t="s">
        <v>746</v>
      </c>
      <c r="B459" t="s">
        <v>747</v>
      </c>
      <c r="C459" s="3">
        <v>45951</v>
      </c>
      <c r="D459">
        <v>28</v>
      </c>
      <c r="E459" s="3" t="str">
        <f t="shared" si="7"/>
        <v/>
      </c>
      <c r="F459" s="3" t="str">
        <f>IF(TableRefills3[[#This Row],[prev_refill_days]]="","",TableRefills3[[#This Row],[prev_refill_days]]+TableRefills3[[#This Row],[quantity_days]])</f>
        <v/>
      </c>
      <c r="G459" t="str">
        <f>IF(TableRefills3[[#This Row],[prev_refill_end]]="","",TableRefills3[[#This Row],[refill_date]]-TableRefills3[[#This Row],[prev_refill_end]])</f>
        <v/>
      </c>
      <c r="H459" s="10">
        <f>IF(TableRefills3[[#This Row],[gap_days]]="",0,IF(TableRefills3[[#This Row],[gap_days]]&gt;2,1,0))</f>
        <v>0</v>
      </c>
      <c r="I459">
        <f>_xlfn.MAXIFS(TableRefills3[discountinuation_flag], TableRefills3[patient_id], A459)</f>
        <v>0</v>
      </c>
    </row>
    <row r="460" spans="1:9" x14ac:dyDescent="0.25">
      <c r="A460" t="s">
        <v>749</v>
      </c>
      <c r="B460" t="s">
        <v>750</v>
      </c>
      <c r="C460" s="3">
        <v>45872</v>
      </c>
      <c r="D460">
        <v>28</v>
      </c>
      <c r="E460" s="3" t="str">
        <f t="shared" si="7"/>
        <v/>
      </c>
      <c r="F460" s="3" t="str">
        <f>IF(TableRefills3[[#This Row],[prev_refill_days]]="","",TableRefills3[[#This Row],[prev_refill_days]]+TableRefills3[[#This Row],[quantity_days]])</f>
        <v/>
      </c>
      <c r="G460" t="str">
        <f>IF(TableRefills3[[#This Row],[prev_refill_end]]="","",TableRefills3[[#This Row],[refill_date]]-TableRefills3[[#This Row],[prev_refill_end]])</f>
        <v/>
      </c>
      <c r="H460" s="10">
        <f>IF(TableRefills3[[#This Row],[gap_days]]="",0,IF(TableRefills3[[#This Row],[gap_days]]&gt;2,1,0))</f>
        <v>0</v>
      </c>
      <c r="I460">
        <f>_xlfn.MAXIFS(TableRefills3[discountinuation_flag], TableRefills3[patient_id], A460)</f>
        <v>0</v>
      </c>
    </row>
    <row r="461" spans="1:9" x14ac:dyDescent="0.25">
      <c r="A461" t="s">
        <v>749</v>
      </c>
      <c r="B461" t="s">
        <v>750</v>
      </c>
      <c r="C461" s="3">
        <v>45899</v>
      </c>
      <c r="D461">
        <v>28</v>
      </c>
      <c r="E461" s="3">
        <f t="shared" si="7"/>
        <v>45872</v>
      </c>
      <c r="F461" s="3">
        <f>IF(TableRefills3[[#This Row],[prev_refill_days]]="","",TableRefills3[[#This Row],[prev_refill_days]]+TableRefills3[[#This Row],[quantity_days]])</f>
        <v>45900</v>
      </c>
      <c r="G461">
        <f>IF(TableRefills3[[#This Row],[prev_refill_end]]="","",TableRefills3[[#This Row],[refill_date]]-TableRefills3[[#This Row],[prev_refill_end]])</f>
        <v>-1</v>
      </c>
      <c r="H461" s="10">
        <f>IF(TableRefills3[[#This Row],[gap_days]]="",0,IF(TableRefills3[[#This Row],[gap_days]]&gt;2,1,0))</f>
        <v>0</v>
      </c>
      <c r="I461">
        <f>_xlfn.MAXIFS(TableRefills3[discountinuation_flag], TableRefills3[patient_id], A461)</f>
        <v>0</v>
      </c>
    </row>
    <row r="462" spans="1:9" x14ac:dyDescent="0.25">
      <c r="A462" t="s">
        <v>749</v>
      </c>
      <c r="B462" t="s">
        <v>750</v>
      </c>
      <c r="C462" s="3">
        <v>45925</v>
      </c>
      <c r="D462">
        <v>28</v>
      </c>
      <c r="E462" s="3">
        <f t="shared" si="7"/>
        <v>45899</v>
      </c>
      <c r="F462" s="3">
        <f>IF(TableRefills3[[#This Row],[prev_refill_days]]="","",TableRefills3[[#This Row],[prev_refill_days]]+TableRefills3[[#This Row],[quantity_days]])</f>
        <v>45927</v>
      </c>
      <c r="G462">
        <f>IF(TableRefills3[[#This Row],[prev_refill_end]]="","",TableRefills3[[#This Row],[refill_date]]-TableRefills3[[#This Row],[prev_refill_end]])</f>
        <v>-2</v>
      </c>
      <c r="H462" s="10">
        <f>IF(TableRefills3[[#This Row],[gap_days]]="",0,IF(TableRefills3[[#This Row],[gap_days]]&gt;2,1,0))</f>
        <v>0</v>
      </c>
      <c r="I462">
        <f>_xlfn.MAXIFS(TableRefills3[discountinuation_flag], TableRefills3[patient_id], A462)</f>
        <v>0</v>
      </c>
    </row>
    <row r="463" spans="1:9" x14ac:dyDescent="0.25">
      <c r="A463" t="s">
        <v>749</v>
      </c>
      <c r="B463" t="s">
        <v>750</v>
      </c>
      <c r="C463" s="3">
        <v>45955</v>
      </c>
      <c r="D463">
        <v>28</v>
      </c>
      <c r="E463" s="3">
        <f t="shared" si="7"/>
        <v>45925</v>
      </c>
      <c r="F463" s="3">
        <f>IF(TableRefills3[[#This Row],[prev_refill_days]]="","",TableRefills3[[#This Row],[prev_refill_days]]+TableRefills3[[#This Row],[quantity_days]])</f>
        <v>45953</v>
      </c>
      <c r="G463">
        <f>IF(TableRefills3[[#This Row],[prev_refill_end]]="","",TableRefills3[[#This Row],[refill_date]]-TableRefills3[[#This Row],[prev_refill_end]])</f>
        <v>2</v>
      </c>
      <c r="H463" s="10">
        <f>IF(TableRefills3[[#This Row],[gap_days]]="",0,IF(TableRefills3[[#This Row],[gap_days]]&gt;2,1,0))</f>
        <v>0</v>
      </c>
      <c r="I463">
        <f>_xlfn.MAXIFS(TableRefills3[discountinuation_flag], TableRefills3[patient_id], A463)</f>
        <v>0</v>
      </c>
    </row>
    <row r="464" spans="1:9" x14ac:dyDescent="0.25">
      <c r="A464" t="s">
        <v>755</v>
      </c>
      <c r="B464" t="s">
        <v>756</v>
      </c>
      <c r="C464" s="3">
        <v>45891</v>
      </c>
      <c r="D464">
        <v>30</v>
      </c>
      <c r="E464" s="3" t="str">
        <f t="shared" si="7"/>
        <v/>
      </c>
      <c r="F464" s="3" t="str">
        <f>IF(TableRefills3[[#This Row],[prev_refill_days]]="","",TableRefills3[[#This Row],[prev_refill_days]]+TableRefills3[[#This Row],[quantity_days]])</f>
        <v/>
      </c>
      <c r="G464" t="str">
        <f>IF(TableRefills3[[#This Row],[prev_refill_end]]="","",TableRefills3[[#This Row],[refill_date]]-TableRefills3[[#This Row],[prev_refill_end]])</f>
        <v/>
      </c>
      <c r="H464" s="10">
        <f>IF(TableRefills3[[#This Row],[gap_days]]="",0,IF(TableRefills3[[#This Row],[gap_days]]&gt;2,1,0))</f>
        <v>0</v>
      </c>
      <c r="I464">
        <f>_xlfn.MAXIFS(TableRefills3[discountinuation_flag], TableRefills3[patient_id], A464)</f>
        <v>0</v>
      </c>
    </row>
    <row r="465" spans="1:9" x14ac:dyDescent="0.25">
      <c r="A465" t="s">
        <v>755</v>
      </c>
      <c r="B465" t="s">
        <v>756</v>
      </c>
      <c r="C465" s="3">
        <v>45920</v>
      </c>
      <c r="D465">
        <v>30</v>
      </c>
      <c r="E465" s="3">
        <f t="shared" si="7"/>
        <v>45891</v>
      </c>
      <c r="F465" s="3">
        <f>IF(TableRefills3[[#This Row],[prev_refill_days]]="","",TableRefills3[[#This Row],[prev_refill_days]]+TableRefills3[[#This Row],[quantity_days]])</f>
        <v>45921</v>
      </c>
      <c r="G465">
        <f>IF(TableRefills3[[#This Row],[prev_refill_end]]="","",TableRefills3[[#This Row],[refill_date]]-TableRefills3[[#This Row],[prev_refill_end]])</f>
        <v>-1</v>
      </c>
      <c r="H465" s="10">
        <f>IF(TableRefills3[[#This Row],[gap_days]]="",0,IF(TableRefills3[[#This Row],[gap_days]]&gt;2,1,0))</f>
        <v>0</v>
      </c>
      <c r="I465">
        <f>_xlfn.MAXIFS(TableRefills3[discountinuation_flag], TableRefills3[patient_id], A465)</f>
        <v>0</v>
      </c>
    </row>
    <row r="466" spans="1:9" x14ac:dyDescent="0.25">
      <c r="A466" t="s">
        <v>755</v>
      </c>
      <c r="B466" t="s">
        <v>756</v>
      </c>
      <c r="C466" s="3">
        <v>45949</v>
      </c>
      <c r="D466">
        <v>30</v>
      </c>
      <c r="E466" s="3">
        <f t="shared" si="7"/>
        <v>45920</v>
      </c>
      <c r="F466" s="3">
        <f>IF(TableRefills3[[#This Row],[prev_refill_days]]="","",TableRefills3[[#This Row],[prev_refill_days]]+TableRefills3[[#This Row],[quantity_days]])</f>
        <v>45950</v>
      </c>
      <c r="G466">
        <f>IF(TableRefills3[[#This Row],[prev_refill_end]]="","",TableRefills3[[#This Row],[refill_date]]-TableRefills3[[#This Row],[prev_refill_end]])</f>
        <v>-1</v>
      </c>
      <c r="H466" s="10">
        <f>IF(TableRefills3[[#This Row],[gap_days]]="",0,IF(TableRefills3[[#This Row],[gap_days]]&gt;2,1,0))</f>
        <v>0</v>
      </c>
      <c r="I466">
        <f>_xlfn.MAXIFS(TableRefills3[discountinuation_flag], TableRefills3[patient_id], A466)</f>
        <v>0</v>
      </c>
    </row>
    <row r="467" spans="1:9" x14ac:dyDescent="0.25">
      <c r="A467" t="s">
        <v>760</v>
      </c>
      <c r="B467" t="s">
        <v>761</v>
      </c>
      <c r="C467" s="3">
        <v>45797</v>
      </c>
      <c r="D467">
        <v>30</v>
      </c>
      <c r="E467" s="3" t="str">
        <f t="shared" si="7"/>
        <v/>
      </c>
      <c r="F467" s="3" t="str">
        <f>IF(TableRefills3[[#This Row],[prev_refill_days]]="","",TableRefills3[[#This Row],[prev_refill_days]]+TableRefills3[[#This Row],[quantity_days]])</f>
        <v/>
      </c>
      <c r="G467" t="str">
        <f>IF(TableRefills3[[#This Row],[prev_refill_end]]="","",TableRefills3[[#This Row],[refill_date]]-TableRefills3[[#This Row],[prev_refill_end]])</f>
        <v/>
      </c>
      <c r="H467" s="10">
        <f>IF(TableRefills3[[#This Row],[gap_days]]="",0,IF(TableRefills3[[#This Row],[gap_days]]&gt;2,1,0))</f>
        <v>0</v>
      </c>
      <c r="I467">
        <f>_xlfn.MAXIFS(TableRefills3[discountinuation_flag], TableRefills3[patient_id], A467)</f>
        <v>0</v>
      </c>
    </row>
    <row r="468" spans="1:9" x14ac:dyDescent="0.25">
      <c r="A468" t="s">
        <v>760</v>
      </c>
      <c r="B468" t="s">
        <v>761</v>
      </c>
      <c r="C468" s="3">
        <v>45826</v>
      </c>
      <c r="D468">
        <v>30</v>
      </c>
      <c r="E468" s="3">
        <f t="shared" si="7"/>
        <v>45797</v>
      </c>
      <c r="F468" s="3">
        <f>IF(TableRefills3[[#This Row],[prev_refill_days]]="","",TableRefills3[[#This Row],[prev_refill_days]]+TableRefills3[[#This Row],[quantity_days]])</f>
        <v>45827</v>
      </c>
      <c r="G468">
        <f>IF(TableRefills3[[#This Row],[prev_refill_end]]="","",TableRefills3[[#This Row],[refill_date]]-TableRefills3[[#This Row],[prev_refill_end]])</f>
        <v>-1</v>
      </c>
      <c r="H468" s="10">
        <f>IF(TableRefills3[[#This Row],[gap_days]]="",0,IF(TableRefills3[[#This Row],[gap_days]]&gt;2,1,0))</f>
        <v>0</v>
      </c>
      <c r="I468">
        <f>_xlfn.MAXIFS(TableRefills3[discountinuation_flag], TableRefills3[patient_id], A468)</f>
        <v>0</v>
      </c>
    </row>
    <row r="469" spans="1:9" x14ac:dyDescent="0.25">
      <c r="A469" t="s">
        <v>764</v>
      </c>
      <c r="B469" t="s">
        <v>765</v>
      </c>
      <c r="C469" s="3">
        <v>45813</v>
      </c>
      <c r="D469">
        <v>28</v>
      </c>
      <c r="E469" s="3" t="str">
        <f t="shared" si="7"/>
        <v/>
      </c>
      <c r="F469" s="3" t="str">
        <f>IF(TableRefills3[[#This Row],[prev_refill_days]]="","",TableRefills3[[#This Row],[prev_refill_days]]+TableRefills3[[#This Row],[quantity_days]])</f>
        <v/>
      </c>
      <c r="G469" t="str">
        <f>IF(TableRefills3[[#This Row],[prev_refill_end]]="","",TableRefills3[[#This Row],[refill_date]]-TableRefills3[[#This Row],[prev_refill_end]])</f>
        <v/>
      </c>
      <c r="H469" s="10">
        <f>IF(TableRefills3[[#This Row],[gap_days]]="",0,IF(TableRefills3[[#This Row],[gap_days]]&gt;2,1,0))</f>
        <v>0</v>
      </c>
      <c r="I469">
        <f>_xlfn.MAXIFS(TableRefills3[discountinuation_flag], TableRefills3[patient_id], A469)</f>
        <v>0</v>
      </c>
    </row>
    <row r="470" spans="1:9" x14ac:dyDescent="0.25">
      <c r="A470" t="s">
        <v>764</v>
      </c>
      <c r="B470" t="s">
        <v>765</v>
      </c>
      <c r="C470" s="3">
        <v>45843</v>
      </c>
      <c r="D470">
        <v>28</v>
      </c>
      <c r="E470" s="3">
        <f t="shared" si="7"/>
        <v>45813</v>
      </c>
      <c r="F470" s="3">
        <f>IF(TableRefills3[[#This Row],[prev_refill_days]]="","",TableRefills3[[#This Row],[prev_refill_days]]+TableRefills3[[#This Row],[quantity_days]])</f>
        <v>45841</v>
      </c>
      <c r="G470">
        <f>IF(TableRefills3[[#This Row],[prev_refill_end]]="","",TableRefills3[[#This Row],[refill_date]]-TableRefills3[[#This Row],[prev_refill_end]])</f>
        <v>2</v>
      </c>
      <c r="H470" s="10">
        <f>IF(TableRefills3[[#This Row],[gap_days]]="",0,IF(TableRefills3[[#This Row],[gap_days]]&gt;2,1,0))</f>
        <v>0</v>
      </c>
      <c r="I470">
        <f>_xlfn.MAXIFS(TableRefills3[discountinuation_flag], TableRefills3[patient_id], A470)</f>
        <v>0</v>
      </c>
    </row>
    <row r="471" spans="1:9" x14ac:dyDescent="0.25">
      <c r="A471" t="s">
        <v>764</v>
      </c>
      <c r="B471" t="s">
        <v>765</v>
      </c>
      <c r="C471" s="3">
        <v>45868</v>
      </c>
      <c r="D471">
        <v>28</v>
      </c>
      <c r="E471" s="3">
        <f t="shared" si="7"/>
        <v>45843</v>
      </c>
      <c r="F471" s="3">
        <f>IF(TableRefills3[[#This Row],[prev_refill_days]]="","",TableRefills3[[#This Row],[prev_refill_days]]+TableRefills3[[#This Row],[quantity_days]])</f>
        <v>45871</v>
      </c>
      <c r="G471">
        <f>IF(TableRefills3[[#This Row],[prev_refill_end]]="","",TableRefills3[[#This Row],[refill_date]]-TableRefills3[[#This Row],[prev_refill_end]])</f>
        <v>-3</v>
      </c>
      <c r="H471" s="10">
        <f>IF(TableRefills3[[#This Row],[gap_days]]="",0,IF(TableRefills3[[#This Row],[gap_days]]&gt;2,1,0))</f>
        <v>0</v>
      </c>
      <c r="I471">
        <f>_xlfn.MAXIFS(TableRefills3[discountinuation_flag], TableRefills3[patient_id], A471)</f>
        <v>0</v>
      </c>
    </row>
    <row r="472" spans="1:9" x14ac:dyDescent="0.25">
      <c r="A472" t="s">
        <v>764</v>
      </c>
      <c r="B472" t="s">
        <v>765</v>
      </c>
      <c r="C472" s="3">
        <v>45894</v>
      </c>
      <c r="D472">
        <v>28</v>
      </c>
      <c r="E472" s="3">
        <f t="shared" si="7"/>
        <v>45868</v>
      </c>
      <c r="F472" s="3">
        <f>IF(TableRefills3[[#This Row],[prev_refill_days]]="","",TableRefills3[[#This Row],[prev_refill_days]]+TableRefills3[[#This Row],[quantity_days]])</f>
        <v>45896</v>
      </c>
      <c r="G472">
        <f>IF(TableRefills3[[#This Row],[prev_refill_end]]="","",TableRefills3[[#This Row],[refill_date]]-TableRefills3[[#This Row],[prev_refill_end]])</f>
        <v>-2</v>
      </c>
      <c r="H472" s="10">
        <f>IF(TableRefills3[[#This Row],[gap_days]]="",0,IF(TableRefills3[[#This Row],[gap_days]]&gt;2,1,0))</f>
        <v>0</v>
      </c>
      <c r="I472">
        <f>_xlfn.MAXIFS(TableRefills3[discountinuation_flag], TableRefills3[patient_id], A472)</f>
        <v>0</v>
      </c>
    </row>
    <row r="473" spans="1:9" x14ac:dyDescent="0.25">
      <c r="A473" t="s">
        <v>764</v>
      </c>
      <c r="B473" t="s">
        <v>765</v>
      </c>
      <c r="C473" s="3">
        <v>45921</v>
      </c>
      <c r="D473">
        <v>28</v>
      </c>
      <c r="E473" s="3">
        <f t="shared" si="7"/>
        <v>45894</v>
      </c>
      <c r="F473" s="3">
        <f>IF(TableRefills3[[#This Row],[prev_refill_days]]="","",TableRefills3[[#This Row],[prev_refill_days]]+TableRefills3[[#This Row],[quantity_days]])</f>
        <v>45922</v>
      </c>
      <c r="G473">
        <f>IF(TableRefills3[[#This Row],[prev_refill_end]]="","",TableRefills3[[#This Row],[refill_date]]-TableRefills3[[#This Row],[prev_refill_end]])</f>
        <v>-1</v>
      </c>
      <c r="H473" s="10">
        <f>IF(TableRefills3[[#This Row],[gap_days]]="",0,IF(TableRefills3[[#This Row],[gap_days]]&gt;2,1,0))</f>
        <v>0</v>
      </c>
      <c r="I473">
        <f>_xlfn.MAXIFS(TableRefills3[discountinuation_flag], TableRefills3[patient_id], A473)</f>
        <v>0</v>
      </c>
    </row>
    <row r="474" spans="1:9" x14ac:dyDescent="0.25">
      <c r="A474" t="s">
        <v>764</v>
      </c>
      <c r="B474" t="s">
        <v>765</v>
      </c>
      <c r="C474" s="3">
        <v>45949</v>
      </c>
      <c r="D474">
        <v>28</v>
      </c>
      <c r="E474" s="3">
        <f t="shared" si="7"/>
        <v>45921</v>
      </c>
      <c r="F474" s="3">
        <f>IF(TableRefills3[[#This Row],[prev_refill_days]]="","",TableRefills3[[#This Row],[prev_refill_days]]+TableRefills3[[#This Row],[quantity_days]])</f>
        <v>45949</v>
      </c>
      <c r="G474">
        <f>IF(TableRefills3[[#This Row],[prev_refill_end]]="","",TableRefills3[[#This Row],[refill_date]]-TableRefills3[[#This Row],[prev_refill_end]])</f>
        <v>0</v>
      </c>
      <c r="H474" s="10">
        <f>IF(TableRefills3[[#This Row],[gap_days]]="",0,IF(TableRefills3[[#This Row],[gap_days]]&gt;2,1,0))</f>
        <v>0</v>
      </c>
      <c r="I474">
        <f>_xlfn.MAXIFS(TableRefills3[discountinuation_flag], TableRefills3[patient_id], A474)</f>
        <v>0</v>
      </c>
    </row>
    <row r="475" spans="1:9" x14ac:dyDescent="0.25">
      <c r="A475" t="s">
        <v>772</v>
      </c>
      <c r="B475" t="s">
        <v>773</v>
      </c>
      <c r="C475" s="3">
        <v>45871</v>
      </c>
      <c r="D475">
        <v>28</v>
      </c>
      <c r="E475" s="3" t="str">
        <f t="shared" si="7"/>
        <v/>
      </c>
      <c r="F475" s="3" t="str">
        <f>IF(TableRefills3[[#This Row],[prev_refill_days]]="","",TableRefills3[[#This Row],[prev_refill_days]]+TableRefills3[[#This Row],[quantity_days]])</f>
        <v/>
      </c>
      <c r="G475" t="str">
        <f>IF(TableRefills3[[#This Row],[prev_refill_end]]="","",TableRefills3[[#This Row],[refill_date]]-TableRefills3[[#This Row],[prev_refill_end]])</f>
        <v/>
      </c>
      <c r="H475" s="10">
        <f>IF(TableRefills3[[#This Row],[gap_days]]="",0,IF(TableRefills3[[#This Row],[gap_days]]&gt;2,1,0))</f>
        <v>0</v>
      </c>
      <c r="I475">
        <f>_xlfn.MAXIFS(TableRefills3[discountinuation_flag], TableRefills3[patient_id], A475)</f>
        <v>0</v>
      </c>
    </row>
    <row r="476" spans="1:9" x14ac:dyDescent="0.25">
      <c r="A476" t="s">
        <v>772</v>
      </c>
      <c r="B476" t="s">
        <v>773</v>
      </c>
      <c r="C476" s="3">
        <v>45898</v>
      </c>
      <c r="D476">
        <v>28</v>
      </c>
      <c r="E476" s="3">
        <f t="shared" si="7"/>
        <v>45871</v>
      </c>
      <c r="F476" s="3">
        <f>IF(TableRefills3[[#This Row],[prev_refill_days]]="","",TableRefills3[[#This Row],[prev_refill_days]]+TableRefills3[[#This Row],[quantity_days]])</f>
        <v>45899</v>
      </c>
      <c r="G476">
        <f>IF(TableRefills3[[#This Row],[prev_refill_end]]="","",TableRefills3[[#This Row],[refill_date]]-TableRefills3[[#This Row],[prev_refill_end]])</f>
        <v>-1</v>
      </c>
      <c r="H476" s="10">
        <f>IF(TableRefills3[[#This Row],[gap_days]]="",0,IF(TableRefills3[[#This Row],[gap_days]]&gt;2,1,0))</f>
        <v>0</v>
      </c>
      <c r="I476">
        <f>_xlfn.MAXIFS(TableRefills3[discountinuation_flag], TableRefills3[patient_id], A476)</f>
        <v>0</v>
      </c>
    </row>
    <row r="477" spans="1:9" x14ac:dyDescent="0.25">
      <c r="A477" t="s">
        <v>772</v>
      </c>
      <c r="B477" t="s">
        <v>773</v>
      </c>
      <c r="C477" s="3">
        <v>45926</v>
      </c>
      <c r="D477">
        <v>28</v>
      </c>
      <c r="E477" s="3">
        <f t="shared" si="7"/>
        <v>45898</v>
      </c>
      <c r="F477" s="3">
        <f>IF(TableRefills3[[#This Row],[prev_refill_days]]="","",TableRefills3[[#This Row],[prev_refill_days]]+TableRefills3[[#This Row],[quantity_days]])</f>
        <v>45926</v>
      </c>
      <c r="G477">
        <f>IF(TableRefills3[[#This Row],[prev_refill_end]]="","",TableRefills3[[#This Row],[refill_date]]-TableRefills3[[#This Row],[prev_refill_end]])</f>
        <v>0</v>
      </c>
      <c r="H477" s="10">
        <f>IF(TableRefills3[[#This Row],[gap_days]]="",0,IF(TableRefills3[[#This Row],[gap_days]]&gt;2,1,0))</f>
        <v>0</v>
      </c>
      <c r="I477">
        <f>_xlfn.MAXIFS(TableRefills3[discountinuation_flag], TableRefills3[patient_id], A477)</f>
        <v>0</v>
      </c>
    </row>
    <row r="478" spans="1:9" x14ac:dyDescent="0.25">
      <c r="A478" t="s">
        <v>772</v>
      </c>
      <c r="B478" t="s">
        <v>773</v>
      </c>
      <c r="C478" s="3">
        <v>45956</v>
      </c>
      <c r="D478">
        <v>28</v>
      </c>
      <c r="E478" s="3">
        <f t="shared" si="7"/>
        <v>45926</v>
      </c>
      <c r="F478" s="3">
        <f>IF(TableRefills3[[#This Row],[prev_refill_days]]="","",TableRefills3[[#This Row],[prev_refill_days]]+TableRefills3[[#This Row],[quantity_days]])</f>
        <v>45954</v>
      </c>
      <c r="G478">
        <f>IF(TableRefills3[[#This Row],[prev_refill_end]]="","",TableRefills3[[#This Row],[refill_date]]-TableRefills3[[#This Row],[prev_refill_end]])</f>
        <v>2</v>
      </c>
      <c r="H478" s="10">
        <f>IF(TableRefills3[[#This Row],[gap_days]]="",0,IF(TableRefills3[[#This Row],[gap_days]]&gt;2,1,0))</f>
        <v>0</v>
      </c>
      <c r="I478">
        <f>_xlfn.MAXIFS(TableRefills3[discountinuation_flag], TableRefills3[patient_id], A478)</f>
        <v>0</v>
      </c>
    </row>
    <row r="479" spans="1:9" x14ac:dyDescent="0.25">
      <c r="A479" t="s">
        <v>778</v>
      </c>
      <c r="B479" t="s">
        <v>779</v>
      </c>
      <c r="C479" s="3">
        <v>45858</v>
      </c>
      <c r="D479">
        <v>28</v>
      </c>
      <c r="E479" s="3" t="str">
        <f t="shared" si="7"/>
        <v/>
      </c>
      <c r="F479" s="3" t="str">
        <f>IF(TableRefills3[[#This Row],[prev_refill_days]]="","",TableRefills3[[#This Row],[prev_refill_days]]+TableRefills3[[#This Row],[quantity_days]])</f>
        <v/>
      </c>
      <c r="G479" t="str">
        <f>IF(TableRefills3[[#This Row],[prev_refill_end]]="","",TableRefills3[[#This Row],[refill_date]]-TableRefills3[[#This Row],[prev_refill_end]])</f>
        <v/>
      </c>
      <c r="H479" s="10">
        <f>IF(TableRefills3[[#This Row],[gap_days]]="",0,IF(TableRefills3[[#This Row],[gap_days]]&gt;2,1,0))</f>
        <v>0</v>
      </c>
      <c r="I479">
        <f>_xlfn.MAXIFS(TableRefills3[discountinuation_flag], TableRefills3[patient_id], A479)</f>
        <v>1</v>
      </c>
    </row>
    <row r="480" spans="1:9" x14ac:dyDescent="0.25">
      <c r="A480" t="s">
        <v>778</v>
      </c>
      <c r="B480" t="s">
        <v>779</v>
      </c>
      <c r="C480" s="3">
        <v>45884</v>
      </c>
      <c r="D480">
        <v>28</v>
      </c>
      <c r="E480" s="3">
        <f t="shared" si="7"/>
        <v>45858</v>
      </c>
      <c r="F480" s="3">
        <f>IF(TableRefills3[[#This Row],[prev_refill_days]]="","",TableRefills3[[#This Row],[prev_refill_days]]+TableRefills3[[#This Row],[quantity_days]])</f>
        <v>45886</v>
      </c>
      <c r="G480">
        <f>IF(TableRefills3[[#This Row],[prev_refill_end]]="","",TableRefills3[[#This Row],[refill_date]]-TableRefills3[[#This Row],[prev_refill_end]])</f>
        <v>-2</v>
      </c>
      <c r="H480" s="10">
        <f>IF(TableRefills3[[#This Row],[gap_days]]="",0,IF(TableRefills3[[#This Row],[gap_days]]&gt;2,1,0))</f>
        <v>0</v>
      </c>
      <c r="I480">
        <f>_xlfn.MAXIFS(TableRefills3[discountinuation_flag], TableRefills3[patient_id], A480)</f>
        <v>1</v>
      </c>
    </row>
    <row r="481" spans="1:9" x14ac:dyDescent="0.25">
      <c r="A481" t="s">
        <v>778</v>
      </c>
      <c r="B481" t="s">
        <v>779</v>
      </c>
      <c r="C481" s="3">
        <v>45915</v>
      </c>
      <c r="D481">
        <v>28</v>
      </c>
      <c r="E481" s="3">
        <f t="shared" si="7"/>
        <v>45884</v>
      </c>
      <c r="F481" s="3">
        <f>IF(TableRefills3[[#This Row],[prev_refill_days]]="","",TableRefills3[[#This Row],[prev_refill_days]]+TableRefills3[[#This Row],[quantity_days]])</f>
        <v>45912</v>
      </c>
      <c r="G481">
        <f>IF(TableRefills3[[#This Row],[prev_refill_end]]="","",TableRefills3[[#This Row],[refill_date]]-TableRefills3[[#This Row],[prev_refill_end]])</f>
        <v>3</v>
      </c>
      <c r="H481" s="10">
        <f>IF(TableRefills3[[#This Row],[gap_days]]="",0,IF(TableRefills3[[#This Row],[gap_days]]&gt;2,1,0))</f>
        <v>1</v>
      </c>
      <c r="I481">
        <f>_xlfn.MAXIFS(TableRefills3[discountinuation_flag], TableRefills3[patient_id], A481)</f>
        <v>1</v>
      </c>
    </row>
    <row r="482" spans="1:9" x14ac:dyDescent="0.25">
      <c r="A482" t="s">
        <v>778</v>
      </c>
      <c r="B482" t="s">
        <v>779</v>
      </c>
      <c r="C482" s="3">
        <v>45945</v>
      </c>
      <c r="D482">
        <v>28</v>
      </c>
      <c r="E482" s="3">
        <f t="shared" si="7"/>
        <v>45915</v>
      </c>
      <c r="F482" s="3">
        <f>IF(TableRefills3[[#This Row],[prev_refill_days]]="","",TableRefills3[[#This Row],[prev_refill_days]]+TableRefills3[[#This Row],[quantity_days]])</f>
        <v>45943</v>
      </c>
      <c r="G482">
        <f>IF(TableRefills3[[#This Row],[prev_refill_end]]="","",TableRefills3[[#This Row],[refill_date]]-TableRefills3[[#This Row],[prev_refill_end]])</f>
        <v>2</v>
      </c>
      <c r="H482" s="10">
        <f>IF(TableRefills3[[#This Row],[gap_days]]="",0,IF(TableRefills3[[#This Row],[gap_days]]&gt;2,1,0))</f>
        <v>0</v>
      </c>
      <c r="I482">
        <f>_xlfn.MAXIFS(TableRefills3[discountinuation_flag], TableRefills3[patient_id], A482)</f>
        <v>1</v>
      </c>
    </row>
    <row r="483" spans="1:9" x14ac:dyDescent="0.25">
      <c r="A483" t="s">
        <v>784</v>
      </c>
      <c r="B483" t="s">
        <v>785</v>
      </c>
      <c r="C483" s="3">
        <v>45849</v>
      </c>
      <c r="D483">
        <v>28</v>
      </c>
      <c r="E483" s="3" t="str">
        <f t="shared" si="7"/>
        <v/>
      </c>
      <c r="F483" s="3" t="str">
        <f>IF(TableRefills3[[#This Row],[prev_refill_days]]="","",TableRefills3[[#This Row],[prev_refill_days]]+TableRefills3[[#This Row],[quantity_days]])</f>
        <v/>
      </c>
      <c r="G483" t="str">
        <f>IF(TableRefills3[[#This Row],[prev_refill_end]]="","",TableRefills3[[#This Row],[refill_date]]-TableRefills3[[#This Row],[prev_refill_end]])</f>
        <v/>
      </c>
      <c r="H483" s="10">
        <f>IF(TableRefills3[[#This Row],[gap_days]]="",0,IF(TableRefills3[[#This Row],[gap_days]]&gt;2,1,0))</f>
        <v>0</v>
      </c>
      <c r="I483">
        <f>_xlfn.MAXIFS(TableRefills3[discountinuation_flag], TableRefills3[patient_id], A483)</f>
        <v>1</v>
      </c>
    </row>
    <row r="484" spans="1:9" x14ac:dyDescent="0.25">
      <c r="A484" t="s">
        <v>784</v>
      </c>
      <c r="B484" t="s">
        <v>785</v>
      </c>
      <c r="C484" s="3">
        <v>45880</v>
      </c>
      <c r="D484">
        <v>28</v>
      </c>
      <c r="E484" s="3">
        <f t="shared" si="7"/>
        <v>45849</v>
      </c>
      <c r="F484" s="3">
        <f>IF(TableRefills3[[#This Row],[prev_refill_days]]="","",TableRefills3[[#This Row],[prev_refill_days]]+TableRefills3[[#This Row],[quantity_days]])</f>
        <v>45877</v>
      </c>
      <c r="G484">
        <f>IF(TableRefills3[[#This Row],[prev_refill_end]]="","",TableRefills3[[#This Row],[refill_date]]-TableRefills3[[#This Row],[prev_refill_end]])</f>
        <v>3</v>
      </c>
      <c r="H484" s="10">
        <f>IF(TableRefills3[[#This Row],[gap_days]]="",0,IF(TableRefills3[[#This Row],[gap_days]]&gt;2,1,0))</f>
        <v>1</v>
      </c>
      <c r="I484">
        <f>_xlfn.MAXIFS(TableRefills3[discountinuation_flag], TableRefills3[patient_id], A484)</f>
        <v>1</v>
      </c>
    </row>
    <row r="485" spans="1:9" x14ac:dyDescent="0.25">
      <c r="A485" t="s">
        <v>784</v>
      </c>
      <c r="B485" t="s">
        <v>785</v>
      </c>
      <c r="C485" s="3">
        <v>45911</v>
      </c>
      <c r="D485">
        <v>28</v>
      </c>
      <c r="E485" s="3">
        <f t="shared" si="7"/>
        <v>45880</v>
      </c>
      <c r="F485" s="3">
        <f>IF(TableRefills3[[#This Row],[prev_refill_days]]="","",TableRefills3[[#This Row],[prev_refill_days]]+TableRefills3[[#This Row],[quantity_days]])</f>
        <v>45908</v>
      </c>
      <c r="G485">
        <f>IF(TableRefills3[[#This Row],[prev_refill_end]]="","",TableRefills3[[#This Row],[refill_date]]-TableRefills3[[#This Row],[prev_refill_end]])</f>
        <v>3</v>
      </c>
      <c r="H485" s="10">
        <f>IF(TableRefills3[[#This Row],[gap_days]]="",0,IF(TableRefills3[[#This Row],[gap_days]]&gt;2,1,0))</f>
        <v>1</v>
      </c>
      <c r="I485">
        <f>_xlfn.MAXIFS(TableRefills3[discountinuation_flag], TableRefills3[patient_id], A485)</f>
        <v>1</v>
      </c>
    </row>
    <row r="486" spans="1:9" x14ac:dyDescent="0.25">
      <c r="A486" t="s">
        <v>789</v>
      </c>
      <c r="B486" t="s">
        <v>790</v>
      </c>
      <c r="C486" s="3">
        <v>45807</v>
      </c>
      <c r="D486">
        <v>28</v>
      </c>
      <c r="E486" s="3" t="str">
        <f t="shared" si="7"/>
        <v/>
      </c>
      <c r="F486" s="3" t="str">
        <f>IF(TableRefills3[[#This Row],[prev_refill_days]]="","",TableRefills3[[#This Row],[prev_refill_days]]+TableRefills3[[#This Row],[quantity_days]])</f>
        <v/>
      </c>
      <c r="G486" t="str">
        <f>IF(TableRefills3[[#This Row],[prev_refill_end]]="","",TableRefills3[[#This Row],[refill_date]]-TableRefills3[[#This Row],[prev_refill_end]])</f>
        <v/>
      </c>
      <c r="H486" s="10">
        <f>IF(TableRefills3[[#This Row],[gap_days]]="",0,IF(TableRefills3[[#This Row],[gap_days]]&gt;2,1,0))</f>
        <v>0</v>
      </c>
      <c r="I486">
        <f>_xlfn.MAXIFS(TableRefills3[discountinuation_flag], TableRefills3[patient_id], A486)</f>
        <v>0</v>
      </c>
    </row>
    <row r="487" spans="1:9" x14ac:dyDescent="0.25">
      <c r="A487" t="s">
        <v>789</v>
      </c>
      <c r="B487" t="s">
        <v>790</v>
      </c>
      <c r="C487" s="3">
        <v>45836</v>
      </c>
      <c r="D487">
        <v>28</v>
      </c>
      <c r="E487" s="3">
        <f t="shared" si="7"/>
        <v>45807</v>
      </c>
      <c r="F487" s="3">
        <f>IF(TableRefills3[[#This Row],[prev_refill_days]]="","",TableRefills3[[#This Row],[prev_refill_days]]+TableRefills3[[#This Row],[quantity_days]])</f>
        <v>45835</v>
      </c>
      <c r="G487">
        <f>IF(TableRefills3[[#This Row],[prev_refill_end]]="","",TableRefills3[[#This Row],[refill_date]]-TableRefills3[[#This Row],[prev_refill_end]])</f>
        <v>1</v>
      </c>
      <c r="H487" s="10">
        <f>IF(TableRefills3[[#This Row],[gap_days]]="",0,IF(TableRefills3[[#This Row],[gap_days]]&gt;2,1,0))</f>
        <v>0</v>
      </c>
      <c r="I487">
        <f>_xlfn.MAXIFS(TableRefills3[discountinuation_flag], TableRefills3[patient_id], A487)</f>
        <v>0</v>
      </c>
    </row>
    <row r="488" spans="1:9" x14ac:dyDescent="0.25">
      <c r="A488" t="s">
        <v>793</v>
      </c>
      <c r="B488" t="s">
        <v>794</v>
      </c>
      <c r="C488" s="3">
        <v>45825</v>
      </c>
      <c r="D488">
        <v>21</v>
      </c>
      <c r="E488" s="3" t="str">
        <f t="shared" si="7"/>
        <v/>
      </c>
      <c r="F488" s="3" t="str">
        <f>IF(TableRefills3[[#This Row],[prev_refill_days]]="","",TableRefills3[[#This Row],[prev_refill_days]]+TableRefills3[[#This Row],[quantity_days]])</f>
        <v/>
      </c>
      <c r="G488" t="str">
        <f>IF(TableRefills3[[#This Row],[prev_refill_end]]="","",TableRefills3[[#This Row],[refill_date]]-TableRefills3[[#This Row],[prev_refill_end]])</f>
        <v/>
      </c>
      <c r="H488" s="10">
        <f>IF(TableRefills3[[#This Row],[gap_days]]="",0,IF(TableRefills3[[#This Row],[gap_days]]&gt;2,1,0))</f>
        <v>0</v>
      </c>
      <c r="I488">
        <f>_xlfn.MAXIFS(TableRefills3[discountinuation_flag], TableRefills3[patient_id], A488)</f>
        <v>0</v>
      </c>
    </row>
    <row r="489" spans="1:9" x14ac:dyDescent="0.25">
      <c r="A489" t="s">
        <v>793</v>
      </c>
      <c r="B489" t="s">
        <v>794</v>
      </c>
      <c r="C489" s="3">
        <v>45847</v>
      </c>
      <c r="D489">
        <v>21</v>
      </c>
      <c r="E489" s="3">
        <f t="shared" si="7"/>
        <v>45825</v>
      </c>
      <c r="F489" s="3">
        <f>IF(TableRefills3[[#This Row],[prev_refill_days]]="","",TableRefills3[[#This Row],[prev_refill_days]]+TableRefills3[[#This Row],[quantity_days]])</f>
        <v>45846</v>
      </c>
      <c r="G489">
        <f>IF(TableRefills3[[#This Row],[prev_refill_end]]="","",TableRefills3[[#This Row],[refill_date]]-TableRefills3[[#This Row],[prev_refill_end]])</f>
        <v>1</v>
      </c>
      <c r="H489" s="10">
        <f>IF(TableRefills3[[#This Row],[gap_days]]="",0,IF(TableRefills3[[#This Row],[gap_days]]&gt;2,1,0))</f>
        <v>0</v>
      </c>
      <c r="I489">
        <f>_xlfn.MAXIFS(TableRefills3[discountinuation_flag], TableRefills3[patient_id], A489)</f>
        <v>0</v>
      </c>
    </row>
    <row r="490" spans="1:9" x14ac:dyDescent="0.25">
      <c r="A490" t="s">
        <v>797</v>
      </c>
      <c r="B490" t="s">
        <v>798</v>
      </c>
      <c r="C490" s="3">
        <v>45910</v>
      </c>
      <c r="D490">
        <v>28</v>
      </c>
      <c r="E490" s="3" t="str">
        <f t="shared" si="7"/>
        <v/>
      </c>
      <c r="F490" s="3" t="str">
        <f>IF(TableRefills3[[#This Row],[prev_refill_days]]="","",TableRefills3[[#This Row],[prev_refill_days]]+TableRefills3[[#This Row],[quantity_days]])</f>
        <v/>
      </c>
      <c r="G490" t="str">
        <f>IF(TableRefills3[[#This Row],[prev_refill_end]]="","",TableRefills3[[#This Row],[refill_date]]-TableRefills3[[#This Row],[prev_refill_end]])</f>
        <v/>
      </c>
      <c r="H490" s="10">
        <f>IF(TableRefills3[[#This Row],[gap_days]]="",0,IF(TableRefills3[[#This Row],[gap_days]]&gt;2,1,0))</f>
        <v>0</v>
      </c>
      <c r="I490">
        <f>_xlfn.MAXIFS(TableRefills3[discountinuation_flag], TableRefills3[patient_id], A490)</f>
        <v>1</v>
      </c>
    </row>
    <row r="491" spans="1:9" x14ac:dyDescent="0.25">
      <c r="A491" t="s">
        <v>797</v>
      </c>
      <c r="B491" t="s">
        <v>798</v>
      </c>
      <c r="C491" s="3">
        <v>45941</v>
      </c>
      <c r="D491">
        <v>28</v>
      </c>
      <c r="E491" s="3">
        <f t="shared" si="7"/>
        <v>45910</v>
      </c>
      <c r="F491" s="3">
        <f>IF(TableRefills3[[#This Row],[prev_refill_days]]="","",TableRefills3[[#This Row],[prev_refill_days]]+TableRefills3[[#This Row],[quantity_days]])</f>
        <v>45938</v>
      </c>
      <c r="G491">
        <f>IF(TableRefills3[[#This Row],[prev_refill_end]]="","",TableRefills3[[#This Row],[refill_date]]-TableRefills3[[#This Row],[prev_refill_end]])</f>
        <v>3</v>
      </c>
      <c r="H491" s="10">
        <f>IF(TableRefills3[[#This Row],[gap_days]]="",0,IF(TableRefills3[[#This Row],[gap_days]]&gt;2,1,0))</f>
        <v>1</v>
      </c>
      <c r="I491">
        <f>_xlfn.MAXIFS(TableRefills3[discountinuation_flag], TableRefills3[patient_id], A491)</f>
        <v>1</v>
      </c>
    </row>
    <row r="492" spans="1:9" x14ac:dyDescent="0.25">
      <c r="A492" t="s">
        <v>801</v>
      </c>
      <c r="B492" t="s">
        <v>802</v>
      </c>
      <c r="C492" s="3">
        <v>45921</v>
      </c>
      <c r="D492">
        <v>21</v>
      </c>
      <c r="E492" s="3" t="str">
        <f t="shared" si="7"/>
        <v/>
      </c>
      <c r="F492" s="3" t="str">
        <f>IF(TableRefills3[[#This Row],[prev_refill_days]]="","",TableRefills3[[#This Row],[prev_refill_days]]+TableRefills3[[#This Row],[quantity_days]])</f>
        <v/>
      </c>
      <c r="G492" t="str">
        <f>IF(TableRefills3[[#This Row],[prev_refill_end]]="","",TableRefills3[[#This Row],[refill_date]]-TableRefills3[[#This Row],[prev_refill_end]])</f>
        <v/>
      </c>
      <c r="H492" s="10">
        <f>IF(TableRefills3[[#This Row],[gap_days]]="",0,IF(TableRefills3[[#This Row],[gap_days]]&gt;2,1,0))</f>
        <v>0</v>
      </c>
      <c r="I492">
        <f>_xlfn.MAXIFS(TableRefills3[discountinuation_flag], TableRefills3[patient_id], A492)</f>
        <v>0</v>
      </c>
    </row>
    <row r="493" spans="1:9" x14ac:dyDescent="0.25">
      <c r="A493" t="s">
        <v>801</v>
      </c>
      <c r="B493" t="s">
        <v>802</v>
      </c>
      <c r="C493" s="3">
        <v>45940</v>
      </c>
      <c r="D493">
        <v>21</v>
      </c>
      <c r="E493" s="3">
        <f t="shared" si="7"/>
        <v>45921</v>
      </c>
      <c r="F493" s="3">
        <f>IF(TableRefills3[[#This Row],[prev_refill_days]]="","",TableRefills3[[#This Row],[prev_refill_days]]+TableRefills3[[#This Row],[quantity_days]])</f>
        <v>45942</v>
      </c>
      <c r="G493">
        <f>IF(TableRefills3[[#This Row],[prev_refill_end]]="","",TableRefills3[[#This Row],[refill_date]]-TableRefills3[[#This Row],[prev_refill_end]])</f>
        <v>-2</v>
      </c>
      <c r="H493" s="10">
        <f>IF(TableRefills3[[#This Row],[gap_days]]="",0,IF(TableRefills3[[#This Row],[gap_days]]&gt;2,1,0))</f>
        <v>0</v>
      </c>
      <c r="I493">
        <f>_xlfn.MAXIFS(TableRefills3[discountinuation_flag], TableRefills3[patient_id], A493)</f>
        <v>0</v>
      </c>
    </row>
    <row r="494" spans="1:9" x14ac:dyDescent="0.25">
      <c r="A494" t="s">
        <v>801</v>
      </c>
      <c r="B494" t="s">
        <v>802</v>
      </c>
      <c r="C494" s="3">
        <v>45961</v>
      </c>
      <c r="D494">
        <v>21</v>
      </c>
      <c r="E494" s="3">
        <f t="shared" si="7"/>
        <v>45940</v>
      </c>
      <c r="F494" s="3">
        <f>IF(TableRefills3[[#This Row],[prev_refill_days]]="","",TableRefills3[[#This Row],[prev_refill_days]]+TableRefills3[[#This Row],[quantity_days]])</f>
        <v>45961</v>
      </c>
      <c r="G494">
        <f>IF(TableRefills3[[#This Row],[prev_refill_end]]="","",TableRefills3[[#This Row],[refill_date]]-TableRefills3[[#This Row],[prev_refill_end]])</f>
        <v>0</v>
      </c>
      <c r="H494" s="10">
        <f>IF(TableRefills3[[#This Row],[gap_days]]="",0,IF(TableRefills3[[#This Row],[gap_days]]&gt;2,1,0))</f>
        <v>0</v>
      </c>
      <c r="I494">
        <f>_xlfn.MAXIFS(TableRefills3[discountinuation_flag], TableRefills3[patient_id], A494)</f>
        <v>0</v>
      </c>
    </row>
    <row r="495" spans="1:9" x14ac:dyDescent="0.25">
      <c r="A495" t="s">
        <v>806</v>
      </c>
      <c r="B495" t="s">
        <v>807</v>
      </c>
      <c r="C495" s="3">
        <v>45845</v>
      </c>
      <c r="D495">
        <v>28</v>
      </c>
      <c r="E495" s="3" t="str">
        <f t="shared" si="7"/>
        <v/>
      </c>
      <c r="F495" s="3" t="str">
        <f>IF(TableRefills3[[#This Row],[prev_refill_days]]="","",TableRefills3[[#This Row],[prev_refill_days]]+TableRefills3[[#This Row],[quantity_days]])</f>
        <v/>
      </c>
      <c r="G495" t="str">
        <f>IF(TableRefills3[[#This Row],[prev_refill_end]]="","",TableRefills3[[#This Row],[refill_date]]-TableRefills3[[#This Row],[prev_refill_end]])</f>
        <v/>
      </c>
      <c r="H495" s="10">
        <f>IF(TableRefills3[[#This Row],[gap_days]]="",0,IF(TableRefills3[[#This Row],[gap_days]]&gt;2,1,0))</f>
        <v>0</v>
      </c>
      <c r="I495">
        <f>_xlfn.MAXIFS(TableRefills3[discountinuation_flag], TableRefills3[patient_id], A495)</f>
        <v>0</v>
      </c>
    </row>
    <row r="496" spans="1:9" x14ac:dyDescent="0.25">
      <c r="A496" t="s">
        <v>806</v>
      </c>
      <c r="B496" t="s">
        <v>807</v>
      </c>
      <c r="C496" s="3">
        <v>45871</v>
      </c>
      <c r="D496">
        <v>28</v>
      </c>
      <c r="E496" s="3">
        <f t="shared" si="7"/>
        <v>45845</v>
      </c>
      <c r="F496" s="3">
        <f>IF(TableRefills3[[#This Row],[prev_refill_days]]="","",TableRefills3[[#This Row],[prev_refill_days]]+TableRefills3[[#This Row],[quantity_days]])</f>
        <v>45873</v>
      </c>
      <c r="G496">
        <f>IF(TableRefills3[[#This Row],[prev_refill_end]]="","",TableRefills3[[#This Row],[refill_date]]-TableRefills3[[#This Row],[prev_refill_end]])</f>
        <v>-2</v>
      </c>
      <c r="H496" s="10">
        <f>IF(TableRefills3[[#This Row],[gap_days]]="",0,IF(TableRefills3[[#This Row],[gap_days]]&gt;2,1,0))</f>
        <v>0</v>
      </c>
      <c r="I496">
        <f>_xlfn.MAXIFS(TableRefills3[discountinuation_flag], TableRefills3[patient_id], A496)</f>
        <v>0</v>
      </c>
    </row>
    <row r="497" spans="1:9" x14ac:dyDescent="0.25">
      <c r="A497" t="s">
        <v>806</v>
      </c>
      <c r="B497" t="s">
        <v>807</v>
      </c>
      <c r="C497" s="3">
        <v>45898</v>
      </c>
      <c r="D497">
        <v>28</v>
      </c>
      <c r="E497" s="3">
        <f t="shared" si="7"/>
        <v>45871</v>
      </c>
      <c r="F497" s="3">
        <f>IF(TableRefills3[[#This Row],[prev_refill_days]]="","",TableRefills3[[#This Row],[prev_refill_days]]+TableRefills3[[#This Row],[quantity_days]])</f>
        <v>45899</v>
      </c>
      <c r="G497">
        <f>IF(TableRefills3[[#This Row],[prev_refill_end]]="","",TableRefills3[[#This Row],[refill_date]]-TableRefills3[[#This Row],[prev_refill_end]])</f>
        <v>-1</v>
      </c>
      <c r="H497" s="10">
        <f>IF(TableRefills3[[#This Row],[gap_days]]="",0,IF(TableRefills3[[#This Row],[gap_days]]&gt;2,1,0))</f>
        <v>0</v>
      </c>
      <c r="I497">
        <f>_xlfn.MAXIFS(TableRefills3[discountinuation_flag], TableRefills3[patient_id], A497)</f>
        <v>0</v>
      </c>
    </row>
    <row r="498" spans="1:9" x14ac:dyDescent="0.25">
      <c r="A498" t="s">
        <v>806</v>
      </c>
      <c r="B498" t="s">
        <v>807</v>
      </c>
      <c r="C498" s="3">
        <v>45926</v>
      </c>
      <c r="D498">
        <v>28</v>
      </c>
      <c r="E498" s="3">
        <f t="shared" si="7"/>
        <v>45898</v>
      </c>
      <c r="F498" s="3">
        <f>IF(TableRefills3[[#This Row],[prev_refill_days]]="","",TableRefills3[[#This Row],[prev_refill_days]]+TableRefills3[[#This Row],[quantity_days]])</f>
        <v>45926</v>
      </c>
      <c r="G498">
        <f>IF(TableRefills3[[#This Row],[prev_refill_end]]="","",TableRefills3[[#This Row],[refill_date]]-TableRefills3[[#This Row],[prev_refill_end]])</f>
        <v>0</v>
      </c>
      <c r="H498" s="10">
        <f>IF(TableRefills3[[#This Row],[gap_days]]="",0,IF(TableRefills3[[#This Row],[gap_days]]&gt;2,1,0))</f>
        <v>0</v>
      </c>
      <c r="I498">
        <f>_xlfn.MAXIFS(TableRefills3[discountinuation_flag], TableRefills3[patient_id], A498)</f>
        <v>0</v>
      </c>
    </row>
    <row r="499" spans="1:9" x14ac:dyDescent="0.25">
      <c r="A499" t="s">
        <v>806</v>
      </c>
      <c r="B499" t="s">
        <v>807</v>
      </c>
      <c r="C499" s="3">
        <v>45954</v>
      </c>
      <c r="D499">
        <v>28</v>
      </c>
      <c r="E499" s="3">
        <f t="shared" si="7"/>
        <v>45926</v>
      </c>
      <c r="F499" s="3">
        <f>IF(TableRefills3[[#This Row],[prev_refill_days]]="","",TableRefills3[[#This Row],[prev_refill_days]]+TableRefills3[[#This Row],[quantity_days]])</f>
        <v>45954</v>
      </c>
      <c r="G499">
        <f>IF(TableRefills3[[#This Row],[prev_refill_end]]="","",TableRefills3[[#This Row],[refill_date]]-TableRefills3[[#This Row],[prev_refill_end]])</f>
        <v>0</v>
      </c>
      <c r="H499" s="10">
        <f>IF(TableRefills3[[#This Row],[gap_days]]="",0,IF(TableRefills3[[#This Row],[gap_days]]&gt;2,1,0))</f>
        <v>0</v>
      </c>
      <c r="I499">
        <f>_xlfn.MAXIFS(TableRefills3[discountinuation_flag], TableRefills3[patient_id], A499)</f>
        <v>0</v>
      </c>
    </row>
    <row r="500" spans="1:9" x14ac:dyDescent="0.25">
      <c r="A500" t="s">
        <v>813</v>
      </c>
      <c r="B500" t="s">
        <v>814</v>
      </c>
      <c r="C500" s="3">
        <v>45844</v>
      </c>
      <c r="D500">
        <v>28</v>
      </c>
      <c r="E500" s="3" t="str">
        <f t="shared" si="7"/>
        <v/>
      </c>
      <c r="F500" s="3" t="str">
        <f>IF(TableRefills3[[#This Row],[prev_refill_days]]="","",TableRefills3[[#This Row],[prev_refill_days]]+TableRefills3[[#This Row],[quantity_days]])</f>
        <v/>
      </c>
      <c r="G500" t="str">
        <f>IF(TableRefills3[[#This Row],[prev_refill_end]]="","",TableRefills3[[#This Row],[refill_date]]-TableRefills3[[#This Row],[prev_refill_end]])</f>
        <v/>
      </c>
      <c r="H500" s="10">
        <f>IF(TableRefills3[[#This Row],[gap_days]]="",0,IF(TableRefills3[[#This Row],[gap_days]]&gt;2,1,0))</f>
        <v>0</v>
      </c>
      <c r="I500">
        <f>_xlfn.MAXIFS(TableRefills3[discountinuation_flag], TableRefills3[patient_id], A500)</f>
        <v>0</v>
      </c>
    </row>
    <row r="501" spans="1:9" x14ac:dyDescent="0.25">
      <c r="A501" t="s">
        <v>816</v>
      </c>
      <c r="B501" t="s">
        <v>817</v>
      </c>
      <c r="C501" s="3">
        <v>45892</v>
      </c>
      <c r="D501">
        <v>28</v>
      </c>
      <c r="E501" s="3" t="str">
        <f t="shared" si="7"/>
        <v/>
      </c>
      <c r="F501" s="3" t="str">
        <f>IF(TableRefills3[[#This Row],[prev_refill_days]]="","",TableRefills3[[#This Row],[prev_refill_days]]+TableRefills3[[#This Row],[quantity_days]])</f>
        <v/>
      </c>
      <c r="G501" t="str">
        <f>IF(TableRefills3[[#This Row],[prev_refill_end]]="","",TableRefills3[[#This Row],[refill_date]]-TableRefills3[[#This Row],[prev_refill_end]])</f>
        <v/>
      </c>
      <c r="H501" s="10">
        <f>IF(TableRefills3[[#This Row],[gap_days]]="",0,IF(TableRefills3[[#This Row],[gap_days]]&gt;2,1,0))</f>
        <v>0</v>
      </c>
      <c r="I501">
        <f>_xlfn.MAXIFS(TableRefills3[discountinuation_flag], TableRefills3[patient_id], A501)</f>
        <v>0</v>
      </c>
    </row>
    <row r="502" spans="1:9" x14ac:dyDescent="0.25">
      <c r="A502" t="s">
        <v>816</v>
      </c>
      <c r="B502" t="s">
        <v>817</v>
      </c>
      <c r="C502" s="3">
        <v>45919</v>
      </c>
      <c r="D502">
        <v>28</v>
      </c>
      <c r="E502" s="3">
        <f t="shared" si="7"/>
        <v>45892</v>
      </c>
      <c r="F502" s="3">
        <f>IF(TableRefills3[[#This Row],[prev_refill_days]]="","",TableRefills3[[#This Row],[prev_refill_days]]+TableRefills3[[#This Row],[quantity_days]])</f>
        <v>45920</v>
      </c>
      <c r="G502">
        <f>IF(TableRefills3[[#This Row],[prev_refill_end]]="","",TableRefills3[[#This Row],[refill_date]]-TableRefills3[[#This Row],[prev_refill_end]])</f>
        <v>-1</v>
      </c>
      <c r="H502" s="10">
        <f>IF(TableRefills3[[#This Row],[gap_days]]="",0,IF(TableRefills3[[#This Row],[gap_days]]&gt;2,1,0))</f>
        <v>0</v>
      </c>
      <c r="I502">
        <f>_xlfn.MAXIFS(TableRefills3[discountinuation_flag], TableRefills3[patient_id], A502)</f>
        <v>0</v>
      </c>
    </row>
    <row r="503" spans="1:9" x14ac:dyDescent="0.25">
      <c r="A503" t="s">
        <v>816</v>
      </c>
      <c r="B503" t="s">
        <v>817</v>
      </c>
      <c r="C503" s="3">
        <v>45948</v>
      </c>
      <c r="D503">
        <v>28</v>
      </c>
      <c r="E503" s="3">
        <f t="shared" si="7"/>
        <v>45919</v>
      </c>
      <c r="F503" s="3">
        <f>IF(TableRefills3[[#This Row],[prev_refill_days]]="","",TableRefills3[[#This Row],[prev_refill_days]]+TableRefills3[[#This Row],[quantity_days]])</f>
        <v>45947</v>
      </c>
      <c r="G503">
        <f>IF(TableRefills3[[#This Row],[prev_refill_end]]="","",TableRefills3[[#This Row],[refill_date]]-TableRefills3[[#This Row],[prev_refill_end]])</f>
        <v>1</v>
      </c>
      <c r="H503" s="10">
        <f>IF(TableRefills3[[#This Row],[gap_days]]="",0,IF(TableRefills3[[#This Row],[gap_days]]&gt;2,1,0))</f>
        <v>0</v>
      </c>
      <c r="I503">
        <f>_xlfn.MAXIFS(TableRefills3[discountinuation_flag], TableRefills3[patient_id], A503)</f>
        <v>0</v>
      </c>
    </row>
    <row r="504" spans="1:9" x14ac:dyDescent="0.25">
      <c r="A504" t="s">
        <v>821</v>
      </c>
      <c r="B504" t="s">
        <v>822</v>
      </c>
      <c r="C504" s="3">
        <v>45934</v>
      </c>
      <c r="D504">
        <v>28</v>
      </c>
      <c r="E504" s="3" t="str">
        <f t="shared" si="7"/>
        <v/>
      </c>
      <c r="F504" s="3" t="str">
        <f>IF(TableRefills3[[#This Row],[prev_refill_days]]="","",TableRefills3[[#This Row],[prev_refill_days]]+TableRefills3[[#This Row],[quantity_days]])</f>
        <v/>
      </c>
      <c r="G504" t="str">
        <f>IF(TableRefills3[[#This Row],[prev_refill_end]]="","",TableRefills3[[#This Row],[refill_date]]-TableRefills3[[#This Row],[prev_refill_end]])</f>
        <v/>
      </c>
      <c r="H504" s="10">
        <f>IF(TableRefills3[[#This Row],[gap_days]]="",0,IF(TableRefills3[[#This Row],[gap_days]]&gt;2,1,0))</f>
        <v>0</v>
      </c>
      <c r="I504">
        <f>_xlfn.MAXIFS(TableRefills3[discountinuation_flag], TableRefills3[patient_id], A504)</f>
        <v>0</v>
      </c>
    </row>
    <row r="505" spans="1:9" x14ac:dyDescent="0.25">
      <c r="A505" t="s">
        <v>824</v>
      </c>
      <c r="B505" t="s">
        <v>825</v>
      </c>
      <c r="C505" s="3">
        <v>45955</v>
      </c>
      <c r="D505">
        <v>28</v>
      </c>
      <c r="E505" s="3" t="str">
        <f t="shared" si="7"/>
        <v/>
      </c>
      <c r="F505" s="3" t="str">
        <f>IF(TableRefills3[[#This Row],[prev_refill_days]]="","",TableRefills3[[#This Row],[prev_refill_days]]+TableRefills3[[#This Row],[quantity_days]])</f>
        <v/>
      </c>
      <c r="G505" t="str">
        <f>IF(TableRefills3[[#This Row],[prev_refill_end]]="","",TableRefills3[[#This Row],[refill_date]]-TableRefills3[[#This Row],[prev_refill_end]])</f>
        <v/>
      </c>
      <c r="H505" s="10">
        <f>IF(TableRefills3[[#This Row],[gap_days]]="",0,IF(TableRefills3[[#This Row],[gap_days]]&gt;2,1,0))</f>
        <v>0</v>
      </c>
      <c r="I505">
        <f>_xlfn.MAXIFS(TableRefills3[discountinuation_flag], TableRefills3[patient_id], A505)</f>
        <v>0</v>
      </c>
    </row>
    <row r="506" spans="1:9" x14ac:dyDescent="0.25">
      <c r="A506" t="s">
        <v>827</v>
      </c>
      <c r="B506" t="s">
        <v>828</v>
      </c>
      <c r="C506" s="3">
        <v>45829</v>
      </c>
      <c r="D506">
        <v>28</v>
      </c>
      <c r="E506" s="3" t="str">
        <f t="shared" si="7"/>
        <v/>
      </c>
      <c r="F506" s="3" t="str">
        <f>IF(TableRefills3[[#This Row],[prev_refill_days]]="","",TableRefills3[[#This Row],[prev_refill_days]]+TableRefills3[[#This Row],[quantity_days]])</f>
        <v/>
      </c>
      <c r="G506" t="str">
        <f>IF(TableRefills3[[#This Row],[prev_refill_end]]="","",TableRefills3[[#This Row],[refill_date]]-TableRefills3[[#This Row],[prev_refill_end]])</f>
        <v/>
      </c>
      <c r="H506" s="10">
        <f>IF(TableRefills3[[#This Row],[gap_days]]="",0,IF(TableRefills3[[#This Row],[gap_days]]&gt;2,1,0))</f>
        <v>0</v>
      </c>
      <c r="I506">
        <f>_xlfn.MAXIFS(TableRefills3[discountinuation_flag], TableRefills3[patient_id], A506)</f>
        <v>1</v>
      </c>
    </row>
    <row r="507" spans="1:9" x14ac:dyDescent="0.25">
      <c r="A507" t="s">
        <v>827</v>
      </c>
      <c r="B507" t="s">
        <v>828</v>
      </c>
      <c r="C507" s="3">
        <v>45855</v>
      </c>
      <c r="D507">
        <v>28</v>
      </c>
      <c r="E507" s="3">
        <f t="shared" si="7"/>
        <v>45829</v>
      </c>
      <c r="F507" s="3">
        <f>IF(TableRefills3[[#This Row],[prev_refill_days]]="","",TableRefills3[[#This Row],[prev_refill_days]]+TableRefills3[[#This Row],[quantity_days]])</f>
        <v>45857</v>
      </c>
      <c r="G507">
        <f>IF(TableRefills3[[#This Row],[prev_refill_end]]="","",TableRefills3[[#This Row],[refill_date]]-TableRefills3[[#This Row],[prev_refill_end]])</f>
        <v>-2</v>
      </c>
      <c r="H507" s="10">
        <f>IF(TableRefills3[[#This Row],[gap_days]]="",0,IF(TableRefills3[[#This Row],[gap_days]]&gt;2,1,0))</f>
        <v>0</v>
      </c>
      <c r="I507">
        <f>_xlfn.MAXIFS(TableRefills3[discountinuation_flag], TableRefills3[patient_id], A507)</f>
        <v>1</v>
      </c>
    </row>
    <row r="508" spans="1:9" x14ac:dyDescent="0.25">
      <c r="A508" t="s">
        <v>827</v>
      </c>
      <c r="B508" t="s">
        <v>828</v>
      </c>
      <c r="C508" s="3">
        <v>45882</v>
      </c>
      <c r="D508">
        <v>28</v>
      </c>
      <c r="E508" s="3">
        <f t="shared" si="7"/>
        <v>45855</v>
      </c>
      <c r="F508" s="3">
        <f>IF(TableRefills3[[#This Row],[prev_refill_days]]="","",TableRefills3[[#This Row],[prev_refill_days]]+TableRefills3[[#This Row],[quantity_days]])</f>
        <v>45883</v>
      </c>
      <c r="G508">
        <f>IF(TableRefills3[[#This Row],[prev_refill_end]]="","",TableRefills3[[#This Row],[refill_date]]-TableRefills3[[#This Row],[prev_refill_end]])</f>
        <v>-1</v>
      </c>
      <c r="H508" s="10">
        <f>IF(TableRefills3[[#This Row],[gap_days]]="",0,IF(TableRefills3[[#This Row],[gap_days]]&gt;2,1,0))</f>
        <v>0</v>
      </c>
      <c r="I508">
        <f>_xlfn.MAXIFS(TableRefills3[discountinuation_flag], TableRefills3[patient_id], A508)</f>
        <v>1</v>
      </c>
    </row>
    <row r="509" spans="1:9" x14ac:dyDescent="0.25">
      <c r="A509" t="s">
        <v>827</v>
      </c>
      <c r="B509" t="s">
        <v>828</v>
      </c>
      <c r="C509" s="3">
        <v>45913</v>
      </c>
      <c r="D509">
        <v>28</v>
      </c>
      <c r="E509" s="3">
        <f t="shared" si="7"/>
        <v>45882</v>
      </c>
      <c r="F509" s="3">
        <f>IF(TableRefills3[[#This Row],[prev_refill_days]]="","",TableRefills3[[#This Row],[prev_refill_days]]+TableRefills3[[#This Row],[quantity_days]])</f>
        <v>45910</v>
      </c>
      <c r="G509">
        <f>IF(TableRefills3[[#This Row],[prev_refill_end]]="","",TableRefills3[[#This Row],[refill_date]]-TableRefills3[[#This Row],[prev_refill_end]])</f>
        <v>3</v>
      </c>
      <c r="H509" s="10">
        <f>IF(TableRefills3[[#This Row],[gap_days]]="",0,IF(TableRefills3[[#This Row],[gap_days]]&gt;2,1,0))</f>
        <v>1</v>
      </c>
      <c r="I509">
        <f>_xlfn.MAXIFS(TableRefills3[discountinuation_flag], TableRefills3[patient_id], A509)</f>
        <v>1</v>
      </c>
    </row>
    <row r="510" spans="1:9" x14ac:dyDescent="0.25">
      <c r="A510" t="s">
        <v>827</v>
      </c>
      <c r="B510" t="s">
        <v>828</v>
      </c>
      <c r="C510" s="3">
        <v>45938</v>
      </c>
      <c r="D510">
        <v>28</v>
      </c>
      <c r="E510" s="3">
        <f t="shared" si="7"/>
        <v>45913</v>
      </c>
      <c r="F510" s="3">
        <f>IF(TableRefills3[[#This Row],[prev_refill_days]]="","",TableRefills3[[#This Row],[prev_refill_days]]+TableRefills3[[#This Row],[quantity_days]])</f>
        <v>45941</v>
      </c>
      <c r="G510">
        <f>IF(TableRefills3[[#This Row],[prev_refill_end]]="","",TableRefills3[[#This Row],[refill_date]]-TableRefills3[[#This Row],[prev_refill_end]])</f>
        <v>-3</v>
      </c>
      <c r="H510" s="10">
        <f>IF(TableRefills3[[#This Row],[gap_days]]="",0,IF(TableRefills3[[#This Row],[gap_days]]&gt;2,1,0))</f>
        <v>0</v>
      </c>
      <c r="I510">
        <f>_xlfn.MAXIFS(TableRefills3[discountinuation_flag], TableRefills3[patient_id], A510)</f>
        <v>1</v>
      </c>
    </row>
    <row r="511" spans="1:9" x14ac:dyDescent="0.25">
      <c r="A511" t="s">
        <v>834</v>
      </c>
      <c r="B511" t="s">
        <v>835</v>
      </c>
      <c r="C511" s="3">
        <v>45812</v>
      </c>
      <c r="D511">
        <v>28</v>
      </c>
      <c r="E511" s="3" t="str">
        <f t="shared" si="7"/>
        <v/>
      </c>
      <c r="F511" s="3" t="str">
        <f>IF(TableRefills3[[#This Row],[prev_refill_days]]="","",TableRefills3[[#This Row],[prev_refill_days]]+TableRefills3[[#This Row],[quantity_days]])</f>
        <v/>
      </c>
      <c r="G511" t="str">
        <f>IF(TableRefills3[[#This Row],[prev_refill_end]]="","",TableRefills3[[#This Row],[refill_date]]-TableRefills3[[#This Row],[prev_refill_end]])</f>
        <v/>
      </c>
      <c r="H511" s="10">
        <f>IF(TableRefills3[[#This Row],[gap_days]]="",0,IF(TableRefills3[[#This Row],[gap_days]]&gt;2,1,0))</f>
        <v>0</v>
      </c>
      <c r="I511">
        <f>_xlfn.MAXIFS(TableRefills3[discountinuation_flag], TableRefills3[patient_id], A511)</f>
        <v>1</v>
      </c>
    </row>
    <row r="512" spans="1:9" x14ac:dyDescent="0.25">
      <c r="A512" t="s">
        <v>834</v>
      </c>
      <c r="B512" t="s">
        <v>835</v>
      </c>
      <c r="C512" s="3">
        <v>45837</v>
      </c>
      <c r="D512">
        <v>28</v>
      </c>
      <c r="E512" s="3">
        <f t="shared" si="7"/>
        <v>45812</v>
      </c>
      <c r="F512" s="3">
        <f>IF(TableRefills3[[#This Row],[prev_refill_days]]="","",TableRefills3[[#This Row],[prev_refill_days]]+TableRefills3[[#This Row],[quantity_days]])</f>
        <v>45840</v>
      </c>
      <c r="G512">
        <f>IF(TableRefills3[[#This Row],[prev_refill_end]]="","",TableRefills3[[#This Row],[refill_date]]-TableRefills3[[#This Row],[prev_refill_end]])</f>
        <v>-3</v>
      </c>
      <c r="H512" s="10">
        <f>IF(TableRefills3[[#This Row],[gap_days]]="",0,IF(TableRefills3[[#This Row],[gap_days]]&gt;2,1,0))</f>
        <v>0</v>
      </c>
      <c r="I512">
        <f>_xlfn.MAXIFS(TableRefills3[discountinuation_flag], TableRefills3[patient_id], A512)</f>
        <v>1</v>
      </c>
    </row>
    <row r="513" spans="1:9" x14ac:dyDescent="0.25">
      <c r="A513" t="s">
        <v>834</v>
      </c>
      <c r="B513" t="s">
        <v>835</v>
      </c>
      <c r="C513" s="3">
        <v>45868</v>
      </c>
      <c r="D513">
        <v>28</v>
      </c>
      <c r="E513" s="3">
        <f t="shared" si="7"/>
        <v>45837</v>
      </c>
      <c r="F513" s="3">
        <f>IF(TableRefills3[[#This Row],[prev_refill_days]]="","",TableRefills3[[#This Row],[prev_refill_days]]+TableRefills3[[#This Row],[quantity_days]])</f>
        <v>45865</v>
      </c>
      <c r="G513">
        <f>IF(TableRefills3[[#This Row],[prev_refill_end]]="","",TableRefills3[[#This Row],[refill_date]]-TableRefills3[[#This Row],[prev_refill_end]])</f>
        <v>3</v>
      </c>
      <c r="H513" s="10">
        <f>IF(TableRefills3[[#This Row],[gap_days]]="",0,IF(TableRefills3[[#This Row],[gap_days]]&gt;2,1,0))</f>
        <v>1</v>
      </c>
      <c r="I513">
        <f>_xlfn.MAXIFS(TableRefills3[discountinuation_flag], TableRefills3[patient_id], A513)</f>
        <v>1</v>
      </c>
    </row>
    <row r="514" spans="1:9" x14ac:dyDescent="0.25">
      <c r="A514" t="s">
        <v>834</v>
      </c>
      <c r="B514" t="s">
        <v>835</v>
      </c>
      <c r="C514" s="3">
        <v>45899</v>
      </c>
      <c r="D514">
        <v>28</v>
      </c>
      <c r="E514" s="3">
        <f t="shared" ref="E514:E577" si="8">IF(A513=A514,C513,"")</f>
        <v>45868</v>
      </c>
      <c r="F514" s="3">
        <f>IF(TableRefills3[[#This Row],[prev_refill_days]]="","",TableRefills3[[#This Row],[prev_refill_days]]+TableRefills3[[#This Row],[quantity_days]])</f>
        <v>45896</v>
      </c>
      <c r="G514">
        <f>IF(TableRefills3[[#This Row],[prev_refill_end]]="","",TableRefills3[[#This Row],[refill_date]]-TableRefills3[[#This Row],[prev_refill_end]])</f>
        <v>3</v>
      </c>
      <c r="H514" s="10">
        <f>IF(TableRefills3[[#This Row],[gap_days]]="",0,IF(TableRefills3[[#This Row],[gap_days]]&gt;2,1,0))</f>
        <v>1</v>
      </c>
      <c r="I514">
        <f>_xlfn.MAXIFS(TableRefills3[discountinuation_flag], TableRefills3[patient_id], A514)</f>
        <v>1</v>
      </c>
    </row>
    <row r="515" spans="1:9" x14ac:dyDescent="0.25">
      <c r="A515" t="s">
        <v>834</v>
      </c>
      <c r="B515" t="s">
        <v>835</v>
      </c>
      <c r="C515" s="3">
        <v>45930</v>
      </c>
      <c r="D515">
        <v>28</v>
      </c>
      <c r="E515" s="3">
        <f t="shared" si="8"/>
        <v>45899</v>
      </c>
      <c r="F515" s="3">
        <f>IF(TableRefills3[[#This Row],[prev_refill_days]]="","",TableRefills3[[#This Row],[prev_refill_days]]+TableRefills3[[#This Row],[quantity_days]])</f>
        <v>45927</v>
      </c>
      <c r="G515">
        <f>IF(TableRefills3[[#This Row],[prev_refill_end]]="","",TableRefills3[[#This Row],[refill_date]]-TableRefills3[[#This Row],[prev_refill_end]])</f>
        <v>3</v>
      </c>
      <c r="H515" s="10">
        <f>IF(TableRefills3[[#This Row],[gap_days]]="",0,IF(TableRefills3[[#This Row],[gap_days]]&gt;2,1,0))</f>
        <v>1</v>
      </c>
      <c r="I515">
        <f>_xlfn.MAXIFS(TableRefills3[discountinuation_flag], TableRefills3[patient_id], A515)</f>
        <v>1</v>
      </c>
    </row>
    <row r="516" spans="1:9" x14ac:dyDescent="0.25">
      <c r="A516" t="s">
        <v>834</v>
      </c>
      <c r="B516" t="s">
        <v>835</v>
      </c>
      <c r="C516" s="3">
        <v>45960</v>
      </c>
      <c r="D516">
        <v>28</v>
      </c>
      <c r="E516" s="3">
        <f t="shared" si="8"/>
        <v>45930</v>
      </c>
      <c r="F516" s="3">
        <f>IF(TableRefills3[[#This Row],[prev_refill_days]]="","",TableRefills3[[#This Row],[prev_refill_days]]+TableRefills3[[#This Row],[quantity_days]])</f>
        <v>45958</v>
      </c>
      <c r="G516">
        <f>IF(TableRefills3[[#This Row],[prev_refill_end]]="","",TableRefills3[[#This Row],[refill_date]]-TableRefills3[[#This Row],[prev_refill_end]])</f>
        <v>2</v>
      </c>
      <c r="H516" s="10">
        <f>IF(TableRefills3[[#This Row],[gap_days]]="",0,IF(TableRefills3[[#This Row],[gap_days]]&gt;2,1,0))</f>
        <v>0</v>
      </c>
      <c r="I516">
        <f>_xlfn.MAXIFS(TableRefills3[discountinuation_flag], TableRefills3[patient_id], A516)</f>
        <v>1</v>
      </c>
    </row>
    <row r="517" spans="1:9" x14ac:dyDescent="0.25">
      <c r="A517" t="s">
        <v>842</v>
      </c>
      <c r="B517" t="s">
        <v>843</v>
      </c>
      <c r="C517" s="3">
        <v>45796</v>
      </c>
      <c r="D517">
        <v>28</v>
      </c>
      <c r="E517" s="3" t="str">
        <f t="shared" si="8"/>
        <v/>
      </c>
      <c r="F517" s="3" t="str">
        <f>IF(TableRefills3[[#This Row],[prev_refill_days]]="","",TableRefills3[[#This Row],[prev_refill_days]]+TableRefills3[[#This Row],[quantity_days]])</f>
        <v/>
      </c>
      <c r="G517" t="str">
        <f>IF(TableRefills3[[#This Row],[prev_refill_end]]="","",TableRefills3[[#This Row],[refill_date]]-TableRefills3[[#This Row],[prev_refill_end]])</f>
        <v/>
      </c>
      <c r="H517" s="10">
        <f>IF(TableRefills3[[#This Row],[gap_days]]="",0,IF(TableRefills3[[#This Row],[gap_days]]&gt;2,1,0))</f>
        <v>0</v>
      </c>
      <c r="I517">
        <f>_xlfn.MAXIFS(TableRefills3[discountinuation_flag], TableRefills3[patient_id], A517)</f>
        <v>1</v>
      </c>
    </row>
    <row r="518" spans="1:9" x14ac:dyDescent="0.25">
      <c r="A518" t="s">
        <v>842</v>
      </c>
      <c r="B518" t="s">
        <v>843</v>
      </c>
      <c r="C518" s="3">
        <v>45823</v>
      </c>
      <c r="D518">
        <v>28</v>
      </c>
      <c r="E518" s="3">
        <f t="shared" si="8"/>
        <v>45796</v>
      </c>
      <c r="F518" s="3">
        <f>IF(TableRefills3[[#This Row],[prev_refill_days]]="","",TableRefills3[[#This Row],[prev_refill_days]]+TableRefills3[[#This Row],[quantity_days]])</f>
        <v>45824</v>
      </c>
      <c r="G518">
        <f>IF(TableRefills3[[#This Row],[prev_refill_end]]="","",TableRefills3[[#This Row],[refill_date]]-TableRefills3[[#This Row],[prev_refill_end]])</f>
        <v>-1</v>
      </c>
      <c r="H518" s="10">
        <f>IF(TableRefills3[[#This Row],[gap_days]]="",0,IF(TableRefills3[[#This Row],[gap_days]]&gt;2,1,0))</f>
        <v>0</v>
      </c>
      <c r="I518">
        <f>_xlfn.MAXIFS(TableRefills3[discountinuation_flag], TableRefills3[patient_id], A518)</f>
        <v>1</v>
      </c>
    </row>
    <row r="519" spans="1:9" x14ac:dyDescent="0.25">
      <c r="A519" t="s">
        <v>842</v>
      </c>
      <c r="B519" t="s">
        <v>843</v>
      </c>
      <c r="C519" s="3">
        <v>45851</v>
      </c>
      <c r="D519">
        <v>28</v>
      </c>
      <c r="E519" s="3">
        <f t="shared" si="8"/>
        <v>45823</v>
      </c>
      <c r="F519" s="3">
        <f>IF(TableRefills3[[#This Row],[prev_refill_days]]="","",TableRefills3[[#This Row],[prev_refill_days]]+TableRefills3[[#This Row],[quantity_days]])</f>
        <v>45851</v>
      </c>
      <c r="G519">
        <f>IF(TableRefills3[[#This Row],[prev_refill_end]]="","",TableRefills3[[#This Row],[refill_date]]-TableRefills3[[#This Row],[prev_refill_end]])</f>
        <v>0</v>
      </c>
      <c r="H519" s="10">
        <f>IF(TableRefills3[[#This Row],[gap_days]]="",0,IF(TableRefills3[[#This Row],[gap_days]]&gt;2,1,0))</f>
        <v>0</v>
      </c>
      <c r="I519">
        <f>_xlfn.MAXIFS(TableRefills3[discountinuation_flag], TableRefills3[patient_id], A519)</f>
        <v>1</v>
      </c>
    </row>
    <row r="520" spans="1:9" x14ac:dyDescent="0.25">
      <c r="A520" t="s">
        <v>842</v>
      </c>
      <c r="B520" t="s">
        <v>843</v>
      </c>
      <c r="C520" s="3">
        <v>45876</v>
      </c>
      <c r="D520">
        <v>28</v>
      </c>
      <c r="E520" s="3">
        <f t="shared" si="8"/>
        <v>45851</v>
      </c>
      <c r="F520" s="3">
        <f>IF(TableRefills3[[#This Row],[prev_refill_days]]="","",TableRefills3[[#This Row],[prev_refill_days]]+TableRefills3[[#This Row],[quantity_days]])</f>
        <v>45879</v>
      </c>
      <c r="G520">
        <f>IF(TableRefills3[[#This Row],[prev_refill_end]]="","",TableRefills3[[#This Row],[refill_date]]-TableRefills3[[#This Row],[prev_refill_end]])</f>
        <v>-3</v>
      </c>
      <c r="H520" s="10">
        <f>IF(TableRefills3[[#This Row],[gap_days]]="",0,IF(TableRefills3[[#This Row],[gap_days]]&gt;2,1,0))</f>
        <v>0</v>
      </c>
      <c r="I520">
        <f>_xlfn.MAXIFS(TableRefills3[discountinuation_flag], TableRefills3[patient_id], A520)</f>
        <v>1</v>
      </c>
    </row>
    <row r="521" spans="1:9" x14ac:dyDescent="0.25">
      <c r="A521" t="s">
        <v>842</v>
      </c>
      <c r="B521" t="s">
        <v>843</v>
      </c>
      <c r="C521" s="3">
        <v>45907</v>
      </c>
      <c r="D521">
        <v>28</v>
      </c>
      <c r="E521" s="3">
        <f t="shared" si="8"/>
        <v>45876</v>
      </c>
      <c r="F521" s="3">
        <f>IF(TableRefills3[[#This Row],[prev_refill_days]]="","",TableRefills3[[#This Row],[prev_refill_days]]+TableRefills3[[#This Row],[quantity_days]])</f>
        <v>45904</v>
      </c>
      <c r="G521">
        <f>IF(TableRefills3[[#This Row],[prev_refill_end]]="","",TableRefills3[[#This Row],[refill_date]]-TableRefills3[[#This Row],[prev_refill_end]])</f>
        <v>3</v>
      </c>
      <c r="H521" s="10">
        <f>IF(TableRefills3[[#This Row],[gap_days]]="",0,IF(TableRefills3[[#This Row],[gap_days]]&gt;2,1,0))</f>
        <v>1</v>
      </c>
      <c r="I521">
        <f>_xlfn.MAXIFS(TableRefills3[discountinuation_flag], TableRefills3[patient_id], A521)</f>
        <v>1</v>
      </c>
    </row>
    <row r="522" spans="1:9" x14ac:dyDescent="0.25">
      <c r="A522" t="s">
        <v>842</v>
      </c>
      <c r="B522" t="s">
        <v>843</v>
      </c>
      <c r="C522" s="3">
        <v>45937</v>
      </c>
      <c r="D522">
        <v>28</v>
      </c>
      <c r="E522" s="3">
        <f t="shared" si="8"/>
        <v>45907</v>
      </c>
      <c r="F522" s="3">
        <f>IF(TableRefills3[[#This Row],[prev_refill_days]]="","",TableRefills3[[#This Row],[prev_refill_days]]+TableRefills3[[#This Row],[quantity_days]])</f>
        <v>45935</v>
      </c>
      <c r="G522">
        <f>IF(TableRefills3[[#This Row],[prev_refill_end]]="","",TableRefills3[[#This Row],[refill_date]]-TableRefills3[[#This Row],[prev_refill_end]])</f>
        <v>2</v>
      </c>
      <c r="H522" s="10">
        <f>IF(TableRefills3[[#This Row],[gap_days]]="",0,IF(TableRefills3[[#This Row],[gap_days]]&gt;2,1,0))</f>
        <v>0</v>
      </c>
      <c r="I522">
        <f>_xlfn.MAXIFS(TableRefills3[discountinuation_flag], TableRefills3[patient_id], A522)</f>
        <v>1</v>
      </c>
    </row>
    <row r="523" spans="1:9" x14ac:dyDescent="0.25">
      <c r="A523" t="s">
        <v>850</v>
      </c>
      <c r="B523" t="s">
        <v>851</v>
      </c>
      <c r="C523" s="3">
        <v>45822</v>
      </c>
      <c r="D523">
        <v>28</v>
      </c>
      <c r="E523" s="3" t="str">
        <f t="shared" si="8"/>
        <v/>
      </c>
      <c r="F523" s="3" t="str">
        <f>IF(TableRefills3[[#This Row],[prev_refill_days]]="","",TableRefills3[[#This Row],[prev_refill_days]]+TableRefills3[[#This Row],[quantity_days]])</f>
        <v/>
      </c>
      <c r="G523" t="str">
        <f>IF(TableRefills3[[#This Row],[prev_refill_end]]="","",TableRefills3[[#This Row],[refill_date]]-TableRefills3[[#This Row],[prev_refill_end]])</f>
        <v/>
      </c>
      <c r="H523" s="10">
        <f>IF(TableRefills3[[#This Row],[gap_days]]="",0,IF(TableRefills3[[#This Row],[gap_days]]&gt;2,1,0))</f>
        <v>0</v>
      </c>
      <c r="I523">
        <f>_xlfn.MAXIFS(TableRefills3[discountinuation_flag], TableRefills3[patient_id], A523)</f>
        <v>1</v>
      </c>
    </row>
    <row r="524" spans="1:9" x14ac:dyDescent="0.25">
      <c r="A524" t="s">
        <v>850</v>
      </c>
      <c r="B524" t="s">
        <v>851</v>
      </c>
      <c r="C524" s="3">
        <v>45848</v>
      </c>
      <c r="D524">
        <v>28</v>
      </c>
      <c r="E524" s="3">
        <f t="shared" si="8"/>
        <v>45822</v>
      </c>
      <c r="F524" s="3">
        <f>IF(TableRefills3[[#This Row],[prev_refill_days]]="","",TableRefills3[[#This Row],[prev_refill_days]]+TableRefills3[[#This Row],[quantity_days]])</f>
        <v>45850</v>
      </c>
      <c r="G524">
        <f>IF(TableRefills3[[#This Row],[prev_refill_end]]="","",TableRefills3[[#This Row],[refill_date]]-TableRefills3[[#This Row],[prev_refill_end]])</f>
        <v>-2</v>
      </c>
      <c r="H524" s="10">
        <f>IF(TableRefills3[[#This Row],[gap_days]]="",0,IF(TableRefills3[[#This Row],[gap_days]]&gt;2,1,0))</f>
        <v>0</v>
      </c>
      <c r="I524">
        <f>_xlfn.MAXIFS(TableRefills3[discountinuation_flag], TableRefills3[patient_id], A524)</f>
        <v>1</v>
      </c>
    </row>
    <row r="525" spans="1:9" x14ac:dyDescent="0.25">
      <c r="A525" t="s">
        <v>850</v>
      </c>
      <c r="B525" t="s">
        <v>851</v>
      </c>
      <c r="C525" s="3">
        <v>45874</v>
      </c>
      <c r="D525">
        <v>28</v>
      </c>
      <c r="E525" s="3">
        <f t="shared" si="8"/>
        <v>45848</v>
      </c>
      <c r="F525" s="3">
        <f>IF(TableRefills3[[#This Row],[prev_refill_days]]="","",TableRefills3[[#This Row],[prev_refill_days]]+TableRefills3[[#This Row],[quantity_days]])</f>
        <v>45876</v>
      </c>
      <c r="G525">
        <f>IF(TableRefills3[[#This Row],[prev_refill_end]]="","",TableRefills3[[#This Row],[refill_date]]-TableRefills3[[#This Row],[prev_refill_end]])</f>
        <v>-2</v>
      </c>
      <c r="H525" s="10">
        <f>IF(TableRefills3[[#This Row],[gap_days]]="",0,IF(TableRefills3[[#This Row],[gap_days]]&gt;2,1,0))</f>
        <v>0</v>
      </c>
      <c r="I525">
        <f>_xlfn.MAXIFS(TableRefills3[discountinuation_flag], TableRefills3[patient_id], A525)</f>
        <v>1</v>
      </c>
    </row>
    <row r="526" spans="1:9" x14ac:dyDescent="0.25">
      <c r="A526" t="s">
        <v>850</v>
      </c>
      <c r="B526" t="s">
        <v>851</v>
      </c>
      <c r="C526" s="3">
        <v>45905</v>
      </c>
      <c r="D526">
        <v>28</v>
      </c>
      <c r="E526" s="3">
        <f t="shared" si="8"/>
        <v>45874</v>
      </c>
      <c r="F526" s="3">
        <f>IF(TableRefills3[[#This Row],[prev_refill_days]]="","",TableRefills3[[#This Row],[prev_refill_days]]+TableRefills3[[#This Row],[quantity_days]])</f>
        <v>45902</v>
      </c>
      <c r="G526">
        <f>IF(TableRefills3[[#This Row],[prev_refill_end]]="","",TableRefills3[[#This Row],[refill_date]]-TableRefills3[[#This Row],[prev_refill_end]])</f>
        <v>3</v>
      </c>
      <c r="H526" s="10">
        <f>IF(TableRefills3[[#This Row],[gap_days]]="",0,IF(TableRefills3[[#This Row],[gap_days]]&gt;2,1,0))</f>
        <v>1</v>
      </c>
      <c r="I526">
        <f>_xlfn.MAXIFS(TableRefills3[discountinuation_flag], TableRefills3[patient_id], A526)</f>
        <v>1</v>
      </c>
    </row>
    <row r="527" spans="1:9" x14ac:dyDescent="0.25">
      <c r="A527" t="s">
        <v>850</v>
      </c>
      <c r="B527" t="s">
        <v>851</v>
      </c>
      <c r="C527" s="3">
        <v>45931</v>
      </c>
      <c r="D527">
        <v>28</v>
      </c>
      <c r="E527" s="3">
        <f t="shared" si="8"/>
        <v>45905</v>
      </c>
      <c r="F527" s="3">
        <f>IF(TableRefills3[[#This Row],[prev_refill_days]]="","",TableRefills3[[#This Row],[prev_refill_days]]+TableRefills3[[#This Row],[quantity_days]])</f>
        <v>45933</v>
      </c>
      <c r="G527">
        <f>IF(TableRefills3[[#This Row],[prev_refill_end]]="","",TableRefills3[[#This Row],[refill_date]]-TableRefills3[[#This Row],[prev_refill_end]])</f>
        <v>-2</v>
      </c>
      <c r="H527" s="10">
        <f>IF(TableRefills3[[#This Row],[gap_days]]="",0,IF(TableRefills3[[#This Row],[gap_days]]&gt;2,1,0))</f>
        <v>0</v>
      </c>
      <c r="I527">
        <f>_xlfn.MAXIFS(TableRefills3[discountinuation_flag], TableRefills3[patient_id], A527)</f>
        <v>1</v>
      </c>
    </row>
    <row r="528" spans="1:9" x14ac:dyDescent="0.25">
      <c r="A528" t="s">
        <v>850</v>
      </c>
      <c r="B528" t="s">
        <v>851</v>
      </c>
      <c r="C528" s="3">
        <v>45960</v>
      </c>
      <c r="D528">
        <v>28</v>
      </c>
      <c r="E528" s="3">
        <f t="shared" si="8"/>
        <v>45931</v>
      </c>
      <c r="F528" s="3">
        <f>IF(TableRefills3[[#This Row],[prev_refill_days]]="","",TableRefills3[[#This Row],[prev_refill_days]]+TableRefills3[[#This Row],[quantity_days]])</f>
        <v>45959</v>
      </c>
      <c r="G528">
        <f>IF(TableRefills3[[#This Row],[prev_refill_end]]="","",TableRefills3[[#This Row],[refill_date]]-TableRefills3[[#This Row],[prev_refill_end]])</f>
        <v>1</v>
      </c>
      <c r="H528" s="10">
        <f>IF(TableRefills3[[#This Row],[gap_days]]="",0,IF(TableRefills3[[#This Row],[gap_days]]&gt;2,1,0))</f>
        <v>0</v>
      </c>
      <c r="I528">
        <f>_xlfn.MAXIFS(TableRefills3[discountinuation_flag], TableRefills3[patient_id], A528)</f>
        <v>1</v>
      </c>
    </row>
    <row r="529" spans="1:9" x14ac:dyDescent="0.25">
      <c r="A529" t="s">
        <v>858</v>
      </c>
      <c r="B529" t="s">
        <v>859</v>
      </c>
      <c r="C529" s="3">
        <v>45891</v>
      </c>
      <c r="D529">
        <v>28</v>
      </c>
      <c r="E529" s="3" t="str">
        <f t="shared" si="8"/>
        <v/>
      </c>
      <c r="F529" s="3" t="str">
        <f>IF(TableRefills3[[#This Row],[prev_refill_days]]="","",TableRefills3[[#This Row],[prev_refill_days]]+TableRefills3[[#This Row],[quantity_days]])</f>
        <v/>
      </c>
      <c r="G529" t="str">
        <f>IF(TableRefills3[[#This Row],[prev_refill_end]]="","",TableRefills3[[#This Row],[refill_date]]-TableRefills3[[#This Row],[prev_refill_end]])</f>
        <v/>
      </c>
      <c r="H529" s="10">
        <f>IF(TableRefills3[[#This Row],[gap_days]]="",0,IF(TableRefills3[[#This Row],[gap_days]]&gt;2,1,0))</f>
        <v>0</v>
      </c>
      <c r="I529">
        <f>_xlfn.MAXIFS(TableRefills3[discountinuation_flag], TableRefills3[patient_id], A529)</f>
        <v>0</v>
      </c>
    </row>
    <row r="530" spans="1:9" x14ac:dyDescent="0.25">
      <c r="A530" t="s">
        <v>858</v>
      </c>
      <c r="B530" t="s">
        <v>859</v>
      </c>
      <c r="C530" s="3">
        <v>45921</v>
      </c>
      <c r="D530">
        <v>28</v>
      </c>
      <c r="E530" s="3">
        <f t="shared" si="8"/>
        <v>45891</v>
      </c>
      <c r="F530" s="3">
        <f>IF(TableRefills3[[#This Row],[prev_refill_days]]="","",TableRefills3[[#This Row],[prev_refill_days]]+TableRefills3[[#This Row],[quantity_days]])</f>
        <v>45919</v>
      </c>
      <c r="G530">
        <f>IF(TableRefills3[[#This Row],[prev_refill_end]]="","",TableRefills3[[#This Row],[refill_date]]-TableRefills3[[#This Row],[prev_refill_end]])</f>
        <v>2</v>
      </c>
      <c r="H530" s="10">
        <f>IF(TableRefills3[[#This Row],[gap_days]]="",0,IF(TableRefills3[[#This Row],[gap_days]]&gt;2,1,0))</f>
        <v>0</v>
      </c>
      <c r="I530">
        <f>_xlfn.MAXIFS(TableRefills3[discountinuation_flag], TableRefills3[patient_id], A530)</f>
        <v>0</v>
      </c>
    </row>
    <row r="531" spans="1:9" x14ac:dyDescent="0.25">
      <c r="A531" t="s">
        <v>862</v>
      </c>
      <c r="B531" t="s">
        <v>863</v>
      </c>
      <c r="C531" s="3">
        <v>45952</v>
      </c>
      <c r="D531">
        <v>30</v>
      </c>
      <c r="E531" s="3" t="str">
        <f t="shared" si="8"/>
        <v/>
      </c>
      <c r="F531" s="3" t="str">
        <f>IF(TableRefills3[[#This Row],[prev_refill_days]]="","",TableRefills3[[#This Row],[prev_refill_days]]+TableRefills3[[#This Row],[quantity_days]])</f>
        <v/>
      </c>
      <c r="G531" t="str">
        <f>IF(TableRefills3[[#This Row],[prev_refill_end]]="","",TableRefills3[[#This Row],[refill_date]]-TableRefills3[[#This Row],[prev_refill_end]])</f>
        <v/>
      </c>
      <c r="H531" s="10">
        <f>IF(TableRefills3[[#This Row],[gap_days]]="",0,IF(TableRefills3[[#This Row],[gap_days]]&gt;2,1,0))</f>
        <v>0</v>
      </c>
      <c r="I531">
        <f>_xlfn.MAXIFS(TableRefills3[discountinuation_flag], TableRefills3[patient_id], A531)</f>
        <v>0</v>
      </c>
    </row>
    <row r="532" spans="1:9" x14ac:dyDescent="0.25">
      <c r="A532" t="s">
        <v>865</v>
      </c>
      <c r="B532" t="s">
        <v>866</v>
      </c>
      <c r="C532" s="3">
        <v>45859</v>
      </c>
      <c r="D532">
        <v>28</v>
      </c>
      <c r="E532" s="3" t="str">
        <f t="shared" si="8"/>
        <v/>
      </c>
      <c r="F532" s="3" t="str">
        <f>IF(TableRefills3[[#This Row],[prev_refill_days]]="","",TableRefills3[[#This Row],[prev_refill_days]]+TableRefills3[[#This Row],[quantity_days]])</f>
        <v/>
      </c>
      <c r="G532" t="str">
        <f>IF(TableRefills3[[#This Row],[prev_refill_end]]="","",TableRefills3[[#This Row],[refill_date]]-TableRefills3[[#This Row],[prev_refill_end]])</f>
        <v/>
      </c>
      <c r="H532" s="10">
        <f>IF(TableRefills3[[#This Row],[gap_days]]="",0,IF(TableRefills3[[#This Row],[gap_days]]&gt;2,1,0))</f>
        <v>0</v>
      </c>
      <c r="I532">
        <f>_xlfn.MAXIFS(TableRefills3[discountinuation_flag], TableRefills3[patient_id], A532)</f>
        <v>0</v>
      </c>
    </row>
    <row r="533" spans="1:9" x14ac:dyDescent="0.25">
      <c r="A533" t="s">
        <v>865</v>
      </c>
      <c r="B533" t="s">
        <v>866</v>
      </c>
      <c r="C533" s="3">
        <v>45886</v>
      </c>
      <c r="D533">
        <v>28</v>
      </c>
      <c r="E533" s="3">
        <f t="shared" si="8"/>
        <v>45859</v>
      </c>
      <c r="F533" s="3">
        <f>IF(TableRefills3[[#This Row],[prev_refill_days]]="","",TableRefills3[[#This Row],[prev_refill_days]]+TableRefills3[[#This Row],[quantity_days]])</f>
        <v>45887</v>
      </c>
      <c r="G533">
        <f>IF(TableRefills3[[#This Row],[prev_refill_end]]="","",TableRefills3[[#This Row],[refill_date]]-TableRefills3[[#This Row],[prev_refill_end]])</f>
        <v>-1</v>
      </c>
      <c r="H533" s="10">
        <f>IF(TableRefills3[[#This Row],[gap_days]]="",0,IF(TableRefills3[[#This Row],[gap_days]]&gt;2,1,0))</f>
        <v>0</v>
      </c>
      <c r="I533">
        <f>_xlfn.MAXIFS(TableRefills3[discountinuation_flag], TableRefills3[patient_id], A533)</f>
        <v>0</v>
      </c>
    </row>
    <row r="534" spans="1:9" x14ac:dyDescent="0.25">
      <c r="A534" t="s">
        <v>865</v>
      </c>
      <c r="B534" t="s">
        <v>866</v>
      </c>
      <c r="C534" s="3">
        <v>45913</v>
      </c>
      <c r="D534">
        <v>28</v>
      </c>
      <c r="E534" s="3">
        <f t="shared" si="8"/>
        <v>45886</v>
      </c>
      <c r="F534" s="3">
        <f>IF(TableRefills3[[#This Row],[prev_refill_days]]="","",TableRefills3[[#This Row],[prev_refill_days]]+TableRefills3[[#This Row],[quantity_days]])</f>
        <v>45914</v>
      </c>
      <c r="G534">
        <f>IF(TableRefills3[[#This Row],[prev_refill_end]]="","",TableRefills3[[#This Row],[refill_date]]-TableRefills3[[#This Row],[prev_refill_end]])</f>
        <v>-1</v>
      </c>
      <c r="H534" s="10">
        <f>IF(TableRefills3[[#This Row],[gap_days]]="",0,IF(TableRefills3[[#This Row],[gap_days]]&gt;2,1,0))</f>
        <v>0</v>
      </c>
      <c r="I534">
        <f>_xlfn.MAXIFS(TableRefills3[discountinuation_flag], TableRefills3[patient_id], A534)</f>
        <v>0</v>
      </c>
    </row>
    <row r="535" spans="1:9" x14ac:dyDescent="0.25">
      <c r="A535" t="s">
        <v>865</v>
      </c>
      <c r="B535" t="s">
        <v>866</v>
      </c>
      <c r="C535" s="3">
        <v>45941</v>
      </c>
      <c r="D535">
        <v>28</v>
      </c>
      <c r="E535" s="3">
        <f t="shared" si="8"/>
        <v>45913</v>
      </c>
      <c r="F535" s="3">
        <f>IF(TableRefills3[[#This Row],[prev_refill_days]]="","",TableRefills3[[#This Row],[prev_refill_days]]+TableRefills3[[#This Row],[quantity_days]])</f>
        <v>45941</v>
      </c>
      <c r="G535">
        <f>IF(TableRefills3[[#This Row],[prev_refill_end]]="","",TableRefills3[[#This Row],[refill_date]]-TableRefills3[[#This Row],[prev_refill_end]])</f>
        <v>0</v>
      </c>
      <c r="H535" s="10">
        <f>IF(TableRefills3[[#This Row],[gap_days]]="",0,IF(TableRefills3[[#This Row],[gap_days]]&gt;2,1,0))</f>
        <v>0</v>
      </c>
      <c r="I535">
        <f>_xlfn.MAXIFS(TableRefills3[discountinuation_flag], TableRefills3[patient_id], A535)</f>
        <v>0</v>
      </c>
    </row>
    <row r="536" spans="1:9" x14ac:dyDescent="0.25">
      <c r="A536" t="s">
        <v>871</v>
      </c>
      <c r="B536" t="s">
        <v>872</v>
      </c>
      <c r="C536" s="3">
        <v>45866</v>
      </c>
      <c r="D536">
        <v>56</v>
      </c>
      <c r="E536" s="3" t="str">
        <f t="shared" si="8"/>
        <v/>
      </c>
      <c r="F536" s="3" t="str">
        <f>IF(TableRefills3[[#This Row],[prev_refill_days]]="","",TableRefills3[[#This Row],[prev_refill_days]]+TableRefills3[[#This Row],[quantity_days]])</f>
        <v/>
      </c>
      <c r="G536" t="str">
        <f>IF(TableRefills3[[#This Row],[prev_refill_end]]="","",TableRefills3[[#This Row],[refill_date]]-TableRefills3[[#This Row],[prev_refill_end]])</f>
        <v/>
      </c>
      <c r="H536" s="10">
        <f>IF(TableRefills3[[#This Row],[gap_days]]="",0,IF(TableRefills3[[#This Row],[gap_days]]&gt;2,1,0))</f>
        <v>0</v>
      </c>
      <c r="I536">
        <f>_xlfn.MAXIFS(TableRefills3[discountinuation_flag], TableRefills3[patient_id], A536)</f>
        <v>1</v>
      </c>
    </row>
    <row r="537" spans="1:9" x14ac:dyDescent="0.25">
      <c r="A537" t="s">
        <v>871</v>
      </c>
      <c r="B537" t="s">
        <v>872</v>
      </c>
      <c r="C537" s="3">
        <v>45925</v>
      </c>
      <c r="D537">
        <v>56</v>
      </c>
      <c r="E537" s="3">
        <f t="shared" si="8"/>
        <v>45866</v>
      </c>
      <c r="F537" s="3">
        <f>IF(TableRefills3[[#This Row],[prev_refill_days]]="","",TableRefills3[[#This Row],[prev_refill_days]]+TableRefills3[[#This Row],[quantity_days]])</f>
        <v>45922</v>
      </c>
      <c r="G537">
        <f>IF(TableRefills3[[#This Row],[prev_refill_end]]="","",TableRefills3[[#This Row],[refill_date]]-TableRefills3[[#This Row],[prev_refill_end]])</f>
        <v>3</v>
      </c>
      <c r="H537" s="10">
        <f>IF(TableRefills3[[#This Row],[gap_days]]="",0,IF(TableRefills3[[#This Row],[gap_days]]&gt;2,1,0))</f>
        <v>1</v>
      </c>
      <c r="I537">
        <f>_xlfn.MAXIFS(TableRefills3[discountinuation_flag], TableRefills3[patient_id], A537)</f>
        <v>1</v>
      </c>
    </row>
    <row r="538" spans="1:9" x14ac:dyDescent="0.25">
      <c r="A538" t="s">
        <v>875</v>
      </c>
      <c r="B538" t="s">
        <v>876</v>
      </c>
      <c r="C538" s="3">
        <v>45794</v>
      </c>
      <c r="D538">
        <v>30</v>
      </c>
      <c r="E538" s="3" t="str">
        <f t="shared" si="8"/>
        <v/>
      </c>
      <c r="F538" s="3" t="str">
        <f>IF(TableRefills3[[#This Row],[prev_refill_days]]="","",TableRefills3[[#This Row],[prev_refill_days]]+TableRefills3[[#This Row],[quantity_days]])</f>
        <v/>
      </c>
      <c r="G538" t="str">
        <f>IF(TableRefills3[[#This Row],[prev_refill_end]]="","",TableRefills3[[#This Row],[refill_date]]-TableRefills3[[#This Row],[prev_refill_end]])</f>
        <v/>
      </c>
      <c r="H538" s="10">
        <f>IF(TableRefills3[[#This Row],[gap_days]]="",0,IF(TableRefills3[[#This Row],[gap_days]]&gt;2,1,0))</f>
        <v>0</v>
      </c>
      <c r="I538">
        <f>_xlfn.MAXIFS(TableRefills3[discountinuation_flag], TableRefills3[patient_id], A538)</f>
        <v>1</v>
      </c>
    </row>
    <row r="539" spans="1:9" x14ac:dyDescent="0.25">
      <c r="A539" t="s">
        <v>875</v>
      </c>
      <c r="B539" t="s">
        <v>876</v>
      </c>
      <c r="C539" s="3">
        <v>45821</v>
      </c>
      <c r="D539">
        <v>30</v>
      </c>
      <c r="E539" s="3">
        <f t="shared" si="8"/>
        <v>45794</v>
      </c>
      <c r="F539" s="3">
        <f>IF(TableRefills3[[#This Row],[prev_refill_days]]="","",TableRefills3[[#This Row],[prev_refill_days]]+TableRefills3[[#This Row],[quantity_days]])</f>
        <v>45824</v>
      </c>
      <c r="G539">
        <f>IF(TableRefills3[[#This Row],[prev_refill_end]]="","",TableRefills3[[#This Row],[refill_date]]-TableRefills3[[#This Row],[prev_refill_end]])</f>
        <v>-3</v>
      </c>
      <c r="H539" s="10">
        <f>IF(TableRefills3[[#This Row],[gap_days]]="",0,IF(TableRefills3[[#This Row],[gap_days]]&gt;2,1,0))</f>
        <v>0</v>
      </c>
      <c r="I539">
        <f>_xlfn.MAXIFS(TableRefills3[discountinuation_flag], TableRefills3[patient_id], A539)</f>
        <v>1</v>
      </c>
    </row>
    <row r="540" spans="1:9" x14ac:dyDescent="0.25">
      <c r="A540" t="s">
        <v>875</v>
      </c>
      <c r="B540" t="s">
        <v>876</v>
      </c>
      <c r="C540" s="3">
        <v>45852</v>
      </c>
      <c r="D540">
        <v>30</v>
      </c>
      <c r="E540" s="3">
        <f t="shared" si="8"/>
        <v>45821</v>
      </c>
      <c r="F540" s="3">
        <f>IF(TableRefills3[[#This Row],[prev_refill_days]]="","",TableRefills3[[#This Row],[prev_refill_days]]+TableRefills3[[#This Row],[quantity_days]])</f>
        <v>45851</v>
      </c>
      <c r="G540">
        <f>IF(TableRefills3[[#This Row],[prev_refill_end]]="","",TableRefills3[[#This Row],[refill_date]]-TableRefills3[[#This Row],[prev_refill_end]])</f>
        <v>1</v>
      </c>
      <c r="H540" s="10">
        <f>IF(TableRefills3[[#This Row],[gap_days]]="",0,IF(TableRefills3[[#This Row],[gap_days]]&gt;2,1,0))</f>
        <v>0</v>
      </c>
      <c r="I540">
        <f>_xlfn.MAXIFS(TableRefills3[discountinuation_flag], TableRefills3[patient_id], A540)</f>
        <v>1</v>
      </c>
    </row>
    <row r="541" spans="1:9" x14ac:dyDescent="0.25">
      <c r="A541" t="s">
        <v>875</v>
      </c>
      <c r="B541" t="s">
        <v>876</v>
      </c>
      <c r="C541" s="3">
        <v>45885</v>
      </c>
      <c r="D541">
        <v>30</v>
      </c>
      <c r="E541" s="3">
        <f t="shared" si="8"/>
        <v>45852</v>
      </c>
      <c r="F541" s="3">
        <f>IF(TableRefills3[[#This Row],[prev_refill_days]]="","",TableRefills3[[#This Row],[prev_refill_days]]+TableRefills3[[#This Row],[quantity_days]])</f>
        <v>45882</v>
      </c>
      <c r="G541">
        <f>IF(TableRefills3[[#This Row],[prev_refill_end]]="","",TableRefills3[[#This Row],[refill_date]]-TableRefills3[[#This Row],[prev_refill_end]])</f>
        <v>3</v>
      </c>
      <c r="H541" s="10">
        <f>IF(TableRefills3[[#This Row],[gap_days]]="",0,IF(TableRefills3[[#This Row],[gap_days]]&gt;2,1,0))</f>
        <v>1</v>
      </c>
      <c r="I541">
        <f>_xlfn.MAXIFS(TableRefills3[discountinuation_flag], TableRefills3[patient_id], A541)</f>
        <v>1</v>
      </c>
    </row>
    <row r="542" spans="1:9" x14ac:dyDescent="0.25">
      <c r="A542" t="s">
        <v>875</v>
      </c>
      <c r="B542" t="s">
        <v>876</v>
      </c>
      <c r="C542" s="3">
        <v>45914</v>
      </c>
      <c r="D542">
        <v>30</v>
      </c>
      <c r="E542" s="3">
        <f t="shared" si="8"/>
        <v>45885</v>
      </c>
      <c r="F542" s="3">
        <f>IF(TableRefills3[[#This Row],[prev_refill_days]]="","",TableRefills3[[#This Row],[prev_refill_days]]+TableRefills3[[#This Row],[quantity_days]])</f>
        <v>45915</v>
      </c>
      <c r="G542">
        <f>IF(TableRefills3[[#This Row],[prev_refill_end]]="","",TableRefills3[[#This Row],[refill_date]]-TableRefills3[[#This Row],[prev_refill_end]])</f>
        <v>-1</v>
      </c>
      <c r="H542" s="10">
        <f>IF(TableRefills3[[#This Row],[gap_days]]="",0,IF(TableRefills3[[#This Row],[gap_days]]&gt;2,1,0))</f>
        <v>0</v>
      </c>
      <c r="I542">
        <f>_xlfn.MAXIFS(TableRefills3[discountinuation_flag], TableRefills3[patient_id], A542)</f>
        <v>1</v>
      </c>
    </row>
    <row r="543" spans="1:9" x14ac:dyDescent="0.25">
      <c r="A543" t="s">
        <v>875</v>
      </c>
      <c r="B543" t="s">
        <v>876</v>
      </c>
      <c r="C543" s="3">
        <v>45946</v>
      </c>
      <c r="D543">
        <v>30</v>
      </c>
      <c r="E543" s="3">
        <f t="shared" si="8"/>
        <v>45914</v>
      </c>
      <c r="F543" s="3">
        <f>IF(TableRefills3[[#This Row],[prev_refill_days]]="","",TableRefills3[[#This Row],[prev_refill_days]]+TableRefills3[[#This Row],[quantity_days]])</f>
        <v>45944</v>
      </c>
      <c r="G543">
        <f>IF(TableRefills3[[#This Row],[prev_refill_end]]="","",TableRefills3[[#This Row],[refill_date]]-TableRefills3[[#This Row],[prev_refill_end]])</f>
        <v>2</v>
      </c>
      <c r="H543" s="10">
        <f>IF(TableRefills3[[#This Row],[gap_days]]="",0,IF(TableRefills3[[#This Row],[gap_days]]&gt;2,1,0))</f>
        <v>0</v>
      </c>
      <c r="I543">
        <f>_xlfn.MAXIFS(TableRefills3[discountinuation_flag], TableRefills3[patient_id], A543)</f>
        <v>1</v>
      </c>
    </row>
    <row r="544" spans="1:9" x14ac:dyDescent="0.25">
      <c r="A544" t="s">
        <v>883</v>
      </c>
      <c r="B544" t="s">
        <v>884</v>
      </c>
      <c r="C544" s="3">
        <v>45916</v>
      </c>
      <c r="D544">
        <v>28</v>
      </c>
      <c r="E544" s="3" t="str">
        <f t="shared" si="8"/>
        <v/>
      </c>
      <c r="F544" s="3" t="str">
        <f>IF(TableRefills3[[#This Row],[prev_refill_days]]="","",TableRefills3[[#This Row],[prev_refill_days]]+TableRefills3[[#This Row],[quantity_days]])</f>
        <v/>
      </c>
      <c r="G544" t="str">
        <f>IF(TableRefills3[[#This Row],[prev_refill_end]]="","",TableRefills3[[#This Row],[refill_date]]-TableRefills3[[#This Row],[prev_refill_end]])</f>
        <v/>
      </c>
      <c r="H544" s="10">
        <f>IF(TableRefills3[[#This Row],[gap_days]]="",0,IF(TableRefills3[[#This Row],[gap_days]]&gt;2,1,0))</f>
        <v>0</v>
      </c>
      <c r="I544">
        <f>_xlfn.MAXIFS(TableRefills3[discountinuation_flag], TableRefills3[patient_id], A544)</f>
        <v>0</v>
      </c>
    </row>
    <row r="545" spans="1:9" x14ac:dyDescent="0.25">
      <c r="A545" t="s">
        <v>883</v>
      </c>
      <c r="B545" t="s">
        <v>884</v>
      </c>
      <c r="C545" s="3">
        <v>45943</v>
      </c>
      <c r="D545">
        <v>28</v>
      </c>
      <c r="E545" s="3">
        <f t="shared" si="8"/>
        <v>45916</v>
      </c>
      <c r="F545" s="3">
        <f>IF(TableRefills3[[#This Row],[prev_refill_days]]="","",TableRefills3[[#This Row],[prev_refill_days]]+TableRefills3[[#This Row],[quantity_days]])</f>
        <v>45944</v>
      </c>
      <c r="G545">
        <f>IF(TableRefills3[[#This Row],[prev_refill_end]]="","",TableRefills3[[#This Row],[refill_date]]-TableRefills3[[#This Row],[prev_refill_end]])</f>
        <v>-1</v>
      </c>
      <c r="H545" s="10">
        <f>IF(TableRefills3[[#This Row],[gap_days]]="",0,IF(TableRefills3[[#This Row],[gap_days]]&gt;2,1,0))</f>
        <v>0</v>
      </c>
      <c r="I545">
        <f>_xlfn.MAXIFS(TableRefills3[discountinuation_flag], TableRefills3[patient_id], A545)</f>
        <v>0</v>
      </c>
    </row>
    <row r="546" spans="1:9" x14ac:dyDescent="0.25">
      <c r="A546" t="s">
        <v>887</v>
      </c>
      <c r="B546" t="s">
        <v>888</v>
      </c>
      <c r="C546" s="3">
        <v>45854</v>
      </c>
      <c r="D546">
        <v>30</v>
      </c>
      <c r="E546" s="3" t="str">
        <f t="shared" si="8"/>
        <v/>
      </c>
      <c r="F546" s="3" t="str">
        <f>IF(TableRefills3[[#This Row],[prev_refill_days]]="","",TableRefills3[[#This Row],[prev_refill_days]]+TableRefills3[[#This Row],[quantity_days]])</f>
        <v/>
      </c>
      <c r="G546" t="str">
        <f>IF(TableRefills3[[#This Row],[prev_refill_end]]="","",TableRefills3[[#This Row],[refill_date]]-TableRefills3[[#This Row],[prev_refill_end]])</f>
        <v/>
      </c>
      <c r="H546" s="10">
        <f>IF(TableRefills3[[#This Row],[gap_days]]="",0,IF(TableRefills3[[#This Row],[gap_days]]&gt;2,1,0))</f>
        <v>0</v>
      </c>
      <c r="I546">
        <f>_xlfn.MAXIFS(TableRefills3[discountinuation_flag], TableRefills3[patient_id], A546)</f>
        <v>0</v>
      </c>
    </row>
    <row r="547" spans="1:9" x14ac:dyDescent="0.25">
      <c r="A547" t="s">
        <v>887</v>
      </c>
      <c r="B547" t="s">
        <v>888</v>
      </c>
      <c r="C547" s="3">
        <v>45881</v>
      </c>
      <c r="D547">
        <v>30</v>
      </c>
      <c r="E547" s="3">
        <f t="shared" si="8"/>
        <v>45854</v>
      </c>
      <c r="F547" s="3">
        <f>IF(TableRefills3[[#This Row],[prev_refill_days]]="","",TableRefills3[[#This Row],[prev_refill_days]]+TableRefills3[[#This Row],[quantity_days]])</f>
        <v>45884</v>
      </c>
      <c r="G547">
        <f>IF(TableRefills3[[#This Row],[prev_refill_end]]="","",TableRefills3[[#This Row],[refill_date]]-TableRefills3[[#This Row],[prev_refill_end]])</f>
        <v>-3</v>
      </c>
      <c r="H547" s="10">
        <f>IF(TableRefills3[[#This Row],[gap_days]]="",0,IF(TableRefills3[[#This Row],[gap_days]]&gt;2,1,0))</f>
        <v>0</v>
      </c>
      <c r="I547">
        <f>_xlfn.MAXIFS(TableRefills3[discountinuation_flag], TableRefills3[patient_id], A547)</f>
        <v>0</v>
      </c>
    </row>
    <row r="548" spans="1:9" x14ac:dyDescent="0.25">
      <c r="A548" t="s">
        <v>887</v>
      </c>
      <c r="B548" t="s">
        <v>888</v>
      </c>
      <c r="C548" s="3">
        <v>45910</v>
      </c>
      <c r="D548">
        <v>30</v>
      </c>
      <c r="E548" s="3">
        <f t="shared" si="8"/>
        <v>45881</v>
      </c>
      <c r="F548" s="3">
        <f>IF(TableRefills3[[#This Row],[prev_refill_days]]="","",TableRefills3[[#This Row],[prev_refill_days]]+TableRefills3[[#This Row],[quantity_days]])</f>
        <v>45911</v>
      </c>
      <c r="G548">
        <f>IF(TableRefills3[[#This Row],[prev_refill_end]]="","",TableRefills3[[#This Row],[refill_date]]-TableRefills3[[#This Row],[prev_refill_end]])</f>
        <v>-1</v>
      </c>
      <c r="H548" s="10">
        <f>IF(TableRefills3[[#This Row],[gap_days]]="",0,IF(TableRefills3[[#This Row],[gap_days]]&gt;2,1,0))</f>
        <v>0</v>
      </c>
      <c r="I548">
        <f>_xlfn.MAXIFS(TableRefills3[discountinuation_flag], TableRefills3[patient_id], A548)</f>
        <v>0</v>
      </c>
    </row>
    <row r="549" spans="1:9" x14ac:dyDescent="0.25">
      <c r="A549" t="s">
        <v>887</v>
      </c>
      <c r="B549" t="s">
        <v>888</v>
      </c>
      <c r="C549" s="3">
        <v>45939</v>
      </c>
      <c r="D549">
        <v>30</v>
      </c>
      <c r="E549" s="3">
        <f t="shared" si="8"/>
        <v>45910</v>
      </c>
      <c r="F549" s="3">
        <f>IF(TableRefills3[[#This Row],[prev_refill_days]]="","",TableRefills3[[#This Row],[prev_refill_days]]+TableRefills3[[#This Row],[quantity_days]])</f>
        <v>45940</v>
      </c>
      <c r="G549">
        <f>IF(TableRefills3[[#This Row],[prev_refill_end]]="","",TableRefills3[[#This Row],[refill_date]]-TableRefills3[[#This Row],[prev_refill_end]])</f>
        <v>-1</v>
      </c>
      <c r="H549" s="10">
        <f>IF(TableRefills3[[#This Row],[gap_days]]="",0,IF(TableRefills3[[#This Row],[gap_days]]&gt;2,1,0))</f>
        <v>0</v>
      </c>
      <c r="I549">
        <f>_xlfn.MAXIFS(TableRefills3[discountinuation_flag], TableRefills3[patient_id], A549)</f>
        <v>0</v>
      </c>
    </row>
    <row r="550" spans="1:9" x14ac:dyDescent="0.25">
      <c r="A550" t="s">
        <v>893</v>
      </c>
      <c r="B550" t="s">
        <v>894</v>
      </c>
      <c r="C550" s="3">
        <v>45818</v>
      </c>
      <c r="D550">
        <v>28</v>
      </c>
      <c r="E550" s="3" t="str">
        <f t="shared" si="8"/>
        <v/>
      </c>
      <c r="F550" s="3" t="str">
        <f>IF(TableRefills3[[#This Row],[prev_refill_days]]="","",TableRefills3[[#This Row],[prev_refill_days]]+TableRefills3[[#This Row],[quantity_days]])</f>
        <v/>
      </c>
      <c r="G550" t="str">
        <f>IF(TableRefills3[[#This Row],[prev_refill_end]]="","",TableRefills3[[#This Row],[refill_date]]-TableRefills3[[#This Row],[prev_refill_end]])</f>
        <v/>
      </c>
      <c r="H550" s="10">
        <f>IF(TableRefills3[[#This Row],[gap_days]]="",0,IF(TableRefills3[[#This Row],[gap_days]]&gt;2,1,0))</f>
        <v>0</v>
      </c>
      <c r="I550">
        <f>_xlfn.MAXIFS(TableRefills3[discountinuation_flag], TableRefills3[patient_id], A550)</f>
        <v>0</v>
      </c>
    </row>
    <row r="551" spans="1:9" x14ac:dyDescent="0.25">
      <c r="A551" t="s">
        <v>893</v>
      </c>
      <c r="B551" t="s">
        <v>894</v>
      </c>
      <c r="C551" s="3">
        <v>45848</v>
      </c>
      <c r="D551">
        <v>28</v>
      </c>
      <c r="E551" s="3">
        <f t="shared" si="8"/>
        <v>45818</v>
      </c>
      <c r="F551" s="3">
        <f>IF(TableRefills3[[#This Row],[prev_refill_days]]="","",TableRefills3[[#This Row],[prev_refill_days]]+TableRefills3[[#This Row],[quantity_days]])</f>
        <v>45846</v>
      </c>
      <c r="G551">
        <f>IF(TableRefills3[[#This Row],[prev_refill_end]]="","",TableRefills3[[#This Row],[refill_date]]-TableRefills3[[#This Row],[prev_refill_end]])</f>
        <v>2</v>
      </c>
      <c r="H551" s="10">
        <f>IF(TableRefills3[[#This Row],[gap_days]]="",0,IF(TableRefills3[[#This Row],[gap_days]]&gt;2,1,0))</f>
        <v>0</v>
      </c>
      <c r="I551">
        <f>_xlfn.MAXIFS(TableRefills3[discountinuation_flag], TableRefills3[patient_id], A551)</f>
        <v>0</v>
      </c>
    </row>
    <row r="552" spans="1:9" x14ac:dyDescent="0.25">
      <c r="A552" t="s">
        <v>893</v>
      </c>
      <c r="B552" t="s">
        <v>894</v>
      </c>
      <c r="C552" s="3">
        <v>45875</v>
      </c>
      <c r="D552">
        <v>28</v>
      </c>
      <c r="E552" s="3">
        <f t="shared" si="8"/>
        <v>45848</v>
      </c>
      <c r="F552" s="3">
        <f>IF(TableRefills3[[#This Row],[prev_refill_days]]="","",TableRefills3[[#This Row],[prev_refill_days]]+TableRefills3[[#This Row],[quantity_days]])</f>
        <v>45876</v>
      </c>
      <c r="G552">
        <f>IF(TableRefills3[[#This Row],[prev_refill_end]]="","",TableRefills3[[#This Row],[refill_date]]-TableRefills3[[#This Row],[prev_refill_end]])</f>
        <v>-1</v>
      </c>
      <c r="H552" s="10">
        <f>IF(TableRefills3[[#This Row],[gap_days]]="",0,IF(TableRefills3[[#This Row],[gap_days]]&gt;2,1,0))</f>
        <v>0</v>
      </c>
      <c r="I552">
        <f>_xlfn.MAXIFS(TableRefills3[discountinuation_flag], TableRefills3[patient_id], A552)</f>
        <v>0</v>
      </c>
    </row>
    <row r="553" spans="1:9" x14ac:dyDescent="0.25">
      <c r="A553" t="s">
        <v>898</v>
      </c>
      <c r="B553" t="s">
        <v>899</v>
      </c>
      <c r="C553" s="3">
        <v>45959</v>
      </c>
      <c r="D553">
        <v>30</v>
      </c>
      <c r="E553" s="3" t="str">
        <f t="shared" si="8"/>
        <v/>
      </c>
      <c r="F553" s="3" t="str">
        <f>IF(TableRefills3[[#This Row],[prev_refill_days]]="","",TableRefills3[[#This Row],[prev_refill_days]]+TableRefills3[[#This Row],[quantity_days]])</f>
        <v/>
      </c>
      <c r="G553" t="str">
        <f>IF(TableRefills3[[#This Row],[prev_refill_end]]="","",TableRefills3[[#This Row],[refill_date]]-TableRefills3[[#This Row],[prev_refill_end]])</f>
        <v/>
      </c>
      <c r="H553" s="10">
        <f>IF(TableRefills3[[#This Row],[gap_days]]="",0,IF(TableRefills3[[#This Row],[gap_days]]&gt;2,1,0))</f>
        <v>0</v>
      </c>
      <c r="I553">
        <f>_xlfn.MAXIFS(TableRefills3[discountinuation_flag], TableRefills3[patient_id], A553)</f>
        <v>0</v>
      </c>
    </row>
    <row r="554" spans="1:9" x14ac:dyDescent="0.25">
      <c r="A554" t="s">
        <v>901</v>
      </c>
      <c r="B554" t="s">
        <v>902</v>
      </c>
      <c r="C554" s="3">
        <v>45941</v>
      </c>
      <c r="D554">
        <v>28</v>
      </c>
      <c r="E554" s="3" t="str">
        <f t="shared" si="8"/>
        <v/>
      </c>
      <c r="F554" s="3" t="str">
        <f>IF(TableRefills3[[#This Row],[prev_refill_days]]="","",TableRefills3[[#This Row],[prev_refill_days]]+TableRefills3[[#This Row],[quantity_days]])</f>
        <v/>
      </c>
      <c r="G554" t="str">
        <f>IF(TableRefills3[[#This Row],[prev_refill_end]]="","",TableRefills3[[#This Row],[refill_date]]-TableRefills3[[#This Row],[prev_refill_end]])</f>
        <v/>
      </c>
      <c r="H554" s="10">
        <f>IF(TableRefills3[[#This Row],[gap_days]]="",0,IF(TableRefills3[[#This Row],[gap_days]]&gt;2,1,0))</f>
        <v>0</v>
      </c>
      <c r="I554">
        <f>_xlfn.MAXIFS(TableRefills3[discountinuation_flag], TableRefills3[patient_id], A554)</f>
        <v>0</v>
      </c>
    </row>
    <row r="555" spans="1:9" x14ac:dyDescent="0.25">
      <c r="A555" t="s">
        <v>904</v>
      </c>
      <c r="B555" t="s">
        <v>905</v>
      </c>
      <c r="C555" s="3">
        <v>45870</v>
      </c>
      <c r="D555">
        <v>28</v>
      </c>
      <c r="E555" s="3" t="str">
        <f t="shared" si="8"/>
        <v/>
      </c>
      <c r="F555" s="3" t="str">
        <f>IF(TableRefills3[[#This Row],[prev_refill_days]]="","",TableRefills3[[#This Row],[prev_refill_days]]+TableRefills3[[#This Row],[quantity_days]])</f>
        <v/>
      </c>
      <c r="G555" t="str">
        <f>IF(TableRefills3[[#This Row],[prev_refill_end]]="","",TableRefills3[[#This Row],[refill_date]]-TableRefills3[[#This Row],[prev_refill_end]])</f>
        <v/>
      </c>
      <c r="H555" s="10">
        <f>IF(TableRefills3[[#This Row],[gap_days]]="",0,IF(TableRefills3[[#This Row],[gap_days]]&gt;2,1,0))</f>
        <v>0</v>
      </c>
      <c r="I555">
        <f>_xlfn.MAXIFS(TableRefills3[discountinuation_flag], TableRefills3[patient_id], A555)</f>
        <v>1</v>
      </c>
    </row>
    <row r="556" spans="1:9" x14ac:dyDescent="0.25">
      <c r="A556" t="s">
        <v>904</v>
      </c>
      <c r="B556" t="s">
        <v>905</v>
      </c>
      <c r="C556" s="3">
        <v>45901</v>
      </c>
      <c r="D556">
        <v>28</v>
      </c>
      <c r="E556" s="3">
        <f t="shared" si="8"/>
        <v>45870</v>
      </c>
      <c r="F556" s="3">
        <f>IF(TableRefills3[[#This Row],[prev_refill_days]]="","",TableRefills3[[#This Row],[prev_refill_days]]+TableRefills3[[#This Row],[quantity_days]])</f>
        <v>45898</v>
      </c>
      <c r="G556">
        <f>IF(TableRefills3[[#This Row],[prev_refill_end]]="","",TableRefills3[[#This Row],[refill_date]]-TableRefills3[[#This Row],[prev_refill_end]])</f>
        <v>3</v>
      </c>
      <c r="H556" s="10">
        <f>IF(TableRefills3[[#This Row],[gap_days]]="",0,IF(TableRefills3[[#This Row],[gap_days]]&gt;2,1,0))</f>
        <v>1</v>
      </c>
      <c r="I556">
        <f>_xlfn.MAXIFS(TableRefills3[discountinuation_flag], TableRefills3[patient_id], A556)</f>
        <v>1</v>
      </c>
    </row>
    <row r="557" spans="1:9" x14ac:dyDescent="0.25">
      <c r="A557" t="s">
        <v>904</v>
      </c>
      <c r="B557" t="s">
        <v>905</v>
      </c>
      <c r="C557" s="3">
        <v>45932</v>
      </c>
      <c r="D557">
        <v>28</v>
      </c>
      <c r="E557" s="3">
        <f t="shared" si="8"/>
        <v>45901</v>
      </c>
      <c r="F557" s="3">
        <f>IF(TableRefills3[[#This Row],[prev_refill_days]]="","",TableRefills3[[#This Row],[prev_refill_days]]+TableRefills3[[#This Row],[quantity_days]])</f>
        <v>45929</v>
      </c>
      <c r="G557">
        <f>IF(TableRefills3[[#This Row],[prev_refill_end]]="","",TableRefills3[[#This Row],[refill_date]]-TableRefills3[[#This Row],[prev_refill_end]])</f>
        <v>3</v>
      </c>
      <c r="H557" s="10">
        <f>IF(TableRefills3[[#This Row],[gap_days]]="",0,IF(TableRefills3[[#This Row],[gap_days]]&gt;2,1,0))</f>
        <v>1</v>
      </c>
      <c r="I557">
        <f>_xlfn.MAXIFS(TableRefills3[discountinuation_flag], TableRefills3[patient_id], A557)</f>
        <v>1</v>
      </c>
    </row>
    <row r="558" spans="1:9" x14ac:dyDescent="0.25">
      <c r="A558" t="s">
        <v>904</v>
      </c>
      <c r="B558" t="s">
        <v>905</v>
      </c>
      <c r="C558" s="3">
        <v>45960</v>
      </c>
      <c r="D558">
        <v>28</v>
      </c>
      <c r="E558" s="3">
        <f t="shared" si="8"/>
        <v>45932</v>
      </c>
      <c r="F558" s="3">
        <f>IF(TableRefills3[[#This Row],[prev_refill_days]]="","",TableRefills3[[#This Row],[prev_refill_days]]+TableRefills3[[#This Row],[quantity_days]])</f>
        <v>45960</v>
      </c>
      <c r="G558">
        <f>IF(TableRefills3[[#This Row],[prev_refill_end]]="","",TableRefills3[[#This Row],[refill_date]]-TableRefills3[[#This Row],[prev_refill_end]])</f>
        <v>0</v>
      </c>
      <c r="H558" s="10">
        <f>IF(TableRefills3[[#This Row],[gap_days]]="",0,IF(TableRefills3[[#This Row],[gap_days]]&gt;2,1,0))</f>
        <v>0</v>
      </c>
      <c r="I558">
        <f>_xlfn.MAXIFS(TableRefills3[discountinuation_flag], TableRefills3[patient_id], A558)</f>
        <v>1</v>
      </c>
    </row>
    <row r="559" spans="1:9" x14ac:dyDescent="0.25">
      <c r="A559" t="s">
        <v>910</v>
      </c>
      <c r="B559" t="s">
        <v>911</v>
      </c>
      <c r="C559" s="3">
        <v>45835</v>
      </c>
      <c r="D559">
        <v>28</v>
      </c>
      <c r="E559" s="3" t="str">
        <f t="shared" si="8"/>
        <v/>
      </c>
      <c r="F559" s="3" t="str">
        <f>IF(TableRefills3[[#This Row],[prev_refill_days]]="","",TableRefills3[[#This Row],[prev_refill_days]]+TableRefills3[[#This Row],[quantity_days]])</f>
        <v/>
      </c>
      <c r="G559" t="str">
        <f>IF(TableRefills3[[#This Row],[prev_refill_end]]="","",TableRefills3[[#This Row],[refill_date]]-TableRefills3[[#This Row],[prev_refill_end]])</f>
        <v/>
      </c>
      <c r="H559" s="10">
        <f>IF(TableRefills3[[#This Row],[gap_days]]="",0,IF(TableRefills3[[#This Row],[gap_days]]&gt;2,1,0))</f>
        <v>0</v>
      </c>
      <c r="I559">
        <f>_xlfn.MAXIFS(TableRefills3[discountinuation_flag], TableRefills3[patient_id], A559)</f>
        <v>0</v>
      </c>
    </row>
    <row r="560" spans="1:9" x14ac:dyDescent="0.25">
      <c r="A560" t="s">
        <v>913</v>
      </c>
      <c r="B560" t="s">
        <v>914</v>
      </c>
      <c r="C560" s="3">
        <v>45829</v>
      </c>
      <c r="D560">
        <v>14</v>
      </c>
      <c r="E560" s="3" t="str">
        <f t="shared" si="8"/>
        <v/>
      </c>
      <c r="F560" s="3" t="str">
        <f>IF(TableRefills3[[#This Row],[prev_refill_days]]="","",TableRefills3[[#This Row],[prev_refill_days]]+TableRefills3[[#This Row],[quantity_days]])</f>
        <v/>
      </c>
      <c r="G560" t="str">
        <f>IF(TableRefills3[[#This Row],[prev_refill_end]]="","",TableRefills3[[#This Row],[refill_date]]-TableRefills3[[#This Row],[prev_refill_end]])</f>
        <v/>
      </c>
      <c r="H560" s="10">
        <f>IF(TableRefills3[[#This Row],[gap_days]]="",0,IF(TableRefills3[[#This Row],[gap_days]]&gt;2,1,0))</f>
        <v>0</v>
      </c>
      <c r="I560">
        <f>_xlfn.MAXIFS(TableRefills3[discountinuation_flag], TableRefills3[patient_id], A560)</f>
        <v>1</v>
      </c>
    </row>
    <row r="561" spans="1:9" x14ac:dyDescent="0.25">
      <c r="A561" t="s">
        <v>913</v>
      </c>
      <c r="B561" t="s">
        <v>914</v>
      </c>
      <c r="C561" s="3">
        <v>45840</v>
      </c>
      <c r="D561">
        <v>14</v>
      </c>
      <c r="E561" s="3">
        <f t="shared" si="8"/>
        <v>45829</v>
      </c>
      <c r="F561" s="3">
        <f>IF(TableRefills3[[#This Row],[prev_refill_days]]="","",TableRefills3[[#This Row],[prev_refill_days]]+TableRefills3[[#This Row],[quantity_days]])</f>
        <v>45843</v>
      </c>
      <c r="G561">
        <f>IF(TableRefills3[[#This Row],[prev_refill_end]]="","",TableRefills3[[#This Row],[refill_date]]-TableRefills3[[#This Row],[prev_refill_end]])</f>
        <v>-3</v>
      </c>
      <c r="H561" s="10">
        <f>IF(TableRefills3[[#This Row],[gap_days]]="",0,IF(TableRefills3[[#This Row],[gap_days]]&gt;2,1,0))</f>
        <v>0</v>
      </c>
      <c r="I561">
        <f>_xlfn.MAXIFS(TableRefills3[discountinuation_flag], TableRefills3[patient_id], A561)</f>
        <v>1</v>
      </c>
    </row>
    <row r="562" spans="1:9" x14ac:dyDescent="0.25">
      <c r="A562" t="s">
        <v>913</v>
      </c>
      <c r="B562" t="s">
        <v>914</v>
      </c>
      <c r="C562" s="3">
        <v>45854</v>
      </c>
      <c r="D562">
        <v>14</v>
      </c>
      <c r="E562" s="3">
        <f t="shared" si="8"/>
        <v>45840</v>
      </c>
      <c r="F562" s="3">
        <f>IF(TableRefills3[[#This Row],[prev_refill_days]]="","",TableRefills3[[#This Row],[prev_refill_days]]+TableRefills3[[#This Row],[quantity_days]])</f>
        <v>45854</v>
      </c>
      <c r="G562">
        <f>IF(TableRefills3[[#This Row],[prev_refill_end]]="","",TableRefills3[[#This Row],[refill_date]]-TableRefills3[[#This Row],[prev_refill_end]])</f>
        <v>0</v>
      </c>
      <c r="H562" s="10">
        <f>IF(TableRefills3[[#This Row],[gap_days]]="",0,IF(TableRefills3[[#This Row],[gap_days]]&gt;2,1,0))</f>
        <v>0</v>
      </c>
      <c r="I562">
        <f>_xlfn.MAXIFS(TableRefills3[discountinuation_flag], TableRefills3[patient_id], A562)</f>
        <v>1</v>
      </c>
    </row>
    <row r="563" spans="1:9" x14ac:dyDescent="0.25">
      <c r="A563" t="s">
        <v>913</v>
      </c>
      <c r="B563" t="s">
        <v>914</v>
      </c>
      <c r="C563" s="3">
        <v>45867</v>
      </c>
      <c r="D563">
        <v>14</v>
      </c>
      <c r="E563" s="3">
        <f t="shared" si="8"/>
        <v>45854</v>
      </c>
      <c r="F563" s="3">
        <f>IF(TableRefills3[[#This Row],[prev_refill_days]]="","",TableRefills3[[#This Row],[prev_refill_days]]+TableRefills3[[#This Row],[quantity_days]])</f>
        <v>45868</v>
      </c>
      <c r="G563">
        <f>IF(TableRefills3[[#This Row],[prev_refill_end]]="","",TableRefills3[[#This Row],[refill_date]]-TableRefills3[[#This Row],[prev_refill_end]])</f>
        <v>-1</v>
      </c>
      <c r="H563" s="10">
        <f>IF(TableRefills3[[#This Row],[gap_days]]="",0,IF(TableRefills3[[#This Row],[gap_days]]&gt;2,1,0))</f>
        <v>0</v>
      </c>
      <c r="I563">
        <f>_xlfn.MAXIFS(TableRefills3[discountinuation_flag], TableRefills3[patient_id], A563)</f>
        <v>1</v>
      </c>
    </row>
    <row r="564" spans="1:9" x14ac:dyDescent="0.25">
      <c r="A564" t="s">
        <v>913</v>
      </c>
      <c r="B564" t="s">
        <v>914</v>
      </c>
      <c r="C564" s="3">
        <v>45881</v>
      </c>
      <c r="D564">
        <v>14</v>
      </c>
      <c r="E564" s="3">
        <f t="shared" si="8"/>
        <v>45867</v>
      </c>
      <c r="F564" s="3">
        <f>IF(TableRefills3[[#This Row],[prev_refill_days]]="","",TableRefills3[[#This Row],[prev_refill_days]]+TableRefills3[[#This Row],[quantity_days]])</f>
        <v>45881</v>
      </c>
      <c r="G564">
        <f>IF(TableRefills3[[#This Row],[prev_refill_end]]="","",TableRefills3[[#This Row],[refill_date]]-TableRefills3[[#This Row],[prev_refill_end]])</f>
        <v>0</v>
      </c>
      <c r="H564" s="10">
        <f>IF(TableRefills3[[#This Row],[gap_days]]="",0,IF(TableRefills3[[#This Row],[gap_days]]&gt;2,1,0))</f>
        <v>0</v>
      </c>
      <c r="I564">
        <f>_xlfn.MAXIFS(TableRefills3[discountinuation_flag], TableRefills3[patient_id], A564)</f>
        <v>1</v>
      </c>
    </row>
    <row r="565" spans="1:9" x14ac:dyDescent="0.25">
      <c r="A565" t="s">
        <v>913</v>
      </c>
      <c r="B565" t="s">
        <v>914</v>
      </c>
      <c r="C565" s="3">
        <v>45895</v>
      </c>
      <c r="D565">
        <v>14</v>
      </c>
      <c r="E565" s="3">
        <f t="shared" si="8"/>
        <v>45881</v>
      </c>
      <c r="F565" s="3">
        <f>IF(TableRefills3[[#This Row],[prev_refill_days]]="","",TableRefills3[[#This Row],[prev_refill_days]]+TableRefills3[[#This Row],[quantity_days]])</f>
        <v>45895</v>
      </c>
      <c r="G565">
        <f>IF(TableRefills3[[#This Row],[prev_refill_end]]="","",TableRefills3[[#This Row],[refill_date]]-TableRefills3[[#This Row],[prev_refill_end]])</f>
        <v>0</v>
      </c>
      <c r="H565" s="10">
        <f>IF(TableRefills3[[#This Row],[gap_days]]="",0,IF(TableRefills3[[#This Row],[gap_days]]&gt;2,1,0))</f>
        <v>0</v>
      </c>
      <c r="I565">
        <f>_xlfn.MAXIFS(TableRefills3[discountinuation_flag], TableRefills3[patient_id], A565)</f>
        <v>1</v>
      </c>
    </row>
    <row r="566" spans="1:9" x14ac:dyDescent="0.25">
      <c r="A566" t="s">
        <v>913</v>
      </c>
      <c r="B566" t="s">
        <v>914</v>
      </c>
      <c r="C566" s="3">
        <v>45906</v>
      </c>
      <c r="D566">
        <v>14</v>
      </c>
      <c r="E566" s="3">
        <f t="shared" si="8"/>
        <v>45895</v>
      </c>
      <c r="F566" s="3">
        <f>IF(TableRefills3[[#This Row],[prev_refill_days]]="","",TableRefills3[[#This Row],[prev_refill_days]]+TableRefills3[[#This Row],[quantity_days]])</f>
        <v>45909</v>
      </c>
      <c r="G566">
        <f>IF(TableRefills3[[#This Row],[prev_refill_end]]="","",TableRefills3[[#This Row],[refill_date]]-TableRefills3[[#This Row],[prev_refill_end]])</f>
        <v>-3</v>
      </c>
      <c r="H566" s="10">
        <f>IF(TableRefills3[[#This Row],[gap_days]]="",0,IF(TableRefills3[[#This Row],[gap_days]]&gt;2,1,0))</f>
        <v>0</v>
      </c>
      <c r="I566">
        <f>_xlfn.MAXIFS(TableRefills3[discountinuation_flag], TableRefills3[patient_id], A566)</f>
        <v>1</v>
      </c>
    </row>
    <row r="567" spans="1:9" x14ac:dyDescent="0.25">
      <c r="A567" t="s">
        <v>913</v>
      </c>
      <c r="B567" t="s">
        <v>914</v>
      </c>
      <c r="C567" s="3">
        <v>45922</v>
      </c>
      <c r="D567">
        <v>14</v>
      </c>
      <c r="E567" s="3">
        <f t="shared" si="8"/>
        <v>45906</v>
      </c>
      <c r="F567" s="3">
        <f>IF(TableRefills3[[#This Row],[prev_refill_days]]="","",TableRefills3[[#This Row],[prev_refill_days]]+TableRefills3[[#This Row],[quantity_days]])</f>
        <v>45920</v>
      </c>
      <c r="G567">
        <f>IF(TableRefills3[[#This Row],[prev_refill_end]]="","",TableRefills3[[#This Row],[refill_date]]-TableRefills3[[#This Row],[prev_refill_end]])</f>
        <v>2</v>
      </c>
      <c r="H567" s="10">
        <f>IF(TableRefills3[[#This Row],[gap_days]]="",0,IF(TableRefills3[[#This Row],[gap_days]]&gt;2,1,0))</f>
        <v>0</v>
      </c>
      <c r="I567">
        <f>_xlfn.MAXIFS(TableRefills3[discountinuation_flag], TableRefills3[patient_id], A567)</f>
        <v>1</v>
      </c>
    </row>
    <row r="568" spans="1:9" x14ac:dyDescent="0.25">
      <c r="A568" t="s">
        <v>913</v>
      </c>
      <c r="B568" t="s">
        <v>914</v>
      </c>
      <c r="C568" s="3">
        <v>45939</v>
      </c>
      <c r="D568">
        <v>14</v>
      </c>
      <c r="E568" s="3">
        <f t="shared" si="8"/>
        <v>45922</v>
      </c>
      <c r="F568" s="3">
        <f>IF(TableRefills3[[#This Row],[prev_refill_days]]="","",TableRefills3[[#This Row],[prev_refill_days]]+TableRefills3[[#This Row],[quantity_days]])</f>
        <v>45936</v>
      </c>
      <c r="G568">
        <f>IF(TableRefills3[[#This Row],[prev_refill_end]]="","",TableRefills3[[#This Row],[refill_date]]-TableRefills3[[#This Row],[prev_refill_end]])</f>
        <v>3</v>
      </c>
      <c r="H568" s="10">
        <f>IF(TableRefills3[[#This Row],[gap_days]]="",0,IF(TableRefills3[[#This Row],[gap_days]]&gt;2,1,0))</f>
        <v>1</v>
      </c>
      <c r="I568">
        <f>_xlfn.MAXIFS(TableRefills3[discountinuation_flag], TableRefills3[patient_id], A568)</f>
        <v>1</v>
      </c>
    </row>
    <row r="569" spans="1:9" x14ac:dyDescent="0.25">
      <c r="A569" t="s">
        <v>913</v>
      </c>
      <c r="B569" t="s">
        <v>914</v>
      </c>
      <c r="C569" s="3">
        <v>45952</v>
      </c>
      <c r="D569">
        <v>14</v>
      </c>
      <c r="E569" s="3">
        <f t="shared" si="8"/>
        <v>45939</v>
      </c>
      <c r="F569" s="3">
        <f>IF(TableRefills3[[#This Row],[prev_refill_days]]="","",TableRefills3[[#This Row],[prev_refill_days]]+TableRefills3[[#This Row],[quantity_days]])</f>
        <v>45953</v>
      </c>
      <c r="G569">
        <f>IF(TableRefills3[[#This Row],[prev_refill_end]]="","",TableRefills3[[#This Row],[refill_date]]-TableRefills3[[#This Row],[prev_refill_end]])</f>
        <v>-1</v>
      </c>
      <c r="H569" s="10">
        <f>IF(TableRefills3[[#This Row],[gap_days]]="",0,IF(TableRefills3[[#This Row],[gap_days]]&gt;2,1,0))</f>
        <v>0</v>
      </c>
      <c r="I569">
        <f>_xlfn.MAXIFS(TableRefills3[discountinuation_flag], TableRefills3[patient_id], A569)</f>
        <v>1</v>
      </c>
    </row>
    <row r="570" spans="1:9" x14ac:dyDescent="0.25">
      <c r="A570" t="s">
        <v>925</v>
      </c>
      <c r="B570" t="s">
        <v>926</v>
      </c>
      <c r="C570" s="3">
        <v>45813</v>
      </c>
      <c r="D570">
        <v>28</v>
      </c>
      <c r="E570" s="3" t="str">
        <f t="shared" si="8"/>
        <v/>
      </c>
      <c r="F570" s="3" t="str">
        <f>IF(TableRefills3[[#This Row],[prev_refill_days]]="","",TableRefills3[[#This Row],[prev_refill_days]]+TableRefills3[[#This Row],[quantity_days]])</f>
        <v/>
      </c>
      <c r="G570" t="str">
        <f>IF(TableRefills3[[#This Row],[prev_refill_end]]="","",TableRefills3[[#This Row],[refill_date]]-TableRefills3[[#This Row],[prev_refill_end]])</f>
        <v/>
      </c>
      <c r="H570" s="10">
        <f>IF(TableRefills3[[#This Row],[gap_days]]="",0,IF(TableRefills3[[#This Row],[gap_days]]&gt;2,1,0))</f>
        <v>0</v>
      </c>
      <c r="I570">
        <f>_xlfn.MAXIFS(TableRefills3[discountinuation_flag], TableRefills3[patient_id], A570)</f>
        <v>0</v>
      </c>
    </row>
    <row r="571" spans="1:9" x14ac:dyDescent="0.25">
      <c r="A571" t="s">
        <v>925</v>
      </c>
      <c r="B571" t="s">
        <v>926</v>
      </c>
      <c r="C571" s="3">
        <v>45843</v>
      </c>
      <c r="D571">
        <v>28</v>
      </c>
      <c r="E571" s="3">
        <f t="shared" si="8"/>
        <v>45813</v>
      </c>
      <c r="F571" s="3">
        <f>IF(TableRefills3[[#This Row],[prev_refill_days]]="","",TableRefills3[[#This Row],[prev_refill_days]]+TableRefills3[[#This Row],[quantity_days]])</f>
        <v>45841</v>
      </c>
      <c r="G571">
        <f>IF(TableRefills3[[#This Row],[prev_refill_end]]="","",TableRefills3[[#This Row],[refill_date]]-TableRefills3[[#This Row],[prev_refill_end]])</f>
        <v>2</v>
      </c>
      <c r="H571" s="10">
        <f>IF(TableRefills3[[#This Row],[gap_days]]="",0,IF(TableRefills3[[#This Row],[gap_days]]&gt;2,1,0))</f>
        <v>0</v>
      </c>
      <c r="I571">
        <f>_xlfn.MAXIFS(TableRefills3[discountinuation_flag], TableRefills3[patient_id], A571)</f>
        <v>0</v>
      </c>
    </row>
    <row r="572" spans="1:9" x14ac:dyDescent="0.25">
      <c r="A572" t="s">
        <v>925</v>
      </c>
      <c r="B572" t="s">
        <v>926</v>
      </c>
      <c r="C572" s="3">
        <v>45873</v>
      </c>
      <c r="D572">
        <v>28</v>
      </c>
      <c r="E572" s="3">
        <f t="shared" si="8"/>
        <v>45843</v>
      </c>
      <c r="F572" s="3">
        <f>IF(TableRefills3[[#This Row],[prev_refill_days]]="","",TableRefills3[[#This Row],[prev_refill_days]]+TableRefills3[[#This Row],[quantity_days]])</f>
        <v>45871</v>
      </c>
      <c r="G572">
        <f>IF(TableRefills3[[#This Row],[prev_refill_end]]="","",TableRefills3[[#This Row],[refill_date]]-TableRefills3[[#This Row],[prev_refill_end]])</f>
        <v>2</v>
      </c>
      <c r="H572" s="10">
        <f>IF(TableRefills3[[#This Row],[gap_days]]="",0,IF(TableRefills3[[#This Row],[gap_days]]&gt;2,1,0))</f>
        <v>0</v>
      </c>
      <c r="I572">
        <f>_xlfn.MAXIFS(TableRefills3[discountinuation_flag], TableRefills3[patient_id], A572)</f>
        <v>0</v>
      </c>
    </row>
    <row r="573" spans="1:9" x14ac:dyDescent="0.25">
      <c r="A573" t="s">
        <v>925</v>
      </c>
      <c r="B573" t="s">
        <v>926</v>
      </c>
      <c r="C573" s="3">
        <v>45901</v>
      </c>
      <c r="D573">
        <v>28</v>
      </c>
      <c r="E573" s="3">
        <f t="shared" si="8"/>
        <v>45873</v>
      </c>
      <c r="F573" s="3">
        <f>IF(TableRefills3[[#This Row],[prev_refill_days]]="","",TableRefills3[[#This Row],[prev_refill_days]]+TableRefills3[[#This Row],[quantity_days]])</f>
        <v>45901</v>
      </c>
      <c r="G573">
        <f>IF(TableRefills3[[#This Row],[prev_refill_end]]="","",TableRefills3[[#This Row],[refill_date]]-TableRefills3[[#This Row],[prev_refill_end]])</f>
        <v>0</v>
      </c>
      <c r="H573" s="10">
        <f>IF(TableRefills3[[#This Row],[gap_days]]="",0,IF(TableRefills3[[#This Row],[gap_days]]&gt;2,1,0))</f>
        <v>0</v>
      </c>
      <c r="I573">
        <f>_xlfn.MAXIFS(TableRefills3[discountinuation_flag], TableRefills3[patient_id], A573)</f>
        <v>0</v>
      </c>
    </row>
    <row r="574" spans="1:9" x14ac:dyDescent="0.25">
      <c r="A574" t="s">
        <v>925</v>
      </c>
      <c r="B574" t="s">
        <v>926</v>
      </c>
      <c r="C574" s="3">
        <v>45931</v>
      </c>
      <c r="D574">
        <v>28</v>
      </c>
      <c r="E574" s="3">
        <f t="shared" si="8"/>
        <v>45901</v>
      </c>
      <c r="F574" s="3">
        <f>IF(TableRefills3[[#This Row],[prev_refill_days]]="","",TableRefills3[[#This Row],[prev_refill_days]]+TableRefills3[[#This Row],[quantity_days]])</f>
        <v>45929</v>
      </c>
      <c r="G574">
        <f>IF(TableRefills3[[#This Row],[prev_refill_end]]="","",TableRefills3[[#This Row],[refill_date]]-TableRefills3[[#This Row],[prev_refill_end]])</f>
        <v>2</v>
      </c>
      <c r="H574" s="10">
        <f>IF(TableRefills3[[#This Row],[gap_days]]="",0,IF(TableRefills3[[#This Row],[gap_days]]&gt;2,1,0))</f>
        <v>0</v>
      </c>
      <c r="I574">
        <f>_xlfn.MAXIFS(TableRefills3[discountinuation_flag], TableRefills3[patient_id], A574)</f>
        <v>0</v>
      </c>
    </row>
    <row r="575" spans="1:9" x14ac:dyDescent="0.25">
      <c r="A575" t="s">
        <v>925</v>
      </c>
      <c r="B575" t="s">
        <v>926</v>
      </c>
      <c r="C575" s="3">
        <v>45960</v>
      </c>
      <c r="D575">
        <v>28</v>
      </c>
      <c r="E575" s="3">
        <f t="shared" si="8"/>
        <v>45931</v>
      </c>
      <c r="F575" s="3">
        <f>IF(TableRefills3[[#This Row],[prev_refill_days]]="","",TableRefills3[[#This Row],[prev_refill_days]]+TableRefills3[[#This Row],[quantity_days]])</f>
        <v>45959</v>
      </c>
      <c r="G575">
        <f>IF(TableRefills3[[#This Row],[prev_refill_end]]="","",TableRefills3[[#This Row],[refill_date]]-TableRefills3[[#This Row],[prev_refill_end]])</f>
        <v>1</v>
      </c>
      <c r="H575" s="10">
        <f>IF(TableRefills3[[#This Row],[gap_days]]="",0,IF(TableRefills3[[#This Row],[gap_days]]&gt;2,1,0))</f>
        <v>0</v>
      </c>
      <c r="I575">
        <f>_xlfn.MAXIFS(TableRefills3[discountinuation_flag], TableRefills3[patient_id], A575)</f>
        <v>0</v>
      </c>
    </row>
    <row r="576" spans="1:9" x14ac:dyDescent="0.25">
      <c r="A576" t="s">
        <v>933</v>
      </c>
      <c r="B576" t="s">
        <v>934</v>
      </c>
      <c r="C576" s="3">
        <v>45904</v>
      </c>
      <c r="D576">
        <v>14</v>
      </c>
      <c r="E576" s="3" t="str">
        <f t="shared" si="8"/>
        <v/>
      </c>
      <c r="F576" s="3" t="str">
        <f>IF(TableRefills3[[#This Row],[prev_refill_days]]="","",TableRefills3[[#This Row],[prev_refill_days]]+TableRefills3[[#This Row],[quantity_days]])</f>
        <v/>
      </c>
      <c r="G576" t="str">
        <f>IF(TableRefills3[[#This Row],[prev_refill_end]]="","",TableRefills3[[#This Row],[refill_date]]-TableRefills3[[#This Row],[prev_refill_end]])</f>
        <v/>
      </c>
      <c r="H576" s="10">
        <f>IF(TableRefills3[[#This Row],[gap_days]]="",0,IF(TableRefills3[[#This Row],[gap_days]]&gt;2,1,0))</f>
        <v>0</v>
      </c>
      <c r="I576">
        <f>_xlfn.MAXIFS(TableRefills3[discountinuation_flag], TableRefills3[patient_id], A576)</f>
        <v>1</v>
      </c>
    </row>
    <row r="577" spans="1:9" x14ac:dyDescent="0.25">
      <c r="A577" t="s">
        <v>933</v>
      </c>
      <c r="B577" t="s">
        <v>934</v>
      </c>
      <c r="C577" s="3">
        <v>45921</v>
      </c>
      <c r="D577">
        <v>14</v>
      </c>
      <c r="E577" s="3">
        <f t="shared" si="8"/>
        <v>45904</v>
      </c>
      <c r="F577" s="3">
        <f>IF(TableRefills3[[#This Row],[prev_refill_days]]="","",TableRefills3[[#This Row],[prev_refill_days]]+TableRefills3[[#This Row],[quantity_days]])</f>
        <v>45918</v>
      </c>
      <c r="G577">
        <f>IF(TableRefills3[[#This Row],[prev_refill_end]]="","",TableRefills3[[#This Row],[refill_date]]-TableRefills3[[#This Row],[prev_refill_end]])</f>
        <v>3</v>
      </c>
      <c r="H577" s="10">
        <f>IF(TableRefills3[[#This Row],[gap_days]]="",0,IF(TableRefills3[[#This Row],[gap_days]]&gt;2,1,0))</f>
        <v>1</v>
      </c>
      <c r="I577">
        <f>_xlfn.MAXIFS(TableRefills3[discountinuation_flag], TableRefills3[patient_id], A577)</f>
        <v>1</v>
      </c>
    </row>
    <row r="578" spans="1:9" x14ac:dyDescent="0.25">
      <c r="A578" t="s">
        <v>933</v>
      </c>
      <c r="B578" t="s">
        <v>934</v>
      </c>
      <c r="C578" s="3">
        <v>45936</v>
      </c>
      <c r="D578">
        <v>14</v>
      </c>
      <c r="E578" s="3">
        <f t="shared" ref="E578:E641" si="9">IF(A577=A578,C577,"")</f>
        <v>45921</v>
      </c>
      <c r="F578" s="3">
        <f>IF(TableRefills3[[#This Row],[prev_refill_days]]="","",TableRefills3[[#This Row],[prev_refill_days]]+TableRefills3[[#This Row],[quantity_days]])</f>
        <v>45935</v>
      </c>
      <c r="G578">
        <f>IF(TableRefills3[[#This Row],[prev_refill_end]]="","",TableRefills3[[#This Row],[refill_date]]-TableRefills3[[#This Row],[prev_refill_end]])</f>
        <v>1</v>
      </c>
      <c r="H578" s="10">
        <f>IF(TableRefills3[[#This Row],[gap_days]]="",0,IF(TableRefills3[[#This Row],[gap_days]]&gt;2,1,0))</f>
        <v>0</v>
      </c>
      <c r="I578">
        <f>_xlfn.MAXIFS(TableRefills3[discountinuation_flag], TableRefills3[patient_id], A578)</f>
        <v>1</v>
      </c>
    </row>
    <row r="579" spans="1:9" x14ac:dyDescent="0.25">
      <c r="A579" t="s">
        <v>933</v>
      </c>
      <c r="B579" t="s">
        <v>934</v>
      </c>
      <c r="C579" s="3">
        <v>45949</v>
      </c>
      <c r="D579">
        <v>14</v>
      </c>
      <c r="E579" s="3">
        <f t="shared" si="9"/>
        <v>45936</v>
      </c>
      <c r="F579" s="3">
        <f>IF(TableRefills3[[#This Row],[prev_refill_days]]="","",TableRefills3[[#This Row],[prev_refill_days]]+TableRefills3[[#This Row],[quantity_days]])</f>
        <v>45950</v>
      </c>
      <c r="G579">
        <f>IF(TableRefills3[[#This Row],[prev_refill_end]]="","",TableRefills3[[#This Row],[refill_date]]-TableRefills3[[#This Row],[prev_refill_end]])</f>
        <v>-1</v>
      </c>
      <c r="H579" s="10">
        <f>IF(TableRefills3[[#This Row],[gap_days]]="",0,IF(TableRefills3[[#This Row],[gap_days]]&gt;2,1,0))</f>
        <v>0</v>
      </c>
      <c r="I579">
        <f>_xlfn.MAXIFS(TableRefills3[discountinuation_flag], TableRefills3[patient_id], A579)</f>
        <v>1</v>
      </c>
    </row>
    <row r="580" spans="1:9" x14ac:dyDescent="0.25">
      <c r="A580" t="s">
        <v>939</v>
      </c>
      <c r="B580" t="s">
        <v>940</v>
      </c>
      <c r="C580" s="3">
        <v>45870</v>
      </c>
      <c r="D580">
        <v>14</v>
      </c>
      <c r="E580" s="3" t="str">
        <f t="shared" si="9"/>
        <v/>
      </c>
      <c r="F580" s="3" t="str">
        <f>IF(TableRefills3[[#This Row],[prev_refill_days]]="","",TableRefills3[[#This Row],[prev_refill_days]]+TableRefills3[[#This Row],[quantity_days]])</f>
        <v/>
      </c>
      <c r="G580" t="str">
        <f>IF(TableRefills3[[#This Row],[prev_refill_end]]="","",TableRefills3[[#This Row],[refill_date]]-TableRefills3[[#This Row],[prev_refill_end]])</f>
        <v/>
      </c>
      <c r="H580" s="10">
        <f>IF(TableRefills3[[#This Row],[gap_days]]="",0,IF(TableRefills3[[#This Row],[gap_days]]&gt;2,1,0))</f>
        <v>0</v>
      </c>
      <c r="I580">
        <f>_xlfn.MAXIFS(TableRefills3[discountinuation_flag], TableRefills3[patient_id], A580)</f>
        <v>0</v>
      </c>
    </row>
    <row r="581" spans="1:9" x14ac:dyDescent="0.25">
      <c r="A581" t="s">
        <v>939</v>
      </c>
      <c r="B581" t="s">
        <v>940</v>
      </c>
      <c r="C581" s="3">
        <v>45886</v>
      </c>
      <c r="D581">
        <v>14</v>
      </c>
      <c r="E581" s="3">
        <f t="shared" si="9"/>
        <v>45870</v>
      </c>
      <c r="F581" s="3">
        <f>IF(TableRefills3[[#This Row],[prev_refill_days]]="","",TableRefills3[[#This Row],[prev_refill_days]]+TableRefills3[[#This Row],[quantity_days]])</f>
        <v>45884</v>
      </c>
      <c r="G581">
        <f>IF(TableRefills3[[#This Row],[prev_refill_end]]="","",TableRefills3[[#This Row],[refill_date]]-TableRefills3[[#This Row],[prev_refill_end]])</f>
        <v>2</v>
      </c>
      <c r="H581" s="10">
        <f>IF(TableRefills3[[#This Row],[gap_days]]="",0,IF(TableRefills3[[#This Row],[gap_days]]&gt;2,1,0))</f>
        <v>0</v>
      </c>
      <c r="I581">
        <f>_xlfn.MAXIFS(TableRefills3[discountinuation_flag], TableRefills3[patient_id], A581)</f>
        <v>0</v>
      </c>
    </row>
    <row r="582" spans="1:9" x14ac:dyDescent="0.25">
      <c r="A582" t="s">
        <v>939</v>
      </c>
      <c r="B582" t="s">
        <v>940</v>
      </c>
      <c r="C582" s="3">
        <v>45902</v>
      </c>
      <c r="D582">
        <v>14</v>
      </c>
      <c r="E582" s="3">
        <f t="shared" si="9"/>
        <v>45886</v>
      </c>
      <c r="F582" s="3">
        <f>IF(TableRefills3[[#This Row],[prev_refill_days]]="","",TableRefills3[[#This Row],[prev_refill_days]]+TableRefills3[[#This Row],[quantity_days]])</f>
        <v>45900</v>
      </c>
      <c r="G582">
        <f>IF(TableRefills3[[#This Row],[prev_refill_end]]="","",TableRefills3[[#This Row],[refill_date]]-TableRefills3[[#This Row],[prev_refill_end]])</f>
        <v>2</v>
      </c>
      <c r="H582" s="10">
        <f>IF(TableRefills3[[#This Row],[gap_days]]="",0,IF(TableRefills3[[#This Row],[gap_days]]&gt;2,1,0))</f>
        <v>0</v>
      </c>
      <c r="I582">
        <f>_xlfn.MAXIFS(TableRefills3[discountinuation_flag], TableRefills3[patient_id], A582)</f>
        <v>0</v>
      </c>
    </row>
    <row r="583" spans="1:9" x14ac:dyDescent="0.25">
      <c r="A583" t="s">
        <v>939</v>
      </c>
      <c r="B583" t="s">
        <v>940</v>
      </c>
      <c r="C583" s="3">
        <v>45917</v>
      </c>
      <c r="D583">
        <v>14</v>
      </c>
      <c r="E583" s="3">
        <f t="shared" si="9"/>
        <v>45902</v>
      </c>
      <c r="F583" s="3">
        <f>IF(TableRefills3[[#This Row],[prev_refill_days]]="","",TableRefills3[[#This Row],[prev_refill_days]]+TableRefills3[[#This Row],[quantity_days]])</f>
        <v>45916</v>
      </c>
      <c r="G583">
        <f>IF(TableRefills3[[#This Row],[prev_refill_end]]="","",TableRefills3[[#This Row],[refill_date]]-TableRefills3[[#This Row],[prev_refill_end]])</f>
        <v>1</v>
      </c>
      <c r="H583" s="10">
        <f>IF(TableRefills3[[#This Row],[gap_days]]="",0,IF(TableRefills3[[#This Row],[gap_days]]&gt;2,1,0))</f>
        <v>0</v>
      </c>
      <c r="I583">
        <f>_xlfn.MAXIFS(TableRefills3[discountinuation_flag], TableRefills3[patient_id], A583)</f>
        <v>0</v>
      </c>
    </row>
    <row r="584" spans="1:9" x14ac:dyDescent="0.25">
      <c r="A584" t="s">
        <v>939</v>
      </c>
      <c r="B584" t="s">
        <v>940</v>
      </c>
      <c r="C584" s="3">
        <v>45929</v>
      </c>
      <c r="D584">
        <v>14</v>
      </c>
      <c r="E584" s="3">
        <f t="shared" si="9"/>
        <v>45917</v>
      </c>
      <c r="F584" s="3">
        <f>IF(TableRefills3[[#This Row],[prev_refill_days]]="","",TableRefills3[[#This Row],[prev_refill_days]]+TableRefills3[[#This Row],[quantity_days]])</f>
        <v>45931</v>
      </c>
      <c r="G584">
        <f>IF(TableRefills3[[#This Row],[prev_refill_end]]="","",TableRefills3[[#This Row],[refill_date]]-TableRefills3[[#This Row],[prev_refill_end]])</f>
        <v>-2</v>
      </c>
      <c r="H584" s="10">
        <f>IF(TableRefills3[[#This Row],[gap_days]]="",0,IF(TableRefills3[[#This Row],[gap_days]]&gt;2,1,0))</f>
        <v>0</v>
      </c>
      <c r="I584">
        <f>_xlfn.MAXIFS(TableRefills3[discountinuation_flag], TableRefills3[patient_id], A584)</f>
        <v>0</v>
      </c>
    </row>
    <row r="585" spans="1:9" x14ac:dyDescent="0.25">
      <c r="A585" t="s">
        <v>939</v>
      </c>
      <c r="B585" t="s">
        <v>940</v>
      </c>
      <c r="C585" s="3">
        <v>45945</v>
      </c>
      <c r="D585">
        <v>14</v>
      </c>
      <c r="E585" s="3">
        <f t="shared" si="9"/>
        <v>45929</v>
      </c>
      <c r="F585" s="3">
        <f>IF(TableRefills3[[#This Row],[prev_refill_days]]="","",TableRefills3[[#This Row],[prev_refill_days]]+TableRefills3[[#This Row],[quantity_days]])</f>
        <v>45943</v>
      </c>
      <c r="G585">
        <f>IF(TableRefills3[[#This Row],[prev_refill_end]]="","",TableRefills3[[#This Row],[refill_date]]-TableRefills3[[#This Row],[prev_refill_end]])</f>
        <v>2</v>
      </c>
      <c r="H585" s="10">
        <f>IF(TableRefills3[[#This Row],[gap_days]]="",0,IF(TableRefills3[[#This Row],[gap_days]]&gt;2,1,0))</f>
        <v>0</v>
      </c>
      <c r="I585">
        <f>_xlfn.MAXIFS(TableRefills3[discountinuation_flag], TableRefills3[patient_id], A585)</f>
        <v>0</v>
      </c>
    </row>
    <row r="586" spans="1:9" x14ac:dyDescent="0.25">
      <c r="A586" t="s">
        <v>939</v>
      </c>
      <c r="B586" t="s">
        <v>940</v>
      </c>
      <c r="C586" s="3">
        <v>45958</v>
      </c>
      <c r="D586">
        <v>14</v>
      </c>
      <c r="E586" s="3">
        <f t="shared" si="9"/>
        <v>45945</v>
      </c>
      <c r="F586" s="3">
        <f>IF(TableRefills3[[#This Row],[prev_refill_days]]="","",TableRefills3[[#This Row],[prev_refill_days]]+TableRefills3[[#This Row],[quantity_days]])</f>
        <v>45959</v>
      </c>
      <c r="G586">
        <f>IF(TableRefills3[[#This Row],[prev_refill_end]]="","",TableRefills3[[#This Row],[refill_date]]-TableRefills3[[#This Row],[prev_refill_end]])</f>
        <v>-1</v>
      </c>
      <c r="H586" s="10">
        <f>IF(TableRefills3[[#This Row],[gap_days]]="",0,IF(TableRefills3[[#This Row],[gap_days]]&gt;2,1,0))</f>
        <v>0</v>
      </c>
      <c r="I586">
        <f>_xlfn.MAXIFS(TableRefills3[discountinuation_flag], TableRefills3[patient_id], A586)</f>
        <v>0</v>
      </c>
    </row>
    <row r="587" spans="1:9" x14ac:dyDescent="0.25">
      <c r="A587" t="s">
        <v>948</v>
      </c>
      <c r="B587" t="s">
        <v>949</v>
      </c>
      <c r="C587" s="3">
        <v>45924</v>
      </c>
      <c r="D587">
        <v>28</v>
      </c>
      <c r="E587" s="3" t="str">
        <f t="shared" si="9"/>
        <v/>
      </c>
      <c r="F587" s="3" t="str">
        <f>IF(TableRefills3[[#This Row],[prev_refill_days]]="","",TableRefills3[[#This Row],[prev_refill_days]]+TableRefills3[[#This Row],[quantity_days]])</f>
        <v/>
      </c>
      <c r="G587" t="str">
        <f>IF(TableRefills3[[#This Row],[prev_refill_end]]="","",TableRefills3[[#This Row],[refill_date]]-TableRefills3[[#This Row],[prev_refill_end]])</f>
        <v/>
      </c>
      <c r="H587" s="10">
        <f>IF(TableRefills3[[#This Row],[gap_days]]="",0,IF(TableRefills3[[#This Row],[gap_days]]&gt;2,1,0))</f>
        <v>0</v>
      </c>
      <c r="I587">
        <f>_xlfn.MAXIFS(TableRefills3[discountinuation_flag], TableRefills3[patient_id], A587)</f>
        <v>0</v>
      </c>
    </row>
    <row r="588" spans="1:9" x14ac:dyDescent="0.25">
      <c r="A588" t="s">
        <v>948</v>
      </c>
      <c r="B588" t="s">
        <v>949</v>
      </c>
      <c r="C588" s="3">
        <v>45951</v>
      </c>
      <c r="D588">
        <v>28</v>
      </c>
      <c r="E588" s="3">
        <f t="shared" si="9"/>
        <v>45924</v>
      </c>
      <c r="F588" s="3">
        <f>IF(TableRefills3[[#This Row],[prev_refill_days]]="","",TableRefills3[[#This Row],[prev_refill_days]]+TableRefills3[[#This Row],[quantity_days]])</f>
        <v>45952</v>
      </c>
      <c r="G588">
        <f>IF(TableRefills3[[#This Row],[prev_refill_end]]="","",TableRefills3[[#This Row],[refill_date]]-TableRefills3[[#This Row],[prev_refill_end]])</f>
        <v>-1</v>
      </c>
      <c r="H588" s="10">
        <f>IF(TableRefills3[[#This Row],[gap_days]]="",0,IF(TableRefills3[[#This Row],[gap_days]]&gt;2,1,0))</f>
        <v>0</v>
      </c>
      <c r="I588">
        <f>_xlfn.MAXIFS(TableRefills3[discountinuation_flag], TableRefills3[patient_id], A588)</f>
        <v>0</v>
      </c>
    </row>
    <row r="589" spans="1:9" x14ac:dyDescent="0.25">
      <c r="A589" t="s">
        <v>952</v>
      </c>
      <c r="B589" t="s">
        <v>953</v>
      </c>
      <c r="C589" s="3">
        <v>45897</v>
      </c>
      <c r="D589">
        <v>28</v>
      </c>
      <c r="E589" s="3" t="str">
        <f t="shared" si="9"/>
        <v/>
      </c>
      <c r="F589" s="3" t="str">
        <f>IF(TableRefills3[[#This Row],[prev_refill_days]]="","",TableRefills3[[#This Row],[prev_refill_days]]+TableRefills3[[#This Row],[quantity_days]])</f>
        <v/>
      </c>
      <c r="G589" t="str">
        <f>IF(TableRefills3[[#This Row],[prev_refill_end]]="","",TableRefills3[[#This Row],[refill_date]]-TableRefills3[[#This Row],[prev_refill_end]])</f>
        <v/>
      </c>
      <c r="H589" s="10">
        <f>IF(TableRefills3[[#This Row],[gap_days]]="",0,IF(TableRefills3[[#This Row],[gap_days]]&gt;2,1,0))</f>
        <v>0</v>
      </c>
      <c r="I589">
        <f>_xlfn.MAXIFS(TableRefills3[discountinuation_flag], TableRefills3[patient_id], A589)</f>
        <v>1</v>
      </c>
    </row>
    <row r="590" spans="1:9" x14ac:dyDescent="0.25">
      <c r="A590" t="s">
        <v>952</v>
      </c>
      <c r="B590" t="s">
        <v>953</v>
      </c>
      <c r="C590" s="3">
        <v>45924</v>
      </c>
      <c r="D590">
        <v>28</v>
      </c>
      <c r="E590" s="3">
        <f t="shared" si="9"/>
        <v>45897</v>
      </c>
      <c r="F590" s="3">
        <f>IF(TableRefills3[[#This Row],[prev_refill_days]]="","",TableRefills3[[#This Row],[prev_refill_days]]+TableRefills3[[#This Row],[quantity_days]])</f>
        <v>45925</v>
      </c>
      <c r="G590">
        <f>IF(TableRefills3[[#This Row],[prev_refill_end]]="","",TableRefills3[[#This Row],[refill_date]]-TableRefills3[[#This Row],[prev_refill_end]])</f>
        <v>-1</v>
      </c>
      <c r="H590" s="10">
        <f>IF(TableRefills3[[#This Row],[gap_days]]="",0,IF(TableRefills3[[#This Row],[gap_days]]&gt;2,1,0))</f>
        <v>0</v>
      </c>
      <c r="I590">
        <f>_xlfn.MAXIFS(TableRefills3[discountinuation_flag], TableRefills3[patient_id], A590)</f>
        <v>1</v>
      </c>
    </row>
    <row r="591" spans="1:9" x14ac:dyDescent="0.25">
      <c r="A591" t="s">
        <v>952</v>
      </c>
      <c r="B591" t="s">
        <v>953</v>
      </c>
      <c r="C591" s="3">
        <v>45955</v>
      </c>
      <c r="D591">
        <v>28</v>
      </c>
      <c r="E591" s="3">
        <f t="shared" si="9"/>
        <v>45924</v>
      </c>
      <c r="F591" s="3">
        <f>IF(TableRefills3[[#This Row],[prev_refill_days]]="","",TableRefills3[[#This Row],[prev_refill_days]]+TableRefills3[[#This Row],[quantity_days]])</f>
        <v>45952</v>
      </c>
      <c r="G591">
        <f>IF(TableRefills3[[#This Row],[prev_refill_end]]="","",TableRefills3[[#This Row],[refill_date]]-TableRefills3[[#This Row],[prev_refill_end]])</f>
        <v>3</v>
      </c>
      <c r="H591" s="10">
        <f>IF(TableRefills3[[#This Row],[gap_days]]="",0,IF(TableRefills3[[#This Row],[gap_days]]&gt;2,1,0))</f>
        <v>1</v>
      </c>
      <c r="I591">
        <f>_xlfn.MAXIFS(TableRefills3[discountinuation_flag], TableRefills3[patient_id], A591)</f>
        <v>1</v>
      </c>
    </row>
    <row r="592" spans="1:9" x14ac:dyDescent="0.25">
      <c r="A592" t="s">
        <v>957</v>
      </c>
      <c r="B592" t="s">
        <v>958</v>
      </c>
      <c r="C592" s="3">
        <v>45919</v>
      </c>
      <c r="D592">
        <v>21</v>
      </c>
      <c r="E592" s="3" t="str">
        <f t="shared" si="9"/>
        <v/>
      </c>
      <c r="F592" s="3" t="str">
        <f>IF(TableRefills3[[#This Row],[prev_refill_days]]="","",TableRefills3[[#This Row],[prev_refill_days]]+TableRefills3[[#This Row],[quantity_days]])</f>
        <v/>
      </c>
      <c r="G592" t="str">
        <f>IF(TableRefills3[[#This Row],[prev_refill_end]]="","",TableRefills3[[#This Row],[refill_date]]-TableRefills3[[#This Row],[prev_refill_end]])</f>
        <v/>
      </c>
      <c r="H592" s="10">
        <f>IF(TableRefills3[[#This Row],[gap_days]]="",0,IF(TableRefills3[[#This Row],[gap_days]]&gt;2,1,0))</f>
        <v>0</v>
      </c>
      <c r="I592">
        <f>_xlfn.MAXIFS(TableRefills3[discountinuation_flag], TableRefills3[patient_id], A592)</f>
        <v>0</v>
      </c>
    </row>
    <row r="593" spans="1:9" x14ac:dyDescent="0.25">
      <c r="A593" t="s">
        <v>957</v>
      </c>
      <c r="B593" t="s">
        <v>958</v>
      </c>
      <c r="C593" s="3">
        <v>45939</v>
      </c>
      <c r="D593">
        <v>21</v>
      </c>
      <c r="E593" s="3">
        <f t="shared" si="9"/>
        <v>45919</v>
      </c>
      <c r="F593" s="3">
        <f>IF(TableRefills3[[#This Row],[prev_refill_days]]="","",TableRefills3[[#This Row],[prev_refill_days]]+TableRefills3[[#This Row],[quantity_days]])</f>
        <v>45940</v>
      </c>
      <c r="G593">
        <f>IF(TableRefills3[[#This Row],[prev_refill_end]]="","",TableRefills3[[#This Row],[refill_date]]-TableRefills3[[#This Row],[prev_refill_end]])</f>
        <v>-1</v>
      </c>
      <c r="H593" s="10">
        <f>IF(TableRefills3[[#This Row],[gap_days]]="",0,IF(TableRefills3[[#This Row],[gap_days]]&gt;2,1,0))</f>
        <v>0</v>
      </c>
      <c r="I593">
        <f>_xlfn.MAXIFS(TableRefills3[discountinuation_flag], TableRefills3[patient_id], A593)</f>
        <v>0</v>
      </c>
    </row>
    <row r="594" spans="1:9" x14ac:dyDescent="0.25">
      <c r="A594" t="s">
        <v>957</v>
      </c>
      <c r="B594" t="s">
        <v>958</v>
      </c>
      <c r="C594" s="3">
        <v>45959</v>
      </c>
      <c r="D594">
        <v>21</v>
      </c>
      <c r="E594" s="3">
        <f t="shared" si="9"/>
        <v>45939</v>
      </c>
      <c r="F594" s="3">
        <f>IF(TableRefills3[[#This Row],[prev_refill_days]]="","",TableRefills3[[#This Row],[prev_refill_days]]+TableRefills3[[#This Row],[quantity_days]])</f>
        <v>45960</v>
      </c>
      <c r="G594">
        <f>IF(TableRefills3[[#This Row],[prev_refill_end]]="","",TableRefills3[[#This Row],[refill_date]]-TableRefills3[[#This Row],[prev_refill_end]])</f>
        <v>-1</v>
      </c>
      <c r="H594" s="10">
        <f>IF(TableRefills3[[#This Row],[gap_days]]="",0,IF(TableRefills3[[#This Row],[gap_days]]&gt;2,1,0))</f>
        <v>0</v>
      </c>
      <c r="I594">
        <f>_xlfn.MAXIFS(TableRefills3[discountinuation_flag], TableRefills3[patient_id], A594)</f>
        <v>0</v>
      </c>
    </row>
    <row r="595" spans="1:9" x14ac:dyDescent="0.25">
      <c r="A595" t="s">
        <v>962</v>
      </c>
      <c r="B595" t="s">
        <v>963</v>
      </c>
      <c r="C595" s="3">
        <v>45934</v>
      </c>
      <c r="D595">
        <v>28</v>
      </c>
      <c r="E595" s="3" t="str">
        <f t="shared" si="9"/>
        <v/>
      </c>
      <c r="F595" s="3" t="str">
        <f>IF(TableRefills3[[#This Row],[prev_refill_days]]="","",TableRefills3[[#This Row],[prev_refill_days]]+TableRefills3[[#This Row],[quantity_days]])</f>
        <v/>
      </c>
      <c r="G595" t="str">
        <f>IF(TableRefills3[[#This Row],[prev_refill_end]]="","",TableRefills3[[#This Row],[refill_date]]-TableRefills3[[#This Row],[prev_refill_end]])</f>
        <v/>
      </c>
      <c r="H595" s="10">
        <f>IF(TableRefills3[[#This Row],[gap_days]]="",0,IF(TableRefills3[[#This Row],[gap_days]]&gt;2,1,0))</f>
        <v>0</v>
      </c>
      <c r="I595">
        <f>_xlfn.MAXIFS(TableRefills3[discountinuation_flag], TableRefills3[patient_id], A595)</f>
        <v>0</v>
      </c>
    </row>
    <row r="596" spans="1:9" x14ac:dyDescent="0.25">
      <c r="A596" t="s">
        <v>965</v>
      </c>
      <c r="B596" t="s">
        <v>966</v>
      </c>
      <c r="C596" s="3">
        <v>45794</v>
      </c>
      <c r="D596">
        <v>21</v>
      </c>
      <c r="E596" s="3" t="str">
        <f t="shared" si="9"/>
        <v/>
      </c>
      <c r="F596" s="3" t="str">
        <f>IF(TableRefills3[[#This Row],[prev_refill_days]]="","",TableRefills3[[#This Row],[prev_refill_days]]+TableRefills3[[#This Row],[quantity_days]])</f>
        <v/>
      </c>
      <c r="G596" t="str">
        <f>IF(TableRefills3[[#This Row],[prev_refill_end]]="","",TableRefills3[[#This Row],[refill_date]]-TableRefills3[[#This Row],[prev_refill_end]])</f>
        <v/>
      </c>
      <c r="H596" s="10">
        <f>IF(TableRefills3[[#This Row],[gap_days]]="",0,IF(TableRefills3[[#This Row],[gap_days]]&gt;2,1,0))</f>
        <v>0</v>
      </c>
      <c r="I596">
        <f>_xlfn.MAXIFS(TableRefills3[discountinuation_flag], TableRefills3[patient_id], A596)</f>
        <v>1</v>
      </c>
    </row>
    <row r="597" spans="1:9" x14ac:dyDescent="0.25">
      <c r="A597" t="s">
        <v>965</v>
      </c>
      <c r="B597" t="s">
        <v>966</v>
      </c>
      <c r="C597" s="3">
        <v>45818</v>
      </c>
      <c r="D597">
        <v>21</v>
      </c>
      <c r="E597" s="3">
        <f t="shared" si="9"/>
        <v>45794</v>
      </c>
      <c r="F597" s="3">
        <f>IF(TableRefills3[[#This Row],[prev_refill_days]]="","",TableRefills3[[#This Row],[prev_refill_days]]+TableRefills3[[#This Row],[quantity_days]])</f>
        <v>45815</v>
      </c>
      <c r="G597">
        <f>IF(TableRefills3[[#This Row],[prev_refill_end]]="","",TableRefills3[[#This Row],[refill_date]]-TableRefills3[[#This Row],[prev_refill_end]])</f>
        <v>3</v>
      </c>
      <c r="H597" s="10">
        <f>IF(TableRefills3[[#This Row],[gap_days]]="",0,IF(TableRefills3[[#This Row],[gap_days]]&gt;2,1,0))</f>
        <v>1</v>
      </c>
      <c r="I597">
        <f>_xlfn.MAXIFS(TableRefills3[discountinuation_flag], TableRefills3[patient_id], A597)</f>
        <v>1</v>
      </c>
    </row>
    <row r="598" spans="1:9" x14ac:dyDescent="0.25">
      <c r="A598" t="s">
        <v>965</v>
      </c>
      <c r="B598" t="s">
        <v>966</v>
      </c>
      <c r="C598" s="3">
        <v>45840</v>
      </c>
      <c r="D598">
        <v>21</v>
      </c>
      <c r="E598" s="3">
        <f t="shared" si="9"/>
        <v>45818</v>
      </c>
      <c r="F598" s="3">
        <f>IF(TableRefills3[[#This Row],[prev_refill_days]]="","",TableRefills3[[#This Row],[prev_refill_days]]+TableRefills3[[#This Row],[quantity_days]])</f>
        <v>45839</v>
      </c>
      <c r="G598">
        <f>IF(TableRefills3[[#This Row],[prev_refill_end]]="","",TableRefills3[[#This Row],[refill_date]]-TableRefills3[[#This Row],[prev_refill_end]])</f>
        <v>1</v>
      </c>
      <c r="H598" s="10">
        <f>IF(TableRefills3[[#This Row],[gap_days]]="",0,IF(TableRefills3[[#This Row],[gap_days]]&gt;2,1,0))</f>
        <v>0</v>
      </c>
      <c r="I598">
        <f>_xlfn.MAXIFS(TableRefills3[discountinuation_flag], TableRefills3[patient_id], A598)</f>
        <v>1</v>
      </c>
    </row>
    <row r="599" spans="1:9" x14ac:dyDescent="0.25">
      <c r="A599" t="s">
        <v>965</v>
      </c>
      <c r="B599" t="s">
        <v>966</v>
      </c>
      <c r="C599" s="3">
        <v>45862</v>
      </c>
      <c r="D599">
        <v>21</v>
      </c>
      <c r="E599" s="3">
        <f t="shared" si="9"/>
        <v>45840</v>
      </c>
      <c r="F599" s="3">
        <f>IF(TableRefills3[[#This Row],[prev_refill_days]]="","",TableRefills3[[#This Row],[prev_refill_days]]+TableRefills3[[#This Row],[quantity_days]])</f>
        <v>45861</v>
      </c>
      <c r="G599">
        <f>IF(TableRefills3[[#This Row],[prev_refill_end]]="","",TableRefills3[[#This Row],[refill_date]]-TableRefills3[[#This Row],[prev_refill_end]])</f>
        <v>1</v>
      </c>
      <c r="H599" s="10">
        <f>IF(TableRefills3[[#This Row],[gap_days]]="",0,IF(TableRefills3[[#This Row],[gap_days]]&gt;2,1,0))</f>
        <v>0</v>
      </c>
      <c r="I599">
        <f>_xlfn.MAXIFS(TableRefills3[discountinuation_flag], TableRefills3[patient_id], A599)</f>
        <v>1</v>
      </c>
    </row>
    <row r="600" spans="1:9" x14ac:dyDescent="0.25">
      <c r="A600" t="s">
        <v>965</v>
      </c>
      <c r="B600" t="s">
        <v>966</v>
      </c>
      <c r="C600" s="3">
        <v>45883</v>
      </c>
      <c r="D600">
        <v>21</v>
      </c>
      <c r="E600" s="3">
        <f t="shared" si="9"/>
        <v>45862</v>
      </c>
      <c r="F600" s="3">
        <f>IF(TableRefills3[[#This Row],[prev_refill_days]]="","",TableRefills3[[#This Row],[prev_refill_days]]+TableRefills3[[#This Row],[quantity_days]])</f>
        <v>45883</v>
      </c>
      <c r="G600">
        <f>IF(TableRefills3[[#This Row],[prev_refill_end]]="","",TableRefills3[[#This Row],[refill_date]]-TableRefills3[[#This Row],[prev_refill_end]])</f>
        <v>0</v>
      </c>
      <c r="H600" s="10">
        <f>IF(TableRefills3[[#This Row],[gap_days]]="",0,IF(TableRefills3[[#This Row],[gap_days]]&gt;2,1,0))</f>
        <v>0</v>
      </c>
      <c r="I600">
        <f>_xlfn.MAXIFS(TableRefills3[discountinuation_flag], TableRefills3[patient_id], A600)</f>
        <v>1</v>
      </c>
    </row>
    <row r="601" spans="1:9" x14ac:dyDescent="0.25">
      <c r="A601" t="s">
        <v>965</v>
      </c>
      <c r="B601" t="s">
        <v>966</v>
      </c>
      <c r="C601" s="3">
        <v>45902</v>
      </c>
      <c r="D601">
        <v>21</v>
      </c>
      <c r="E601" s="3">
        <f t="shared" si="9"/>
        <v>45883</v>
      </c>
      <c r="F601" s="3">
        <f>IF(TableRefills3[[#This Row],[prev_refill_days]]="","",TableRefills3[[#This Row],[prev_refill_days]]+TableRefills3[[#This Row],[quantity_days]])</f>
        <v>45904</v>
      </c>
      <c r="G601">
        <f>IF(TableRefills3[[#This Row],[prev_refill_end]]="","",TableRefills3[[#This Row],[refill_date]]-TableRefills3[[#This Row],[prev_refill_end]])</f>
        <v>-2</v>
      </c>
      <c r="H601" s="10">
        <f>IF(TableRefills3[[#This Row],[gap_days]]="",0,IF(TableRefills3[[#This Row],[gap_days]]&gt;2,1,0))</f>
        <v>0</v>
      </c>
      <c r="I601">
        <f>_xlfn.MAXIFS(TableRefills3[discountinuation_flag], TableRefills3[patient_id], A601)</f>
        <v>1</v>
      </c>
    </row>
    <row r="602" spans="1:9" x14ac:dyDescent="0.25">
      <c r="A602" t="s">
        <v>965</v>
      </c>
      <c r="B602" t="s">
        <v>966</v>
      </c>
      <c r="C602" s="3">
        <v>45920</v>
      </c>
      <c r="D602">
        <v>21</v>
      </c>
      <c r="E602" s="3">
        <f t="shared" si="9"/>
        <v>45902</v>
      </c>
      <c r="F602" s="3">
        <f>IF(TableRefills3[[#This Row],[prev_refill_days]]="","",TableRefills3[[#This Row],[prev_refill_days]]+TableRefills3[[#This Row],[quantity_days]])</f>
        <v>45923</v>
      </c>
      <c r="G602">
        <f>IF(TableRefills3[[#This Row],[prev_refill_end]]="","",TableRefills3[[#This Row],[refill_date]]-TableRefills3[[#This Row],[prev_refill_end]])</f>
        <v>-3</v>
      </c>
      <c r="H602" s="10">
        <f>IF(TableRefills3[[#This Row],[gap_days]]="",0,IF(TableRefills3[[#This Row],[gap_days]]&gt;2,1,0))</f>
        <v>0</v>
      </c>
      <c r="I602">
        <f>_xlfn.MAXIFS(TableRefills3[discountinuation_flag], TableRefills3[patient_id], A602)</f>
        <v>1</v>
      </c>
    </row>
    <row r="603" spans="1:9" x14ac:dyDescent="0.25">
      <c r="A603" t="s">
        <v>965</v>
      </c>
      <c r="B603" t="s">
        <v>966</v>
      </c>
      <c r="C603" s="3">
        <v>45943</v>
      </c>
      <c r="D603">
        <v>21</v>
      </c>
      <c r="E603" s="3">
        <f t="shared" si="9"/>
        <v>45920</v>
      </c>
      <c r="F603" s="3">
        <f>IF(TableRefills3[[#This Row],[prev_refill_days]]="","",TableRefills3[[#This Row],[prev_refill_days]]+TableRefills3[[#This Row],[quantity_days]])</f>
        <v>45941</v>
      </c>
      <c r="G603">
        <f>IF(TableRefills3[[#This Row],[prev_refill_end]]="","",TableRefills3[[#This Row],[refill_date]]-TableRefills3[[#This Row],[prev_refill_end]])</f>
        <v>2</v>
      </c>
      <c r="H603" s="10">
        <f>IF(TableRefills3[[#This Row],[gap_days]]="",0,IF(TableRefills3[[#This Row],[gap_days]]&gt;2,1,0))</f>
        <v>0</v>
      </c>
      <c r="I603">
        <f>_xlfn.MAXIFS(TableRefills3[discountinuation_flag], TableRefills3[patient_id], A603)</f>
        <v>1</v>
      </c>
    </row>
    <row r="604" spans="1:9" x14ac:dyDescent="0.25">
      <c r="A604" t="s">
        <v>975</v>
      </c>
      <c r="B604" t="s">
        <v>976</v>
      </c>
      <c r="C604" s="3">
        <v>45879</v>
      </c>
      <c r="D604">
        <v>28</v>
      </c>
      <c r="E604" s="3" t="str">
        <f t="shared" si="9"/>
        <v/>
      </c>
      <c r="F604" s="3" t="str">
        <f>IF(TableRefills3[[#This Row],[prev_refill_days]]="","",TableRefills3[[#This Row],[prev_refill_days]]+TableRefills3[[#This Row],[quantity_days]])</f>
        <v/>
      </c>
      <c r="G604" t="str">
        <f>IF(TableRefills3[[#This Row],[prev_refill_end]]="","",TableRefills3[[#This Row],[refill_date]]-TableRefills3[[#This Row],[prev_refill_end]])</f>
        <v/>
      </c>
      <c r="H604" s="10">
        <f>IF(TableRefills3[[#This Row],[gap_days]]="",0,IF(TableRefills3[[#This Row],[gap_days]]&gt;2,1,0))</f>
        <v>0</v>
      </c>
      <c r="I604">
        <f>_xlfn.MAXIFS(TableRefills3[discountinuation_flag], TableRefills3[patient_id], A604)</f>
        <v>1</v>
      </c>
    </row>
    <row r="605" spans="1:9" x14ac:dyDescent="0.25">
      <c r="A605" t="s">
        <v>975</v>
      </c>
      <c r="B605" t="s">
        <v>976</v>
      </c>
      <c r="C605" s="3">
        <v>45907</v>
      </c>
      <c r="D605">
        <v>28</v>
      </c>
      <c r="E605" s="3">
        <f t="shared" si="9"/>
        <v>45879</v>
      </c>
      <c r="F605" s="3">
        <f>IF(TableRefills3[[#This Row],[prev_refill_days]]="","",TableRefills3[[#This Row],[prev_refill_days]]+TableRefills3[[#This Row],[quantity_days]])</f>
        <v>45907</v>
      </c>
      <c r="G605">
        <f>IF(TableRefills3[[#This Row],[prev_refill_end]]="","",TableRefills3[[#This Row],[refill_date]]-TableRefills3[[#This Row],[prev_refill_end]])</f>
        <v>0</v>
      </c>
      <c r="H605" s="10">
        <f>IF(TableRefills3[[#This Row],[gap_days]]="",0,IF(TableRefills3[[#This Row],[gap_days]]&gt;2,1,0))</f>
        <v>0</v>
      </c>
      <c r="I605">
        <f>_xlfn.MAXIFS(TableRefills3[discountinuation_flag], TableRefills3[patient_id], A605)</f>
        <v>1</v>
      </c>
    </row>
    <row r="606" spans="1:9" x14ac:dyDescent="0.25">
      <c r="A606" t="s">
        <v>975</v>
      </c>
      <c r="B606" t="s">
        <v>976</v>
      </c>
      <c r="C606" s="3">
        <v>45938</v>
      </c>
      <c r="D606">
        <v>28</v>
      </c>
      <c r="E606" s="3">
        <f t="shared" si="9"/>
        <v>45907</v>
      </c>
      <c r="F606" s="3">
        <f>IF(TableRefills3[[#This Row],[prev_refill_days]]="","",TableRefills3[[#This Row],[prev_refill_days]]+TableRefills3[[#This Row],[quantity_days]])</f>
        <v>45935</v>
      </c>
      <c r="G606">
        <f>IF(TableRefills3[[#This Row],[prev_refill_end]]="","",TableRefills3[[#This Row],[refill_date]]-TableRefills3[[#This Row],[prev_refill_end]])</f>
        <v>3</v>
      </c>
      <c r="H606" s="10">
        <f>IF(TableRefills3[[#This Row],[gap_days]]="",0,IF(TableRefills3[[#This Row],[gap_days]]&gt;2,1,0))</f>
        <v>1</v>
      </c>
      <c r="I606">
        <f>_xlfn.MAXIFS(TableRefills3[discountinuation_flag], TableRefills3[patient_id], A606)</f>
        <v>1</v>
      </c>
    </row>
    <row r="607" spans="1:9" x14ac:dyDescent="0.25">
      <c r="A607" t="s">
        <v>980</v>
      </c>
      <c r="B607" t="s">
        <v>981</v>
      </c>
      <c r="C607" s="3">
        <v>45900</v>
      </c>
      <c r="D607">
        <v>14</v>
      </c>
      <c r="E607" s="3" t="str">
        <f t="shared" si="9"/>
        <v/>
      </c>
      <c r="F607" s="3" t="str">
        <f>IF(TableRefills3[[#This Row],[prev_refill_days]]="","",TableRefills3[[#This Row],[prev_refill_days]]+TableRefills3[[#This Row],[quantity_days]])</f>
        <v/>
      </c>
      <c r="G607" t="str">
        <f>IF(TableRefills3[[#This Row],[prev_refill_end]]="","",TableRefills3[[#This Row],[refill_date]]-TableRefills3[[#This Row],[prev_refill_end]])</f>
        <v/>
      </c>
      <c r="H607" s="10">
        <f>IF(TableRefills3[[#This Row],[gap_days]]="",0,IF(TableRefills3[[#This Row],[gap_days]]&gt;2,1,0))</f>
        <v>0</v>
      </c>
      <c r="I607">
        <f>_xlfn.MAXIFS(TableRefills3[discountinuation_flag], TableRefills3[patient_id], A607)</f>
        <v>0</v>
      </c>
    </row>
    <row r="608" spans="1:9" x14ac:dyDescent="0.25">
      <c r="A608" t="s">
        <v>980</v>
      </c>
      <c r="B608" t="s">
        <v>981</v>
      </c>
      <c r="C608" s="3">
        <v>45912</v>
      </c>
      <c r="D608">
        <v>14</v>
      </c>
      <c r="E608" s="3">
        <f t="shared" si="9"/>
        <v>45900</v>
      </c>
      <c r="F608" s="3">
        <f>IF(TableRefills3[[#This Row],[prev_refill_days]]="","",TableRefills3[[#This Row],[prev_refill_days]]+TableRefills3[[#This Row],[quantity_days]])</f>
        <v>45914</v>
      </c>
      <c r="G608">
        <f>IF(TableRefills3[[#This Row],[prev_refill_end]]="","",TableRefills3[[#This Row],[refill_date]]-TableRefills3[[#This Row],[prev_refill_end]])</f>
        <v>-2</v>
      </c>
      <c r="H608" s="10">
        <f>IF(TableRefills3[[#This Row],[gap_days]]="",0,IF(TableRefills3[[#This Row],[gap_days]]&gt;2,1,0))</f>
        <v>0</v>
      </c>
      <c r="I608">
        <f>_xlfn.MAXIFS(TableRefills3[discountinuation_flag], TableRefills3[patient_id], A608)</f>
        <v>0</v>
      </c>
    </row>
    <row r="609" spans="1:9" x14ac:dyDescent="0.25">
      <c r="A609" t="s">
        <v>980</v>
      </c>
      <c r="B609" t="s">
        <v>981</v>
      </c>
      <c r="C609" s="3">
        <v>45926</v>
      </c>
      <c r="D609">
        <v>14</v>
      </c>
      <c r="E609" s="3">
        <f t="shared" si="9"/>
        <v>45912</v>
      </c>
      <c r="F609" s="3">
        <f>IF(TableRefills3[[#This Row],[prev_refill_days]]="","",TableRefills3[[#This Row],[prev_refill_days]]+TableRefills3[[#This Row],[quantity_days]])</f>
        <v>45926</v>
      </c>
      <c r="G609">
        <f>IF(TableRefills3[[#This Row],[prev_refill_end]]="","",TableRefills3[[#This Row],[refill_date]]-TableRefills3[[#This Row],[prev_refill_end]])</f>
        <v>0</v>
      </c>
      <c r="H609" s="10">
        <f>IF(TableRefills3[[#This Row],[gap_days]]="",0,IF(TableRefills3[[#This Row],[gap_days]]&gt;2,1,0))</f>
        <v>0</v>
      </c>
      <c r="I609">
        <f>_xlfn.MAXIFS(TableRefills3[discountinuation_flag], TableRefills3[patient_id], A609)</f>
        <v>0</v>
      </c>
    </row>
    <row r="610" spans="1:9" x14ac:dyDescent="0.25">
      <c r="A610" t="s">
        <v>980</v>
      </c>
      <c r="B610" t="s">
        <v>981</v>
      </c>
      <c r="C610" s="3">
        <v>45940</v>
      </c>
      <c r="D610">
        <v>14</v>
      </c>
      <c r="E610" s="3">
        <f t="shared" si="9"/>
        <v>45926</v>
      </c>
      <c r="F610" s="3">
        <f>IF(TableRefills3[[#This Row],[prev_refill_days]]="","",TableRefills3[[#This Row],[prev_refill_days]]+TableRefills3[[#This Row],[quantity_days]])</f>
        <v>45940</v>
      </c>
      <c r="G610">
        <f>IF(TableRefills3[[#This Row],[prev_refill_end]]="","",TableRefills3[[#This Row],[refill_date]]-TableRefills3[[#This Row],[prev_refill_end]])</f>
        <v>0</v>
      </c>
      <c r="H610" s="10">
        <f>IF(TableRefills3[[#This Row],[gap_days]]="",0,IF(TableRefills3[[#This Row],[gap_days]]&gt;2,1,0))</f>
        <v>0</v>
      </c>
      <c r="I610">
        <f>_xlfn.MAXIFS(TableRefills3[discountinuation_flag], TableRefills3[patient_id], A610)</f>
        <v>0</v>
      </c>
    </row>
    <row r="611" spans="1:9" x14ac:dyDescent="0.25">
      <c r="A611" t="s">
        <v>980</v>
      </c>
      <c r="B611" t="s">
        <v>981</v>
      </c>
      <c r="C611" s="3">
        <v>45953</v>
      </c>
      <c r="D611">
        <v>14</v>
      </c>
      <c r="E611" s="3">
        <f t="shared" si="9"/>
        <v>45940</v>
      </c>
      <c r="F611" s="3">
        <f>IF(TableRefills3[[#This Row],[prev_refill_days]]="","",TableRefills3[[#This Row],[prev_refill_days]]+TableRefills3[[#This Row],[quantity_days]])</f>
        <v>45954</v>
      </c>
      <c r="G611">
        <f>IF(TableRefills3[[#This Row],[prev_refill_end]]="","",TableRefills3[[#This Row],[refill_date]]-TableRefills3[[#This Row],[prev_refill_end]])</f>
        <v>-1</v>
      </c>
      <c r="H611" s="10">
        <f>IF(TableRefills3[[#This Row],[gap_days]]="",0,IF(TableRefills3[[#This Row],[gap_days]]&gt;2,1,0))</f>
        <v>0</v>
      </c>
      <c r="I611">
        <f>_xlfn.MAXIFS(TableRefills3[discountinuation_flag], TableRefills3[patient_id], A611)</f>
        <v>0</v>
      </c>
    </row>
    <row r="612" spans="1:9" x14ac:dyDescent="0.25">
      <c r="A612" t="s">
        <v>987</v>
      </c>
      <c r="B612" t="s">
        <v>988</v>
      </c>
      <c r="C612" s="3">
        <v>45883</v>
      </c>
      <c r="D612">
        <v>30</v>
      </c>
      <c r="E612" s="3" t="str">
        <f t="shared" si="9"/>
        <v/>
      </c>
      <c r="F612" s="3" t="str">
        <f>IF(TableRefills3[[#This Row],[prev_refill_days]]="","",TableRefills3[[#This Row],[prev_refill_days]]+TableRefills3[[#This Row],[quantity_days]])</f>
        <v/>
      </c>
      <c r="G612" t="str">
        <f>IF(TableRefills3[[#This Row],[prev_refill_end]]="","",TableRefills3[[#This Row],[refill_date]]-TableRefills3[[#This Row],[prev_refill_end]])</f>
        <v/>
      </c>
      <c r="H612" s="10">
        <f>IF(TableRefills3[[#This Row],[gap_days]]="",0,IF(TableRefills3[[#This Row],[gap_days]]&gt;2,1,0))</f>
        <v>0</v>
      </c>
      <c r="I612">
        <f>_xlfn.MAXIFS(TableRefills3[discountinuation_flag], TableRefills3[patient_id], A612)</f>
        <v>1</v>
      </c>
    </row>
    <row r="613" spans="1:9" x14ac:dyDescent="0.25">
      <c r="A613" t="s">
        <v>987</v>
      </c>
      <c r="B613" t="s">
        <v>988</v>
      </c>
      <c r="C613" s="3">
        <v>45916</v>
      </c>
      <c r="D613">
        <v>30</v>
      </c>
      <c r="E613" s="3">
        <f t="shared" si="9"/>
        <v>45883</v>
      </c>
      <c r="F613" s="3">
        <f>IF(TableRefills3[[#This Row],[prev_refill_days]]="","",TableRefills3[[#This Row],[prev_refill_days]]+TableRefills3[[#This Row],[quantity_days]])</f>
        <v>45913</v>
      </c>
      <c r="G613">
        <f>IF(TableRefills3[[#This Row],[prev_refill_end]]="","",TableRefills3[[#This Row],[refill_date]]-TableRefills3[[#This Row],[prev_refill_end]])</f>
        <v>3</v>
      </c>
      <c r="H613" s="10">
        <f>IF(TableRefills3[[#This Row],[gap_days]]="",0,IF(TableRefills3[[#This Row],[gap_days]]&gt;2,1,0))</f>
        <v>1</v>
      </c>
      <c r="I613">
        <f>_xlfn.MAXIFS(TableRefills3[discountinuation_flag], TableRefills3[patient_id], A613)</f>
        <v>1</v>
      </c>
    </row>
    <row r="614" spans="1:9" x14ac:dyDescent="0.25">
      <c r="A614" t="s">
        <v>987</v>
      </c>
      <c r="B614" t="s">
        <v>988</v>
      </c>
      <c r="C614" s="3">
        <v>45946</v>
      </c>
      <c r="D614">
        <v>30</v>
      </c>
      <c r="E614" s="3">
        <f t="shared" si="9"/>
        <v>45916</v>
      </c>
      <c r="F614" s="3">
        <f>IF(TableRefills3[[#This Row],[prev_refill_days]]="","",TableRefills3[[#This Row],[prev_refill_days]]+TableRefills3[[#This Row],[quantity_days]])</f>
        <v>45946</v>
      </c>
      <c r="G614">
        <f>IF(TableRefills3[[#This Row],[prev_refill_end]]="","",TableRefills3[[#This Row],[refill_date]]-TableRefills3[[#This Row],[prev_refill_end]])</f>
        <v>0</v>
      </c>
      <c r="H614" s="10">
        <f>IF(TableRefills3[[#This Row],[gap_days]]="",0,IF(TableRefills3[[#This Row],[gap_days]]&gt;2,1,0))</f>
        <v>0</v>
      </c>
      <c r="I614">
        <f>_xlfn.MAXIFS(TableRefills3[discountinuation_flag], TableRefills3[patient_id], A614)</f>
        <v>1</v>
      </c>
    </row>
    <row r="615" spans="1:9" x14ac:dyDescent="0.25">
      <c r="A615" t="s">
        <v>992</v>
      </c>
      <c r="B615" t="s">
        <v>993</v>
      </c>
      <c r="C615" s="3">
        <v>45882</v>
      </c>
      <c r="D615">
        <v>30</v>
      </c>
      <c r="E615" s="3" t="str">
        <f t="shared" si="9"/>
        <v/>
      </c>
      <c r="F615" s="3" t="str">
        <f>IF(TableRefills3[[#This Row],[prev_refill_days]]="","",TableRefills3[[#This Row],[prev_refill_days]]+TableRefills3[[#This Row],[quantity_days]])</f>
        <v/>
      </c>
      <c r="G615" t="str">
        <f>IF(TableRefills3[[#This Row],[prev_refill_end]]="","",TableRefills3[[#This Row],[refill_date]]-TableRefills3[[#This Row],[prev_refill_end]])</f>
        <v/>
      </c>
      <c r="H615" s="10">
        <f>IF(TableRefills3[[#This Row],[gap_days]]="",0,IF(TableRefills3[[#This Row],[gap_days]]&gt;2,1,0))</f>
        <v>0</v>
      </c>
      <c r="I615">
        <f>_xlfn.MAXIFS(TableRefills3[discountinuation_flag], TableRefills3[patient_id], A615)</f>
        <v>0</v>
      </c>
    </row>
    <row r="616" spans="1:9" x14ac:dyDescent="0.25">
      <c r="A616" t="s">
        <v>992</v>
      </c>
      <c r="B616" t="s">
        <v>993</v>
      </c>
      <c r="C616" s="3">
        <v>45911</v>
      </c>
      <c r="D616">
        <v>30</v>
      </c>
      <c r="E616" s="3">
        <f t="shared" si="9"/>
        <v>45882</v>
      </c>
      <c r="F616" s="3">
        <f>IF(TableRefills3[[#This Row],[prev_refill_days]]="","",TableRefills3[[#This Row],[prev_refill_days]]+TableRefills3[[#This Row],[quantity_days]])</f>
        <v>45912</v>
      </c>
      <c r="G616">
        <f>IF(TableRefills3[[#This Row],[prev_refill_end]]="","",TableRefills3[[#This Row],[refill_date]]-TableRefills3[[#This Row],[prev_refill_end]])</f>
        <v>-1</v>
      </c>
      <c r="H616" s="10">
        <f>IF(TableRefills3[[#This Row],[gap_days]]="",0,IF(TableRefills3[[#This Row],[gap_days]]&gt;2,1,0))</f>
        <v>0</v>
      </c>
      <c r="I616">
        <f>_xlfn.MAXIFS(TableRefills3[discountinuation_flag], TableRefills3[patient_id], A616)</f>
        <v>0</v>
      </c>
    </row>
    <row r="617" spans="1:9" x14ac:dyDescent="0.25">
      <c r="A617" t="s">
        <v>992</v>
      </c>
      <c r="B617" t="s">
        <v>993</v>
      </c>
      <c r="C617" s="3">
        <v>45938</v>
      </c>
      <c r="D617">
        <v>30</v>
      </c>
      <c r="E617" s="3">
        <f t="shared" si="9"/>
        <v>45911</v>
      </c>
      <c r="F617" s="3">
        <f>IF(TableRefills3[[#This Row],[prev_refill_days]]="","",TableRefills3[[#This Row],[prev_refill_days]]+TableRefills3[[#This Row],[quantity_days]])</f>
        <v>45941</v>
      </c>
      <c r="G617">
        <f>IF(TableRefills3[[#This Row],[prev_refill_end]]="","",TableRefills3[[#This Row],[refill_date]]-TableRefills3[[#This Row],[prev_refill_end]])</f>
        <v>-3</v>
      </c>
      <c r="H617" s="10">
        <f>IF(TableRefills3[[#This Row],[gap_days]]="",0,IF(TableRefills3[[#This Row],[gap_days]]&gt;2,1,0))</f>
        <v>0</v>
      </c>
      <c r="I617">
        <f>_xlfn.MAXIFS(TableRefills3[discountinuation_flag], TableRefills3[patient_id], A617)</f>
        <v>0</v>
      </c>
    </row>
    <row r="618" spans="1:9" x14ac:dyDescent="0.25">
      <c r="A618" t="s">
        <v>997</v>
      </c>
      <c r="B618" t="s">
        <v>998</v>
      </c>
      <c r="C618" s="3">
        <v>45925</v>
      </c>
      <c r="D618">
        <v>56</v>
      </c>
      <c r="E618" s="3" t="str">
        <f t="shared" si="9"/>
        <v/>
      </c>
      <c r="F618" s="3" t="str">
        <f>IF(TableRefills3[[#This Row],[prev_refill_days]]="","",TableRefills3[[#This Row],[prev_refill_days]]+TableRefills3[[#This Row],[quantity_days]])</f>
        <v/>
      </c>
      <c r="G618" t="str">
        <f>IF(TableRefills3[[#This Row],[prev_refill_end]]="","",TableRefills3[[#This Row],[refill_date]]-TableRefills3[[#This Row],[prev_refill_end]])</f>
        <v/>
      </c>
      <c r="H618" s="10">
        <f>IF(TableRefills3[[#This Row],[gap_days]]="",0,IF(TableRefills3[[#This Row],[gap_days]]&gt;2,1,0))</f>
        <v>0</v>
      </c>
      <c r="I618">
        <f>_xlfn.MAXIFS(TableRefills3[discountinuation_flag], TableRefills3[patient_id], A618)</f>
        <v>0</v>
      </c>
    </row>
    <row r="619" spans="1:9" x14ac:dyDescent="0.25">
      <c r="A619" t="s">
        <v>1000</v>
      </c>
      <c r="B619" t="s">
        <v>1001</v>
      </c>
      <c r="C619" s="3">
        <v>45810</v>
      </c>
      <c r="D619">
        <v>30</v>
      </c>
      <c r="E619" s="3" t="str">
        <f t="shared" si="9"/>
        <v/>
      </c>
      <c r="F619" s="3" t="str">
        <f>IF(TableRefills3[[#This Row],[prev_refill_days]]="","",TableRefills3[[#This Row],[prev_refill_days]]+TableRefills3[[#This Row],[quantity_days]])</f>
        <v/>
      </c>
      <c r="G619" t="str">
        <f>IF(TableRefills3[[#This Row],[prev_refill_end]]="","",TableRefills3[[#This Row],[refill_date]]-TableRefills3[[#This Row],[prev_refill_end]])</f>
        <v/>
      </c>
      <c r="H619" s="10">
        <f>IF(TableRefills3[[#This Row],[gap_days]]="",0,IF(TableRefills3[[#This Row],[gap_days]]&gt;2,1,0))</f>
        <v>0</v>
      </c>
      <c r="I619">
        <f>_xlfn.MAXIFS(TableRefills3[discountinuation_flag], TableRefills3[patient_id], A619)</f>
        <v>1</v>
      </c>
    </row>
    <row r="620" spans="1:9" x14ac:dyDescent="0.25">
      <c r="A620" t="s">
        <v>1000</v>
      </c>
      <c r="B620" t="s">
        <v>1001</v>
      </c>
      <c r="C620" s="3">
        <v>45843</v>
      </c>
      <c r="D620">
        <v>30</v>
      </c>
      <c r="E620" s="3">
        <f t="shared" si="9"/>
        <v>45810</v>
      </c>
      <c r="F620" s="3">
        <f>IF(TableRefills3[[#This Row],[prev_refill_days]]="","",TableRefills3[[#This Row],[prev_refill_days]]+TableRefills3[[#This Row],[quantity_days]])</f>
        <v>45840</v>
      </c>
      <c r="G620">
        <f>IF(TableRefills3[[#This Row],[prev_refill_end]]="","",TableRefills3[[#This Row],[refill_date]]-TableRefills3[[#This Row],[prev_refill_end]])</f>
        <v>3</v>
      </c>
      <c r="H620" s="10">
        <f>IF(TableRefills3[[#This Row],[gap_days]]="",0,IF(TableRefills3[[#This Row],[gap_days]]&gt;2,1,0))</f>
        <v>1</v>
      </c>
      <c r="I620">
        <f>_xlfn.MAXIFS(TableRefills3[discountinuation_flag], TableRefills3[patient_id], A620)</f>
        <v>1</v>
      </c>
    </row>
    <row r="621" spans="1:9" x14ac:dyDescent="0.25">
      <c r="A621" t="s">
        <v>1000</v>
      </c>
      <c r="B621" t="s">
        <v>1001</v>
      </c>
      <c r="C621" s="3">
        <v>45874</v>
      </c>
      <c r="D621">
        <v>30</v>
      </c>
      <c r="E621" s="3">
        <f t="shared" si="9"/>
        <v>45843</v>
      </c>
      <c r="F621" s="3">
        <f>IF(TableRefills3[[#This Row],[prev_refill_days]]="","",TableRefills3[[#This Row],[prev_refill_days]]+TableRefills3[[#This Row],[quantity_days]])</f>
        <v>45873</v>
      </c>
      <c r="G621">
        <f>IF(TableRefills3[[#This Row],[prev_refill_end]]="","",TableRefills3[[#This Row],[refill_date]]-TableRefills3[[#This Row],[prev_refill_end]])</f>
        <v>1</v>
      </c>
      <c r="H621" s="10">
        <f>IF(TableRefills3[[#This Row],[gap_days]]="",0,IF(TableRefills3[[#This Row],[gap_days]]&gt;2,1,0))</f>
        <v>0</v>
      </c>
      <c r="I621">
        <f>_xlfn.MAXIFS(TableRefills3[discountinuation_flag], TableRefills3[patient_id], A621)</f>
        <v>1</v>
      </c>
    </row>
    <row r="622" spans="1:9" x14ac:dyDescent="0.25">
      <c r="A622" t="s">
        <v>1000</v>
      </c>
      <c r="B622" t="s">
        <v>1001</v>
      </c>
      <c r="C622" s="3">
        <v>45902</v>
      </c>
      <c r="D622">
        <v>30</v>
      </c>
      <c r="E622" s="3">
        <f t="shared" si="9"/>
        <v>45874</v>
      </c>
      <c r="F622" s="3">
        <f>IF(TableRefills3[[#This Row],[prev_refill_days]]="","",TableRefills3[[#This Row],[prev_refill_days]]+TableRefills3[[#This Row],[quantity_days]])</f>
        <v>45904</v>
      </c>
      <c r="G622">
        <f>IF(TableRefills3[[#This Row],[prev_refill_end]]="","",TableRefills3[[#This Row],[refill_date]]-TableRefills3[[#This Row],[prev_refill_end]])</f>
        <v>-2</v>
      </c>
      <c r="H622" s="10">
        <f>IF(TableRefills3[[#This Row],[gap_days]]="",0,IF(TableRefills3[[#This Row],[gap_days]]&gt;2,1,0))</f>
        <v>0</v>
      </c>
      <c r="I622">
        <f>_xlfn.MAXIFS(TableRefills3[discountinuation_flag], TableRefills3[patient_id], A622)</f>
        <v>1</v>
      </c>
    </row>
    <row r="623" spans="1:9" x14ac:dyDescent="0.25">
      <c r="A623" t="s">
        <v>1000</v>
      </c>
      <c r="B623" t="s">
        <v>1001</v>
      </c>
      <c r="C623" s="3">
        <v>45935</v>
      </c>
      <c r="D623">
        <v>30</v>
      </c>
      <c r="E623" s="3">
        <f t="shared" si="9"/>
        <v>45902</v>
      </c>
      <c r="F623" s="3">
        <f>IF(TableRefills3[[#This Row],[prev_refill_days]]="","",TableRefills3[[#This Row],[prev_refill_days]]+TableRefills3[[#This Row],[quantity_days]])</f>
        <v>45932</v>
      </c>
      <c r="G623">
        <f>IF(TableRefills3[[#This Row],[prev_refill_end]]="","",TableRefills3[[#This Row],[refill_date]]-TableRefills3[[#This Row],[prev_refill_end]])</f>
        <v>3</v>
      </c>
      <c r="H623" s="10">
        <f>IF(TableRefills3[[#This Row],[gap_days]]="",0,IF(TableRefills3[[#This Row],[gap_days]]&gt;2,1,0))</f>
        <v>1</v>
      </c>
      <c r="I623">
        <f>_xlfn.MAXIFS(TableRefills3[discountinuation_flag], TableRefills3[patient_id], A623)</f>
        <v>1</v>
      </c>
    </row>
    <row r="624" spans="1:9" x14ac:dyDescent="0.25">
      <c r="A624" t="s">
        <v>1007</v>
      </c>
      <c r="B624" t="s">
        <v>1008</v>
      </c>
      <c r="C624" s="3">
        <v>45942</v>
      </c>
      <c r="D624">
        <v>30</v>
      </c>
      <c r="E624" s="3" t="str">
        <f t="shared" si="9"/>
        <v/>
      </c>
      <c r="F624" s="3" t="str">
        <f>IF(TableRefills3[[#This Row],[prev_refill_days]]="","",TableRefills3[[#This Row],[prev_refill_days]]+TableRefills3[[#This Row],[quantity_days]])</f>
        <v/>
      </c>
      <c r="G624" t="str">
        <f>IF(TableRefills3[[#This Row],[prev_refill_end]]="","",TableRefills3[[#This Row],[refill_date]]-TableRefills3[[#This Row],[prev_refill_end]])</f>
        <v/>
      </c>
      <c r="H624" s="10">
        <f>IF(TableRefills3[[#This Row],[gap_days]]="",0,IF(TableRefills3[[#This Row],[gap_days]]&gt;2,1,0))</f>
        <v>0</v>
      </c>
      <c r="I624">
        <f>_xlfn.MAXIFS(TableRefills3[discountinuation_flag], TableRefills3[patient_id], A624)</f>
        <v>0</v>
      </c>
    </row>
    <row r="625" spans="1:9" x14ac:dyDescent="0.25">
      <c r="A625" t="s">
        <v>1010</v>
      </c>
      <c r="B625" t="s">
        <v>1011</v>
      </c>
      <c r="C625" s="3">
        <v>45893</v>
      </c>
      <c r="D625">
        <v>30</v>
      </c>
      <c r="E625" s="3" t="str">
        <f t="shared" si="9"/>
        <v/>
      </c>
      <c r="F625" s="3" t="str">
        <f>IF(TableRefills3[[#This Row],[prev_refill_days]]="","",TableRefills3[[#This Row],[prev_refill_days]]+TableRefills3[[#This Row],[quantity_days]])</f>
        <v/>
      </c>
      <c r="G625" t="str">
        <f>IF(TableRefills3[[#This Row],[prev_refill_end]]="","",TableRefills3[[#This Row],[refill_date]]-TableRefills3[[#This Row],[prev_refill_end]])</f>
        <v/>
      </c>
      <c r="H625" s="10">
        <f>IF(TableRefills3[[#This Row],[gap_days]]="",0,IF(TableRefills3[[#This Row],[gap_days]]&gt;2,1,0))</f>
        <v>0</v>
      </c>
      <c r="I625">
        <f>_xlfn.MAXIFS(TableRefills3[discountinuation_flag], TableRefills3[patient_id], A625)</f>
        <v>0</v>
      </c>
    </row>
    <row r="626" spans="1:9" x14ac:dyDescent="0.25">
      <c r="A626" t="s">
        <v>1010</v>
      </c>
      <c r="B626" t="s">
        <v>1011</v>
      </c>
      <c r="C626" s="3">
        <v>45923</v>
      </c>
      <c r="D626">
        <v>30</v>
      </c>
      <c r="E626" s="3">
        <f t="shared" si="9"/>
        <v>45893</v>
      </c>
      <c r="F626" s="3">
        <f>IF(TableRefills3[[#This Row],[prev_refill_days]]="","",TableRefills3[[#This Row],[prev_refill_days]]+TableRefills3[[#This Row],[quantity_days]])</f>
        <v>45923</v>
      </c>
      <c r="G626">
        <f>IF(TableRefills3[[#This Row],[prev_refill_end]]="","",TableRefills3[[#This Row],[refill_date]]-TableRefills3[[#This Row],[prev_refill_end]])</f>
        <v>0</v>
      </c>
      <c r="H626" s="10">
        <f>IF(TableRefills3[[#This Row],[gap_days]]="",0,IF(TableRefills3[[#This Row],[gap_days]]&gt;2,1,0))</f>
        <v>0</v>
      </c>
      <c r="I626">
        <f>_xlfn.MAXIFS(TableRefills3[discountinuation_flag], TableRefills3[patient_id], A626)</f>
        <v>0</v>
      </c>
    </row>
    <row r="627" spans="1:9" x14ac:dyDescent="0.25">
      <c r="A627" t="s">
        <v>1010</v>
      </c>
      <c r="B627" t="s">
        <v>1011</v>
      </c>
      <c r="C627" s="3">
        <v>45953</v>
      </c>
      <c r="D627">
        <v>30</v>
      </c>
      <c r="E627" s="3">
        <f t="shared" si="9"/>
        <v>45923</v>
      </c>
      <c r="F627" s="3">
        <f>IF(TableRefills3[[#This Row],[prev_refill_days]]="","",TableRefills3[[#This Row],[prev_refill_days]]+TableRefills3[[#This Row],[quantity_days]])</f>
        <v>45953</v>
      </c>
      <c r="G627">
        <f>IF(TableRefills3[[#This Row],[prev_refill_end]]="","",TableRefills3[[#This Row],[refill_date]]-TableRefills3[[#This Row],[prev_refill_end]])</f>
        <v>0</v>
      </c>
      <c r="H627" s="10">
        <f>IF(TableRefills3[[#This Row],[gap_days]]="",0,IF(TableRefills3[[#This Row],[gap_days]]&gt;2,1,0))</f>
        <v>0</v>
      </c>
      <c r="I627">
        <f>_xlfn.MAXIFS(TableRefills3[discountinuation_flag], TableRefills3[patient_id], A627)</f>
        <v>0</v>
      </c>
    </row>
    <row r="628" spans="1:9" x14ac:dyDescent="0.25">
      <c r="A628" t="s">
        <v>1015</v>
      </c>
      <c r="B628" t="s">
        <v>1016</v>
      </c>
      <c r="C628" s="3">
        <v>45952</v>
      </c>
      <c r="D628">
        <v>28</v>
      </c>
      <c r="E628" s="3" t="str">
        <f t="shared" si="9"/>
        <v/>
      </c>
      <c r="F628" s="3" t="str">
        <f>IF(TableRefills3[[#This Row],[prev_refill_days]]="","",TableRefills3[[#This Row],[prev_refill_days]]+TableRefills3[[#This Row],[quantity_days]])</f>
        <v/>
      </c>
      <c r="G628" t="str">
        <f>IF(TableRefills3[[#This Row],[prev_refill_end]]="","",TableRefills3[[#This Row],[refill_date]]-TableRefills3[[#This Row],[prev_refill_end]])</f>
        <v/>
      </c>
      <c r="H628" s="10">
        <f>IF(TableRefills3[[#This Row],[gap_days]]="",0,IF(TableRefills3[[#This Row],[gap_days]]&gt;2,1,0))</f>
        <v>0</v>
      </c>
      <c r="I628">
        <f>_xlfn.MAXIFS(TableRefills3[discountinuation_flag], TableRefills3[patient_id], A628)</f>
        <v>0</v>
      </c>
    </row>
    <row r="629" spans="1:9" x14ac:dyDescent="0.25">
      <c r="A629" t="s">
        <v>1018</v>
      </c>
      <c r="B629" t="s">
        <v>1019</v>
      </c>
      <c r="C629" s="3">
        <v>45866</v>
      </c>
      <c r="D629">
        <v>30</v>
      </c>
      <c r="E629" s="3" t="str">
        <f t="shared" si="9"/>
        <v/>
      </c>
      <c r="F629" s="3" t="str">
        <f>IF(TableRefills3[[#This Row],[prev_refill_days]]="","",TableRefills3[[#This Row],[prev_refill_days]]+TableRefills3[[#This Row],[quantity_days]])</f>
        <v/>
      </c>
      <c r="G629" t="str">
        <f>IF(TableRefills3[[#This Row],[prev_refill_end]]="","",TableRefills3[[#This Row],[refill_date]]-TableRefills3[[#This Row],[prev_refill_end]])</f>
        <v/>
      </c>
      <c r="H629" s="10">
        <f>IF(TableRefills3[[#This Row],[gap_days]]="",0,IF(TableRefills3[[#This Row],[gap_days]]&gt;2,1,0))</f>
        <v>0</v>
      </c>
      <c r="I629">
        <f>_xlfn.MAXIFS(TableRefills3[discountinuation_flag], TableRefills3[patient_id], A629)</f>
        <v>0</v>
      </c>
    </row>
    <row r="630" spans="1:9" x14ac:dyDescent="0.25">
      <c r="A630" t="s">
        <v>1018</v>
      </c>
      <c r="B630" t="s">
        <v>1019</v>
      </c>
      <c r="C630" s="3">
        <v>45893</v>
      </c>
      <c r="D630">
        <v>30</v>
      </c>
      <c r="E630" s="3">
        <f t="shared" si="9"/>
        <v>45866</v>
      </c>
      <c r="F630" s="3">
        <f>IF(TableRefills3[[#This Row],[prev_refill_days]]="","",TableRefills3[[#This Row],[prev_refill_days]]+TableRefills3[[#This Row],[quantity_days]])</f>
        <v>45896</v>
      </c>
      <c r="G630">
        <f>IF(TableRefills3[[#This Row],[prev_refill_end]]="","",TableRefills3[[#This Row],[refill_date]]-TableRefills3[[#This Row],[prev_refill_end]])</f>
        <v>-3</v>
      </c>
      <c r="H630" s="10">
        <f>IF(TableRefills3[[#This Row],[gap_days]]="",0,IF(TableRefills3[[#This Row],[gap_days]]&gt;2,1,0))</f>
        <v>0</v>
      </c>
      <c r="I630">
        <f>_xlfn.MAXIFS(TableRefills3[discountinuation_flag], TableRefills3[patient_id], A630)</f>
        <v>0</v>
      </c>
    </row>
    <row r="631" spans="1:9" x14ac:dyDescent="0.25">
      <c r="A631" t="s">
        <v>1018</v>
      </c>
      <c r="B631" t="s">
        <v>1019</v>
      </c>
      <c r="C631" s="3">
        <v>45921</v>
      </c>
      <c r="D631">
        <v>30</v>
      </c>
      <c r="E631" s="3">
        <f t="shared" si="9"/>
        <v>45893</v>
      </c>
      <c r="F631" s="3">
        <f>IF(TableRefills3[[#This Row],[prev_refill_days]]="","",TableRefills3[[#This Row],[prev_refill_days]]+TableRefills3[[#This Row],[quantity_days]])</f>
        <v>45923</v>
      </c>
      <c r="G631">
        <f>IF(TableRefills3[[#This Row],[prev_refill_end]]="","",TableRefills3[[#This Row],[refill_date]]-TableRefills3[[#This Row],[prev_refill_end]])</f>
        <v>-2</v>
      </c>
      <c r="H631" s="10">
        <f>IF(TableRefills3[[#This Row],[gap_days]]="",0,IF(TableRefills3[[#This Row],[gap_days]]&gt;2,1,0))</f>
        <v>0</v>
      </c>
      <c r="I631">
        <f>_xlfn.MAXIFS(TableRefills3[discountinuation_flag], TableRefills3[patient_id], A631)</f>
        <v>0</v>
      </c>
    </row>
    <row r="632" spans="1:9" x14ac:dyDescent="0.25">
      <c r="A632" t="s">
        <v>1018</v>
      </c>
      <c r="B632" t="s">
        <v>1019</v>
      </c>
      <c r="C632" s="3">
        <v>45950</v>
      </c>
      <c r="D632">
        <v>30</v>
      </c>
      <c r="E632" s="3">
        <f t="shared" si="9"/>
        <v>45921</v>
      </c>
      <c r="F632" s="3">
        <f>IF(TableRefills3[[#This Row],[prev_refill_days]]="","",TableRefills3[[#This Row],[prev_refill_days]]+TableRefills3[[#This Row],[quantity_days]])</f>
        <v>45951</v>
      </c>
      <c r="G632">
        <f>IF(TableRefills3[[#This Row],[prev_refill_end]]="","",TableRefills3[[#This Row],[refill_date]]-TableRefills3[[#This Row],[prev_refill_end]])</f>
        <v>-1</v>
      </c>
      <c r="H632" s="10">
        <f>IF(TableRefills3[[#This Row],[gap_days]]="",0,IF(TableRefills3[[#This Row],[gap_days]]&gt;2,1,0))</f>
        <v>0</v>
      </c>
      <c r="I632">
        <f>_xlfn.MAXIFS(TableRefills3[discountinuation_flag], TableRefills3[patient_id], A632)</f>
        <v>0</v>
      </c>
    </row>
    <row r="633" spans="1:9" x14ac:dyDescent="0.25">
      <c r="A633" t="s">
        <v>1024</v>
      </c>
      <c r="B633" t="s">
        <v>1025</v>
      </c>
      <c r="C633" s="3">
        <v>45919</v>
      </c>
      <c r="D633">
        <v>21</v>
      </c>
      <c r="E633" s="3" t="str">
        <f t="shared" si="9"/>
        <v/>
      </c>
      <c r="F633" s="3" t="str">
        <f>IF(TableRefills3[[#This Row],[prev_refill_days]]="","",TableRefills3[[#This Row],[prev_refill_days]]+TableRefills3[[#This Row],[quantity_days]])</f>
        <v/>
      </c>
      <c r="G633" t="str">
        <f>IF(TableRefills3[[#This Row],[prev_refill_end]]="","",TableRefills3[[#This Row],[refill_date]]-TableRefills3[[#This Row],[prev_refill_end]])</f>
        <v/>
      </c>
      <c r="H633" s="10">
        <f>IF(TableRefills3[[#This Row],[gap_days]]="",0,IF(TableRefills3[[#This Row],[gap_days]]&gt;2,1,0))</f>
        <v>0</v>
      </c>
      <c r="I633">
        <f>_xlfn.MAXIFS(TableRefills3[discountinuation_flag], TableRefills3[patient_id], A633)</f>
        <v>1</v>
      </c>
    </row>
    <row r="634" spans="1:9" x14ac:dyDescent="0.25">
      <c r="A634" t="s">
        <v>1024</v>
      </c>
      <c r="B634" t="s">
        <v>1025</v>
      </c>
      <c r="C634" s="3">
        <v>45943</v>
      </c>
      <c r="D634">
        <v>21</v>
      </c>
      <c r="E634" s="3">
        <f t="shared" si="9"/>
        <v>45919</v>
      </c>
      <c r="F634" s="3">
        <f>IF(TableRefills3[[#This Row],[prev_refill_days]]="","",TableRefills3[[#This Row],[prev_refill_days]]+TableRefills3[[#This Row],[quantity_days]])</f>
        <v>45940</v>
      </c>
      <c r="G634">
        <f>IF(TableRefills3[[#This Row],[prev_refill_end]]="","",TableRefills3[[#This Row],[refill_date]]-TableRefills3[[#This Row],[prev_refill_end]])</f>
        <v>3</v>
      </c>
      <c r="H634" s="10">
        <f>IF(TableRefills3[[#This Row],[gap_days]]="",0,IF(TableRefills3[[#This Row],[gap_days]]&gt;2,1,0))</f>
        <v>1</v>
      </c>
      <c r="I634">
        <f>_xlfn.MAXIFS(TableRefills3[discountinuation_flag], TableRefills3[patient_id], A634)</f>
        <v>1</v>
      </c>
    </row>
    <row r="635" spans="1:9" x14ac:dyDescent="0.25">
      <c r="A635" t="s">
        <v>1028</v>
      </c>
      <c r="B635" t="s">
        <v>1029</v>
      </c>
      <c r="C635" s="3">
        <v>45928</v>
      </c>
      <c r="D635">
        <v>28</v>
      </c>
      <c r="E635" s="3" t="str">
        <f t="shared" si="9"/>
        <v/>
      </c>
      <c r="F635" s="3" t="str">
        <f>IF(TableRefills3[[#This Row],[prev_refill_days]]="","",TableRefills3[[#This Row],[prev_refill_days]]+TableRefills3[[#This Row],[quantity_days]])</f>
        <v/>
      </c>
      <c r="G635" t="str">
        <f>IF(TableRefills3[[#This Row],[prev_refill_end]]="","",TableRefills3[[#This Row],[refill_date]]-TableRefills3[[#This Row],[prev_refill_end]])</f>
        <v/>
      </c>
      <c r="H635" s="10">
        <f>IF(TableRefills3[[#This Row],[gap_days]]="",0,IF(TableRefills3[[#This Row],[gap_days]]&gt;2,1,0))</f>
        <v>0</v>
      </c>
      <c r="I635">
        <f>_xlfn.MAXIFS(TableRefills3[discountinuation_flag], TableRefills3[patient_id], A635)</f>
        <v>0</v>
      </c>
    </row>
    <row r="636" spans="1:9" x14ac:dyDescent="0.25">
      <c r="A636" t="s">
        <v>1028</v>
      </c>
      <c r="B636" t="s">
        <v>1029</v>
      </c>
      <c r="C636" s="3">
        <v>45958</v>
      </c>
      <c r="D636">
        <v>28</v>
      </c>
      <c r="E636" s="3">
        <f t="shared" si="9"/>
        <v>45928</v>
      </c>
      <c r="F636" s="3">
        <f>IF(TableRefills3[[#This Row],[prev_refill_days]]="","",TableRefills3[[#This Row],[prev_refill_days]]+TableRefills3[[#This Row],[quantity_days]])</f>
        <v>45956</v>
      </c>
      <c r="G636">
        <f>IF(TableRefills3[[#This Row],[prev_refill_end]]="","",TableRefills3[[#This Row],[refill_date]]-TableRefills3[[#This Row],[prev_refill_end]])</f>
        <v>2</v>
      </c>
      <c r="H636" s="10">
        <f>IF(TableRefills3[[#This Row],[gap_days]]="",0,IF(TableRefills3[[#This Row],[gap_days]]&gt;2,1,0))</f>
        <v>0</v>
      </c>
      <c r="I636">
        <f>_xlfn.MAXIFS(TableRefills3[discountinuation_flag], TableRefills3[patient_id], A636)</f>
        <v>0</v>
      </c>
    </row>
    <row r="637" spans="1:9" x14ac:dyDescent="0.25">
      <c r="A637" t="s">
        <v>1032</v>
      </c>
      <c r="B637" t="s">
        <v>1033</v>
      </c>
      <c r="C637" s="3">
        <v>45811</v>
      </c>
      <c r="D637">
        <v>28</v>
      </c>
      <c r="E637" s="3" t="str">
        <f t="shared" si="9"/>
        <v/>
      </c>
      <c r="F637" s="3" t="str">
        <f>IF(TableRefills3[[#This Row],[prev_refill_days]]="","",TableRefills3[[#This Row],[prev_refill_days]]+TableRefills3[[#This Row],[quantity_days]])</f>
        <v/>
      </c>
      <c r="G637" t="str">
        <f>IF(TableRefills3[[#This Row],[prev_refill_end]]="","",TableRefills3[[#This Row],[refill_date]]-TableRefills3[[#This Row],[prev_refill_end]])</f>
        <v/>
      </c>
      <c r="H637" s="10">
        <f>IF(TableRefills3[[#This Row],[gap_days]]="",0,IF(TableRefills3[[#This Row],[gap_days]]&gt;2,1,0))</f>
        <v>0</v>
      </c>
      <c r="I637">
        <f>_xlfn.MAXIFS(TableRefills3[discountinuation_flag], TableRefills3[patient_id], A637)</f>
        <v>0</v>
      </c>
    </row>
    <row r="638" spans="1:9" x14ac:dyDescent="0.25">
      <c r="A638" t="s">
        <v>1035</v>
      </c>
      <c r="B638" t="s">
        <v>1036</v>
      </c>
      <c r="C638" s="3">
        <v>45906</v>
      </c>
      <c r="D638">
        <v>28</v>
      </c>
      <c r="E638" s="3" t="str">
        <f t="shared" si="9"/>
        <v/>
      </c>
      <c r="F638" s="3" t="str">
        <f>IF(TableRefills3[[#This Row],[prev_refill_days]]="","",TableRefills3[[#This Row],[prev_refill_days]]+TableRefills3[[#This Row],[quantity_days]])</f>
        <v/>
      </c>
      <c r="G638" t="str">
        <f>IF(TableRefills3[[#This Row],[prev_refill_end]]="","",TableRefills3[[#This Row],[refill_date]]-TableRefills3[[#This Row],[prev_refill_end]])</f>
        <v/>
      </c>
      <c r="H638" s="10">
        <f>IF(TableRefills3[[#This Row],[gap_days]]="",0,IF(TableRefills3[[#This Row],[gap_days]]&gt;2,1,0))</f>
        <v>0</v>
      </c>
      <c r="I638">
        <f>_xlfn.MAXIFS(TableRefills3[discountinuation_flag], TableRefills3[patient_id], A638)</f>
        <v>0</v>
      </c>
    </row>
    <row r="639" spans="1:9" x14ac:dyDescent="0.25">
      <c r="A639" t="s">
        <v>1035</v>
      </c>
      <c r="B639" t="s">
        <v>1036</v>
      </c>
      <c r="C639" s="3">
        <v>45936</v>
      </c>
      <c r="D639">
        <v>28</v>
      </c>
      <c r="E639" s="3">
        <f t="shared" si="9"/>
        <v>45906</v>
      </c>
      <c r="F639" s="3">
        <f>IF(TableRefills3[[#This Row],[prev_refill_days]]="","",TableRefills3[[#This Row],[prev_refill_days]]+TableRefills3[[#This Row],[quantity_days]])</f>
        <v>45934</v>
      </c>
      <c r="G639">
        <f>IF(TableRefills3[[#This Row],[prev_refill_end]]="","",TableRefills3[[#This Row],[refill_date]]-TableRefills3[[#This Row],[prev_refill_end]])</f>
        <v>2</v>
      </c>
      <c r="H639" s="10">
        <f>IF(TableRefills3[[#This Row],[gap_days]]="",0,IF(TableRefills3[[#This Row],[gap_days]]&gt;2,1,0))</f>
        <v>0</v>
      </c>
      <c r="I639">
        <f>_xlfn.MAXIFS(TableRefills3[discountinuation_flag], TableRefills3[patient_id], A639)</f>
        <v>0</v>
      </c>
    </row>
    <row r="640" spans="1:9" x14ac:dyDescent="0.25">
      <c r="A640" t="s">
        <v>1039</v>
      </c>
      <c r="B640" t="s">
        <v>1040</v>
      </c>
      <c r="C640" s="3">
        <v>45809</v>
      </c>
      <c r="D640">
        <v>56</v>
      </c>
      <c r="E640" s="3" t="str">
        <f t="shared" si="9"/>
        <v/>
      </c>
      <c r="F640" s="3" t="str">
        <f>IF(TableRefills3[[#This Row],[prev_refill_days]]="","",TableRefills3[[#This Row],[prev_refill_days]]+TableRefills3[[#This Row],[quantity_days]])</f>
        <v/>
      </c>
      <c r="G640" t="str">
        <f>IF(TableRefills3[[#This Row],[prev_refill_end]]="","",TableRefills3[[#This Row],[refill_date]]-TableRefills3[[#This Row],[prev_refill_end]])</f>
        <v/>
      </c>
      <c r="H640" s="10">
        <f>IF(TableRefills3[[#This Row],[gap_days]]="",0,IF(TableRefills3[[#This Row],[gap_days]]&gt;2,1,0))</f>
        <v>0</v>
      </c>
      <c r="I640">
        <f>_xlfn.MAXIFS(TableRefills3[discountinuation_flag], TableRefills3[patient_id], A640)</f>
        <v>0</v>
      </c>
    </row>
    <row r="641" spans="1:9" x14ac:dyDescent="0.25">
      <c r="A641" t="s">
        <v>1039</v>
      </c>
      <c r="B641" t="s">
        <v>1040</v>
      </c>
      <c r="C641" s="3">
        <v>45863</v>
      </c>
      <c r="D641">
        <v>56</v>
      </c>
      <c r="E641" s="3">
        <f t="shared" si="9"/>
        <v>45809</v>
      </c>
      <c r="F641" s="3">
        <f>IF(TableRefills3[[#This Row],[prev_refill_days]]="","",TableRefills3[[#This Row],[prev_refill_days]]+TableRefills3[[#This Row],[quantity_days]])</f>
        <v>45865</v>
      </c>
      <c r="G641">
        <f>IF(TableRefills3[[#This Row],[prev_refill_end]]="","",TableRefills3[[#This Row],[refill_date]]-TableRefills3[[#This Row],[prev_refill_end]])</f>
        <v>-2</v>
      </c>
      <c r="H641" s="10">
        <f>IF(TableRefills3[[#This Row],[gap_days]]="",0,IF(TableRefills3[[#This Row],[gap_days]]&gt;2,1,0))</f>
        <v>0</v>
      </c>
      <c r="I641">
        <f>_xlfn.MAXIFS(TableRefills3[discountinuation_flag], TableRefills3[patient_id], A641)</f>
        <v>0</v>
      </c>
    </row>
    <row r="642" spans="1:9" x14ac:dyDescent="0.25">
      <c r="A642" t="s">
        <v>1039</v>
      </c>
      <c r="B642" t="s">
        <v>1040</v>
      </c>
      <c r="C642" s="3">
        <v>45919</v>
      </c>
      <c r="D642">
        <v>56</v>
      </c>
      <c r="E642" s="3">
        <f t="shared" ref="E642:E705" si="10">IF(A641=A642,C641,"")</f>
        <v>45863</v>
      </c>
      <c r="F642" s="3">
        <f>IF(TableRefills3[[#This Row],[prev_refill_days]]="","",TableRefills3[[#This Row],[prev_refill_days]]+TableRefills3[[#This Row],[quantity_days]])</f>
        <v>45919</v>
      </c>
      <c r="G642">
        <f>IF(TableRefills3[[#This Row],[prev_refill_end]]="","",TableRefills3[[#This Row],[refill_date]]-TableRefills3[[#This Row],[prev_refill_end]])</f>
        <v>0</v>
      </c>
      <c r="H642" s="10">
        <f>IF(TableRefills3[[#This Row],[gap_days]]="",0,IF(TableRefills3[[#This Row],[gap_days]]&gt;2,1,0))</f>
        <v>0</v>
      </c>
      <c r="I642">
        <f>_xlfn.MAXIFS(TableRefills3[discountinuation_flag], TableRefills3[patient_id], A642)</f>
        <v>0</v>
      </c>
    </row>
    <row r="643" spans="1:9" x14ac:dyDescent="0.25">
      <c r="A643" t="s">
        <v>1044</v>
      </c>
      <c r="B643" t="s">
        <v>1045</v>
      </c>
      <c r="C643" s="3">
        <v>45817</v>
      </c>
      <c r="D643">
        <v>21</v>
      </c>
      <c r="E643" s="3" t="str">
        <f t="shared" si="10"/>
        <v/>
      </c>
      <c r="F643" s="3" t="str">
        <f>IF(TableRefills3[[#This Row],[prev_refill_days]]="","",TableRefills3[[#This Row],[prev_refill_days]]+TableRefills3[[#This Row],[quantity_days]])</f>
        <v/>
      </c>
      <c r="G643" t="str">
        <f>IF(TableRefills3[[#This Row],[prev_refill_end]]="","",TableRefills3[[#This Row],[refill_date]]-TableRefills3[[#This Row],[prev_refill_end]])</f>
        <v/>
      </c>
      <c r="H643" s="10">
        <f>IF(TableRefills3[[#This Row],[gap_days]]="",0,IF(TableRefills3[[#This Row],[gap_days]]&gt;2,1,0))</f>
        <v>0</v>
      </c>
      <c r="I643">
        <f>_xlfn.MAXIFS(TableRefills3[discountinuation_flag], TableRefills3[patient_id], A643)</f>
        <v>0</v>
      </c>
    </row>
    <row r="644" spans="1:9" x14ac:dyDescent="0.25">
      <c r="A644" t="s">
        <v>1047</v>
      </c>
      <c r="B644" t="s">
        <v>1048</v>
      </c>
      <c r="C644" s="3">
        <v>45820</v>
      </c>
      <c r="D644">
        <v>28</v>
      </c>
      <c r="E644" s="3" t="str">
        <f t="shared" si="10"/>
        <v/>
      </c>
      <c r="F644" s="3" t="str">
        <f>IF(TableRefills3[[#This Row],[prev_refill_days]]="","",TableRefills3[[#This Row],[prev_refill_days]]+TableRefills3[[#This Row],[quantity_days]])</f>
        <v/>
      </c>
      <c r="G644" t="str">
        <f>IF(TableRefills3[[#This Row],[prev_refill_end]]="","",TableRefills3[[#This Row],[refill_date]]-TableRefills3[[#This Row],[prev_refill_end]])</f>
        <v/>
      </c>
      <c r="H644" s="10">
        <f>IF(TableRefills3[[#This Row],[gap_days]]="",0,IF(TableRefills3[[#This Row],[gap_days]]&gt;2,1,0))</f>
        <v>0</v>
      </c>
      <c r="I644">
        <f>_xlfn.MAXIFS(TableRefills3[discountinuation_flag], TableRefills3[patient_id], A644)</f>
        <v>1</v>
      </c>
    </row>
    <row r="645" spans="1:9" x14ac:dyDescent="0.25">
      <c r="A645" t="s">
        <v>1047</v>
      </c>
      <c r="B645" t="s">
        <v>1048</v>
      </c>
      <c r="C645" s="3">
        <v>45851</v>
      </c>
      <c r="D645">
        <v>28</v>
      </c>
      <c r="E645" s="3">
        <f t="shared" si="10"/>
        <v>45820</v>
      </c>
      <c r="F645" s="3">
        <f>IF(TableRefills3[[#This Row],[prev_refill_days]]="","",TableRefills3[[#This Row],[prev_refill_days]]+TableRefills3[[#This Row],[quantity_days]])</f>
        <v>45848</v>
      </c>
      <c r="G645">
        <f>IF(TableRefills3[[#This Row],[prev_refill_end]]="","",TableRefills3[[#This Row],[refill_date]]-TableRefills3[[#This Row],[prev_refill_end]])</f>
        <v>3</v>
      </c>
      <c r="H645" s="10">
        <f>IF(TableRefills3[[#This Row],[gap_days]]="",0,IF(TableRefills3[[#This Row],[gap_days]]&gt;2,1,0))</f>
        <v>1</v>
      </c>
      <c r="I645">
        <f>_xlfn.MAXIFS(TableRefills3[discountinuation_flag], TableRefills3[patient_id], A645)</f>
        <v>1</v>
      </c>
    </row>
    <row r="646" spans="1:9" x14ac:dyDescent="0.25">
      <c r="A646" t="s">
        <v>1047</v>
      </c>
      <c r="B646" t="s">
        <v>1048</v>
      </c>
      <c r="C646" s="3">
        <v>45878</v>
      </c>
      <c r="D646">
        <v>28</v>
      </c>
      <c r="E646" s="3">
        <f t="shared" si="10"/>
        <v>45851</v>
      </c>
      <c r="F646" s="3">
        <f>IF(TableRefills3[[#This Row],[prev_refill_days]]="","",TableRefills3[[#This Row],[prev_refill_days]]+TableRefills3[[#This Row],[quantity_days]])</f>
        <v>45879</v>
      </c>
      <c r="G646">
        <f>IF(TableRefills3[[#This Row],[prev_refill_end]]="","",TableRefills3[[#This Row],[refill_date]]-TableRefills3[[#This Row],[prev_refill_end]])</f>
        <v>-1</v>
      </c>
      <c r="H646" s="10">
        <f>IF(TableRefills3[[#This Row],[gap_days]]="",0,IF(TableRefills3[[#This Row],[gap_days]]&gt;2,1,0))</f>
        <v>0</v>
      </c>
      <c r="I646">
        <f>_xlfn.MAXIFS(TableRefills3[discountinuation_flag], TableRefills3[patient_id], A646)</f>
        <v>1</v>
      </c>
    </row>
    <row r="647" spans="1:9" x14ac:dyDescent="0.25">
      <c r="A647" t="s">
        <v>1047</v>
      </c>
      <c r="B647" t="s">
        <v>1048</v>
      </c>
      <c r="C647" s="3">
        <v>45905</v>
      </c>
      <c r="D647">
        <v>28</v>
      </c>
      <c r="E647" s="3">
        <f t="shared" si="10"/>
        <v>45878</v>
      </c>
      <c r="F647" s="3">
        <f>IF(TableRefills3[[#This Row],[prev_refill_days]]="","",TableRefills3[[#This Row],[prev_refill_days]]+TableRefills3[[#This Row],[quantity_days]])</f>
        <v>45906</v>
      </c>
      <c r="G647">
        <f>IF(TableRefills3[[#This Row],[prev_refill_end]]="","",TableRefills3[[#This Row],[refill_date]]-TableRefills3[[#This Row],[prev_refill_end]])</f>
        <v>-1</v>
      </c>
      <c r="H647" s="10">
        <f>IF(TableRefills3[[#This Row],[gap_days]]="",0,IF(TableRefills3[[#This Row],[gap_days]]&gt;2,1,0))</f>
        <v>0</v>
      </c>
      <c r="I647">
        <f>_xlfn.MAXIFS(TableRefills3[discountinuation_flag], TableRefills3[patient_id], A647)</f>
        <v>1</v>
      </c>
    </row>
    <row r="648" spans="1:9" x14ac:dyDescent="0.25">
      <c r="A648" t="s">
        <v>1047</v>
      </c>
      <c r="B648" t="s">
        <v>1048</v>
      </c>
      <c r="C648" s="3">
        <v>45935</v>
      </c>
      <c r="D648">
        <v>28</v>
      </c>
      <c r="E648" s="3">
        <f t="shared" si="10"/>
        <v>45905</v>
      </c>
      <c r="F648" s="3">
        <f>IF(TableRefills3[[#This Row],[prev_refill_days]]="","",TableRefills3[[#This Row],[prev_refill_days]]+TableRefills3[[#This Row],[quantity_days]])</f>
        <v>45933</v>
      </c>
      <c r="G648">
        <f>IF(TableRefills3[[#This Row],[prev_refill_end]]="","",TableRefills3[[#This Row],[refill_date]]-TableRefills3[[#This Row],[prev_refill_end]])</f>
        <v>2</v>
      </c>
      <c r="H648" s="10">
        <f>IF(TableRefills3[[#This Row],[gap_days]]="",0,IF(TableRefills3[[#This Row],[gap_days]]&gt;2,1,0))</f>
        <v>0</v>
      </c>
      <c r="I648">
        <f>_xlfn.MAXIFS(TableRefills3[discountinuation_flag], TableRefills3[patient_id], A648)</f>
        <v>1</v>
      </c>
    </row>
    <row r="649" spans="1:9" x14ac:dyDescent="0.25">
      <c r="A649" t="s">
        <v>1054</v>
      </c>
      <c r="B649" t="s">
        <v>1055</v>
      </c>
      <c r="C649" s="3">
        <v>45860</v>
      </c>
      <c r="D649">
        <v>28</v>
      </c>
      <c r="E649" s="3" t="str">
        <f t="shared" si="10"/>
        <v/>
      </c>
      <c r="F649" s="3" t="str">
        <f>IF(TableRefills3[[#This Row],[prev_refill_days]]="","",TableRefills3[[#This Row],[prev_refill_days]]+TableRefills3[[#This Row],[quantity_days]])</f>
        <v/>
      </c>
      <c r="G649" t="str">
        <f>IF(TableRefills3[[#This Row],[prev_refill_end]]="","",TableRefills3[[#This Row],[refill_date]]-TableRefills3[[#This Row],[prev_refill_end]])</f>
        <v/>
      </c>
      <c r="H649" s="10">
        <f>IF(TableRefills3[[#This Row],[gap_days]]="",0,IF(TableRefills3[[#This Row],[gap_days]]&gt;2,1,0))</f>
        <v>0</v>
      </c>
      <c r="I649">
        <f>_xlfn.MAXIFS(TableRefills3[discountinuation_flag], TableRefills3[patient_id], A649)</f>
        <v>0</v>
      </c>
    </row>
    <row r="650" spans="1:9" x14ac:dyDescent="0.25">
      <c r="A650" t="s">
        <v>1054</v>
      </c>
      <c r="B650" t="s">
        <v>1055</v>
      </c>
      <c r="C650" s="3">
        <v>45887</v>
      </c>
      <c r="D650">
        <v>28</v>
      </c>
      <c r="E650" s="3">
        <f t="shared" si="10"/>
        <v>45860</v>
      </c>
      <c r="F650" s="3">
        <f>IF(TableRefills3[[#This Row],[prev_refill_days]]="","",TableRefills3[[#This Row],[prev_refill_days]]+TableRefills3[[#This Row],[quantity_days]])</f>
        <v>45888</v>
      </c>
      <c r="G650">
        <f>IF(TableRefills3[[#This Row],[prev_refill_end]]="","",TableRefills3[[#This Row],[refill_date]]-TableRefills3[[#This Row],[prev_refill_end]])</f>
        <v>-1</v>
      </c>
      <c r="H650" s="10">
        <f>IF(TableRefills3[[#This Row],[gap_days]]="",0,IF(TableRefills3[[#This Row],[gap_days]]&gt;2,1,0))</f>
        <v>0</v>
      </c>
      <c r="I650">
        <f>_xlfn.MAXIFS(TableRefills3[discountinuation_flag], TableRefills3[patient_id], A650)</f>
        <v>0</v>
      </c>
    </row>
    <row r="651" spans="1:9" x14ac:dyDescent="0.25">
      <c r="A651" t="s">
        <v>1054</v>
      </c>
      <c r="B651" t="s">
        <v>1055</v>
      </c>
      <c r="C651" s="3">
        <v>45917</v>
      </c>
      <c r="D651">
        <v>28</v>
      </c>
      <c r="E651" s="3">
        <f t="shared" si="10"/>
        <v>45887</v>
      </c>
      <c r="F651" s="3">
        <f>IF(TableRefills3[[#This Row],[prev_refill_days]]="","",TableRefills3[[#This Row],[prev_refill_days]]+TableRefills3[[#This Row],[quantity_days]])</f>
        <v>45915</v>
      </c>
      <c r="G651">
        <f>IF(TableRefills3[[#This Row],[prev_refill_end]]="","",TableRefills3[[#This Row],[refill_date]]-TableRefills3[[#This Row],[prev_refill_end]])</f>
        <v>2</v>
      </c>
      <c r="H651" s="10">
        <f>IF(TableRefills3[[#This Row],[gap_days]]="",0,IF(TableRefills3[[#This Row],[gap_days]]&gt;2,1,0))</f>
        <v>0</v>
      </c>
      <c r="I651">
        <f>_xlfn.MAXIFS(TableRefills3[discountinuation_flag], TableRefills3[patient_id], A651)</f>
        <v>0</v>
      </c>
    </row>
    <row r="652" spans="1:9" x14ac:dyDescent="0.25">
      <c r="A652" t="s">
        <v>1054</v>
      </c>
      <c r="B652" t="s">
        <v>1055</v>
      </c>
      <c r="C652" s="3">
        <v>45944</v>
      </c>
      <c r="D652">
        <v>28</v>
      </c>
      <c r="E652" s="3">
        <f t="shared" si="10"/>
        <v>45917</v>
      </c>
      <c r="F652" s="3">
        <f>IF(TableRefills3[[#This Row],[prev_refill_days]]="","",TableRefills3[[#This Row],[prev_refill_days]]+TableRefills3[[#This Row],[quantity_days]])</f>
        <v>45945</v>
      </c>
      <c r="G652">
        <f>IF(TableRefills3[[#This Row],[prev_refill_end]]="","",TableRefills3[[#This Row],[refill_date]]-TableRefills3[[#This Row],[prev_refill_end]])</f>
        <v>-1</v>
      </c>
      <c r="H652" s="10">
        <f>IF(TableRefills3[[#This Row],[gap_days]]="",0,IF(TableRefills3[[#This Row],[gap_days]]&gt;2,1,0))</f>
        <v>0</v>
      </c>
      <c r="I652">
        <f>_xlfn.MAXIFS(TableRefills3[discountinuation_flag], TableRefills3[patient_id], A652)</f>
        <v>0</v>
      </c>
    </row>
    <row r="653" spans="1:9" x14ac:dyDescent="0.25">
      <c r="A653" t="s">
        <v>1060</v>
      </c>
      <c r="B653" t="s">
        <v>1061</v>
      </c>
      <c r="C653" s="3">
        <v>45835</v>
      </c>
      <c r="D653">
        <v>28</v>
      </c>
      <c r="E653" s="3" t="str">
        <f t="shared" si="10"/>
        <v/>
      </c>
      <c r="F653" s="3" t="str">
        <f>IF(TableRefills3[[#This Row],[prev_refill_days]]="","",TableRefills3[[#This Row],[prev_refill_days]]+TableRefills3[[#This Row],[quantity_days]])</f>
        <v/>
      </c>
      <c r="G653" t="str">
        <f>IF(TableRefills3[[#This Row],[prev_refill_end]]="","",TableRefills3[[#This Row],[refill_date]]-TableRefills3[[#This Row],[prev_refill_end]])</f>
        <v/>
      </c>
      <c r="H653" s="10">
        <f>IF(TableRefills3[[#This Row],[gap_days]]="",0,IF(TableRefills3[[#This Row],[gap_days]]&gt;2,1,0))</f>
        <v>0</v>
      </c>
      <c r="I653">
        <f>_xlfn.MAXIFS(TableRefills3[discountinuation_flag], TableRefills3[patient_id], A653)</f>
        <v>1</v>
      </c>
    </row>
    <row r="654" spans="1:9" x14ac:dyDescent="0.25">
      <c r="A654" t="s">
        <v>1060</v>
      </c>
      <c r="B654" t="s">
        <v>1061</v>
      </c>
      <c r="C654" s="3">
        <v>45866</v>
      </c>
      <c r="D654">
        <v>28</v>
      </c>
      <c r="E654" s="3">
        <f t="shared" si="10"/>
        <v>45835</v>
      </c>
      <c r="F654" s="3">
        <f>IF(TableRefills3[[#This Row],[prev_refill_days]]="","",TableRefills3[[#This Row],[prev_refill_days]]+TableRefills3[[#This Row],[quantity_days]])</f>
        <v>45863</v>
      </c>
      <c r="G654">
        <f>IF(TableRefills3[[#This Row],[prev_refill_end]]="","",TableRefills3[[#This Row],[refill_date]]-TableRefills3[[#This Row],[prev_refill_end]])</f>
        <v>3</v>
      </c>
      <c r="H654" s="10">
        <f>IF(TableRefills3[[#This Row],[gap_days]]="",0,IF(TableRefills3[[#This Row],[gap_days]]&gt;2,1,0))</f>
        <v>1</v>
      </c>
      <c r="I654">
        <f>_xlfn.MAXIFS(TableRefills3[discountinuation_flag], TableRefills3[patient_id], A654)</f>
        <v>1</v>
      </c>
    </row>
    <row r="655" spans="1:9" x14ac:dyDescent="0.25">
      <c r="A655" t="s">
        <v>1060</v>
      </c>
      <c r="B655" t="s">
        <v>1061</v>
      </c>
      <c r="C655" s="3">
        <v>45892</v>
      </c>
      <c r="D655">
        <v>28</v>
      </c>
      <c r="E655" s="3">
        <f t="shared" si="10"/>
        <v>45866</v>
      </c>
      <c r="F655" s="3">
        <f>IF(TableRefills3[[#This Row],[prev_refill_days]]="","",TableRefills3[[#This Row],[prev_refill_days]]+TableRefills3[[#This Row],[quantity_days]])</f>
        <v>45894</v>
      </c>
      <c r="G655">
        <f>IF(TableRefills3[[#This Row],[prev_refill_end]]="","",TableRefills3[[#This Row],[refill_date]]-TableRefills3[[#This Row],[prev_refill_end]])</f>
        <v>-2</v>
      </c>
      <c r="H655" s="10">
        <f>IF(TableRefills3[[#This Row],[gap_days]]="",0,IF(TableRefills3[[#This Row],[gap_days]]&gt;2,1,0))</f>
        <v>0</v>
      </c>
      <c r="I655">
        <f>_xlfn.MAXIFS(TableRefills3[discountinuation_flag], TableRefills3[patient_id], A655)</f>
        <v>1</v>
      </c>
    </row>
    <row r="656" spans="1:9" x14ac:dyDescent="0.25">
      <c r="A656" t="s">
        <v>1060</v>
      </c>
      <c r="B656" t="s">
        <v>1061</v>
      </c>
      <c r="C656" s="3">
        <v>45923</v>
      </c>
      <c r="D656">
        <v>28</v>
      </c>
      <c r="E656" s="3">
        <f t="shared" si="10"/>
        <v>45892</v>
      </c>
      <c r="F656" s="3">
        <f>IF(TableRefills3[[#This Row],[prev_refill_days]]="","",TableRefills3[[#This Row],[prev_refill_days]]+TableRefills3[[#This Row],[quantity_days]])</f>
        <v>45920</v>
      </c>
      <c r="G656">
        <f>IF(TableRefills3[[#This Row],[prev_refill_end]]="","",TableRefills3[[#This Row],[refill_date]]-TableRefills3[[#This Row],[prev_refill_end]])</f>
        <v>3</v>
      </c>
      <c r="H656" s="10">
        <f>IF(TableRefills3[[#This Row],[gap_days]]="",0,IF(TableRefills3[[#This Row],[gap_days]]&gt;2,1,0))</f>
        <v>1</v>
      </c>
      <c r="I656">
        <f>_xlfn.MAXIFS(TableRefills3[discountinuation_flag], TableRefills3[patient_id], A656)</f>
        <v>1</v>
      </c>
    </row>
    <row r="657" spans="1:9" x14ac:dyDescent="0.25">
      <c r="A657" t="s">
        <v>1060</v>
      </c>
      <c r="B657" t="s">
        <v>1061</v>
      </c>
      <c r="C657" s="3">
        <v>45948</v>
      </c>
      <c r="D657">
        <v>28</v>
      </c>
      <c r="E657" s="3">
        <f t="shared" si="10"/>
        <v>45923</v>
      </c>
      <c r="F657" s="3">
        <f>IF(TableRefills3[[#This Row],[prev_refill_days]]="","",TableRefills3[[#This Row],[prev_refill_days]]+TableRefills3[[#This Row],[quantity_days]])</f>
        <v>45951</v>
      </c>
      <c r="G657">
        <f>IF(TableRefills3[[#This Row],[prev_refill_end]]="","",TableRefills3[[#This Row],[refill_date]]-TableRefills3[[#This Row],[prev_refill_end]])</f>
        <v>-3</v>
      </c>
      <c r="H657" s="10">
        <f>IF(TableRefills3[[#This Row],[gap_days]]="",0,IF(TableRefills3[[#This Row],[gap_days]]&gt;2,1,0))</f>
        <v>0</v>
      </c>
      <c r="I657">
        <f>_xlfn.MAXIFS(TableRefills3[discountinuation_flag], TableRefills3[patient_id], A657)</f>
        <v>1</v>
      </c>
    </row>
    <row r="658" spans="1:9" x14ac:dyDescent="0.25">
      <c r="A658" t="s">
        <v>1067</v>
      </c>
      <c r="B658" t="s">
        <v>1068</v>
      </c>
      <c r="C658" s="3">
        <v>45910</v>
      </c>
      <c r="D658">
        <v>28</v>
      </c>
      <c r="E658" s="3" t="str">
        <f t="shared" si="10"/>
        <v/>
      </c>
      <c r="F658" s="3" t="str">
        <f>IF(TableRefills3[[#This Row],[prev_refill_days]]="","",TableRefills3[[#This Row],[prev_refill_days]]+TableRefills3[[#This Row],[quantity_days]])</f>
        <v/>
      </c>
      <c r="G658" t="str">
        <f>IF(TableRefills3[[#This Row],[prev_refill_end]]="","",TableRefills3[[#This Row],[refill_date]]-TableRefills3[[#This Row],[prev_refill_end]])</f>
        <v/>
      </c>
      <c r="H658" s="10">
        <f>IF(TableRefills3[[#This Row],[gap_days]]="",0,IF(TableRefills3[[#This Row],[gap_days]]&gt;2,1,0))</f>
        <v>0</v>
      </c>
      <c r="I658">
        <f>_xlfn.MAXIFS(TableRefills3[discountinuation_flag], TableRefills3[patient_id], A658)</f>
        <v>0</v>
      </c>
    </row>
    <row r="659" spans="1:9" x14ac:dyDescent="0.25">
      <c r="A659" t="s">
        <v>1067</v>
      </c>
      <c r="B659" t="s">
        <v>1068</v>
      </c>
      <c r="C659" s="3">
        <v>45936</v>
      </c>
      <c r="D659">
        <v>28</v>
      </c>
      <c r="E659" s="3">
        <f t="shared" si="10"/>
        <v>45910</v>
      </c>
      <c r="F659" s="3">
        <f>IF(TableRefills3[[#This Row],[prev_refill_days]]="","",TableRefills3[[#This Row],[prev_refill_days]]+TableRefills3[[#This Row],[quantity_days]])</f>
        <v>45938</v>
      </c>
      <c r="G659">
        <f>IF(TableRefills3[[#This Row],[prev_refill_end]]="","",TableRefills3[[#This Row],[refill_date]]-TableRefills3[[#This Row],[prev_refill_end]])</f>
        <v>-2</v>
      </c>
      <c r="H659" s="10">
        <f>IF(TableRefills3[[#This Row],[gap_days]]="",0,IF(TableRefills3[[#This Row],[gap_days]]&gt;2,1,0))</f>
        <v>0</v>
      </c>
      <c r="I659">
        <f>_xlfn.MAXIFS(TableRefills3[discountinuation_flag], TableRefills3[patient_id], A659)</f>
        <v>0</v>
      </c>
    </row>
    <row r="660" spans="1:9" x14ac:dyDescent="0.25">
      <c r="A660" t="s">
        <v>1071</v>
      </c>
      <c r="B660" t="s">
        <v>1072</v>
      </c>
      <c r="C660" s="3">
        <v>45798</v>
      </c>
      <c r="D660">
        <v>21</v>
      </c>
      <c r="E660" s="3" t="str">
        <f t="shared" si="10"/>
        <v/>
      </c>
      <c r="F660" s="3" t="str">
        <f>IF(TableRefills3[[#This Row],[prev_refill_days]]="","",TableRefills3[[#This Row],[prev_refill_days]]+TableRefills3[[#This Row],[quantity_days]])</f>
        <v/>
      </c>
      <c r="G660" t="str">
        <f>IF(TableRefills3[[#This Row],[prev_refill_end]]="","",TableRefills3[[#This Row],[refill_date]]-TableRefills3[[#This Row],[prev_refill_end]])</f>
        <v/>
      </c>
      <c r="H660" s="10">
        <f>IF(TableRefills3[[#This Row],[gap_days]]="",0,IF(TableRefills3[[#This Row],[gap_days]]&gt;2,1,0))</f>
        <v>0</v>
      </c>
      <c r="I660">
        <f>_xlfn.MAXIFS(TableRefills3[discountinuation_flag], TableRefills3[patient_id], A660)</f>
        <v>1</v>
      </c>
    </row>
    <row r="661" spans="1:9" x14ac:dyDescent="0.25">
      <c r="A661" t="s">
        <v>1071</v>
      </c>
      <c r="B661" t="s">
        <v>1072</v>
      </c>
      <c r="C661" s="3">
        <v>45820</v>
      </c>
      <c r="D661">
        <v>21</v>
      </c>
      <c r="E661" s="3">
        <f t="shared" si="10"/>
        <v>45798</v>
      </c>
      <c r="F661" s="3">
        <f>IF(TableRefills3[[#This Row],[prev_refill_days]]="","",TableRefills3[[#This Row],[prev_refill_days]]+TableRefills3[[#This Row],[quantity_days]])</f>
        <v>45819</v>
      </c>
      <c r="G661">
        <f>IF(TableRefills3[[#This Row],[prev_refill_end]]="","",TableRefills3[[#This Row],[refill_date]]-TableRefills3[[#This Row],[prev_refill_end]])</f>
        <v>1</v>
      </c>
      <c r="H661" s="10">
        <f>IF(TableRefills3[[#This Row],[gap_days]]="",0,IF(TableRefills3[[#This Row],[gap_days]]&gt;2,1,0))</f>
        <v>0</v>
      </c>
      <c r="I661">
        <f>_xlfn.MAXIFS(TableRefills3[discountinuation_flag], TableRefills3[patient_id], A661)</f>
        <v>1</v>
      </c>
    </row>
    <row r="662" spans="1:9" x14ac:dyDescent="0.25">
      <c r="A662" t="s">
        <v>1071</v>
      </c>
      <c r="B662" t="s">
        <v>1072</v>
      </c>
      <c r="C662" s="3">
        <v>45839</v>
      </c>
      <c r="D662">
        <v>21</v>
      </c>
      <c r="E662" s="3">
        <f t="shared" si="10"/>
        <v>45820</v>
      </c>
      <c r="F662" s="3">
        <f>IF(TableRefills3[[#This Row],[prev_refill_days]]="","",TableRefills3[[#This Row],[prev_refill_days]]+TableRefills3[[#This Row],[quantity_days]])</f>
        <v>45841</v>
      </c>
      <c r="G662">
        <f>IF(TableRefills3[[#This Row],[prev_refill_end]]="","",TableRefills3[[#This Row],[refill_date]]-TableRefills3[[#This Row],[prev_refill_end]])</f>
        <v>-2</v>
      </c>
      <c r="H662" s="10">
        <f>IF(TableRefills3[[#This Row],[gap_days]]="",0,IF(TableRefills3[[#This Row],[gap_days]]&gt;2,1,0))</f>
        <v>0</v>
      </c>
      <c r="I662">
        <f>_xlfn.MAXIFS(TableRefills3[discountinuation_flag], TableRefills3[patient_id], A662)</f>
        <v>1</v>
      </c>
    </row>
    <row r="663" spans="1:9" x14ac:dyDescent="0.25">
      <c r="A663" t="s">
        <v>1071</v>
      </c>
      <c r="B663" t="s">
        <v>1072</v>
      </c>
      <c r="C663" s="3">
        <v>45859</v>
      </c>
      <c r="D663">
        <v>21</v>
      </c>
      <c r="E663" s="3">
        <f t="shared" si="10"/>
        <v>45839</v>
      </c>
      <c r="F663" s="3">
        <f>IF(TableRefills3[[#This Row],[prev_refill_days]]="","",TableRefills3[[#This Row],[prev_refill_days]]+TableRefills3[[#This Row],[quantity_days]])</f>
        <v>45860</v>
      </c>
      <c r="G663">
        <f>IF(TableRefills3[[#This Row],[prev_refill_end]]="","",TableRefills3[[#This Row],[refill_date]]-TableRefills3[[#This Row],[prev_refill_end]])</f>
        <v>-1</v>
      </c>
      <c r="H663" s="10">
        <f>IF(TableRefills3[[#This Row],[gap_days]]="",0,IF(TableRefills3[[#This Row],[gap_days]]&gt;2,1,0))</f>
        <v>0</v>
      </c>
      <c r="I663">
        <f>_xlfn.MAXIFS(TableRefills3[discountinuation_flag], TableRefills3[patient_id], A663)</f>
        <v>1</v>
      </c>
    </row>
    <row r="664" spans="1:9" x14ac:dyDescent="0.25">
      <c r="A664" t="s">
        <v>1071</v>
      </c>
      <c r="B664" t="s">
        <v>1072</v>
      </c>
      <c r="C664" s="3">
        <v>45882</v>
      </c>
      <c r="D664">
        <v>21</v>
      </c>
      <c r="E664" s="3">
        <f t="shared" si="10"/>
        <v>45859</v>
      </c>
      <c r="F664" s="3">
        <f>IF(TableRefills3[[#This Row],[prev_refill_days]]="","",TableRefills3[[#This Row],[prev_refill_days]]+TableRefills3[[#This Row],[quantity_days]])</f>
        <v>45880</v>
      </c>
      <c r="G664">
        <f>IF(TableRefills3[[#This Row],[prev_refill_end]]="","",TableRefills3[[#This Row],[refill_date]]-TableRefills3[[#This Row],[prev_refill_end]])</f>
        <v>2</v>
      </c>
      <c r="H664" s="10">
        <f>IF(TableRefills3[[#This Row],[gap_days]]="",0,IF(TableRefills3[[#This Row],[gap_days]]&gt;2,1,0))</f>
        <v>0</v>
      </c>
      <c r="I664">
        <f>_xlfn.MAXIFS(TableRefills3[discountinuation_flag], TableRefills3[patient_id], A664)</f>
        <v>1</v>
      </c>
    </row>
    <row r="665" spans="1:9" x14ac:dyDescent="0.25">
      <c r="A665" t="s">
        <v>1071</v>
      </c>
      <c r="B665" t="s">
        <v>1072</v>
      </c>
      <c r="C665" s="3">
        <v>45900</v>
      </c>
      <c r="D665">
        <v>21</v>
      </c>
      <c r="E665" s="3">
        <f t="shared" si="10"/>
        <v>45882</v>
      </c>
      <c r="F665" s="3">
        <f>IF(TableRefills3[[#This Row],[prev_refill_days]]="","",TableRefills3[[#This Row],[prev_refill_days]]+TableRefills3[[#This Row],[quantity_days]])</f>
        <v>45903</v>
      </c>
      <c r="G665">
        <f>IF(TableRefills3[[#This Row],[prev_refill_end]]="","",TableRefills3[[#This Row],[refill_date]]-TableRefills3[[#This Row],[prev_refill_end]])</f>
        <v>-3</v>
      </c>
      <c r="H665" s="10">
        <f>IF(TableRefills3[[#This Row],[gap_days]]="",0,IF(TableRefills3[[#This Row],[gap_days]]&gt;2,1,0))</f>
        <v>0</v>
      </c>
      <c r="I665">
        <f>_xlfn.MAXIFS(TableRefills3[discountinuation_flag], TableRefills3[patient_id], A665)</f>
        <v>1</v>
      </c>
    </row>
    <row r="666" spans="1:9" x14ac:dyDescent="0.25">
      <c r="A666" t="s">
        <v>1071</v>
      </c>
      <c r="B666" t="s">
        <v>1072</v>
      </c>
      <c r="C666" s="3">
        <v>45923</v>
      </c>
      <c r="D666">
        <v>21</v>
      </c>
      <c r="E666" s="3">
        <f t="shared" si="10"/>
        <v>45900</v>
      </c>
      <c r="F666" s="3">
        <f>IF(TableRefills3[[#This Row],[prev_refill_days]]="","",TableRefills3[[#This Row],[prev_refill_days]]+TableRefills3[[#This Row],[quantity_days]])</f>
        <v>45921</v>
      </c>
      <c r="G666">
        <f>IF(TableRefills3[[#This Row],[prev_refill_end]]="","",TableRefills3[[#This Row],[refill_date]]-TableRefills3[[#This Row],[prev_refill_end]])</f>
        <v>2</v>
      </c>
      <c r="H666" s="10">
        <f>IF(TableRefills3[[#This Row],[gap_days]]="",0,IF(TableRefills3[[#This Row],[gap_days]]&gt;2,1,0))</f>
        <v>0</v>
      </c>
      <c r="I666">
        <f>_xlfn.MAXIFS(TableRefills3[discountinuation_flag], TableRefills3[patient_id], A666)</f>
        <v>1</v>
      </c>
    </row>
    <row r="667" spans="1:9" x14ac:dyDescent="0.25">
      <c r="A667" t="s">
        <v>1071</v>
      </c>
      <c r="B667" t="s">
        <v>1072</v>
      </c>
      <c r="C667" s="3">
        <v>45947</v>
      </c>
      <c r="D667">
        <v>21</v>
      </c>
      <c r="E667" s="3">
        <f t="shared" si="10"/>
        <v>45923</v>
      </c>
      <c r="F667" s="3">
        <f>IF(TableRefills3[[#This Row],[prev_refill_days]]="","",TableRefills3[[#This Row],[prev_refill_days]]+TableRefills3[[#This Row],[quantity_days]])</f>
        <v>45944</v>
      </c>
      <c r="G667">
        <f>IF(TableRefills3[[#This Row],[prev_refill_end]]="","",TableRefills3[[#This Row],[refill_date]]-TableRefills3[[#This Row],[prev_refill_end]])</f>
        <v>3</v>
      </c>
      <c r="H667" s="10">
        <f>IF(TableRefills3[[#This Row],[gap_days]]="",0,IF(TableRefills3[[#This Row],[gap_days]]&gt;2,1,0))</f>
        <v>1</v>
      </c>
      <c r="I667">
        <f>_xlfn.MAXIFS(TableRefills3[discountinuation_flag], TableRefills3[patient_id], A667)</f>
        <v>1</v>
      </c>
    </row>
    <row r="668" spans="1:9" x14ac:dyDescent="0.25">
      <c r="A668" t="s">
        <v>1081</v>
      </c>
      <c r="B668" t="s">
        <v>1082</v>
      </c>
      <c r="C668" s="3">
        <v>45828</v>
      </c>
      <c r="D668">
        <v>21</v>
      </c>
      <c r="E668" s="3" t="str">
        <f t="shared" si="10"/>
        <v/>
      </c>
      <c r="F668" s="3" t="str">
        <f>IF(TableRefills3[[#This Row],[prev_refill_days]]="","",TableRefills3[[#This Row],[prev_refill_days]]+TableRefills3[[#This Row],[quantity_days]])</f>
        <v/>
      </c>
      <c r="G668" t="str">
        <f>IF(TableRefills3[[#This Row],[prev_refill_end]]="","",TableRefills3[[#This Row],[refill_date]]-TableRefills3[[#This Row],[prev_refill_end]])</f>
        <v/>
      </c>
      <c r="H668" s="10">
        <f>IF(TableRefills3[[#This Row],[gap_days]]="",0,IF(TableRefills3[[#This Row],[gap_days]]&gt;2,1,0))</f>
        <v>0</v>
      </c>
      <c r="I668">
        <f>_xlfn.MAXIFS(TableRefills3[discountinuation_flag], TableRefills3[patient_id], A668)</f>
        <v>0</v>
      </c>
    </row>
    <row r="669" spans="1:9" x14ac:dyDescent="0.25">
      <c r="A669" t="s">
        <v>1081</v>
      </c>
      <c r="B669" t="s">
        <v>1082</v>
      </c>
      <c r="C669" s="3">
        <v>45846</v>
      </c>
      <c r="D669">
        <v>21</v>
      </c>
      <c r="E669" s="3">
        <f t="shared" si="10"/>
        <v>45828</v>
      </c>
      <c r="F669" s="3">
        <f>IF(TableRefills3[[#This Row],[prev_refill_days]]="","",TableRefills3[[#This Row],[prev_refill_days]]+TableRefills3[[#This Row],[quantity_days]])</f>
        <v>45849</v>
      </c>
      <c r="G669">
        <f>IF(TableRefills3[[#This Row],[prev_refill_end]]="","",TableRefills3[[#This Row],[refill_date]]-TableRefills3[[#This Row],[prev_refill_end]])</f>
        <v>-3</v>
      </c>
      <c r="H669" s="10">
        <f>IF(TableRefills3[[#This Row],[gap_days]]="",0,IF(TableRefills3[[#This Row],[gap_days]]&gt;2,1,0))</f>
        <v>0</v>
      </c>
      <c r="I669">
        <f>_xlfn.MAXIFS(TableRefills3[discountinuation_flag], TableRefills3[patient_id], A669)</f>
        <v>0</v>
      </c>
    </row>
    <row r="670" spans="1:9" x14ac:dyDescent="0.25">
      <c r="A670" t="s">
        <v>1085</v>
      </c>
      <c r="B670" t="s">
        <v>1086</v>
      </c>
      <c r="C670" s="3">
        <v>45919</v>
      </c>
      <c r="D670">
        <v>28</v>
      </c>
      <c r="E670" s="3" t="str">
        <f t="shared" si="10"/>
        <v/>
      </c>
      <c r="F670" s="3" t="str">
        <f>IF(TableRefills3[[#This Row],[prev_refill_days]]="","",TableRefills3[[#This Row],[prev_refill_days]]+TableRefills3[[#This Row],[quantity_days]])</f>
        <v/>
      </c>
      <c r="G670" t="str">
        <f>IF(TableRefills3[[#This Row],[prev_refill_end]]="","",TableRefills3[[#This Row],[refill_date]]-TableRefills3[[#This Row],[prev_refill_end]])</f>
        <v/>
      </c>
      <c r="H670" s="10">
        <f>IF(TableRefills3[[#This Row],[gap_days]]="",0,IF(TableRefills3[[#This Row],[gap_days]]&gt;2,1,0))</f>
        <v>0</v>
      </c>
      <c r="I670">
        <f>_xlfn.MAXIFS(TableRefills3[discountinuation_flag], TableRefills3[patient_id], A670)</f>
        <v>1</v>
      </c>
    </row>
    <row r="671" spans="1:9" x14ac:dyDescent="0.25">
      <c r="A671" t="s">
        <v>1085</v>
      </c>
      <c r="B671" t="s">
        <v>1086</v>
      </c>
      <c r="C671" s="3">
        <v>45950</v>
      </c>
      <c r="D671">
        <v>28</v>
      </c>
      <c r="E671" s="3">
        <f t="shared" si="10"/>
        <v>45919</v>
      </c>
      <c r="F671" s="3">
        <f>IF(TableRefills3[[#This Row],[prev_refill_days]]="","",TableRefills3[[#This Row],[prev_refill_days]]+TableRefills3[[#This Row],[quantity_days]])</f>
        <v>45947</v>
      </c>
      <c r="G671">
        <f>IF(TableRefills3[[#This Row],[prev_refill_end]]="","",TableRefills3[[#This Row],[refill_date]]-TableRefills3[[#This Row],[prev_refill_end]])</f>
        <v>3</v>
      </c>
      <c r="H671" s="10">
        <f>IF(TableRefills3[[#This Row],[gap_days]]="",0,IF(TableRefills3[[#This Row],[gap_days]]&gt;2,1,0))</f>
        <v>1</v>
      </c>
      <c r="I671">
        <f>_xlfn.MAXIFS(TableRefills3[discountinuation_flag], TableRefills3[patient_id], A671)</f>
        <v>1</v>
      </c>
    </row>
    <row r="672" spans="1:9" x14ac:dyDescent="0.25">
      <c r="A672" t="s">
        <v>1089</v>
      </c>
      <c r="B672" t="s">
        <v>1090</v>
      </c>
      <c r="C672" s="3">
        <v>45810</v>
      </c>
      <c r="D672">
        <v>28</v>
      </c>
      <c r="E672" s="3" t="str">
        <f t="shared" si="10"/>
        <v/>
      </c>
      <c r="F672" s="3" t="str">
        <f>IF(TableRefills3[[#This Row],[prev_refill_days]]="","",TableRefills3[[#This Row],[prev_refill_days]]+TableRefills3[[#This Row],[quantity_days]])</f>
        <v/>
      </c>
      <c r="G672" t="str">
        <f>IF(TableRefills3[[#This Row],[prev_refill_end]]="","",TableRefills3[[#This Row],[refill_date]]-TableRefills3[[#This Row],[prev_refill_end]])</f>
        <v/>
      </c>
      <c r="H672" s="10">
        <f>IF(TableRefills3[[#This Row],[gap_days]]="",0,IF(TableRefills3[[#This Row],[gap_days]]&gt;2,1,0))</f>
        <v>0</v>
      </c>
      <c r="I672">
        <f>_xlfn.MAXIFS(TableRefills3[discountinuation_flag], TableRefills3[patient_id], A672)</f>
        <v>0</v>
      </c>
    </row>
    <row r="673" spans="1:9" x14ac:dyDescent="0.25">
      <c r="A673" t="s">
        <v>1089</v>
      </c>
      <c r="B673" t="s">
        <v>1090</v>
      </c>
      <c r="C673" s="3">
        <v>45835</v>
      </c>
      <c r="D673">
        <v>28</v>
      </c>
      <c r="E673" s="3">
        <f t="shared" si="10"/>
        <v>45810</v>
      </c>
      <c r="F673" s="3">
        <f>IF(TableRefills3[[#This Row],[prev_refill_days]]="","",TableRefills3[[#This Row],[prev_refill_days]]+TableRefills3[[#This Row],[quantity_days]])</f>
        <v>45838</v>
      </c>
      <c r="G673">
        <f>IF(TableRefills3[[#This Row],[prev_refill_end]]="","",TableRefills3[[#This Row],[refill_date]]-TableRefills3[[#This Row],[prev_refill_end]])</f>
        <v>-3</v>
      </c>
      <c r="H673" s="10">
        <f>IF(TableRefills3[[#This Row],[gap_days]]="",0,IF(TableRefills3[[#This Row],[gap_days]]&gt;2,1,0))</f>
        <v>0</v>
      </c>
      <c r="I673">
        <f>_xlfn.MAXIFS(TableRefills3[discountinuation_flag], TableRefills3[patient_id], A673)</f>
        <v>0</v>
      </c>
    </row>
    <row r="674" spans="1:9" x14ac:dyDescent="0.25">
      <c r="A674" t="s">
        <v>1089</v>
      </c>
      <c r="B674" t="s">
        <v>1090</v>
      </c>
      <c r="C674" s="3">
        <v>45863</v>
      </c>
      <c r="D674">
        <v>28</v>
      </c>
      <c r="E674" s="3">
        <f t="shared" si="10"/>
        <v>45835</v>
      </c>
      <c r="F674" s="3">
        <f>IF(TableRefills3[[#This Row],[prev_refill_days]]="","",TableRefills3[[#This Row],[prev_refill_days]]+TableRefills3[[#This Row],[quantity_days]])</f>
        <v>45863</v>
      </c>
      <c r="G674">
        <f>IF(TableRefills3[[#This Row],[prev_refill_end]]="","",TableRefills3[[#This Row],[refill_date]]-TableRefills3[[#This Row],[prev_refill_end]])</f>
        <v>0</v>
      </c>
      <c r="H674" s="10">
        <f>IF(TableRefills3[[#This Row],[gap_days]]="",0,IF(TableRefills3[[#This Row],[gap_days]]&gt;2,1,0))</f>
        <v>0</v>
      </c>
      <c r="I674">
        <f>_xlfn.MAXIFS(TableRefills3[discountinuation_flag], TableRefills3[patient_id], A674)</f>
        <v>0</v>
      </c>
    </row>
    <row r="675" spans="1:9" x14ac:dyDescent="0.25">
      <c r="A675" t="s">
        <v>1089</v>
      </c>
      <c r="B675" t="s">
        <v>1090</v>
      </c>
      <c r="C675" s="3">
        <v>45888</v>
      </c>
      <c r="D675">
        <v>28</v>
      </c>
      <c r="E675" s="3">
        <f t="shared" si="10"/>
        <v>45863</v>
      </c>
      <c r="F675" s="3">
        <f>IF(TableRefills3[[#This Row],[prev_refill_days]]="","",TableRefills3[[#This Row],[prev_refill_days]]+TableRefills3[[#This Row],[quantity_days]])</f>
        <v>45891</v>
      </c>
      <c r="G675">
        <f>IF(TableRefills3[[#This Row],[prev_refill_end]]="","",TableRefills3[[#This Row],[refill_date]]-TableRefills3[[#This Row],[prev_refill_end]])</f>
        <v>-3</v>
      </c>
      <c r="H675" s="10">
        <f>IF(TableRefills3[[#This Row],[gap_days]]="",0,IF(TableRefills3[[#This Row],[gap_days]]&gt;2,1,0))</f>
        <v>0</v>
      </c>
      <c r="I675">
        <f>_xlfn.MAXIFS(TableRefills3[discountinuation_flag], TableRefills3[patient_id], A675)</f>
        <v>0</v>
      </c>
    </row>
    <row r="676" spans="1:9" x14ac:dyDescent="0.25">
      <c r="A676" t="s">
        <v>1089</v>
      </c>
      <c r="B676" t="s">
        <v>1090</v>
      </c>
      <c r="C676" s="3">
        <v>45915</v>
      </c>
      <c r="D676">
        <v>28</v>
      </c>
      <c r="E676" s="3">
        <f t="shared" si="10"/>
        <v>45888</v>
      </c>
      <c r="F676" s="3">
        <f>IF(TableRefills3[[#This Row],[prev_refill_days]]="","",TableRefills3[[#This Row],[prev_refill_days]]+TableRefills3[[#This Row],[quantity_days]])</f>
        <v>45916</v>
      </c>
      <c r="G676">
        <f>IF(TableRefills3[[#This Row],[prev_refill_end]]="","",TableRefills3[[#This Row],[refill_date]]-TableRefills3[[#This Row],[prev_refill_end]])</f>
        <v>-1</v>
      </c>
      <c r="H676" s="10">
        <f>IF(TableRefills3[[#This Row],[gap_days]]="",0,IF(TableRefills3[[#This Row],[gap_days]]&gt;2,1,0))</f>
        <v>0</v>
      </c>
      <c r="I676">
        <f>_xlfn.MAXIFS(TableRefills3[discountinuation_flag], TableRefills3[patient_id], A676)</f>
        <v>0</v>
      </c>
    </row>
    <row r="677" spans="1:9" x14ac:dyDescent="0.25">
      <c r="A677" t="s">
        <v>1089</v>
      </c>
      <c r="B677" t="s">
        <v>1090</v>
      </c>
      <c r="C677" s="3">
        <v>45945</v>
      </c>
      <c r="D677">
        <v>28</v>
      </c>
      <c r="E677" s="3">
        <f t="shared" si="10"/>
        <v>45915</v>
      </c>
      <c r="F677" s="3">
        <f>IF(TableRefills3[[#This Row],[prev_refill_days]]="","",TableRefills3[[#This Row],[prev_refill_days]]+TableRefills3[[#This Row],[quantity_days]])</f>
        <v>45943</v>
      </c>
      <c r="G677">
        <f>IF(TableRefills3[[#This Row],[prev_refill_end]]="","",TableRefills3[[#This Row],[refill_date]]-TableRefills3[[#This Row],[prev_refill_end]])</f>
        <v>2</v>
      </c>
      <c r="H677" s="10">
        <f>IF(TableRefills3[[#This Row],[gap_days]]="",0,IF(TableRefills3[[#This Row],[gap_days]]&gt;2,1,0))</f>
        <v>0</v>
      </c>
      <c r="I677">
        <f>_xlfn.MAXIFS(TableRefills3[discountinuation_flag], TableRefills3[patient_id], A677)</f>
        <v>0</v>
      </c>
    </row>
    <row r="678" spans="1:9" x14ac:dyDescent="0.25">
      <c r="A678" t="s">
        <v>1097</v>
      </c>
      <c r="B678" t="s">
        <v>1098</v>
      </c>
      <c r="C678" s="3">
        <v>45855</v>
      </c>
      <c r="D678">
        <v>30</v>
      </c>
      <c r="E678" s="3" t="str">
        <f t="shared" si="10"/>
        <v/>
      </c>
      <c r="F678" s="3" t="str">
        <f>IF(TableRefills3[[#This Row],[prev_refill_days]]="","",TableRefills3[[#This Row],[prev_refill_days]]+TableRefills3[[#This Row],[quantity_days]])</f>
        <v/>
      </c>
      <c r="G678" t="str">
        <f>IF(TableRefills3[[#This Row],[prev_refill_end]]="","",TableRefills3[[#This Row],[refill_date]]-TableRefills3[[#This Row],[prev_refill_end]])</f>
        <v/>
      </c>
      <c r="H678" s="10">
        <f>IF(TableRefills3[[#This Row],[gap_days]]="",0,IF(TableRefills3[[#This Row],[gap_days]]&gt;2,1,0))</f>
        <v>0</v>
      </c>
      <c r="I678">
        <f>_xlfn.MAXIFS(TableRefills3[discountinuation_flag], TableRefills3[patient_id], A678)</f>
        <v>0</v>
      </c>
    </row>
    <row r="679" spans="1:9" x14ac:dyDescent="0.25">
      <c r="A679" t="s">
        <v>1097</v>
      </c>
      <c r="B679" t="s">
        <v>1098</v>
      </c>
      <c r="C679" s="3">
        <v>45887</v>
      </c>
      <c r="D679">
        <v>30</v>
      </c>
      <c r="E679" s="3">
        <f t="shared" si="10"/>
        <v>45855</v>
      </c>
      <c r="F679" s="3">
        <f>IF(TableRefills3[[#This Row],[prev_refill_days]]="","",TableRefills3[[#This Row],[prev_refill_days]]+TableRefills3[[#This Row],[quantity_days]])</f>
        <v>45885</v>
      </c>
      <c r="G679">
        <f>IF(TableRefills3[[#This Row],[prev_refill_end]]="","",TableRefills3[[#This Row],[refill_date]]-TableRefills3[[#This Row],[prev_refill_end]])</f>
        <v>2</v>
      </c>
      <c r="H679" s="10">
        <f>IF(TableRefills3[[#This Row],[gap_days]]="",0,IF(TableRefills3[[#This Row],[gap_days]]&gt;2,1,0))</f>
        <v>0</v>
      </c>
      <c r="I679">
        <f>_xlfn.MAXIFS(TableRefills3[discountinuation_flag], TableRefills3[patient_id], A679)</f>
        <v>0</v>
      </c>
    </row>
    <row r="680" spans="1:9" x14ac:dyDescent="0.25">
      <c r="A680" t="s">
        <v>1097</v>
      </c>
      <c r="B680" t="s">
        <v>1098</v>
      </c>
      <c r="C680" s="3">
        <v>45914</v>
      </c>
      <c r="D680">
        <v>30</v>
      </c>
      <c r="E680" s="3">
        <f t="shared" si="10"/>
        <v>45887</v>
      </c>
      <c r="F680" s="3">
        <f>IF(TableRefills3[[#This Row],[prev_refill_days]]="","",TableRefills3[[#This Row],[prev_refill_days]]+TableRefills3[[#This Row],[quantity_days]])</f>
        <v>45917</v>
      </c>
      <c r="G680">
        <f>IF(TableRefills3[[#This Row],[prev_refill_end]]="","",TableRefills3[[#This Row],[refill_date]]-TableRefills3[[#This Row],[prev_refill_end]])</f>
        <v>-3</v>
      </c>
      <c r="H680" s="10">
        <f>IF(TableRefills3[[#This Row],[gap_days]]="",0,IF(TableRefills3[[#This Row],[gap_days]]&gt;2,1,0))</f>
        <v>0</v>
      </c>
      <c r="I680">
        <f>_xlfn.MAXIFS(TableRefills3[discountinuation_flag], TableRefills3[patient_id], A680)</f>
        <v>0</v>
      </c>
    </row>
    <row r="681" spans="1:9" x14ac:dyDescent="0.25">
      <c r="A681" t="s">
        <v>1097</v>
      </c>
      <c r="B681" t="s">
        <v>1098</v>
      </c>
      <c r="C681" s="3">
        <v>45944</v>
      </c>
      <c r="D681">
        <v>30</v>
      </c>
      <c r="E681" s="3">
        <f t="shared" si="10"/>
        <v>45914</v>
      </c>
      <c r="F681" s="3">
        <f>IF(TableRefills3[[#This Row],[prev_refill_days]]="","",TableRefills3[[#This Row],[prev_refill_days]]+TableRefills3[[#This Row],[quantity_days]])</f>
        <v>45944</v>
      </c>
      <c r="G681">
        <f>IF(TableRefills3[[#This Row],[prev_refill_end]]="","",TableRefills3[[#This Row],[refill_date]]-TableRefills3[[#This Row],[prev_refill_end]])</f>
        <v>0</v>
      </c>
      <c r="H681" s="10">
        <f>IF(TableRefills3[[#This Row],[gap_days]]="",0,IF(TableRefills3[[#This Row],[gap_days]]&gt;2,1,0))</f>
        <v>0</v>
      </c>
      <c r="I681">
        <f>_xlfn.MAXIFS(TableRefills3[discountinuation_flag], TableRefills3[patient_id], A681)</f>
        <v>0</v>
      </c>
    </row>
    <row r="682" spans="1:9" x14ac:dyDescent="0.25">
      <c r="A682" t="s">
        <v>1103</v>
      </c>
      <c r="B682" t="s">
        <v>1104</v>
      </c>
      <c r="C682" s="3">
        <v>45914</v>
      </c>
      <c r="D682">
        <v>56</v>
      </c>
      <c r="E682" s="3" t="str">
        <f t="shared" si="10"/>
        <v/>
      </c>
      <c r="F682" s="3" t="str">
        <f>IF(TableRefills3[[#This Row],[prev_refill_days]]="","",TableRefills3[[#This Row],[prev_refill_days]]+TableRefills3[[#This Row],[quantity_days]])</f>
        <v/>
      </c>
      <c r="G682" t="str">
        <f>IF(TableRefills3[[#This Row],[prev_refill_end]]="","",TableRefills3[[#This Row],[refill_date]]-TableRefills3[[#This Row],[prev_refill_end]])</f>
        <v/>
      </c>
      <c r="H682" s="10">
        <f>IF(TableRefills3[[#This Row],[gap_days]]="",0,IF(TableRefills3[[#This Row],[gap_days]]&gt;2,1,0))</f>
        <v>0</v>
      </c>
      <c r="I682">
        <f>_xlfn.MAXIFS(TableRefills3[discountinuation_flag], TableRefills3[patient_id], A682)</f>
        <v>0</v>
      </c>
    </row>
    <row r="683" spans="1:9" x14ac:dyDescent="0.25">
      <c r="A683" t="s">
        <v>1106</v>
      </c>
      <c r="B683" t="s">
        <v>1107</v>
      </c>
      <c r="C683" s="3">
        <v>45906</v>
      </c>
      <c r="D683">
        <v>28</v>
      </c>
      <c r="E683" s="3" t="str">
        <f t="shared" si="10"/>
        <v/>
      </c>
      <c r="F683" s="3" t="str">
        <f>IF(TableRefills3[[#This Row],[prev_refill_days]]="","",TableRefills3[[#This Row],[prev_refill_days]]+TableRefills3[[#This Row],[quantity_days]])</f>
        <v/>
      </c>
      <c r="G683" t="str">
        <f>IF(TableRefills3[[#This Row],[prev_refill_end]]="","",TableRefills3[[#This Row],[refill_date]]-TableRefills3[[#This Row],[prev_refill_end]])</f>
        <v/>
      </c>
      <c r="H683" s="10">
        <f>IF(TableRefills3[[#This Row],[gap_days]]="",0,IF(TableRefills3[[#This Row],[gap_days]]&gt;2,1,0))</f>
        <v>0</v>
      </c>
      <c r="I683">
        <f>_xlfn.MAXIFS(TableRefills3[discountinuation_flag], TableRefills3[patient_id], A683)</f>
        <v>0</v>
      </c>
    </row>
    <row r="684" spans="1:9" x14ac:dyDescent="0.25">
      <c r="A684" t="s">
        <v>1106</v>
      </c>
      <c r="B684" t="s">
        <v>1107</v>
      </c>
      <c r="C684" s="3">
        <v>45935</v>
      </c>
      <c r="D684">
        <v>28</v>
      </c>
      <c r="E684" s="3">
        <f t="shared" si="10"/>
        <v>45906</v>
      </c>
      <c r="F684" s="3">
        <f>IF(TableRefills3[[#This Row],[prev_refill_days]]="","",TableRefills3[[#This Row],[prev_refill_days]]+TableRefills3[[#This Row],[quantity_days]])</f>
        <v>45934</v>
      </c>
      <c r="G684">
        <f>IF(TableRefills3[[#This Row],[prev_refill_end]]="","",TableRefills3[[#This Row],[refill_date]]-TableRefills3[[#This Row],[prev_refill_end]])</f>
        <v>1</v>
      </c>
      <c r="H684" s="10">
        <f>IF(TableRefills3[[#This Row],[gap_days]]="",0,IF(TableRefills3[[#This Row],[gap_days]]&gt;2,1,0))</f>
        <v>0</v>
      </c>
      <c r="I684">
        <f>_xlfn.MAXIFS(TableRefills3[discountinuation_flag], TableRefills3[patient_id], A684)</f>
        <v>0</v>
      </c>
    </row>
    <row r="685" spans="1:9" x14ac:dyDescent="0.25">
      <c r="A685" t="s">
        <v>1110</v>
      </c>
      <c r="B685" t="s">
        <v>1111</v>
      </c>
      <c r="C685" s="3">
        <v>45821</v>
      </c>
      <c r="D685">
        <v>28</v>
      </c>
      <c r="E685" s="3" t="str">
        <f t="shared" si="10"/>
        <v/>
      </c>
      <c r="F685" s="3" t="str">
        <f>IF(TableRefills3[[#This Row],[prev_refill_days]]="","",TableRefills3[[#This Row],[prev_refill_days]]+TableRefills3[[#This Row],[quantity_days]])</f>
        <v/>
      </c>
      <c r="G685" t="str">
        <f>IF(TableRefills3[[#This Row],[prev_refill_end]]="","",TableRefills3[[#This Row],[refill_date]]-TableRefills3[[#This Row],[prev_refill_end]])</f>
        <v/>
      </c>
      <c r="H685" s="10">
        <f>IF(TableRefills3[[#This Row],[gap_days]]="",0,IF(TableRefills3[[#This Row],[gap_days]]&gt;2,1,0))</f>
        <v>0</v>
      </c>
      <c r="I685">
        <f>_xlfn.MAXIFS(TableRefills3[discountinuation_flag], TableRefills3[patient_id], A685)</f>
        <v>0</v>
      </c>
    </row>
    <row r="686" spans="1:9" x14ac:dyDescent="0.25">
      <c r="A686" t="s">
        <v>1110</v>
      </c>
      <c r="B686" t="s">
        <v>1111</v>
      </c>
      <c r="C686" s="3">
        <v>45849</v>
      </c>
      <c r="D686">
        <v>28</v>
      </c>
      <c r="E686" s="3">
        <f t="shared" si="10"/>
        <v>45821</v>
      </c>
      <c r="F686" s="3">
        <f>IF(TableRefills3[[#This Row],[prev_refill_days]]="","",TableRefills3[[#This Row],[prev_refill_days]]+TableRefills3[[#This Row],[quantity_days]])</f>
        <v>45849</v>
      </c>
      <c r="G686">
        <f>IF(TableRefills3[[#This Row],[prev_refill_end]]="","",TableRefills3[[#This Row],[refill_date]]-TableRefills3[[#This Row],[prev_refill_end]])</f>
        <v>0</v>
      </c>
      <c r="H686" s="10">
        <f>IF(TableRefills3[[#This Row],[gap_days]]="",0,IF(TableRefills3[[#This Row],[gap_days]]&gt;2,1,0))</f>
        <v>0</v>
      </c>
      <c r="I686">
        <f>_xlfn.MAXIFS(TableRefills3[discountinuation_flag], TableRefills3[patient_id], A686)</f>
        <v>0</v>
      </c>
    </row>
    <row r="687" spans="1:9" x14ac:dyDescent="0.25">
      <c r="A687" t="s">
        <v>1110</v>
      </c>
      <c r="B687" t="s">
        <v>1111</v>
      </c>
      <c r="C687" s="3">
        <v>45874</v>
      </c>
      <c r="D687">
        <v>28</v>
      </c>
      <c r="E687" s="3">
        <f t="shared" si="10"/>
        <v>45849</v>
      </c>
      <c r="F687" s="3">
        <f>IF(TableRefills3[[#This Row],[prev_refill_days]]="","",TableRefills3[[#This Row],[prev_refill_days]]+TableRefills3[[#This Row],[quantity_days]])</f>
        <v>45877</v>
      </c>
      <c r="G687">
        <f>IF(TableRefills3[[#This Row],[prev_refill_end]]="","",TableRefills3[[#This Row],[refill_date]]-TableRefills3[[#This Row],[prev_refill_end]])</f>
        <v>-3</v>
      </c>
      <c r="H687" s="10">
        <f>IF(TableRefills3[[#This Row],[gap_days]]="",0,IF(TableRefills3[[#This Row],[gap_days]]&gt;2,1,0))</f>
        <v>0</v>
      </c>
      <c r="I687">
        <f>_xlfn.MAXIFS(TableRefills3[discountinuation_flag], TableRefills3[patient_id], A687)</f>
        <v>0</v>
      </c>
    </row>
    <row r="688" spans="1:9" x14ac:dyDescent="0.25">
      <c r="A688" t="s">
        <v>1110</v>
      </c>
      <c r="B688" t="s">
        <v>1111</v>
      </c>
      <c r="C688" s="3">
        <v>45904</v>
      </c>
      <c r="D688">
        <v>28</v>
      </c>
      <c r="E688" s="3">
        <f t="shared" si="10"/>
        <v>45874</v>
      </c>
      <c r="F688" s="3">
        <f>IF(TableRefills3[[#This Row],[prev_refill_days]]="","",TableRefills3[[#This Row],[prev_refill_days]]+TableRefills3[[#This Row],[quantity_days]])</f>
        <v>45902</v>
      </c>
      <c r="G688">
        <f>IF(TableRefills3[[#This Row],[prev_refill_end]]="","",TableRefills3[[#This Row],[refill_date]]-TableRefills3[[#This Row],[prev_refill_end]])</f>
        <v>2</v>
      </c>
      <c r="H688" s="10">
        <f>IF(TableRefills3[[#This Row],[gap_days]]="",0,IF(TableRefills3[[#This Row],[gap_days]]&gt;2,1,0))</f>
        <v>0</v>
      </c>
      <c r="I688">
        <f>_xlfn.MAXIFS(TableRefills3[discountinuation_flag], TableRefills3[patient_id], A688)</f>
        <v>0</v>
      </c>
    </row>
    <row r="689" spans="1:9" x14ac:dyDescent="0.25">
      <c r="A689" t="s">
        <v>1110</v>
      </c>
      <c r="B689" t="s">
        <v>1111</v>
      </c>
      <c r="C689" s="3">
        <v>45929</v>
      </c>
      <c r="D689">
        <v>28</v>
      </c>
      <c r="E689" s="3">
        <f t="shared" si="10"/>
        <v>45904</v>
      </c>
      <c r="F689" s="3">
        <f>IF(TableRefills3[[#This Row],[prev_refill_days]]="","",TableRefills3[[#This Row],[prev_refill_days]]+TableRefills3[[#This Row],[quantity_days]])</f>
        <v>45932</v>
      </c>
      <c r="G689">
        <f>IF(TableRefills3[[#This Row],[prev_refill_end]]="","",TableRefills3[[#This Row],[refill_date]]-TableRefills3[[#This Row],[prev_refill_end]])</f>
        <v>-3</v>
      </c>
      <c r="H689" s="10">
        <f>IF(TableRefills3[[#This Row],[gap_days]]="",0,IF(TableRefills3[[#This Row],[gap_days]]&gt;2,1,0))</f>
        <v>0</v>
      </c>
      <c r="I689">
        <f>_xlfn.MAXIFS(TableRefills3[discountinuation_flag], TableRefills3[patient_id], A689)</f>
        <v>0</v>
      </c>
    </row>
    <row r="690" spans="1:9" x14ac:dyDescent="0.25">
      <c r="A690" t="s">
        <v>1110</v>
      </c>
      <c r="B690" t="s">
        <v>1111</v>
      </c>
      <c r="C690" s="3">
        <v>45954</v>
      </c>
      <c r="D690">
        <v>28</v>
      </c>
      <c r="E690" s="3">
        <f t="shared" si="10"/>
        <v>45929</v>
      </c>
      <c r="F690" s="3">
        <f>IF(TableRefills3[[#This Row],[prev_refill_days]]="","",TableRefills3[[#This Row],[prev_refill_days]]+TableRefills3[[#This Row],[quantity_days]])</f>
        <v>45957</v>
      </c>
      <c r="G690">
        <f>IF(TableRefills3[[#This Row],[prev_refill_end]]="","",TableRefills3[[#This Row],[refill_date]]-TableRefills3[[#This Row],[prev_refill_end]])</f>
        <v>-3</v>
      </c>
      <c r="H690" s="10">
        <f>IF(TableRefills3[[#This Row],[gap_days]]="",0,IF(TableRefills3[[#This Row],[gap_days]]&gt;2,1,0))</f>
        <v>0</v>
      </c>
      <c r="I690">
        <f>_xlfn.MAXIFS(TableRefills3[discountinuation_flag], TableRefills3[patient_id], A690)</f>
        <v>0</v>
      </c>
    </row>
    <row r="691" spans="1:9" x14ac:dyDescent="0.25">
      <c r="A691" t="s">
        <v>1118</v>
      </c>
      <c r="B691" t="s">
        <v>1119</v>
      </c>
      <c r="C691" s="3">
        <v>45926</v>
      </c>
      <c r="D691">
        <v>30</v>
      </c>
      <c r="E691" s="3" t="str">
        <f t="shared" si="10"/>
        <v/>
      </c>
      <c r="F691" s="3" t="str">
        <f>IF(TableRefills3[[#This Row],[prev_refill_days]]="","",TableRefills3[[#This Row],[prev_refill_days]]+TableRefills3[[#This Row],[quantity_days]])</f>
        <v/>
      </c>
      <c r="G691" t="str">
        <f>IF(TableRefills3[[#This Row],[prev_refill_end]]="","",TableRefills3[[#This Row],[refill_date]]-TableRefills3[[#This Row],[prev_refill_end]])</f>
        <v/>
      </c>
      <c r="H691" s="10">
        <f>IF(TableRefills3[[#This Row],[gap_days]]="",0,IF(TableRefills3[[#This Row],[gap_days]]&gt;2,1,0))</f>
        <v>0</v>
      </c>
      <c r="I691">
        <f>_xlfn.MAXIFS(TableRefills3[discountinuation_flag], TableRefills3[patient_id], A691)</f>
        <v>0</v>
      </c>
    </row>
    <row r="692" spans="1:9" x14ac:dyDescent="0.25">
      <c r="A692" t="s">
        <v>1118</v>
      </c>
      <c r="B692" t="s">
        <v>1119</v>
      </c>
      <c r="C692" s="3">
        <v>45954</v>
      </c>
      <c r="D692">
        <v>30</v>
      </c>
      <c r="E692" s="3">
        <f t="shared" si="10"/>
        <v>45926</v>
      </c>
      <c r="F692" s="3">
        <f>IF(TableRefills3[[#This Row],[prev_refill_days]]="","",TableRefills3[[#This Row],[prev_refill_days]]+TableRefills3[[#This Row],[quantity_days]])</f>
        <v>45956</v>
      </c>
      <c r="G692">
        <f>IF(TableRefills3[[#This Row],[prev_refill_end]]="","",TableRefills3[[#This Row],[refill_date]]-TableRefills3[[#This Row],[prev_refill_end]])</f>
        <v>-2</v>
      </c>
      <c r="H692" s="10">
        <f>IF(TableRefills3[[#This Row],[gap_days]]="",0,IF(TableRefills3[[#This Row],[gap_days]]&gt;2,1,0))</f>
        <v>0</v>
      </c>
      <c r="I692">
        <f>_xlfn.MAXIFS(TableRefills3[discountinuation_flag], TableRefills3[patient_id], A692)</f>
        <v>0</v>
      </c>
    </row>
    <row r="693" spans="1:9" x14ac:dyDescent="0.25">
      <c r="A693" t="s">
        <v>1122</v>
      </c>
      <c r="B693" t="s">
        <v>1123</v>
      </c>
      <c r="C693" s="3">
        <v>45821</v>
      </c>
      <c r="D693">
        <v>28</v>
      </c>
      <c r="E693" s="3" t="str">
        <f t="shared" si="10"/>
        <v/>
      </c>
      <c r="F693" s="3" t="str">
        <f>IF(TableRefills3[[#This Row],[prev_refill_days]]="","",TableRefills3[[#This Row],[prev_refill_days]]+TableRefills3[[#This Row],[quantity_days]])</f>
        <v/>
      </c>
      <c r="G693" t="str">
        <f>IF(TableRefills3[[#This Row],[prev_refill_end]]="","",TableRefills3[[#This Row],[refill_date]]-TableRefills3[[#This Row],[prev_refill_end]])</f>
        <v/>
      </c>
      <c r="H693" s="10">
        <f>IF(TableRefills3[[#This Row],[gap_days]]="",0,IF(TableRefills3[[#This Row],[gap_days]]&gt;2,1,0))</f>
        <v>0</v>
      </c>
      <c r="I693">
        <f>_xlfn.MAXIFS(TableRefills3[discountinuation_flag], TableRefills3[patient_id], A693)</f>
        <v>0</v>
      </c>
    </row>
    <row r="694" spans="1:9" x14ac:dyDescent="0.25">
      <c r="A694" t="s">
        <v>1122</v>
      </c>
      <c r="B694" t="s">
        <v>1123</v>
      </c>
      <c r="C694" s="3">
        <v>45848</v>
      </c>
      <c r="D694">
        <v>28</v>
      </c>
      <c r="E694" s="3">
        <f t="shared" si="10"/>
        <v>45821</v>
      </c>
      <c r="F694" s="3">
        <f>IF(TableRefills3[[#This Row],[prev_refill_days]]="","",TableRefills3[[#This Row],[prev_refill_days]]+TableRefills3[[#This Row],[quantity_days]])</f>
        <v>45849</v>
      </c>
      <c r="G694">
        <f>IF(TableRefills3[[#This Row],[prev_refill_end]]="","",TableRefills3[[#This Row],[refill_date]]-TableRefills3[[#This Row],[prev_refill_end]])</f>
        <v>-1</v>
      </c>
      <c r="H694" s="10">
        <f>IF(TableRefills3[[#This Row],[gap_days]]="",0,IF(TableRefills3[[#This Row],[gap_days]]&gt;2,1,0))</f>
        <v>0</v>
      </c>
      <c r="I694">
        <f>_xlfn.MAXIFS(TableRefills3[discountinuation_flag], TableRefills3[patient_id], A694)</f>
        <v>0</v>
      </c>
    </row>
    <row r="695" spans="1:9" x14ac:dyDescent="0.25">
      <c r="A695" t="s">
        <v>1122</v>
      </c>
      <c r="B695" t="s">
        <v>1123</v>
      </c>
      <c r="C695" s="3">
        <v>45877</v>
      </c>
      <c r="D695">
        <v>28</v>
      </c>
      <c r="E695" s="3">
        <f t="shared" si="10"/>
        <v>45848</v>
      </c>
      <c r="F695" s="3">
        <f>IF(TableRefills3[[#This Row],[prev_refill_days]]="","",TableRefills3[[#This Row],[prev_refill_days]]+TableRefills3[[#This Row],[quantity_days]])</f>
        <v>45876</v>
      </c>
      <c r="G695">
        <f>IF(TableRefills3[[#This Row],[prev_refill_end]]="","",TableRefills3[[#This Row],[refill_date]]-TableRefills3[[#This Row],[prev_refill_end]])</f>
        <v>1</v>
      </c>
      <c r="H695" s="10">
        <f>IF(TableRefills3[[#This Row],[gap_days]]="",0,IF(TableRefills3[[#This Row],[gap_days]]&gt;2,1,0))</f>
        <v>0</v>
      </c>
      <c r="I695">
        <f>_xlfn.MAXIFS(TableRefills3[discountinuation_flag], TableRefills3[patient_id], A695)</f>
        <v>0</v>
      </c>
    </row>
    <row r="696" spans="1:9" x14ac:dyDescent="0.25">
      <c r="A696" t="s">
        <v>1122</v>
      </c>
      <c r="B696" t="s">
        <v>1123</v>
      </c>
      <c r="C696" s="3">
        <v>45904</v>
      </c>
      <c r="D696">
        <v>28</v>
      </c>
      <c r="E696" s="3">
        <f t="shared" si="10"/>
        <v>45877</v>
      </c>
      <c r="F696" s="3">
        <f>IF(TableRefills3[[#This Row],[prev_refill_days]]="","",TableRefills3[[#This Row],[prev_refill_days]]+TableRefills3[[#This Row],[quantity_days]])</f>
        <v>45905</v>
      </c>
      <c r="G696">
        <f>IF(TableRefills3[[#This Row],[prev_refill_end]]="","",TableRefills3[[#This Row],[refill_date]]-TableRefills3[[#This Row],[prev_refill_end]])</f>
        <v>-1</v>
      </c>
      <c r="H696" s="10">
        <f>IF(TableRefills3[[#This Row],[gap_days]]="",0,IF(TableRefills3[[#This Row],[gap_days]]&gt;2,1,0))</f>
        <v>0</v>
      </c>
      <c r="I696">
        <f>_xlfn.MAXIFS(TableRefills3[discountinuation_flag], TableRefills3[patient_id], A696)</f>
        <v>0</v>
      </c>
    </row>
    <row r="697" spans="1:9" x14ac:dyDescent="0.25">
      <c r="A697" t="s">
        <v>1122</v>
      </c>
      <c r="B697" t="s">
        <v>1123</v>
      </c>
      <c r="C697" s="3">
        <v>45932</v>
      </c>
      <c r="D697">
        <v>28</v>
      </c>
      <c r="E697" s="3">
        <f t="shared" si="10"/>
        <v>45904</v>
      </c>
      <c r="F697" s="3">
        <f>IF(TableRefills3[[#This Row],[prev_refill_days]]="","",TableRefills3[[#This Row],[prev_refill_days]]+TableRefills3[[#This Row],[quantity_days]])</f>
        <v>45932</v>
      </c>
      <c r="G697">
        <f>IF(TableRefills3[[#This Row],[prev_refill_end]]="","",TableRefills3[[#This Row],[refill_date]]-TableRefills3[[#This Row],[prev_refill_end]])</f>
        <v>0</v>
      </c>
      <c r="H697" s="10">
        <f>IF(TableRefills3[[#This Row],[gap_days]]="",0,IF(TableRefills3[[#This Row],[gap_days]]&gt;2,1,0))</f>
        <v>0</v>
      </c>
      <c r="I697">
        <f>_xlfn.MAXIFS(TableRefills3[discountinuation_flag], TableRefills3[patient_id], A697)</f>
        <v>0</v>
      </c>
    </row>
    <row r="698" spans="1:9" x14ac:dyDescent="0.25">
      <c r="A698" t="s">
        <v>1122</v>
      </c>
      <c r="B698" t="s">
        <v>1123</v>
      </c>
      <c r="C698" s="3">
        <v>45958</v>
      </c>
      <c r="D698">
        <v>28</v>
      </c>
      <c r="E698" s="3">
        <f t="shared" si="10"/>
        <v>45932</v>
      </c>
      <c r="F698" s="3">
        <f>IF(TableRefills3[[#This Row],[prev_refill_days]]="","",TableRefills3[[#This Row],[prev_refill_days]]+TableRefills3[[#This Row],[quantity_days]])</f>
        <v>45960</v>
      </c>
      <c r="G698">
        <f>IF(TableRefills3[[#This Row],[prev_refill_end]]="","",TableRefills3[[#This Row],[refill_date]]-TableRefills3[[#This Row],[prev_refill_end]])</f>
        <v>-2</v>
      </c>
      <c r="H698" s="10">
        <f>IF(TableRefills3[[#This Row],[gap_days]]="",0,IF(TableRefills3[[#This Row],[gap_days]]&gt;2,1,0))</f>
        <v>0</v>
      </c>
      <c r="I698">
        <f>_xlfn.MAXIFS(TableRefills3[discountinuation_flag], TableRefills3[patient_id], A698)</f>
        <v>0</v>
      </c>
    </row>
    <row r="699" spans="1:9" x14ac:dyDescent="0.25">
      <c r="A699" t="s">
        <v>1130</v>
      </c>
      <c r="B699" t="s">
        <v>1131</v>
      </c>
      <c r="C699" s="3">
        <v>45937</v>
      </c>
      <c r="D699">
        <v>28</v>
      </c>
      <c r="E699" s="3" t="str">
        <f t="shared" si="10"/>
        <v/>
      </c>
      <c r="F699" s="3" t="str">
        <f>IF(TableRefills3[[#This Row],[prev_refill_days]]="","",TableRefills3[[#This Row],[prev_refill_days]]+TableRefills3[[#This Row],[quantity_days]])</f>
        <v/>
      </c>
      <c r="G699" t="str">
        <f>IF(TableRefills3[[#This Row],[prev_refill_end]]="","",TableRefills3[[#This Row],[refill_date]]-TableRefills3[[#This Row],[prev_refill_end]])</f>
        <v/>
      </c>
      <c r="H699" s="10">
        <f>IF(TableRefills3[[#This Row],[gap_days]]="",0,IF(TableRefills3[[#This Row],[gap_days]]&gt;2,1,0))</f>
        <v>0</v>
      </c>
      <c r="I699">
        <f>_xlfn.MAXIFS(TableRefills3[discountinuation_flag], TableRefills3[patient_id], A699)</f>
        <v>0</v>
      </c>
    </row>
    <row r="700" spans="1:9" x14ac:dyDescent="0.25">
      <c r="A700" t="s">
        <v>1133</v>
      </c>
      <c r="B700" t="s">
        <v>1134</v>
      </c>
      <c r="C700" s="3">
        <v>45932</v>
      </c>
      <c r="D700">
        <v>28</v>
      </c>
      <c r="E700" s="3" t="str">
        <f t="shared" si="10"/>
        <v/>
      </c>
      <c r="F700" s="3" t="str">
        <f>IF(TableRefills3[[#This Row],[prev_refill_days]]="","",TableRefills3[[#This Row],[prev_refill_days]]+TableRefills3[[#This Row],[quantity_days]])</f>
        <v/>
      </c>
      <c r="G700" t="str">
        <f>IF(TableRefills3[[#This Row],[prev_refill_end]]="","",TableRefills3[[#This Row],[refill_date]]-TableRefills3[[#This Row],[prev_refill_end]])</f>
        <v/>
      </c>
      <c r="H700" s="10">
        <f>IF(TableRefills3[[#This Row],[gap_days]]="",0,IF(TableRefills3[[#This Row],[gap_days]]&gt;2,1,0))</f>
        <v>0</v>
      </c>
      <c r="I700">
        <f>_xlfn.MAXIFS(TableRefills3[discountinuation_flag], TableRefills3[patient_id], A700)</f>
        <v>0</v>
      </c>
    </row>
    <row r="701" spans="1:9" x14ac:dyDescent="0.25">
      <c r="A701" t="s">
        <v>1133</v>
      </c>
      <c r="B701" t="s">
        <v>1134</v>
      </c>
      <c r="C701" s="3">
        <v>45960</v>
      </c>
      <c r="D701">
        <v>28</v>
      </c>
      <c r="E701" s="3">
        <f t="shared" si="10"/>
        <v>45932</v>
      </c>
      <c r="F701" s="3">
        <f>IF(TableRefills3[[#This Row],[prev_refill_days]]="","",TableRefills3[[#This Row],[prev_refill_days]]+TableRefills3[[#This Row],[quantity_days]])</f>
        <v>45960</v>
      </c>
      <c r="G701">
        <f>IF(TableRefills3[[#This Row],[prev_refill_end]]="","",TableRefills3[[#This Row],[refill_date]]-TableRefills3[[#This Row],[prev_refill_end]])</f>
        <v>0</v>
      </c>
      <c r="H701" s="10">
        <f>IF(TableRefills3[[#This Row],[gap_days]]="",0,IF(TableRefills3[[#This Row],[gap_days]]&gt;2,1,0))</f>
        <v>0</v>
      </c>
      <c r="I701">
        <f>_xlfn.MAXIFS(TableRefills3[discountinuation_flag], TableRefills3[patient_id], A701)</f>
        <v>0</v>
      </c>
    </row>
    <row r="702" spans="1:9" x14ac:dyDescent="0.25">
      <c r="A702" t="s">
        <v>1137</v>
      </c>
      <c r="B702" t="s">
        <v>1138</v>
      </c>
      <c r="C702" s="3">
        <v>45922</v>
      </c>
      <c r="D702">
        <v>28</v>
      </c>
      <c r="E702" s="3" t="str">
        <f t="shared" si="10"/>
        <v/>
      </c>
      <c r="F702" s="3" t="str">
        <f>IF(TableRefills3[[#This Row],[prev_refill_days]]="","",TableRefills3[[#This Row],[prev_refill_days]]+TableRefills3[[#This Row],[quantity_days]])</f>
        <v/>
      </c>
      <c r="G702" t="str">
        <f>IF(TableRefills3[[#This Row],[prev_refill_end]]="","",TableRefills3[[#This Row],[refill_date]]-TableRefills3[[#This Row],[prev_refill_end]])</f>
        <v/>
      </c>
      <c r="H702" s="10">
        <f>IF(TableRefills3[[#This Row],[gap_days]]="",0,IF(TableRefills3[[#This Row],[gap_days]]&gt;2,1,0))</f>
        <v>0</v>
      </c>
      <c r="I702">
        <f>_xlfn.MAXIFS(TableRefills3[discountinuation_flag], TableRefills3[patient_id], A702)</f>
        <v>0</v>
      </c>
    </row>
    <row r="703" spans="1:9" x14ac:dyDescent="0.25">
      <c r="A703" t="s">
        <v>1140</v>
      </c>
      <c r="B703" t="s">
        <v>1141</v>
      </c>
      <c r="C703" s="3">
        <v>45785</v>
      </c>
      <c r="D703">
        <v>30</v>
      </c>
      <c r="E703" s="3" t="str">
        <f t="shared" si="10"/>
        <v/>
      </c>
      <c r="F703" s="3" t="str">
        <f>IF(TableRefills3[[#This Row],[prev_refill_days]]="","",TableRefills3[[#This Row],[prev_refill_days]]+TableRefills3[[#This Row],[quantity_days]])</f>
        <v/>
      </c>
      <c r="G703" t="str">
        <f>IF(TableRefills3[[#This Row],[prev_refill_end]]="","",TableRefills3[[#This Row],[refill_date]]-TableRefills3[[#This Row],[prev_refill_end]])</f>
        <v/>
      </c>
      <c r="H703" s="10">
        <f>IF(TableRefills3[[#This Row],[gap_days]]="",0,IF(TableRefills3[[#This Row],[gap_days]]&gt;2,1,0))</f>
        <v>0</v>
      </c>
      <c r="I703">
        <f>_xlfn.MAXIFS(TableRefills3[discountinuation_flag], TableRefills3[patient_id], A703)</f>
        <v>0</v>
      </c>
    </row>
    <row r="704" spans="1:9" x14ac:dyDescent="0.25">
      <c r="A704" t="s">
        <v>1140</v>
      </c>
      <c r="B704" t="s">
        <v>1141</v>
      </c>
      <c r="C704" s="3">
        <v>45812</v>
      </c>
      <c r="D704">
        <v>30</v>
      </c>
      <c r="E704" s="3">
        <f t="shared" si="10"/>
        <v>45785</v>
      </c>
      <c r="F704" s="3">
        <f>IF(TableRefills3[[#This Row],[prev_refill_days]]="","",TableRefills3[[#This Row],[prev_refill_days]]+TableRefills3[[#This Row],[quantity_days]])</f>
        <v>45815</v>
      </c>
      <c r="G704">
        <f>IF(TableRefills3[[#This Row],[prev_refill_end]]="","",TableRefills3[[#This Row],[refill_date]]-TableRefills3[[#This Row],[prev_refill_end]])</f>
        <v>-3</v>
      </c>
      <c r="H704" s="10">
        <f>IF(TableRefills3[[#This Row],[gap_days]]="",0,IF(TableRefills3[[#This Row],[gap_days]]&gt;2,1,0))</f>
        <v>0</v>
      </c>
      <c r="I704">
        <f>_xlfn.MAXIFS(TableRefills3[discountinuation_flag], TableRefills3[patient_id], A704)</f>
        <v>0</v>
      </c>
    </row>
    <row r="705" spans="1:9" x14ac:dyDescent="0.25">
      <c r="A705" t="s">
        <v>1140</v>
      </c>
      <c r="B705" t="s">
        <v>1141</v>
      </c>
      <c r="C705" s="3">
        <v>45839</v>
      </c>
      <c r="D705">
        <v>30</v>
      </c>
      <c r="E705" s="3">
        <f t="shared" si="10"/>
        <v>45812</v>
      </c>
      <c r="F705" s="3">
        <f>IF(TableRefills3[[#This Row],[prev_refill_days]]="","",TableRefills3[[#This Row],[prev_refill_days]]+TableRefills3[[#This Row],[quantity_days]])</f>
        <v>45842</v>
      </c>
      <c r="G705">
        <f>IF(TableRefills3[[#This Row],[prev_refill_end]]="","",TableRefills3[[#This Row],[refill_date]]-TableRefills3[[#This Row],[prev_refill_end]])</f>
        <v>-3</v>
      </c>
      <c r="H705" s="10">
        <f>IF(TableRefills3[[#This Row],[gap_days]]="",0,IF(TableRefills3[[#This Row],[gap_days]]&gt;2,1,0))</f>
        <v>0</v>
      </c>
      <c r="I705">
        <f>_xlfn.MAXIFS(TableRefills3[discountinuation_flag], TableRefills3[patient_id], A705)</f>
        <v>0</v>
      </c>
    </row>
    <row r="706" spans="1:9" x14ac:dyDescent="0.25">
      <c r="A706" t="s">
        <v>1140</v>
      </c>
      <c r="B706" t="s">
        <v>1141</v>
      </c>
      <c r="C706" s="3">
        <v>45870</v>
      </c>
      <c r="D706">
        <v>30</v>
      </c>
      <c r="E706" s="3">
        <f t="shared" ref="E706:E769" si="11">IF(A705=A706,C705,"")</f>
        <v>45839</v>
      </c>
      <c r="F706" s="3">
        <f>IF(TableRefills3[[#This Row],[prev_refill_days]]="","",TableRefills3[[#This Row],[prev_refill_days]]+TableRefills3[[#This Row],[quantity_days]])</f>
        <v>45869</v>
      </c>
      <c r="G706">
        <f>IF(TableRefills3[[#This Row],[prev_refill_end]]="","",TableRefills3[[#This Row],[refill_date]]-TableRefills3[[#This Row],[prev_refill_end]])</f>
        <v>1</v>
      </c>
      <c r="H706" s="10">
        <f>IF(TableRefills3[[#This Row],[gap_days]]="",0,IF(TableRefills3[[#This Row],[gap_days]]&gt;2,1,0))</f>
        <v>0</v>
      </c>
      <c r="I706">
        <f>_xlfn.MAXIFS(TableRefills3[discountinuation_flag], TableRefills3[patient_id], A706)</f>
        <v>0</v>
      </c>
    </row>
    <row r="707" spans="1:9" x14ac:dyDescent="0.25">
      <c r="A707" t="s">
        <v>1140</v>
      </c>
      <c r="B707" t="s">
        <v>1141</v>
      </c>
      <c r="C707" s="3">
        <v>45900</v>
      </c>
      <c r="D707">
        <v>30</v>
      </c>
      <c r="E707" s="3">
        <f t="shared" si="11"/>
        <v>45870</v>
      </c>
      <c r="F707" s="3">
        <f>IF(TableRefills3[[#This Row],[prev_refill_days]]="","",TableRefills3[[#This Row],[prev_refill_days]]+TableRefills3[[#This Row],[quantity_days]])</f>
        <v>45900</v>
      </c>
      <c r="G707">
        <f>IF(TableRefills3[[#This Row],[prev_refill_end]]="","",TableRefills3[[#This Row],[refill_date]]-TableRefills3[[#This Row],[prev_refill_end]])</f>
        <v>0</v>
      </c>
      <c r="H707" s="10">
        <f>IF(TableRefills3[[#This Row],[gap_days]]="",0,IF(TableRefills3[[#This Row],[gap_days]]&gt;2,1,0))</f>
        <v>0</v>
      </c>
      <c r="I707">
        <f>_xlfn.MAXIFS(TableRefills3[discountinuation_flag], TableRefills3[patient_id], A707)</f>
        <v>0</v>
      </c>
    </row>
    <row r="708" spans="1:9" x14ac:dyDescent="0.25">
      <c r="A708" t="s">
        <v>1140</v>
      </c>
      <c r="B708" t="s">
        <v>1141</v>
      </c>
      <c r="C708" s="3">
        <v>45927</v>
      </c>
      <c r="D708">
        <v>30</v>
      </c>
      <c r="E708" s="3">
        <f t="shared" si="11"/>
        <v>45900</v>
      </c>
      <c r="F708" s="3">
        <f>IF(TableRefills3[[#This Row],[prev_refill_days]]="","",TableRefills3[[#This Row],[prev_refill_days]]+TableRefills3[[#This Row],[quantity_days]])</f>
        <v>45930</v>
      </c>
      <c r="G708">
        <f>IF(TableRefills3[[#This Row],[prev_refill_end]]="","",TableRefills3[[#This Row],[refill_date]]-TableRefills3[[#This Row],[prev_refill_end]])</f>
        <v>-3</v>
      </c>
      <c r="H708" s="10">
        <f>IF(TableRefills3[[#This Row],[gap_days]]="",0,IF(TableRefills3[[#This Row],[gap_days]]&gt;2,1,0))</f>
        <v>0</v>
      </c>
      <c r="I708">
        <f>_xlfn.MAXIFS(TableRefills3[discountinuation_flag], TableRefills3[patient_id], A708)</f>
        <v>0</v>
      </c>
    </row>
    <row r="709" spans="1:9" x14ac:dyDescent="0.25">
      <c r="A709" t="s">
        <v>1140</v>
      </c>
      <c r="B709" t="s">
        <v>1141</v>
      </c>
      <c r="C709" s="3">
        <v>45958</v>
      </c>
      <c r="D709">
        <v>30</v>
      </c>
      <c r="E709" s="3">
        <f t="shared" si="11"/>
        <v>45927</v>
      </c>
      <c r="F709" s="3">
        <f>IF(TableRefills3[[#This Row],[prev_refill_days]]="","",TableRefills3[[#This Row],[prev_refill_days]]+TableRefills3[[#This Row],[quantity_days]])</f>
        <v>45957</v>
      </c>
      <c r="G709">
        <f>IF(TableRefills3[[#This Row],[prev_refill_end]]="","",TableRefills3[[#This Row],[refill_date]]-TableRefills3[[#This Row],[prev_refill_end]])</f>
        <v>1</v>
      </c>
      <c r="H709" s="10">
        <f>IF(TableRefills3[[#This Row],[gap_days]]="",0,IF(TableRefills3[[#This Row],[gap_days]]&gt;2,1,0))</f>
        <v>0</v>
      </c>
      <c r="I709">
        <f>_xlfn.MAXIFS(TableRefills3[discountinuation_flag], TableRefills3[patient_id], A709)</f>
        <v>0</v>
      </c>
    </row>
    <row r="710" spans="1:9" x14ac:dyDescent="0.25">
      <c r="A710" t="s">
        <v>1149</v>
      </c>
      <c r="B710" t="s">
        <v>1150</v>
      </c>
      <c r="C710" s="3">
        <v>45789</v>
      </c>
      <c r="D710">
        <v>30</v>
      </c>
      <c r="E710" s="3" t="str">
        <f t="shared" si="11"/>
        <v/>
      </c>
      <c r="F710" s="3" t="str">
        <f>IF(TableRefills3[[#This Row],[prev_refill_days]]="","",TableRefills3[[#This Row],[prev_refill_days]]+TableRefills3[[#This Row],[quantity_days]])</f>
        <v/>
      </c>
      <c r="G710" t="str">
        <f>IF(TableRefills3[[#This Row],[prev_refill_end]]="","",TableRefills3[[#This Row],[refill_date]]-TableRefills3[[#This Row],[prev_refill_end]])</f>
        <v/>
      </c>
      <c r="H710" s="10">
        <f>IF(TableRefills3[[#This Row],[gap_days]]="",0,IF(TableRefills3[[#This Row],[gap_days]]&gt;2,1,0))</f>
        <v>0</v>
      </c>
      <c r="I710">
        <f>_xlfn.MAXIFS(TableRefills3[discountinuation_flag], TableRefills3[patient_id], A710)</f>
        <v>0</v>
      </c>
    </row>
    <row r="711" spans="1:9" x14ac:dyDescent="0.25">
      <c r="A711" t="s">
        <v>1152</v>
      </c>
      <c r="B711" t="s">
        <v>1153</v>
      </c>
      <c r="C711" s="3">
        <v>45925</v>
      </c>
      <c r="D711">
        <v>28</v>
      </c>
      <c r="E711" s="3" t="str">
        <f t="shared" si="11"/>
        <v/>
      </c>
      <c r="F711" s="3" t="str">
        <f>IF(TableRefills3[[#This Row],[prev_refill_days]]="","",TableRefills3[[#This Row],[prev_refill_days]]+TableRefills3[[#This Row],[quantity_days]])</f>
        <v/>
      </c>
      <c r="G711" t="str">
        <f>IF(TableRefills3[[#This Row],[prev_refill_end]]="","",TableRefills3[[#This Row],[refill_date]]-TableRefills3[[#This Row],[prev_refill_end]])</f>
        <v/>
      </c>
      <c r="H711" s="10">
        <f>IF(TableRefills3[[#This Row],[gap_days]]="",0,IF(TableRefills3[[#This Row],[gap_days]]&gt;2,1,0))</f>
        <v>0</v>
      </c>
      <c r="I711">
        <f>_xlfn.MAXIFS(TableRefills3[discountinuation_flag], TableRefills3[patient_id], A711)</f>
        <v>0</v>
      </c>
    </row>
    <row r="712" spans="1:9" x14ac:dyDescent="0.25">
      <c r="A712" t="s">
        <v>1152</v>
      </c>
      <c r="B712" t="s">
        <v>1153</v>
      </c>
      <c r="C712" s="3">
        <v>45952</v>
      </c>
      <c r="D712">
        <v>28</v>
      </c>
      <c r="E712" s="3">
        <f t="shared" si="11"/>
        <v>45925</v>
      </c>
      <c r="F712" s="3">
        <f>IF(TableRefills3[[#This Row],[prev_refill_days]]="","",TableRefills3[[#This Row],[prev_refill_days]]+TableRefills3[[#This Row],[quantity_days]])</f>
        <v>45953</v>
      </c>
      <c r="G712">
        <f>IF(TableRefills3[[#This Row],[prev_refill_end]]="","",TableRefills3[[#This Row],[refill_date]]-TableRefills3[[#This Row],[prev_refill_end]])</f>
        <v>-1</v>
      </c>
      <c r="H712" s="10">
        <f>IF(TableRefills3[[#This Row],[gap_days]]="",0,IF(TableRefills3[[#This Row],[gap_days]]&gt;2,1,0))</f>
        <v>0</v>
      </c>
      <c r="I712">
        <f>_xlfn.MAXIFS(TableRefills3[discountinuation_flag], TableRefills3[patient_id], A712)</f>
        <v>0</v>
      </c>
    </row>
    <row r="713" spans="1:9" x14ac:dyDescent="0.25">
      <c r="A713" t="s">
        <v>1156</v>
      </c>
      <c r="B713" t="s">
        <v>1157</v>
      </c>
      <c r="C713" s="3">
        <v>45944</v>
      </c>
      <c r="D713">
        <v>28</v>
      </c>
      <c r="E713" s="3" t="str">
        <f t="shared" si="11"/>
        <v/>
      </c>
      <c r="F713" s="3" t="str">
        <f>IF(TableRefills3[[#This Row],[prev_refill_days]]="","",TableRefills3[[#This Row],[prev_refill_days]]+TableRefills3[[#This Row],[quantity_days]])</f>
        <v/>
      </c>
      <c r="G713" t="str">
        <f>IF(TableRefills3[[#This Row],[prev_refill_end]]="","",TableRefills3[[#This Row],[refill_date]]-TableRefills3[[#This Row],[prev_refill_end]])</f>
        <v/>
      </c>
      <c r="H713" s="10">
        <f>IF(TableRefills3[[#This Row],[gap_days]]="",0,IF(TableRefills3[[#This Row],[gap_days]]&gt;2,1,0))</f>
        <v>0</v>
      </c>
      <c r="I713">
        <f>_xlfn.MAXIFS(TableRefills3[discountinuation_flag], TableRefills3[patient_id], A713)</f>
        <v>0</v>
      </c>
    </row>
    <row r="714" spans="1:9" x14ac:dyDescent="0.25">
      <c r="A714" t="s">
        <v>1159</v>
      </c>
      <c r="B714" t="s">
        <v>1160</v>
      </c>
      <c r="C714" s="3">
        <v>45924</v>
      </c>
      <c r="D714">
        <v>21</v>
      </c>
      <c r="E714" s="3" t="str">
        <f t="shared" si="11"/>
        <v/>
      </c>
      <c r="F714" s="3" t="str">
        <f>IF(TableRefills3[[#This Row],[prev_refill_days]]="","",TableRefills3[[#This Row],[prev_refill_days]]+TableRefills3[[#This Row],[quantity_days]])</f>
        <v/>
      </c>
      <c r="G714" t="str">
        <f>IF(TableRefills3[[#This Row],[prev_refill_end]]="","",TableRefills3[[#This Row],[refill_date]]-TableRefills3[[#This Row],[prev_refill_end]])</f>
        <v/>
      </c>
      <c r="H714" s="10">
        <f>IF(TableRefills3[[#This Row],[gap_days]]="",0,IF(TableRefills3[[#This Row],[gap_days]]&gt;2,1,0))</f>
        <v>0</v>
      </c>
      <c r="I714">
        <f>_xlfn.MAXIFS(TableRefills3[discountinuation_flag], TableRefills3[patient_id], A714)</f>
        <v>0</v>
      </c>
    </row>
    <row r="715" spans="1:9" x14ac:dyDescent="0.25">
      <c r="A715" t="s">
        <v>1159</v>
      </c>
      <c r="B715" t="s">
        <v>1160</v>
      </c>
      <c r="C715" s="3">
        <v>45945</v>
      </c>
      <c r="D715">
        <v>21</v>
      </c>
      <c r="E715" s="3">
        <f t="shared" si="11"/>
        <v>45924</v>
      </c>
      <c r="F715" s="3">
        <f>IF(TableRefills3[[#This Row],[prev_refill_days]]="","",TableRefills3[[#This Row],[prev_refill_days]]+TableRefills3[[#This Row],[quantity_days]])</f>
        <v>45945</v>
      </c>
      <c r="G715">
        <f>IF(TableRefills3[[#This Row],[prev_refill_end]]="","",TableRefills3[[#This Row],[refill_date]]-TableRefills3[[#This Row],[prev_refill_end]])</f>
        <v>0</v>
      </c>
      <c r="H715" s="10">
        <f>IF(TableRefills3[[#This Row],[gap_days]]="",0,IF(TableRefills3[[#This Row],[gap_days]]&gt;2,1,0))</f>
        <v>0</v>
      </c>
      <c r="I715">
        <f>_xlfn.MAXIFS(TableRefills3[discountinuation_flag], TableRefills3[patient_id], A715)</f>
        <v>0</v>
      </c>
    </row>
    <row r="716" spans="1:9" x14ac:dyDescent="0.25">
      <c r="A716" t="s">
        <v>1163</v>
      </c>
      <c r="B716" t="s">
        <v>1164</v>
      </c>
      <c r="C716" s="3">
        <v>45936</v>
      </c>
      <c r="D716">
        <v>30</v>
      </c>
      <c r="E716" s="3" t="str">
        <f t="shared" si="11"/>
        <v/>
      </c>
      <c r="F716" s="3" t="str">
        <f>IF(TableRefills3[[#This Row],[prev_refill_days]]="","",TableRefills3[[#This Row],[prev_refill_days]]+TableRefills3[[#This Row],[quantity_days]])</f>
        <v/>
      </c>
      <c r="G716" t="str">
        <f>IF(TableRefills3[[#This Row],[prev_refill_end]]="","",TableRefills3[[#This Row],[refill_date]]-TableRefills3[[#This Row],[prev_refill_end]])</f>
        <v/>
      </c>
      <c r="H716" s="10">
        <f>IF(TableRefills3[[#This Row],[gap_days]]="",0,IF(TableRefills3[[#This Row],[gap_days]]&gt;2,1,0))</f>
        <v>0</v>
      </c>
      <c r="I716">
        <f>_xlfn.MAXIFS(TableRefills3[discountinuation_flag], TableRefills3[patient_id], A716)</f>
        <v>0</v>
      </c>
    </row>
    <row r="717" spans="1:9" x14ac:dyDescent="0.25">
      <c r="A717" t="s">
        <v>1166</v>
      </c>
      <c r="B717" t="s">
        <v>1167</v>
      </c>
      <c r="C717" s="3">
        <v>45785</v>
      </c>
      <c r="D717">
        <v>56</v>
      </c>
      <c r="E717" s="3" t="str">
        <f t="shared" si="11"/>
        <v/>
      </c>
      <c r="F717" s="3" t="str">
        <f>IF(TableRefills3[[#This Row],[prev_refill_days]]="","",TableRefills3[[#This Row],[prev_refill_days]]+TableRefills3[[#This Row],[quantity_days]])</f>
        <v/>
      </c>
      <c r="G717" t="str">
        <f>IF(TableRefills3[[#This Row],[prev_refill_end]]="","",TableRefills3[[#This Row],[refill_date]]-TableRefills3[[#This Row],[prev_refill_end]])</f>
        <v/>
      </c>
      <c r="H717" s="10">
        <f>IF(TableRefills3[[#This Row],[gap_days]]="",0,IF(TableRefills3[[#This Row],[gap_days]]&gt;2,1,0))</f>
        <v>0</v>
      </c>
      <c r="I717">
        <f>_xlfn.MAXIFS(TableRefills3[discountinuation_flag], TableRefills3[patient_id], A717)</f>
        <v>1</v>
      </c>
    </row>
    <row r="718" spans="1:9" x14ac:dyDescent="0.25">
      <c r="A718" t="s">
        <v>1166</v>
      </c>
      <c r="B718" t="s">
        <v>1167</v>
      </c>
      <c r="C718" s="3">
        <v>45838</v>
      </c>
      <c r="D718">
        <v>56</v>
      </c>
      <c r="E718" s="3">
        <f t="shared" si="11"/>
        <v>45785</v>
      </c>
      <c r="F718" s="3">
        <f>IF(TableRefills3[[#This Row],[prev_refill_days]]="","",TableRefills3[[#This Row],[prev_refill_days]]+TableRefills3[[#This Row],[quantity_days]])</f>
        <v>45841</v>
      </c>
      <c r="G718">
        <f>IF(TableRefills3[[#This Row],[prev_refill_end]]="","",TableRefills3[[#This Row],[refill_date]]-TableRefills3[[#This Row],[prev_refill_end]])</f>
        <v>-3</v>
      </c>
      <c r="H718" s="10">
        <f>IF(TableRefills3[[#This Row],[gap_days]]="",0,IF(TableRefills3[[#This Row],[gap_days]]&gt;2,1,0))</f>
        <v>0</v>
      </c>
      <c r="I718">
        <f>_xlfn.MAXIFS(TableRefills3[discountinuation_flag], TableRefills3[patient_id], A718)</f>
        <v>1</v>
      </c>
    </row>
    <row r="719" spans="1:9" x14ac:dyDescent="0.25">
      <c r="A719" t="s">
        <v>1166</v>
      </c>
      <c r="B719" t="s">
        <v>1167</v>
      </c>
      <c r="C719" s="3">
        <v>45893</v>
      </c>
      <c r="D719">
        <v>56</v>
      </c>
      <c r="E719" s="3">
        <f t="shared" si="11"/>
        <v>45838</v>
      </c>
      <c r="F719" s="3">
        <f>IF(TableRefills3[[#This Row],[prev_refill_days]]="","",TableRefills3[[#This Row],[prev_refill_days]]+TableRefills3[[#This Row],[quantity_days]])</f>
        <v>45894</v>
      </c>
      <c r="G719">
        <f>IF(TableRefills3[[#This Row],[prev_refill_end]]="","",TableRefills3[[#This Row],[refill_date]]-TableRefills3[[#This Row],[prev_refill_end]])</f>
        <v>-1</v>
      </c>
      <c r="H719" s="10">
        <f>IF(TableRefills3[[#This Row],[gap_days]]="",0,IF(TableRefills3[[#This Row],[gap_days]]&gt;2,1,0))</f>
        <v>0</v>
      </c>
      <c r="I719">
        <f>_xlfn.MAXIFS(TableRefills3[discountinuation_flag], TableRefills3[patient_id], A719)</f>
        <v>1</v>
      </c>
    </row>
    <row r="720" spans="1:9" x14ac:dyDescent="0.25">
      <c r="A720" t="s">
        <v>1166</v>
      </c>
      <c r="B720" t="s">
        <v>1167</v>
      </c>
      <c r="C720" s="3">
        <v>45952</v>
      </c>
      <c r="D720">
        <v>56</v>
      </c>
      <c r="E720" s="3">
        <f t="shared" si="11"/>
        <v>45893</v>
      </c>
      <c r="F720" s="3">
        <f>IF(TableRefills3[[#This Row],[prev_refill_days]]="","",TableRefills3[[#This Row],[prev_refill_days]]+TableRefills3[[#This Row],[quantity_days]])</f>
        <v>45949</v>
      </c>
      <c r="G720">
        <f>IF(TableRefills3[[#This Row],[prev_refill_end]]="","",TableRefills3[[#This Row],[refill_date]]-TableRefills3[[#This Row],[prev_refill_end]])</f>
        <v>3</v>
      </c>
      <c r="H720" s="10">
        <f>IF(TableRefills3[[#This Row],[gap_days]]="",0,IF(TableRefills3[[#This Row],[gap_days]]&gt;2,1,0))</f>
        <v>1</v>
      </c>
      <c r="I720">
        <f>_xlfn.MAXIFS(TableRefills3[discountinuation_flag], TableRefills3[patient_id], A720)</f>
        <v>1</v>
      </c>
    </row>
    <row r="721" spans="1:9" x14ac:dyDescent="0.25">
      <c r="A721" t="s">
        <v>1172</v>
      </c>
      <c r="B721" t="s">
        <v>1173</v>
      </c>
      <c r="C721" s="3">
        <v>45938</v>
      </c>
      <c r="D721">
        <v>21</v>
      </c>
      <c r="E721" s="3" t="str">
        <f t="shared" si="11"/>
        <v/>
      </c>
      <c r="F721" s="3" t="str">
        <f>IF(TableRefills3[[#This Row],[prev_refill_days]]="","",TableRefills3[[#This Row],[prev_refill_days]]+TableRefills3[[#This Row],[quantity_days]])</f>
        <v/>
      </c>
      <c r="G721" t="str">
        <f>IF(TableRefills3[[#This Row],[prev_refill_end]]="","",TableRefills3[[#This Row],[refill_date]]-TableRefills3[[#This Row],[prev_refill_end]])</f>
        <v/>
      </c>
      <c r="H721" s="10">
        <f>IF(TableRefills3[[#This Row],[gap_days]]="",0,IF(TableRefills3[[#This Row],[gap_days]]&gt;2,1,0))</f>
        <v>0</v>
      </c>
      <c r="I721">
        <f>_xlfn.MAXIFS(TableRefills3[discountinuation_flag], TableRefills3[patient_id], A721)</f>
        <v>0</v>
      </c>
    </row>
    <row r="722" spans="1:9" x14ac:dyDescent="0.25">
      <c r="A722" t="s">
        <v>1172</v>
      </c>
      <c r="B722" t="s">
        <v>1173</v>
      </c>
      <c r="C722" s="3">
        <v>45961</v>
      </c>
      <c r="D722">
        <v>21</v>
      </c>
      <c r="E722" s="3">
        <f t="shared" si="11"/>
        <v>45938</v>
      </c>
      <c r="F722" s="3">
        <f>IF(TableRefills3[[#This Row],[prev_refill_days]]="","",TableRefills3[[#This Row],[prev_refill_days]]+TableRefills3[[#This Row],[quantity_days]])</f>
        <v>45959</v>
      </c>
      <c r="G722">
        <f>IF(TableRefills3[[#This Row],[prev_refill_end]]="","",TableRefills3[[#This Row],[refill_date]]-TableRefills3[[#This Row],[prev_refill_end]])</f>
        <v>2</v>
      </c>
      <c r="H722" s="10">
        <f>IF(TableRefills3[[#This Row],[gap_days]]="",0,IF(TableRefills3[[#This Row],[gap_days]]&gt;2,1,0))</f>
        <v>0</v>
      </c>
      <c r="I722">
        <f>_xlfn.MAXIFS(TableRefills3[discountinuation_flag], TableRefills3[patient_id], A722)</f>
        <v>0</v>
      </c>
    </row>
    <row r="723" spans="1:9" x14ac:dyDescent="0.25">
      <c r="A723" t="s">
        <v>1176</v>
      </c>
      <c r="B723" t="s">
        <v>1177</v>
      </c>
      <c r="C723" s="3">
        <v>45852</v>
      </c>
      <c r="D723">
        <v>28</v>
      </c>
      <c r="E723" s="3" t="str">
        <f t="shared" si="11"/>
        <v/>
      </c>
      <c r="F723" s="3" t="str">
        <f>IF(TableRefills3[[#This Row],[prev_refill_days]]="","",TableRefills3[[#This Row],[prev_refill_days]]+TableRefills3[[#This Row],[quantity_days]])</f>
        <v/>
      </c>
      <c r="G723" t="str">
        <f>IF(TableRefills3[[#This Row],[prev_refill_end]]="","",TableRefills3[[#This Row],[refill_date]]-TableRefills3[[#This Row],[prev_refill_end]])</f>
        <v/>
      </c>
      <c r="H723" s="10">
        <f>IF(TableRefills3[[#This Row],[gap_days]]="",0,IF(TableRefills3[[#This Row],[gap_days]]&gt;2,1,0))</f>
        <v>0</v>
      </c>
      <c r="I723">
        <f>_xlfn.MAXIFS(TableRefills3[discountinuation_flag], TableRefills3[patient_id], A723)</f>
        <v>1</v>
      </c>
    </row>
    <row r="724" spans="1:9" x14ac:dyDescent="0.25">
      <c r="A724" t="s">
        <v>1176</v>
      </c>
      <c r="B724" t="s">
        <v>1177</v>
      </c>
      <c r="C724" s="3">
        <v>45883</v>
      </c>
      <c r="D724">
        <v>28</v>
      </c>
      <c r="E724" s="3">
        <f t="shared" si="11"/>
        <v>45852</v>
      </c>
      <c r="F724" s="3">
        <f>IF(TableRefills3[[#This Row],[prev_refill_days]]="","",TableRefills3[[#This Row],[prev_refill_days]]+TableRefills3[[#This Row],[quantity_days]])</f>
        <v>45880</v>
      </c>
      <c r="G724">
        <f>IF(TableRefills3[[#This Row],[prev_refill_end]]="","",TableRefills3[[#This Row],[refill_date]]-TableRefills3[[#This Row],[prev_refill_end]])</f>
        <v>3</v>
      </c>
      <c r="H724" s="10">
        <f>IF(TableRefills3[[#This Row],[gap_days]]="",0,IF(TableRefills3[[#This Row],[gap_days]]&gt;2,1,0))</f>
        <v>1</v>
      </c>
      <c r="I724">
        <f>_xlfn.MAXIFS(TableRefills3[discountinuation_flag], TableRefills3[patient_id], A724)</f>
        <v>1</v>
      </c>
    </row>
    <row r="725" spans="1:9" x14ac:dyDescent="0.25">
      <c r="A725" t="s">
        <v>1176</v>
      </c>
      <c r="B725" t="s">
        <v>1177</v>
      </c>
      <c r="C725" s="3">
        <v>45908</v>
      </c>
      <c r="D725">
        <v>28</v>
      </c>
      <c r="E725" s="3">
        <f t="shared" si="11"/>
        <v>45883</v>
      </c>
      <c r="F725" s="3">
        <f>IF(TableRefills3[[#This Row],[prev_refill_days]]="","",TableRefills3[[#This Row],[prev_refill_days]]+TableRefills3[[#This Row],[quantity_days]])</f>
        <v>45911</v>
      </c>
      <c r="G725">
        <f>IF(TableRefills3[[#This Row],[prev_refill_end]]="","",TableRefills3[[#This Row],[refill_date]]-TableRefills3[[#This Row],[prev_refill_end]])</f>
        <v>-3</v>
      </c>
      <c r="H725" s="10">
        <f>IF(TableRefills3[[#This Row],[gap_days]]="",0,IF(TableRefills3[[#This Row],[gap_days]]&gt;2,1,0))</f>
        <v>0</v>
      </c>
      <c r="I725">
        <f>_xlfn.MAXIFS(TableRefills3[discountinuation_flag], TableRefills3[patient_id], A725)</f>
        <v>1</v>
      </c>
    </row>
    <row r="726" spans="1:9" x14ac:dyDescent="0.25">
      <c r="A726" t="s">
        <v>1176</v>
      </c>
      <c r="B726" t="s">
        <v>1177</v>
      </c>
      <c r="C726" s="3">
        <v>45939</v>
      </c>
      <c r="D726">
        <v>28</v>
      </c>
      <c r="E726" s="3">
        <f t="shared" si="11"/>
        <v>45908</v>
      </c>
      <c r="F726" s="3">
        <f>IF(TableRefills3[[#This Row],[prev_refill_days]]="","",TableRefills3[[#This Row],[prev_refill_days]]+TableRefills3[[#This Row],[quantity_days]])</f>
        <v>45936</v>
      </c>
      <c r="G726">
        <f>IF(TableRefills3[[#This Row],[prev_refill_end]]="","",TableRefills3[[#This Row],[refill_date]]-TableRefills3[[#This Row],[prev_refill_end]])</f>
        <v>3</v>
      </c>
      <c r="H726" s="10">
        <f>IF(TableRefills3[[#This Row],[gap_days]]="",0,IF(TableRefills3[[#This Row],[gap_days]]&gt;2,1,0))</f>
        <v>1</v>
      </c>
      <c r="I726">
        <f>_xlfn.MAXIFS(TableRefills3[discountinuation_flag], TableRefills3[patient_id], A726)</f>
        <v>1</v>
      </c>
    </row>
    <row r="727" spans="1:9" x14ac:dyDescent="0.25">
      <c r="A727" t="s">
        <v>1182</v>
      </c>
      <c r="B727" t="s">
        <v>1183</v>
      </c>
      <c r="C727" s="3">
        <v>45855</v>
      </c>
      <c r="D727">
        <v>28</v>
      </c>
      <c r="E727" s="3" t="str">
        <f t="shared" si="11"/>
        <v/>
      </c>
      <c r="F727" s="3" t="str">
        <f>IF(TableRefills3[[#This Row],[prev_refill_days]]="","",TableRefills3[[#This Row],[prev_refill_days]]+TableRefills3[[#This Row],[quantity_days]])</f>
        <v/>
      </c>
      <c r="G727" t="str">
        <f>IF(TableRefills3[[#This Row],[prev_refill_end]]="","",TableRefills3[[#This Row],[refill_date]]-TableRefills3[[#This Row],[prev_refill_end]])</f>
        <v/>
      </c>
      <c r="H727" s="10">
        <f>IF(TableRefills3[[#This Row],[gap_days]]="",0,IF(TableRefills3[[#This Row],[gap_days]]&gt;2,1,0))</f>
        <v>0</v>
      </c>
      <c r="I727">
        <f>_xlfn.MAXIFS(TableRefills3[discountinuation_flag], TableRefills3[patient_id], A727)</f>
        <v>0</v>
      </c>
    </row>
    <row r="728" spans="1:9" x14ac:dyDescent="0.25">
      <c r="A728" t="s">
        <v>1182</v>
      </c>
      <c r="B728" t="s">
        <v>1183</v>
      </c>
      <c r="C728" s="3">
        <v>45881</v>
      </c>
      <c r="D728">
        <v>28</v>
      </c>
      <c r="E728" s="3">
        <f t="shared" si="11"/>
        <v>45855</v>
      </c>
      <c r="F728" s="3">
        <f>IF(TableRefills3[[#This Row],[prev_refill_days]]="","",TableRefills3[[#This Row],[prev_refill_days]]+TableRefills3[[#This Row],[quantity_days]])</f>
        <v>45883</v>
      </c>
      <c r="G728">
        <f>IF(TableRefills3[[#This Row],[prev_refill_end]]="","",TableRefills3[[#This Row],[refill_date]]-TableRefills3[[#This Row],[prev_refill_end]])</f>
        <v>-2</v>
      </c>
      <c r="H728" s="10">
        <f>IF(TableRefills3[[#This Row],[gap_days]]="",0,IF(TableRefills3[[#This Row],[gap_days]]&gt;2,1,0))</f>
        <v>0</v>
      </c>
      <c r="I728">
        <f>_xlfn.MAXIFS(TableRefills3[discountinuation_flag], TableRefills3[patient_id], A728)</f>
        <v>0</v>
      </c>
    </row>
    <row r="729" spans="1:9" x14ac:dyDescent="0.25">
      <c r="A729" t="s">
        <v>1182</v>
      </c>
      <c r="B729" t="s">
        <v>1183</v>
      </c>
      <c r="C729" s="3">
        <v>45908</v>
      </c>
      <c r="D729">
        <v>28</v>
      </c>
      <c r="E729" s="3">
        <f t="shared" si="11"/>
        <v>45881</v>
      </c>
      <c r="F729" s="3">
        <f>IF(TableRefills3[[#This Row],[prev_refill_days]]="","",TableRefills3[[#This Row],[prev_refill_days]]+TableRefills3[[#This Row],[quantity_days]])</f>
        <v>45909</v>
      </c>
      <c r="G729">
        <f>IF(TableRefills3[[#This Row],[prev_refill_end]]="","",TableRefills3[[#This Row],[refill_date]]-TableRefills3[[#This Row],[prev_refill_end]])</f>
        <v>-1</v>
      </c>
      <c r="H729" s="10">
        <f>IF(TableRefills3[[#This Row],[gap_days]]="",0,IF(TableRefills3[[#This Row],[gap_days]]&gt;2,1,0))</f>
        <v>0</v>
      </c>
      <c r="I729">
        <f>_xlfn.MAXIFS(TableRefills3[discountinuation_flag], TableRefills3[patient_id], A729)</f>
        <v>0</v>
      </c>
    </row>
    <row r="730" spans="1:9" x14ac:dyDescent="0.25">
      <c r="A730" t="s">
        <v>1182</v>
      </c>
      <c r="B730" t="s">
        <v>1183</v>
      </c>
      <c r="C730" s="3">
        <v>45936</v>
      </c>
      <c r="D730">
        <v>28</v>
      </c>
      <c r="E730" s="3">
        <f t="shared" si="11"/>
        <v>45908</v>
      </c>
      <c r="F730" s="3">
        <f>IF(TableRefills3[[#This Row],[prev_refill_days]]="","",TableRefills3[[#This Row],[prev_refill_days]]+TableRefills3[[#This Row],[quantity_days]])</f>
        <v>45936</v>
      </c>
      <c r="G730">
        <f>IF(TableRefills3[[#This Row],[prev_refill_end]]="","",TableRefills3[[#This Row],[refill_date]]-TableRefills3[[#This Row],[prev_refill_end]])</f>
        <v>0</v>
      </c>
      <c r="H730" s="10">
        <f>IF(TableRefills3[[#This Row],[gap_days]]="",0,IF(TableRefills3[[#This Row],[gap_days]]&gt;2,1,0))</f>
        <v>0</v>
      </c>
      <c r="I730">
        <f>_xlfn.MAXIFS(TableRefills3[discountinuation_flag], TableRefills3[patient_id], A730)</f>
        <v>0</v>
      </c>
    </row>
    <row r="731" spans="1:9" x14ac:dyDescent="0.25">
      <c r="A731" t="s">
        <v>1188</v>
      </c>
      <c r="B731" t="s">
        <v>1189</v>
      </c>
      <c r="C731" s="3">
        <v>45840</v>
      </c>
      <c r="D731">
        <v>28</v>
      </c>
      <c r="E731" s="3" t="str">
        <f t="shared" si="11"/>
        <v/>
      </c>
      <c r="F731" s="3" t="str">
        <f>IF(TableRefills3[[#This Row],[prev_refill_days]]="","",TableRefills3[[#This Row],[prev_refill_days]]+TableRefills3[[#This Row],[quantity_days]])</f>
        <v/>
      </c>
      <c r="G731" t="str">
        <f>IF(TableRefills3[[#This Row],[prev_refill_end]]="","",TableRefills3[[#This Row],[refill_date]]-TableRefills3[[#This Row],[prev_refill_end]])</f>
        <v/>
      </c>
      <c r="H731" s="10">
        <f>IF(TableRefills3[[#This Row],[gap_days]]="",0,IF(TableRefills3[[#This Row],[gap_days]]&gt;2,1,0))</f>
        <v>0</v>
      </c>
      <c r="I731">
        <f>_xlfn.MAXIFS(TableRefills3[discountinuation_flag], TableRefills3[patient_id], A731)</f>
        <v>0</v>
      </c>
    </row>
    <row r="732" spans="1:9" x14ac:dyDescent="0.25">
      <c r="A732" t="s">
        <v>1188</v>
      </c>
      <c r="B732" t="s">
        <v>1189</v>
      </c>
      <c r="C732" s="3">
        <v>45870</v>
      </c>
      <c r="D732">
        <v>28</v>
      </c>
      <c r="E732" s="3">
        <f t="shared" si="11"/>
        <v>45840</v>
      </c>
      <c r="F732" s="3">
        <f>IF(TableRefills3[[#This Row],[prev_refill_days]]="","",TableRefills3[[#This Row],[prev_refill_days]]+TableRefills3[[#This Row],[quantity_days]])</f>
        <v>45868</v>
      </c>
      <c r="G732">
        <f>IF(TableRefills3[[#This Row],[prev_refill_end]]="","",TableRefills3[[#This Row],[refill_date]]-TableRefills3[[#This Row],[prev_refill_end]])</f>
        <v>2</v>
      </c>
      <c r="H732" s="10">
        <f>IF(TableRefills3[[#This Row],[gap_days]]="",0,IF(TableRefills3[[#This Row],[gap_days]]&gt;2,1,0))</f>
        <v>0</v>
      </c>
      <c r="I732">
        <f>_xlfn.MAXIFS(TableRefills3[discountinuation_flag], TableRefills3[patient_id], A732)</f>
        <v>0</v>
      </c>
    </row>
    <row r="733" spans="1:9" x14ac:dyDescent="0.25">
      <c r="A733" t="s">
        <v>1188</v>
      </c>
      <c r="B733" t="s">
        <v>1189</v>
      </c>
      <c r="C733" s="3">
        <v>45897</v>
      </c>
      <c r="D733">
        <v>28</v>
      </c>
      <c r="E733" s="3">
        <f t="shared" si="11"/>
        <v>45870</v>
      </c>
      <c r="F733" s="3">
        <f>IF(TableRefills3[[#This Row],[prev_refill_days]]="","",TableRefills3[[#This Row],[prev_refill_days]]+TableRefills3[[#This Row],[quantity_days]])</f>
        <v>45898</v>
      </c>
      <c r="G733">
        <f>IF(TableRefills3[[#This Row],[prev_refill_end]]="","",TableRefills3[[#This Row],[refill_date]]-TableRefills3[[#This Row],[prev_refill_end]])</f>
        <v>-1</v>
      </c>
      <c r="H733" s="10">
        <f>IF(TableRefills3[[#This Row],[gap_days]]="",0,IF(TableRefills3[[#This Row],[gap_days]]&gt;2,1,0))</f>
        <v>0</v>
      </c>
      <c r="I733">
        <f>_xlfn.MAXIFS(TableRefills3[discountinuation_flag], TableRefills3[patient_id], A733)</f>
        <v>0</v>
      </c>
    </row>
    <row r="734" spans="1:9" x14ac:dyDescent="0.25">
      <c r="A734" t="s">
        <v>1188</v>
      </c>
      <c r="B734" t="s">
        <v>1189</v>
      </c>
      <c r="C734" s="3">
        <v>45924</v>
      </c>
      <c r="D734">
        <v>28</v>
      </c>
      <c r="E734" s="3">
        <f t="shared" si="11"/>
        <v>45897</v>
      </c>
      <c r="F734" s="3">
        <f>IF(TableRefills3[[#This Row],[prev_refill_days]]="","",TableRefills3[[#This Row],[prev_refill_days]]+TableRefills3[[#This Row],[quantity_days]])</f>
        <v>45925</v>
      </c>
      <c r="G734">
        <f>IF(TableRefills3[[#This Row],[prev_refill_end]]="","",TableRefills3[[#This Row],[refill_date]]-TableRefills3[[#This Row],[prev_refill_end]])</f>
        <v>-1</v>
      </c>
      <c r="H734" s="10">
        <f>IF(TableRefills3[[#This Row],[gap_days]]="",0,IF(TableRefills3[[#This Row],[gap_days]]&gt;2,1,0))</f>
        <v>0</v>
      </c>
      <c r="I734">
        <f>_xlfn.MAXIFS(TableRefills3[discountinuation_flag], TableRefills3[patient_id], A734)</f>
        <v>0</v>
      </c>
    </row>
    <row r="735" spans="1:9" x14ac:dyDescent="0.25">
      <c r="A735" t="s">
        <v>1188</v>
      </c>
      <c r="B735" t="s">
        <v>1189</v>
      </c>
      <c r="C735" s="3">
        <v>45949</v>
      </c>
      <c r="D735">
        <v>28</v>
      </c>
      <c r="E735" s="3">
        <f t="shared" si="11"/>
        <v>45924</v>
      </c>
      <c r="F735" s="3">
        <f>IF(TableRefills3[[#This Row],[prev_refill_days]]="","",TableRefills3[[#This Row],[prev_refill_days]]+TableRefills3[[#This Row],[quantity_days]])</f>
        <v>45952</v>
      </c>
      <c r="G735">
        <f>IF(TableRefills3[[#This Row],[prev_refill_end]]="","",TableRefills3[[#This Row],[refill_date]]-TableRefills3[[#This Row],[prev_refill_end]])</f>
        <v>-3</v>
      </c>
      <c r="H735" s="10">
        <f>IF(TableRefills3[[#This Row],[gap_days]]="",0,IF(TableRefills3[[#This Row],[gap_days]]&gt;2,1,0))</f>
        <v>0</v>
      </c>
      <c r="I735">
        <f>_xlfn.MAXIFS(TableRefills3[discountinuation_flag], TableRefills3[patient_id], A735)</f>
        <v>0</v>
      </c>
    </row>
    <row r="736" spans="1:9" x14ac:dyDescent="0.25">
      <c r="A736" t="s">
        <v>1195</v>
      </c>
      <c r="B736" t="s">
        <v>1196</v>
      </c>
      <c r="C736" s="3">
        <v>45953</v>
      </c>
      <c r="D736">
        <v>21</v>
      </c>
      <c r="E736" s="3" t="str">
        <f t="shared" si="11"/>
        <v/>
      </c>
      <c r="F736" s="3" t="str">
        <f>IF(TableRefills3[[#This Row],[prev_refill_days]]="","",TableRefills3[[#This Row],[prev_refill_days]]+TableRefills3[[#This Row],[quantity_days]])</f>
        <v/>
      </c>
      <c r="G736" t="str">
        <f>IF(TableRefills3[[#This Row],[prev_refill_end]]="","",TableRefills3[[#This Row],[refill_date]]-TableRefills3[[#This Row],[prev_refill_end]])</f>
        <v/>
      </c>
      <c r="H736" s="10">
        <f>IF(TableRefills3[[#This Row],[gap_days]]="",0,IF(TableRefills3[[#This Row],[gap_days]]&gt;2,1,0))</f>
        <v>0</v>
      </c>
      <c r="I736">
        <f>_xlfn.MAXIFS(TableRefills3[discountinuation_flag], TableRefills3[patient_id], A736)</f>
        <v>0</v>
      </c>
    </row>
    <row r="737" spans="1:9" x14ac:dyDescent="0.25">
      <c r="A737" t="s">
        <v>1198</v>
      </c>
      <c r="B737" t="s">
        <v>1199</v>
      </c>
      <c r="C737" s="3">
        <v>45854</v>
      </c>
      <c r="D737">
        <v>28</v>
      </c>
      <c r="E737" s="3" t="str">
        <f t="shared" si="11"/>
        <v/>
      </c>
      <c r="F737" s="3" t="str">
        <f>IF(TableRefills3[[#This Row],[prev_refill_days]]="","",TableRefills3[[#This Row],[prev_refill_days]]+TableRefills3[[#This Row],[quantity_days]])</f>
        <v/>
      </c>
      <c r="G737" t="str">
        <f>IF(TableRefills3[[#This Row],[prev_refill_end]]="","",TableRefills3[[#This Row],[refill_date]]-TableRefills3[[#This Row],[prev_refill_end]])</f>
        <v/>
      </c>
      <c r="H737" s="10">
        <f>IF(TableRefills3[[#This Row],[gap_days]]="",0,IF(TableRefills3[[#This Row],[gap_days]]&gt;2,1,0))</f>
        <v>0</v>
      </c>
      <c r="I737">
        <f>_xlfn.MAXIFS(TableRefills3[discountinuation_flag], TableRefills3[patient_id], A737)</f>
        <v>1</v>
      </c>
    </row>
    <row r="738" spans="1:9" x14ac:dyDescent="0.25">
      <c r="A738" t="s">
        <v>1198</v>
      </c>
      <c r="B738" t="s">
        <v>1199</v>
      </c>
      <c r="C738" s="3">
        <v>45882</v>
      </c>
      <c r="D738">
        <v>28</v>
      </c>
      <c r="E738" s="3">
        <f t="shared" si="11"/>
        <v>45854</v>
      </c>
      <c r="F738" s="3">
        <f>IF(TableRefills3[[#This Row],[prev_refill_days]]="","",TableRefills3[[#This Row],[prev_refill_days]]+TableRefills3[[#This Row],[quantity_days]])</f>
        <v>45882</v>
      </c>
      <c r="G738">
        <f>IF(TableRefills3[[#This Row],[prev_refill_end]]="","",TableRefills3[[#This Row],[refill_date]]-TableRefills3[[#This Row],[prev_refill_end]])</f>
        <v>0</v>
      </c>
      <c r="H738" s="10">
        <f>IF(TableRefills3[[#This Row],[gap_days]]="",0,IF(TableRefills3[[#This Row],[gap_days]]&gt;2,1,0))</f>
        <v>0</v>
      </c>
      <c r="I738">
        <f>_xlfn.MAXIFS(TableRefills3[discountinuation_flag], TableRefills3[patient_id], A738)</f>
        <v>1</v>
      </c>
    </row>
    <row r="739" spans="1:9" x14ac:dyDescent="0.25">
      <c r="A739" t="s">
        <v>1198</v>
      </c>
      <c r="B739" t="s">
        <v>1199</v>
      </c>
      <c r="C739" s="3">
        <v>45913</v>
      </c>
      <c r="D739">
        <v>28</v>
      </c>
      <c r="E739" s="3">
        <f t="shared" si="11"/>
        <v>45882</v>
      </c>
      <c r="F739" s="3">
        <f>IF(TableRefills3[[#This Row],[prev_refill_days]]="","",TableRefills3[[#This Row],[prev_refill_days]]+TableRefills3[[#This Row],[quantity_days]])</f>
        <v>45910</v>
      </c>
      <c r="G739">
        <f>IF(TableRefills3[[#This Row],[prev_refill_end]]="","",TableRefills3[[#This Row],[refill_date]]-TableRefills3[[#This Row],[prev_refill_end]])</f>
        <v>3</v>
      </c>
      <c r="H739" s="10">
        <f>IF(TableRefills3[[#This Row],[gap_days]]="",0,IF(TableRefills3[[#This Row],[gap_days]]&gt;2,1,0))</f>
        <v>1</v>
      </c>
      <c r="I739">
        <f>_xlfn.MAXIFS(TableRefills3[discountinuation_flag], TableRefills3[patient_id], A739)</f>
        <v>1</v>
      </c>
    </row>
    <row r="740" spans="1:9" x14ac:dyDescent="0.25">
      <c r="A740" t="s">
        <v>1198</v>
      </c>
      <c r="B740" t="s">
        <v>1199</v>
      </c>
      <c r="C740" s="3">
        <v>45944</v>
      </c>
      <c r="D740">
        <v>28</v>
      </c>
      <c r="E740" s="3">
        <f t="shared" si="11"/>
        <v>45913</v>
      </c>
      <c r="F740" s="3">
        <f>IF(TableRefills3[[#This Row],[prev_refill_days]]="","",TableRefills3[[#This Row],[prev_refill_days]]+TableRefills3[[#This Row],[quantity_days]])</f>
        <v>45941</v>
      </c>
      <c r="G740">
        <f>IF(TableRefills3[[#This Row],[prev_refill_end]]="","",TableRefills3[[#This Row],[refill_date]]-TableRefills3[[#This Row],[prev_refill_end]])</f>
        <v>3</v>
      </c>
      <c r="H740" s="10">
        <f>IF(TableRefills3[[#This Row],[gap_days]]="",0,IF(TableRefills3[[#This Row],[gap_days]]&gt;2,1,0))</f>
        <v>1</v>
      </c>
      <c r="I740">
        <f>_xlfn.MAXIFS(TableRefills3[discountinuation_flag], TableRefills3[patient_id], A740)</f>
        <v>1</v>
      </c>
    </row>
    <row r="741" spans="1:9" x14ac:dyDescent="0.25">
      <c r="A741" t="s">
        <v>1204</v>
      </c>
      <c r="B741" t="s">
        <v>1205</v>
      </c>
      <c r="C741" s="3">
        <v>45796</v>
      </c>
      <c r="D741">
        <v>28</v>
      </c>
      <c r="E741" s="3" t="str">
        <f t="shared" si="11"/>
        <v/>
      </c>
      <c r="F741" s="3" t="str">
        <f>IF(TableRefills3[[#This Row],[prev_refill_days]]="","",TableRefills3[[#This Row],[prev_refill_days]]+TableRefills3[[#This Row],[quantity_days]])</f>
        <v/>
      </c>
      <c r="G741" t="str">
        <f>IF(TableRefills3[[#This Row],[prev_refill_end]]="","",TableRefills3[[#This Row],[refill_date]]-TableRefills3[[#This Row],[prev_refill_end]])</f>
        <v/>
      </c>
      <c r="H741" s="10">
        <f>IF(TableRefills3[[#This Row],[gap_days]]="",0,IF(TableRefills3[[#This Row],[gap_days]]&gt;2,1,0))</f>
        <v>0</v>
      </c>
      <c r="I741">
        <f>_xlfn.MAXIFS(TableRefills3[discountinuation_flag], TableRefills3[patient_id], A741)</f>
        <v>1</v>
      </c>
    </row>
    <row r="742" spans="1:9" x14ac:dyDescent="0.25">
      <c r="A742" t="s">
        <v>1204</v>
      </c>
      <c r="B742" t="s">
        <v>1205</v>
      </c>
      <c r="C742" s="3">
        <v>45827</v>
      </c>
      <c r="D742">
        <v>28</v>
      </c>
      <c r="E742" s="3">
        <f t="shared" si="11"/>
        <v>45796</v>
      </c>
      <c r="F742" s="3">
        <f>IF(TableRefills3[[#This Row],[prev_refill_days]]="","",TableRefills3[[#This Row],[prev_refill_days]]+TableRefills3[[#This Row],[quantity_days]])</f>
        <v>45824</v>
      </c>
      <c r="G742">
        <f>IF(TableRefills3[[#This Row],[prev_refill_end]]="","",TableRefills3[[#This Row],[refill_date]]-TableRefills3[[#This Row],[prev_refill_end]])</f>
        <v>3</v>
      </c>
      <c r="H742" s="10">
        <f>IF(TableRefills3[[#This Row],[gap_days]]="",0,IF(TableRefills3[[#This Row],[gap_days]]&gt;2,1,0))</f>
        <v>1</v>
      </c>
      <c r="I742">
        <f>_xlfn.MAXIFS(TableRefills3[discountinuation_flag], TableRefills3[patient_id], A742)</f>
        <v>1</v>
      </c>
    </row>
    <row r="743" spans="1:9" x14ac:dyDescent="0.25">
      <c r="A743" t="s">
        <v>1204</v>
      </c>
      <c r="B743" t="s">
        <v>1205</v>
      </c>
      <c r="C743" s="3">
        <v>45852</v>
      </c>
      <c r="D743">
        <v>28</v>
      </c>
      <c r="E743" s="3">
        <f t="shared" si="11"/>
        <v>45827</v>
      </c>
      <c r="F743" s="3">
        <f>IF(TableRefills3[[#This Row],[prev_refill_days]]="","",TableRefills3[[#This Row],[prev_refill_days]]+TableRefills3[[#This Row],[quantity_days]])</f>
        <v>45855</v>
      </c>
      <c r="G743">
        <f>IF(TableRefills3[[#This Row],[prev_refill_end]]="","",TableRefills3[[#This Row],[refill_date]]-TableRefills3[[#This Row],[prev_refill_end]])</f>
        <v>-3</v>
      </c>
      <c r="H743" s="10">
        <f>IF(TableRefills3[[#This Row],[gap_days]]="",0,IF(TableRefills3[[#This Row],[gap_days]]&gt;2,1,0))</f>
        <v>0</v>
      </c>
      <c r="I743">
        <f>_xlfn.MAXIFS(TableRefills3[discountinuation_flag], TableRefills3[patient_id], A743)</f>
        <v>1</v>
      </c>
    </row>
    <row r="744" spans="1:9" x14ac:dyDescent="0.25">
      <c r="A744" t="s">
        <v>1204</v>
      </c>
      <c r="B744" t="s">
        <v>1205</v>
      </c>
      <c r="C744" s="3">
        <v>45882</v>
      </c>
      <c r="D744">
        <v>28</v>
      </c>
      <c r="E744" s="3">
        <f t="shared" si="11"/>
        <v>45852</v>
      </c>
      <c r="F744" s="3">
        <f>IF(TableRefills3[[#This Row],[prev_refill_days]]="","",TableRefills3[[#This Row],[prev_refill_days]]+TableRefills3[[#This Row],[quantity_days]])</f>
        <v>45880</v>
      </c>
      <c r="G744">
        <f>IF(TableRefills3[[#This Row],[prev_refill_end]]="","",TableRefills3[[#This Row],[refill_date]]-TableRefills3[[#This Row],[prev_refill_end]])</f>
        <v>2</v>
      </c>
      <c r="H744" s="10">
        <f>IF(TableRefills3[[#This Row],[gap_days]]="",0,IF(TableRefills3[[#This Row],[gap_days]]&gt;2,1,0))</f>
        <v>0</v>
      </c>
      <c r="I744">
        <f>_xlfn.MAXIFS(TableRefills3[discountinuation_flag], TableRefills3[patient_id], A744)</f>
        <v>1</v>
      </c>
    </row>
    <row r="745" spans="1:9" x14ac:dyDescent="0.25">
      <c r="A745" t="s">
        <v>1204</v>
      </c>
      <c r="B745" t="s">
        <v>1205</v>
      </c>
      <c r="C745" s="3">
        <v>45907</v>
      </c>
      <c r="D745">
        <v>28</v>
      </c>
      <c r="E745" s="3">
        <f t="shared" si="11"/>
        <v>45882</v>
      </c>
      <c r="F745" s="3">
        <f>IF(TableRefills3[[#This Row],[prev_refill_days]]="","",TableRefills3[[#This Row],[prev_refill_days]]+TableRefills3[[#This Row],[quantity_days]])</f>
        <v>45910</v>
      </c>
      <c r="G745">
        <f>IF(TableRefills3[[#This Row],[prev_refill_end]]="","",TableRefills3[[#This Row],[refill_date]]-TableRefills3[[#This Row],[prev_refill_end]])</f>
        <v>-3</v>
      </c>
      <c r="H745" s="10">
        <f>IF(TableRefills3[[#This Row],[gap_days]]="",0,IF(TableRefills3[[#This Row],[gap_days]]&gt;2,1,0))</f>
        <v>0</v>
      </c>
      <c r="I745">
        <f>_xlfn.MAXIFS(TableRefills3[discountinuation_flag], TableRefills3[patient_id], A745)</f>
        <v>1</v>
      </c>
    </row>
    <row r="746" spans="1:9" x14ac:dyDescent="0.25">
      <c r="A746" t="s">
        <v>1204</v>
      </c>
      <c r="B746" t="s">
        <v>1205</v>
      </c>
      <c r="C746" s="3">
        <v>45938</v>
      </c>
      <c r="D746">
        <v>28</v>
      </c>
      <c r="E746" s="3">
        <f t="shared" si="11"/>
        <v>45907</v>
      </c>
      <c r="F746" s="3">
        <f>IF(TableRefills3[[#This Row],[prev_refill_days]]="","",TableRefills3[[#This Row],[prev_refill_days]]+TableRefills3[[#This Row],[quantity_days]])</f>
        <v>45935</v>
      </c>
      <c r="G746">
        <f>IF(TableRefills3[[#This Row],[prev_refill_end]]="","",TableRefills3[[#This Row],[refill_date]]-TableRefills3[[#This Row],[prev_refill_end]])</f>
        <v>3</v>
      </c>
      <c r="H746" s="10">
        <f>IF(TableRefills3[[#This Row],[gap_days]]="",0,IF(TableRefills3[[#This Row],[gap_days]]&gt;2,1,0))</f>
        <v>1</v>
      </c>
      <c r="I746">
        <f>_xlfn.MAXIFS(TableRefills3[discountinuation_flag], TableRefills3[patient_id], A746)</f>
        <v>1</v>
      </c>
    </row>
    <row r="747" spans="1:9" x14ac:dyDescent="0.25">
      <c r="A747" t="s">
        <v>1212</v>
      </c>
      <c r="B747" t="s">
        <v>1213</v>
      </c>
      <c r="C747" s="3">
        <v>45793</v>
      </c>
      <c r="D747">
        <v>28</v>
      </c>
      <c r="E747" s="3" t="str">
        <f t="shared" si="11"/>
        <v/>
      </c>
      <c r="F747" s="3" t="str">
        <f>IF(TableRefills3[[#This Row],[prev_refill_days]]="","",TableRefills3[[#This Row],[prev_refill_days]]+TableRefills3[[#This Row],[quantity_days]])</f>
        <v/>
      </c>
      <c r="G747" t="str">
        <f>IF(TableRefills3[[#This Row],[prev_refill_end]]="","",TableRefills3[[#This Row],[refill_date]]-TableRefills3[[#This Row],[prev_refill_end]])</f>
        <v/>
      </c>
      <c r="H747" s="10">
        <f>IF(TableRefills3[[#This Row],[gap_days]]="",0,IF(TableRefills3[[#This Row],[gap_days]]&gt;2,1,0))</f>
        <v>0</v>
      </c>
      <c r="I747">
        <f>_xlfn.MAXIFS(TableRefills3[discountinuation_flag], TableRefills3[patient_id], A747)</f>
        <v>1</v>
      </c>
    </row>
    <row r="748" spans="1:9" x14ac:dyDescent="0.25">
      <c r="A748" t="s">
        <v>1212</v>
      </c>
      <c r="B748" t="s">
        <v>1213</v>
      </c>
      <c r="C748" s="3">
        <v>45822</v>
      </c>
      <c r="D748">
        <v>28</v>
      </c>
      <c r="E748" s="3">
        <f t="shared" si="11"/>
        <v>45793</v>
      </c>
      <c r="F748" s="3">
        <f>IF(TableRefills3[[#This Row],[prev_refill_days]]="","",TableRefills3[[#This Row],[prev_refill_days]]+TableRefills3[[#This Row],[quantity_days]])</f>
        <v>45821</v>
      </c>
      <c r="G748">
        <f>IF(TableRefills3[[#This Row],[prev_refill_end]]="","",TableRefills3[[#This Row],[refill_date]]-TableRefills3[[#This Row],[prev_refill_end]])</f>
        <v>1</v>
      </c>
      <c r="H748" s="10">
        <f>IF(TableRefills3[[#This Row],[gap_days]]="",0,IF(TableRefills3[[#This Row],[gap_days]]&gt;2,1,0))</f>
        <v>0</v>
      </c>
      <c r="I748">
        <f>_xlfn.MAXIFS(TableRefills3[discountinuation_flag], TableRefills3[patient_id], A748)</f>
        <v>1</v>
      </c>
    </row>
    <row r="749" spans="1:9" x14ac:dyDescent="0.25">
      <c r="A749" t="s">
        <v>1212</v>
      </c>
      <c r="B749" t="s">
        <v>1213</v>
      </c>
      <c r="C749" s="3">
        <v>45853</v>
      </c>
      <c r="D749">
        <v>28</v>
      </c>
      <c r="E749" s="3">
        <f t="shared" si="11"/>
        <v>45822</v>
      </c>
      <c r="F749" s="3">
        <f>IF(TableRefills3[[#This Row],[prev_refill_days]]="","",TableRefills3[[#This Row],[prev_refill_days]]+TableRefills3[[#This Row],[quantity_days]])</f>
        <v>45850</v>
      </c>
      <c r="G749">
        <f>IF(TableRefills3[[#This Row],[prev_refill_end]]="","",TableRefills3[[#This Row],[refill_date]]-TableRefills3[[#This Row],[prev_refill_end]])</f>
        <v>3</v>
      </c>
      <c r="H749" s="10">
        <f>IF(TableRefills3[[#This Row],[gap_days]]="",0,IF(TableRefills3[[#This Row],[gap_days]]&gt;2,1,0))</f>
        <v>1</v>
      </c>
      <c r="I749">
        <f>_xlfn.MAXIFS(TableRefills3[discountinuation_flag], TableRefills3[patient_id], A749)</f>
        <v>1</v>
      </c>
    </row>
    <row r="750" spans="1:9" x14ac:dyDescent="0.25">
      <c r="A750" t="s">
        <v>1212</v>
      </c>
      <c r="B750" t="s">
        <v>1213</v>
      </c>
      <c r="C750" s="3">
        <v>45883</v>
      </c>
      <c r="D750">
        <v>28</v>
      </c>
      <c r="E750" s="3">
        <f t="shared" si="11"/>
        <v>45853</v>
      </c>
      <c r="F750" s="3">
        <f>IF(TableRefills3[[#This Row],[prev_refill_days]]="","",TableRefills3[[#This Row],[prev_refill_days]]+TableRefills3[[#This Row],[quantity_days]])</f>
        <v>45881</v>
      </c>
      <c r="G750">
        <f>IF(TableRefills3[[#This Row],[prev_refill_end]]="","",TableRefills3[[#This Row],[refill_date]]-TableRefills3[[#This Row],[prev_refill_end]])</f>
        <v>2</v>
      </c>
      <c r="H750" s="10">
        <f>IF(TableRefills3[[#This Row],[gap_days]]="",0,IF(TableRefills3[[#This Row],[gap_days]]&gt;2,1,0))</f>
        <v>0</v>
      </c>
      <c r="I750">
        <f>_xlfn.MAXIFS(TableRefills3[discountinuation_flag], TableRefills3[patient_id], A750)</f>
        <v>1</v>
      </c>
    </row>
    <row r="751" spans="1:9" x14ac:dyDescent="0.25">
      <c r="A751" t="s">
        <v>1212</v>
      </c>
      <c r="B751" t="s">
        <v>1213</v>
      </c>
      <c r="C751" s="3">
        <v>45909</v>
      </c>
      <c r="D751">
        <v>28</v>
      </c>
      <c r="E751" s="3">
        <f t="shared" si="11"/>
        <v>45883</v>
      </c>
      <c r="F751" s="3">
        <f>IF(TableRefills3[[#This Row],[prev_refill_days]]="","",TableRefills3[[#This Row],[prev_refill_days]]+TableRefills3[[#This Row],[quantity_days]])</f>
        <v>45911</v>
      </c>
      <c r="G751">
        <f>IF(TableRefills3[[#This Row],[prev_refill_end]]="","",TableRefills3[[#This Row],[refill_date]]-TableRefills3[[#This Row],[prev_refill_end]])</f>
        <v>-2</v>
      </c>
      <c r="H751" s="10">
        <f>IF(TableRefills3[[#This Row],[gap_days]]="",0,IF(TableRefills3[[#This Row],[gap_days]]&gt;2,1,0))</f>
        <v>0</v>
      </c>
      <c r="I751">
        <f>_xlfn.MAXIFS(TableRefills3[discountinuation_flag], TableRefills3[patient_id], A751)</f>
        <v>1</v>
      </c>
    </row>
    <row r="752" spans="1:9" x14ac:dyDescent="0.25">
      <c r="A752" t="s">
        <v>1212</v>
      </c>
      <c r="B752" t="s">
        <v>1213</v>
      </c>
      <c r="C752" s="3">
        <v>45937</v>
      </c>
      <c r="D752">
        <v>28</v>
      </c>
      <c r="E752" s="3">
        <f t="shared" si="11"/>
        <v>45909</v>
      </c>
      <c r="F752" s="3">
        <f>IF(TableRefills3[[#This Row],[prev_refill_days]]="","",TableRefills3[[#This Row],[prev_refill_days]]+TableRefills3[[#This Row],[quantity_days]])</f>
        <v>45937</v>
      </c>
      <c r="G752">
        <f>IF(TableRefills3[[#This Row],[prev_refill_end]]="","",TableRefills3[[#This Row],[refill_date]]-TableRefills3[[#This Row],[prev_refill_end]])</f>
        <v>0</v>
      </c>
      <c r="H752" s="10">
        <f>IF(TableRefills3[[#This Row],[gap_days]]="",0,IF(TableRefills3[[#This Row],[gap_days]]&gt;2,1,0))</f>
        <v>0</v>
      </c>
      <c r="I752">
        <f>_xlfn.MAXIFS(TableRefills3[discountinuation_flag], TableRefills3[patient_id], A752)</f>
        <v>1</v>
      </c>
    </row>
    <row r="753" spans="1:9" x14ac:dyDescent="0.25">
      <c r="A753" t="s">
        <v>1220</v>
      </c>
      <c r="B753" t="s">
        <v>1221</v>
      </c>
      <c r="C753" s="3">
        <v>45890</v>
      </c>
      <c r="D753">
        <v>28</v>
      </c>
      <c r="E753" s="3" t="str">
        <f t="shared" si="11"/>
        <v/>
      </c>
      <c r="F753" s="3" t="str">
        <f>IF(TableRefills3[[#This Row],[prev_refill_days]]="","",TableRefills3[[#This Row],[prev_refill_days]]+TableRefills3[[#This Row],[quantity_days]])</f>
        <v/>
      </c>
      <c r="G753" t="str">
        <f>IF(TableRefills3[[#This Row],[prev_refill_end]]="","",TableRefills3[[#This Row],[refill_date]]-TableRefills3[[#This Row],[prev_refill_end]])</f>
        <v/>
      </c>
      <c r="H753" s="10">
        <f>IF(TableRefills3[[#This Row],[gap_days]]="",0,IF(TableRefills3[[#This Row],[gap_days]]&gt;2,1,0))</f>
        <v>0</v>
      </c>
      <c r="I753">
        <f>_xlfn.MAXIFS(TableRefills3[discountinuation_flag], TableRefills3[patient_id], A753)</f>
        <v>0</v>
      </c>
    </row>
    <row r="754" spans="1:9" x14ac:dyDescent="0.25">
      <c r="A754" t="s">
        <v>1220</v>
      </c>
      <c r="B754" t="s">
        <v>1221</v>
      </c>
      <c r="C754" s="3">
        <v>45915</v>
      </c>
      <c r="D754">
        <v>28</v>
      </c>
      <c r="E754" s="3">
        <f t="shared" si="11"/>
        <v>45890</v>
      </c>
      <c r="F754" s="3">
        <f>IF(TableRefills3[[#This Row],[prev_refill_days]]="","",TableRefills3[[#This Row],[prev_refill_days]]+TableRefills3[[#This Row],[quantity_days]])</f>
        <v>45918</v>
      </c>
      <c r="G754">
        <f>IF(TableRefills3[[#This Row],[prev_refill_end]]="","",TableRefills3[[#This Row],[refill_date]]-TableRefills3[[#This Row],[prev_refill_end]])</f>
        <v>-3</v>
      </c>
      <c r="H754" s="10">
        <f>IF(TableRefills3[[#This Row],[gap_days]]="",0,IF(TableRefills3[[#This Row],[gap_days]]&gt;2,1,0))</f>
        <v>0</v>
      </c>
      <c r="I754">
        <f>_xlfn.MAXIFS(TableRefills3[discountinuation_flag], TableRefills3[patient_id], A754)</f>
        <v>0</v>
      </c>
    </row>
    <row r="755" spans="1:9" x14ac:dyDescent="0.25">
      <c r="A755" t="s">
        <v>1220</v>
      </c>
      <c r="B755" t="s">
        <v>1221</v>
      </c>
      <c r="C755" s="3">
        <v>45945</v>
      </c>
      <c r="D755">
        <v>28</v>
      </c>
      <c r="E755" s="3">
        <f t="shared" si="11"/>
        <v>45915</v>
      </c>
      <c r="F755" s="3">
        <f>IF(TableRefills3[[#This Row],[prev_refill_days]]="","",TableRefills3[[#This Row],[prev_refill_days]]+TableRefills3[[#This Row],[quantity_days]])</f>
        <v>45943</v>
      </c>
      <c r="G755">
        <f>IF(TableRefills3[[#This Row],[prev_refill_end]]="","",TableRefills3[[#This Row],[refill_date]]-TableRefills3[[#This Row],[prev_refill_end]])</f>
        <v>2</v>
      </c>
      <c r="H755" s="10">
        <f>IF(TableRefills3[[#This Row],[gap_days]]="",0,IF(TableRefills3[[#This Row],[gap_days]]&gt;2,1,0))</f>
        <v>0</v>
      </c>
      <c r="I755">
        <f>_xlfn.MAXIFS(TableRefills3[discountinuation_flag], TableRefills3[patient_id], A755)</f>
        <v>0</v>
      </c>
    </row>
    <row r="756" spans="1:9" x14ac:dyDescent="0.25">
      <c r="A756" t="s">
        <v>1225</v>
      </c>
      <c r="B756" t="s">
        <v>1226</v>
      </c>
      <c r="C756" s="3">
        <v>45901</v>
      </c>
      <c r="D756">
        <v>28</v>
      </c>
      <c r="E756" s="3" t="str">
        <f t="shared" si="11"/>
        <v/>
      </c>
      <c r="F756" s="3" t="str">
        <f>IF(TableRefills3[[#This Row],[prev_refill_days]]="","",TableRefills3[[#This Row],[prev_refill_days]]+TableRefills3[[#This Row],[quantity_days]])</f>
        <v/>
      </c>
      <c r="G756" t="str">
        <f>IF(TableRefills3[[#This Row],[prev_refill_end]]="","",TableRefills3[[#This Row],[refill_date]]-TableRefills3[[#This Row],[prev_refill_end]])</f>
        <v/>
      </c>
      <c r="H756" s="10">
        <f>IF(TableRefills3[[#This Row],[gap_days]]="",0,IF(TableRefills3[[#This Row],[gap_days]]&gt;2,1,0))</f>
        <v>0</v>
      </c>
      <c r="I756">
        <f>_xlfn.MAXIFS(TableRefills3[discountinuation_flag], TableRefills3[patient_id], A756)</f>
        <v>0</v>
      </c>
    </row>
    <row r="757" spans="1:9" x14ac:dyDescent="0.25">
      <c r="A757" t="s">
        <v>1225</v>
      </c>
      <c r="B757" t="s">
        <v>1226</v>
      </c>
      <c r="C757" s="3">
        <v>45927</v>
      </c>
      <c r="D757">
        <v>28</v>
      </c>
      <c r="E757" s="3">
        <f t="shared" si="11"/>
        <v>45901</v>
      </c>
      <c r="F757" s="3">
        <f>IF(TableRefills3[[#This Row],[prev_refill_days]]="","",TableRefills3[[#This Row],[prev_refill_days]]+TableRefills3[[#This Row],[quantity_days]])</f>
        <v>45929</v>
      </c>
      <c r="G757">
        <f>IF(TableRefills3[[#This Row],[prev_refill_end]]="","",TableRefills3[[#This Row],[refill_date]]-TableRefills3[[#This Row],[prev_refill_end]])</f>
        <v>-2</v>
      </c>
      <c r="H757" s="10">
        <f>IF(TableRefills3[[#This Row],[gap_days]]="",0,IF(TableRefills3[[#This Row],[gap_days]]&gt;2,1,0))</f>
        <v>0</v>
      </c>
      <c r="I757">
        <f>_xlfn.MAXIFS(TableRefills3[discountinuation_flag], TableRefills3[patient_id], A757)</f>
        <v>0</v>
      </c>
    </row>
    <row r="758" spans="1:9" x14ac:dyDescent="0.25">
      <c r="A758" t="s">
        <v>1225</v>
      </c>
      <c r="B758" t="s">
        <v>1226</v>
      </c>
      <c r="C758" s="3">
        <v>45955</v>
      </c>
      <c r="D758">
        <v>28</v>
      </c>
      <c r="E758" s="3">
        <f t="shared" si="11"/>
        <v>45927</v>
      </c>
      <c r="F758" s="3">
        <f>IF(TableRefills3[[#This Row],[prev_refill_days]]="","",TableRefills3[[#This Row],[prev_refill_days]]+TableRefills3[[#This Row],[quantity_days]])</f>
        <v>45955</v>
      </c>
      <c r="G758">
        <f>IF(TableRefills3[[#This Row],[prev_refill_end]]="","",TableRefills3[[#This Row],[refill_date]]-TableRefills3[[#This Row],[prev_refill_end]])</f>
        <v>0</v>
      </c>
      <c r="H758" s="10">
        <f>IF(TableRefills3[[#This Row],[gap_days]]="",0,IF(TableRefills3[[#This Row],[gap_days]]&gt;2,1,0))</f>
        <v>0</v>
      </c>
      <c r="I758">
        <f>_xlfn.MAXIFS(TableRefills3[discountinuation_flag], TableRefills3[patient_id], A758)</f>
        <v>0</v>
      </c>
    </row>
    <row r="759" spans="1:9" x14ac:dyDescent="0.25">
      <c r="A759" t="s">
        <v>1230</v>
      </c>
      <c r="B759" t="s">
        <v>1231</v>
      </c>
      <c r="C759" s="3">
        <v>45830</v>
      </c>
      <c r="D759">
        <v>21</v>
      </c>
      <c r="E759" s="3" t="str">
        <f t="shared" si="11"/>
        <v/>
      </c>
      <c r="F759" s="3" t="str">
        <f>IF(TableRefills3[[#This Row],[prev_refill_days]]="","",TableRefills3[[#This Row],[prev_refill_days]]+TableRefills3[[#This Row],[quantity_days]])</f>
        <v/>
      </c>
      <c r="G759" t="str">
        <f>IF(TableRefills3[[#This Row],[prev_refill_end]]="","",TableRefills3[[#This Row],[refill_date]]-TableRefills3[[#This Row],[prev_refill_end]])</f>
        <v/>
      </c>
      <c r="H759" s="10">
        <f>IF(TableRefills3[[#This Row],[gap_days]]="",0,IF(TableRefills3[[#This Row],[gap_days]]&gt;2,1,0))</f>
        <v>0</v>
      </c>
      <c r="I759">
        <f>_xlfn.MAXIFS(TableRefills3[discountinuation_flag], TableRefills3[patient_id], A759)</f>
        <v>1</v>
      </c>
    </row>
    <row r="760" spans="1:9" x14ac:dyDescent="0.25">
      <c r="A760" t="s">
        <v>1230</v>
      </c>
      <c r="B760" t="s">
        <v>1231</v>
      </c>
      <c r="C760" s="3">
        <v>45848</v>
      </c>
      <c r="D760">
        <v>21</v>
      </c>
      <c r="E760" s="3">
        <f t="shared" si="11"/>
        <v>45830</v>
      </c>
      <c r="F760" s="3">
        <f>IF(TableRefills3[[#This Row],[prev_refill_days]]="","",TableRefills3[[#This Row],[prev_refill_days]]+TableRefills3[[#This Row],[quantity_days]])</f>
        <v>45851</v>
      </c>
      <c r="G760">
        <f>IF(TableRefills3[[#This Row],[prev_refill_end]]="","",TableRefills3[[#This Row],[refill_date]]-TableRefills3[[#This Row],[prev_refill_end]])</f>
        <v>-3</v>
      </c>
      <c r="H760" s="10">
        <f>IF(TableRefills3[[#This Row],[gap_days]]="",0,IF(TableRefills3[[#This Row],[gap_days]]&gt;2,1,0))</f>
        <v>0</v>
      </c>
      <c r="I760">
        <f>_xlfn.MAXIFS(TableRefills3[discountinuation_flag], TableRefills3[patient_id], A760)</f>
        <v>1</v>
      </c>
    </row>
    <row r="761" spans="1:9" x14ac:dyDescent="0.25">
      <c r="A761" t="s">
        <v>1230</v>
      </c>
      <c r="B761" t="s">
        <v>1231</v>
      </c>
      <c r="C761" s="3">
        <v>45868</v>
      </c>
      <c r="D761">
        <v>21</v>
      </c>
      <c r="E761" s="3">
        <f t="shared" si="11"/>
        <v>45848</v>
      </c>
      <c r="F761" s="3">
        <f>IF(TableRefills3[[#This Row],[prev_refill_days]]="","",TableRefills3[[#This Row],[prev_refill_days]]+TableRefills3[[#This Row],[quantity_days]])</f>
        <v>45869</v>
      </c>
      <c r="G761">
        <f>IF(TableRefills3[[#This Row],[prev_refill_end]]="","",TableRefills3[[#This Row],[refill_date]]-TableRefills3[[#This Row],[prev_refill_end]])</f>
        <v>-1</v>
      </c>
      <c r="H761" s="10">
        <f>IF(TableRefills3[[#This Row],[gap_days]]="",0,IF(TableRefills3[[#This Row],[gap_days]]&gt;2,1,0))</f>
        <v>0</v>
      </c>
      <c r="I761">
        <f>_xlfn.MAXIFS(TableRefills3[discountinuation_flag], TableRefills3[patient_id], A761)</f>
        <v>1</v>
      </c>
    </row>
    <row r="762" spans="1:9" x14ac:dyDescent="0.25">
      <c r="A762" t="s">
        <v>1230</v>
      </c>
      <c r="B762" t="s">
        <v>1231</v>
      </c>
      <c r="C762" s="3">
        <v>45888</v>
      </c>
      <c r="D762">
        <v>21</v>
      </c>
      <c r="E762" s="3">
        <f t="shared" si="11"/>
        <v>45868</v>
      </c>
      <c r="F762" s="3">
        <f>IF(TableRefills3[[#This Row],[prev_refill_days]]="","",TableRefills3[[#This Row],[prev_refill_days]]+TableRefills3[[#This Row],[quantity_days]])</f>
        <v>45889</v>
      </c>
      <c r="G762">
        <f>IF(TableRefills3[[#This Row],[prev_refill_end]]="","",TableRefills3[[#This Row],[refill_date]]-TableRefills3[[#This Row],[prev_refill_end]])</f>
        <v>-1</v>
      </c>
      <c r="H762" s="10">
        <f>IF(TableRefills3[[#This Row],[gap_days]]="",0,IF(TableRefills3[[#This Row],[gap_days]]&gt;2,1,0))</f>
        <v>0</v>
      </c>
      <c r="I762">
        <f>_xlfn.MAXIFS(TableRefills3[discountinuation_flag], TableRefills3[patient_id], A762)</f>
        <v>1</v>
      </c>
    </row>
    <row r="763" spans="1:9" x14ac:dyDescent="0.25">
      <c r="A763" t="s">
        <v>1230</v>
      </c>
      <c r="B763" t="s">
        <v>1231</v>
      </c>
      <c r="C763" s="3">
        <v>45911</v>
      </c>
      <c r="D763">
        <v>21</v>
      </c>
      <c r="E763" s="3">
        <f t="shared" si="11"/>
        <v>45888</v>
      </c>
      <c r="F763" s="3">
        <f>IF(TableRefills3[[#This Row],[prev_refill_days]]="","",TableRefills3[[#This Row],[prev_refill_days]]+TableRefills3[[#This Row],[quantity_days]])</f>
        <v>45909</v>
      </c>
      <c r="G763">
        <f>IF(TableRefills3[[#This Row],[prev_refill_end]]="","",TableRefills3[[#This Row],[refill_date]]-TableRefills3[[#This Row],[prev_refill_end]])</f>
        <v>2</v>
      </c>
      <c r="H763" s="10">
        <f>IF(TableRefills3[[#This Row],[gap_days]]="",0,IF(TableRefills3[[#This Row],[gap_days]]&gt;2,1,0))</f>
        <v>0</v>
      </c>
      <c r="I763">
        <f>_xlfn.MAXIFS(TableRefills3[discountinuation_flag], TableRefills3[patient_id], A763)</f>
        <v>1</v>
      </c>
    </row>
    <row r="764" spans="1:9" x14ac:dyDescent="0.25">
      <c r="A764" t="s">
        <v>1230</v>
      </c>
      <c r="B764" t="s">
        <v>1231</v>
      </c>
      <c r="C764" s="3">
        <v>45934</v>
      </c>
      <c r="D764">
        <v>21</v>
      </c>
      <c r="E764" s="3">
        <f t="shared" si="11"/>
        <v>45911</v>
      </c>
      <c r="F764" s="3">
        <f>IF(TableRefills3[[#This Row],[prev_refill_days]]="","",TableRefills3[[#This Row],[prev_refill_days]]+TableRefills3[[#This Row],[quantity_days]])</f>
        <v>45932</v>
      </c>
      <c r="G764">
        <f>IF(TableRefills3[[#This Row],[prev_refill_end]]="","",TableRefills3[[#This Row],[refill_date]]-TableRefills3[[#This Row],[prev_refill_end]])</f>
        <v>2</v>
      </c>
      <c r="H764" s="10">
        <f>IF(TableRefills3[[#This Row],[gap_days]]="",0,IF(TableRefills3[[#This Row],[gap_days]]&gt;2,1,0))</f>
        <v>0</v>
      </c>
      <c r="I764">
        <f>_xlfn.MAXIFS(TableRefills3[discountinuation_flag], TableRefills3[patient_id], A764)</f>
        <v>1</v>
      </c>
    </row>
    <row r="765" spans="1:9" x14ac:dyDescent="0.25">
      <c r="A765" t="s">
        <v>1230</v>
      </c>
      <c r="B765" t="s">
        <v>1231</v>
      </c>
      <c r="C765" s="3">
        <v>45958</v>
      </c>
      <c r="D765">
        <v>21</v>
      </c>
      <c r="E765" s="3">
        <f t="shared" si="11"/>
        <v>45934</v>
      </c>
      <c r="F765" s="3">
        <f>IF(TableRefills3[[#This Row],[prev_refill_days]]="","",TableRefills3[[#This Row],[prev_refill_days]]+TableRefills3[[#This Row],[quantity_days]])</f>
        <v>45955</v>
      </c>
      <c r="G765">
        <f>IF(TableRefills3[[#This Row],[prev_refill_end]]="","",TableRefills3[[#This Row],[refill_date]]-TableRefills3[[#This Row],[prev_refill_end]])</f>
        <v>3</v>
      </c>
      <c r="H765" s="10">
        <f>IF(TableRefills3[[#This Row],[gap_days]]="",0,IF(TableRefills3[[#This Row],[gap_days]]&gt;2,1,0))</f>
        <v>1</v>
      </c>
      <c r="I765">
        <f>_xlfn.MAXIFS(TableRefills3[discountinuation_flag], TableRefills3[patient_id], A765)</f>
        <v>1</v>
      </c>
    </row>
    <row r="766" spans="1:9" x14ac:dyDescent="0.25">
      <c r="A766" t="s">
        <v>1239</v>
      </c>
      <c r="B766" t="s">
        <v>1240</v>
      </c>
      <c r="C766" s="3">
        <v>45933</v>
      </c>
      <c r="D766">
        <v>30</v>
      </c>
      <c r="E766" s="3" t="str">
        <f t="shared" si="11"/>
        <v/>
      </c>
      <c r="F766" s="3" t="str">
        <f>IF(TableRefills3[[#This Row],[prev_refill_days]]="","",TableRefills3[[#This Row],[prev_refill_days]]+TableRefills3[[#This Row],[quantity_days]])</f>
        <v/>
      </c>
      <c r="G766" t="str">
        <f>IF(TableRefills3[[#This Row],[prev_refill_end]]="","",TableRefills3[[#This Row],[refill_date]]-TableRefills3[[#This Row],[prev_refill_end]])</f>
        <v/>
      </c>
      <c r="H766" s="10">
        <f>IF(TableRefills3[[#This Row],[gap_days]]="",0,IF(TableRefills3[[#This Row],[gap_days]]&gt;2,1,0))</f>
        <v>0</v>
      </c>
      <c r="I766">
        <f>_xlfn.MAXIFS(TableRefills3[discountinuation_flag], TableRefills3[patient_id], A766)</f>
        <v>0</v>
      </c>
    </row>
    <row r="767" spans="1:9" x14ac:dyDescent="0.25">
      <c r="A767" t="s">
        <v>1242</v>
      </c>
      <c r="B767" t="s">
        <v>1243</v>
      </c>
      <c r="C767" s="3">
        <v>45858</v>
      </c>
      <c r="D767">
        <v>28</v>
      </c>
      <c r="E767" s="3" t="str">
        <f t="shared" si="11"/>
        <v/>
      </c>
      <c r="F767" s="3" t="str">
        <f>IF(TableRefills3[[#This Row],[prev_refill_days]]="","",TableRefills3[[#This Row],[prev_refill_days]]+TableRefills3[[#This Row],[quantity_days]])</f>
        <v/>
      </c>
      <c r="G767" t="str">
        <f>IF(TableRefills3[[#This Row],[prev_refill_end]]="","",TableRefills3[[#This Row],[refill_date]]-TableRefills3[[#This Row],[prev_refill_end]])</f>
        <v/>
      </c>
      <c r="H767" s="10">
        <f>IF(TableRefills3[[#This Row],[gap_days]]="",0,IF(TableRefills3[[#This Row],[gap_days]]&gt;2,1,0))</f>
        <v>0</v>
      </c>
      <c r="I767">
        <f>_xlfn.MAXIFS(TableRefills3[discountinuation_flag], TableRefills3[patient_id], A767)</f>
        <v>0</v>
      </c>
    </row>
    <row r="768" spans="1:9" x14ac:dyDescent="0.25">
      <c r="A768" t="s">
        <v>1242</v>
      </c>
      <c r="B768" t="s">
        <v>1243</v>
      </c>
      <c r="C768" s="3">
        <v>45888</v>
      </c>
      <c r="D768">
        <v>28</v>
      </c>
      <c r="E768" s="3">
        <f t="shared" si="11"/>
        <v>45858</v>
      </c>
      <c r="F768" s="3">
        <f>IF(TableRefills3[[#This Row],[prev_refill_days]]="","",TableRefills3[[#This Row],[prev_refill_days]]+TableRefills3[[#This Row],[quantity_days]])</f>
        <v>45886</v>
      </c>
      <c r="G768">
        <f>IF(TableRefills3[[#This Row],[prev_refill_end]]="","",TableRefills3[[#This Row],[refill_date]]-TableRefills3[[#This Row],[prev_refill_end]])</f>
        <v>2</v>
      </c>
      <c r="H768" s="10">
        <f>IF(TableRefills3[[#This Row],[gap_days]]="",0,IF(TableRefills3[[#This Row],[gap_days]]&gt;2,1,0))</f>
        <v>0</v>
      </c>
      <c r="I768">
        <f>_xlfn.MAXIFS(TableRefills3[discountinuation_flag], TableRefills3[patient_id], A768)</f>
        <v>0</v>
      </c>
    </row>
    <row r="769" spans="1:9" x14ac:dyDescent="0.25">
      <c r="A769" t="s">
        <v>1242</v>
      </c>
      <c r="B769" t="s">
        <v>1243</v>
      </c>
      <c r="C769" s="3">
        <v>45915</v>
      </c>
      <c r="D769">
        <v>28</v>
      </c>
      <c r="E769" s="3">
        <f t="shared" si="11"/>
        <v>45888</v>
      </c>
      <c r="F769" s="3">
        <f>IF(TableRefills3[[#This Row],[prev_refill_days]]="","",TableRefills3[[#This Row],[prev_refill_days]]+TableRefills3[[#This Row],[quantity_days]])</f>
        <v>45916</v>
      </c>
      <c r="G769">
        <f>IF(TableRefills3[[#This Row],[prev_refill_end]]="","",TableRefills3[[#This Row],[refill_date]]-TableRefills3[[#This Row],[prev_refill_end]])</f>
        <v>-1</v>
      </c>
      <c r="H769" s="10">
        <f>IF(TableRefills3[[#This Row],[gap_days]]="",0,IF(TableRefills3[[#This Row],[gap_days]]&gt;2,1,0))</f>
        <v>0</v>
      </c>
      <c r="I769">
        <f>_xlfn.MAXIFS(TableRefills3[discountinuation_flag], TableRefills3[patient_id], A769)</f>
        <v>0</v>
      </c>
    </row>
    <row r="770" spans="1:9" x14ac:dyDescent="0.25">
      <c r="A770" t="s">
        <v>1242</v>
      </c>
      <c r="B770" t="s">
        <v>1243</v>
      </c>
      <c r="C770" s="3">
        <v>45944</v>
      </c>
      <c r="D770">
        <v>28</v>
      </c>
      <c r="E770" s="3">
        <f t="shared" ref="E770:E833" si="12">IF(A769=A770,C769,"")</f>
        <v>45915</v>
      </c>
      <c r="F770" s="3">
        <f>IF(TableRefills3[[#This Row],[prev_refill_days]]="","",TableRefills3[[#This Row],[prev_refill_days]]+TableRefills3[[#This Row],[quantity_days]])</f>
        <v>45943</v>
      </c>
      <c r="G770">
        <f>IF(TableRefills3[[#This Row],[prev_refill_end]]="","",TableRefills3[[#This Row],[refill_date]]-TableRefills3[[#This Row],[prev_refill_end]])</f>
        <v>1</v>
      </c>
      <c r="H770" s="10">
        <f>IF(TableRefills3[[#This Row],[gap_days]]="",0,IF(TableRefills3[[#This Row],[gap_days]]&gt;2,1,0))</f>
        <v>0</v>
      </c>
      <c r="I770">
        <f>_xlfn.MAXIFS(TableRefills3[discountinuation_flag], TableRefills3[patient_id], A770)</f>
        <v>0</v>
      </c>
    </row>
    <row r="771" spans="1:9" x14ac:dyDescent="0.25">
      <c r="A771" t="s">
        <v>1248</v>
      </c>
      <c r="B771" t="s">
        <v>1249</v>
      </c>
      <c r="C771" s="3">
        <v>45859</v>
      </c>
      <c r="D771">
        <v>28</v>
      </c>
      <c r="E771" s="3" t="str">
        <f t="shared" si="12"/>
        <v/>
      </c>
      <c r="F771" s="3" t="str">
        <f>IF(TableRefills3[[#This Row],[prev_refill_days]]="","",TableRefills3[[#This Row],[prev_refill_days]]+TableRefills3[[#This Row],[quantity_days]])</f>
        <v/>
      </c>
      <c r="G771" t="str">
        <f>IF(TableRefills3[[#This Row],[prev_refill_end]]="","",TableRefills3[[#This Row],[refill_date]]-TableRefills3[[#This Row],[prev_refill_end]])</f>
        <v/>
      </c>
      <c r="H771" s="10">
        <f>IF(TableRefills3[[#This Row],[gap_days]]="",0,IF(TableRefills3[[#This Row],[gap_days]]&gt;2,1,0))</f>
        <v>0</v>
      </c>
      <c r="I771">
        <f>_xlfn.MAXIFS(TableRefills3[discountinuation_flag], TableRefills3[patient_id], A771)</f>
        <v>0</v>
      </c>
    </row>
    <row r="772" spans="1:9" x14ac:dyDescent="0.25">
      <c r="A772" t="s">
        <v>1248</v>
      </c>
      <c r="B772" t="s">
        <v>1249</v>
      </c>
      <c r="C772" s="3">
        <v>45884</v>
      </c>
      <c r="D772">
        <v>28</v>
      </c>
      <c r="E772" s="3">
        <f t="shared" si="12"/>
        <v>45859</v>
      </c>
      <c r="F772" s="3">
        <f>IF(TableRefills3[[#This Row],[prev_refill_days]]="","",TableRefills3[[#This Row],[prev_refill_days]]+TableRefills3[[#This Row],[quantity_days]])</f>
        <v>45887</v>
      </c>
      <c r="G772">
        <f>IF(TableRefills3[[#This Row],[prev_refill_end]]="","",TableRefills3[[#This Row],[refill_date]]-TableRefills3[[#This Row],[prev_refill_end]])</f>
        <v>-3</v>
      </c>
      <c r="H772" s="10">
        <f>IF(TableRefills3[[#This Row],[gap_days]]="",0,IF(TableRefills3[[#This Row],[gap_days]]&gt;2,1,0))</f>
        <v>0</v>
      </c>
      <c r="I772">
        <f>_xlfn.MAXIFS(TableRefills3[discountinuation_flag], TableRefills3[patient_id], A772)</f>
        <v>0</v>
      </c>
    </row>
    <row r="773" spans="1:9" x14ac:dyDescent="0.25">
      <c r="A773" t="s">
        <v>1248</v>
      </c>
      <c r="B773" t="s">
        <v>1249</v>
      </c>
      <c r="C773" s="3">
        <v>45914</v>
      </c>
      <c r="D773">
        <v>28</v>
      </c>
      <c r="E773" s="3">
        <f t="shared" si="12"/>
        <v>45884</v>
      </c>
      <c r="F773" s="3">
        <f>IF(TableRefills3[[#This Row],[prev_refill_days]]="","",TableRefills3[[#This Row],[prev_refill_days]]+TableRefills3[[#This Row],[quantity_days]])</f>
        <v>45912</v>
      </c>
      <c r="G773">
        <f>IF(TableRefills3[[#This Row],[prev_refill_end]]="","",TableRefills3[[#This Row],[refill_date]]-TableRefills3[[#This Row],[prev_refill_end]])</f>
        <v>2</v>
      </c>
      <c r="H773" s="10">
        <f>IF(TableRefills3[[#This Row],[gap_days]]="",0,IF(TableRefills3[[#This Row],[gap_days]]&gt;2,1,0))</f>
        <v>0</v>
      </c>
      <c r="I773">
        <f>_xlfn.MAXIFS(TableRefills3[discountinuation_flag], TableRefills3[patient_id], A773)</f>
        <v>0</v>
      </c>
    </row>
    <row r="774" spans="1:9" x14ac:dyDescent="0.25">
      <c r="A774" t="s">
        <v>1248</v>
      </c>
      <c r="B774" t="s">
        <v>1249</v>
      </c>
      <c r="C774" s="3">
        <v>45940</v>
      </c>
      <c r="D774">
        <v>28</v>
      </c>
      <c r="E774" s="3">
        <f t="shared" si="12"/>
        <v>45914</v>
      </c>
      <c r="F774" s="3">
        <f>IF(TableRefills3[[#This Row],[prev_refill_days]]="","",TableRefills3[[#This Row],[prev_refill_days]]+TableRefills3[[#This Row],[quantity_days]])</f>
        <v>45942</v>
      </c>
      <c r="G774">
        <f>IF(TableRefills3[[#This Row],[prev_refill_end]]="","",TableRefills3[[#This Row],[refill_date]]-TableRefills3[[#This Row],[prev_refill_end]])</f>
        <v>-2</v>
      </c>
      <c r="H774" s="10">
        <f>IF(TableRefills3[[#This Row],[gap_days]]="",0,IF(TableRefills3[[#This Row],[gap_days]]&gt;2,1,0))</f>
        <v>0</v>
      </c>
      <c r="I774">
        <f>_xlfn.MAXIFS(TableRefills3[discountinuation_flag], TableRefills3[patient_id], A774)</f>
        <v>0</v>
      </c>
    </row>
    <row r="775" spans="1:9" x14ac:dyDescent="0.25">
      <c r="A775" t="s">
        <v>1254</v>
      </c>
      <c r="B775" t="s">
        <v>1255</v>
      </c>
      <c r="C775" s="3">
        <v>45866</v>
      </c>
      <c r="D775">
        <v>28</v>
      </c>
      <c r="E775" s="3" t="str">
        <f t="shared" si="12"/>
        <v/>
      </c>
      <c r="F775" s="3" t="str">
        <f>IF(TableRefills3[[#This Row],[prev_refill_days]]="","",TableRefills3[[#This Row],[prev_refill_days]]+TableRefills3[[#This Row],[quantity_days]])</f>
        <v/>
      </c>
      <c r="G775" t="str">
        <f>IF(TableRefills3[[#This Row],[prev_refill_end]]="","",TableRefills3[[#This Row],[refill_date]]-TableRefills3[[#This Row],[prev_refill_end]])</f>
        <v/>
      </c>
      <c r="H775" s="10">
        <f>IF(TableRefills3[[#This Row],[gap_days]]="",0,IF(TableRefills3[[#This Row],[gap_days]]&gt;2,1,0))</f>
        <v>0</v>
      </c>
      <c r="I775">
        <f>_xlfn.MAXIFS(TableRefills3[discountinuation_flag], TableRefills3[patient_id], A775)</f>
        <v>1</v>
      </c>
    </row>
    <row r="776" spans="1:9" x14ac:dyDescent="0.25">
      <c r="A776" t="s">
        <v>1254</v>
      </c>
      <c r="B776" t="s">
        <v>1255</v>
      </c>
      <c r="C776" s="3">
        <v>45896</v>
      </c>
      <c r="D776">
        <v>28</v>
      </c>
      <c r="E776" s="3">
        <f t="shared" si="12"/>
        <v>45866</v>
      </c>
      <c r="F776" s="3">
        <f>IF(TableRefills3[[#This Row],[prev_refill_days]]="","",TableRefills3[[#This Row],[prev_refill_days]]+TableRefills3[[#This Row],[quantity_days]])</f>
        <v>45894</v>
      </c>
      <c r="G776">
        <f>IF(TableRefills3[[#This Row],[prev_refill_end]]="","",TableRefills3[[#This Row],[refill_date]]-TableRefills3[[#This Row],[prev_refill_end]])</f>
        <v>2</v>
      </c>
      <c r="H776" s="10">
        <f>IF(TableRefills3[[#This Row],[gap_days]]="",0,IF(TableRefills3[[#This Row],[gap_days]]&gt;2,1,0))</f>
        <v>0</v>
      </c>
      <c r="I776">
        <f>_xlfn.MAXIFS(TableRefills3[discountinuation_flag], TableRefills3[patient_id], A776)</f>
        <v>1</v>
      </c>
    </row>
    <row r="777" spans="1:9" x14ac:dyDescent="0.25">
      <c r="A777" t="s">
        <v>1254</v>
      </c>
      <c r="B777" t="s">
        <v>1255</v>
      </c>
      <c r="C777" s="3">
        <v>45924</v>
      </c>
      <c r="D777">
        <v>28</v>
      </c>
      <c r="E777" s="3">
        <f t="shared" si="12"/>
        <v>45896</v>
      </c>
      <c r="F777" s="3">
        <f>IF(TableRefills3[[#This Row],[prev_refill_days]]="","",TableRefills3[[#This Row],[prev_refill_days]]+TableRefills3[[#This Row],[quantity_days]])</f>
        <v>45924</v>
      </c>
      <c r="G777">
        <f>IF(TableRefills3[[#This Row],[prev_refill_end]]="","",TableRefills3[[#This Row],[refill_date]]-TableRefills3[[#This Row],[prev_refill_end]])</f>
        <v>0</v>
      </c>
      <c r="H777" s="10">
        <f>IF(TableRefills3[[#This Row],[gap_days]]="",0,IF(TableRefills3[[#This Row],[gap_days]]&gt;2,1,0))</f>
        <v>0</v>
      </c>
      <c r="I777">
        <f>_xlfn.MAXIFS(TableRefills3[discountinuation_flag], TableRefills3[patient_id], A777)</f>
        <v>1</v>
      </c>
    </row>
    <row r="778" spans="1:9" x14ac:dyDescent="0.25">
      <c r="A778" t="s">
        <v>1254</v>
      </c>
      <c r="B778" t="s">
        <v>1255</v>
      </c>
      <c r="C778" s="3">
        <v>45955</v>
      </c>
      <c r="D778">
        <v>28</v>
      </c>
      <c r="E778" s="3">
        <f t="shared" si="12"/>
        <v>45924</v>
      </c>
      <c r="F778" s="3">
        <f>IF(TableRefills3[[#This Row],[prev_refill_days]]="","",TableRefills3[[#This Row],[prev_refill_days]]+TableRefills3[[#This Row],[quantity_days]])</f>
        <v>45952</v>
      </c>
      <c r="G778">
        <f>IF(TableRefills3[[#This Row],[prev_refill_end]]="","",TableRefills3[[#This Row],[refill_date]]-TableRefills3[[#This Row],[prev_refill_end]])</f>
        <v>3</v>
      </c>
      <c r="H778" s="10">
        <f>IF(TableRefills3[[#This Row],[gap_days]]="",0,IF(TableRefills3[[#This Row],[gap_days]]&gt;2,1,0))</f>
        <v>1</v>
      </c>
      <c r="I778">
        <f>_xlfn.MAXIFS(TableRefills3[discountinuation_flag], TableRefills3[patient_id], A778)</f>
        <v>1</v>
      </c>
    </row>
    <row r="779" spans="1:9" x14ac:dyDescent="0.25">
      <c r="A779" t="s">
        <v>1260</v>
      </c>
      <c r="B779" t="s">
        <v>1261</v>
      </c>
      <c r="C779" s="3">
        <v>45811</v>
      </c>
      <c r="D779">
        <v>28</v>
      </c>
      <c r="E779" s="3" t="str">
        <f t="shared" si="12"/>
        <v/>
      </c>
      <c r="F779" s="3" t="str">
        <f>IF(TableRefills3[[#This Row],[prev_refill_days]]="","",TableRefills3[[#This Row],[prev_refill_days]]+TableRefills3[[#This Row],[quantity_days]])</f>
        <v/>
      </c>
      <c r="G779" t="str">
        <f>IF(TableRefills3[[#This Row],[prev_refill_end]]="","",TableRefills3[[#This Row],[refill_date]]-TableRefills3[[#This Row],[prev_refill_end]])</f>
        <v/>
      </c>
      <c r="H779" s="10">
        <f>IF(TableRefills3[[#This Row],[gap_days]]="",0,IF(TableRefills3[[#This Row],[gap_days]]&gt;2,1,0))</f>
        <v>0</v>
      </c>
      <c r="I779">
        <f>_xlfn.MAXIFS(TableRefills3[discountinuation_flag], TableRefills3[patient_id], A779)</f>
        <v>1</v>
      </c>
    </row>
    <row r="780" spans="1:9" x14ac:dyDescent="0.25">
      <c r="A780" t="s">
        <v>1260</v>
      </c>
      <c r="B780" t="s">
        <v>1261</v>
      </c>
      <c r="C780" s="3">
        <v>45840</v>
      </c>
      <c r="D780">
        <v>28</v>
      </c>
      <c r="E780" s="3">
        <f t="shared" si="12"/>
        <v>45811</v>
      </c>
      <c r="F780" s="3">
        <f>IF(TableRefills3[[#This Row],[prev_refill_days]]="","",TableRefills3[[#This Row],[prev_refill_days]]+TableRefills3[[#This Row],[quantity_days]])</f>
        <v>45839</v>
      </c>
      <c r="G780">
        <f>IF(TableRefills3[[#This Row],[prev_refill_end]]="","",TableRefills3[[#This Row],[refill_date]]-TableRefills3[[#This Row],[prev_refill_end]])</f>
        <v>1</v>
      </c>
      <c r="H780" s="10">
        <f>IF(TableRefills3[[#This Row],[gap_days]]="",0,IF(TableRefills3[[#This Row],[gap_days]]&gt;2,1,0))</f>
        <v>0</v>
      </c>
      <c r="I780">
        <f>_xlfn.MAXIFS(TableRefills3[discountinuation_flag], TableRefills3[patient_id], A780)</f>
        <v>1</v>
      </c>
    </row>
    <row r="781" spans="1:9" x14ac:dyDescent="0.25">
      <c r="A781" t="s">
        <v>1260</v>
      </c>
      <c r="B781" t="s">
        <v>1261</v>
      </c>
      <c r="C781" s="3">
        <v>45865</v>
      </c>
      <c r="D781">
        <v>28</v>
      </c>
      <c r="E781" s="3">
        <f t="shared" si="12"/>
        <v>45840</v>
      </c>
      <c r="F781" s="3">
        <f>IF(TableRefills3[[#This Row],[prev_refill_days]]="","",TableRefills3[[#This Row],[prev_refill_days]]+TableRefills3[[#This Row],[quantity_days]])</f>
        <v>45868</v>
      </c>
      <c r="G781">
        <f>IF(TableRefills3[[#This Row],[prev_refill_end]]="","",TableRefills3[[#This Row],[refill_date]]-TableRefills3[[#This Row],[prev_refill_end]])</f>
        <v>-3</v>
      </c>
      <c r="H781" s="10">
        <f>IF(TableRefills3[[#This Row],[gap_days]]="",0,IF(TableRefills3[[#This Row],[gap_days]]&gt;2,1,0))</f>
        <v>0</v>
      </c>
      <c r="I781">
        <f>_xlfn.MAXIFS(TableRefills3[discountinuation_flag], TableRefills3[patient_id], A781)</f>
        <v>1</v>
      </c>
    </row>
    <row r="782" spans="1:9" x14ac:dyDescent="0.25">
      <c r="A782" t="s">
        <v>1260</v>
      </c>
      <c r="B782" t="s">
        <v>1261</v>
      </c>
      <c r="C782" s="3">
        <v>45891</v>
      </c>
      <c r="D782">
        <v>28</v>
      </c>
      <c r="E782" s="3">
        <f t="shared" si="12"/>
        <v>45865</v>
      </c>
      <c r="F782" s="3">
        <f>IF(TableRefills3[[#This Row],[prev_refill_days]]="","",TableRefills3[[#This Row],[prev_refill_days]]+TableRefills3[[#This Row],[quantity_days]])</f>
        <v>45893</v>
      </c>
      <c r="G782">
        <f>IF(TableRefills3[[#This Row],[prev_refill_end]]="","",TableRefills3[[#This Row],[refill_date]]-TableRefills3[[#This Row],[prev_refill_end]])</f>
        <v>-2</v>
      </c>
      <c r="H782" s="10">
        <f>IF(TableRefills3[[#This Row],[gap_days]]="",0,IF(TableRefills3[[#This Row],[gap_days]]&gt;2,1,0))</f>
        <v>0</v>
      </c>
      <c r="I782">
        <f>_xlfn.MAXIFS(TableRefills3[discountinuation_flag], TableRefills3[patient_id], A782)</f>
        <v>1</v>
      </c>
    </row>
    <row r="783" spans="1:9" x14ac:dyDescent="0.25">
      <c r="A783" t="s">
        <v>1260</v>
      </c>
      <c r="B783" t="s">
        <v>1261</v>
      </c>
      <c r="C783" s="3">
        <v>45922</v>
      </c>
      <c r="D783">
        <v>28</v>
      </c>
      <c r="E783" s="3">
        <f t="shared" si="12"/>
        <v>45891</v>
      </c>
      <c r="F783" s="3">
        <f>IF(TableRefills3[[#This Row],[prev_refill_days]]="","",TableRefills3[[#This Row],[prev_refill_days]]+TableRefills3[[#This Row],[quantity_days]])</f>
        <v>45919</v>
      </c>
      <c r="G783">
        <f>IF(TableRefills3[[#This Row],[prev_refill_end]]="","",TableRefills3[[#This Row],[refill_date]]-TableRefills3[[#This Row],[prev_refill_end]])</f>
        <v>3</v>
      </c>
      <c r="H783" s="10">
        <f>IF(TableRefills3[[#This Row],[gap_days]]="",0,IF(TableRefills3[[#This Row],[gap_days]]&gt;2,1,0))</f>
        <v>1</v>
      </c>
      <c r="I783">
        <f>_xlfn.MAXIFS(TableRefills3[discountinuation_flag], TableRefills3[patient_id], A783)</f>
        <v>1</v>
      </c>
    </row>
    <row r="784" spans="1:9" x14ac:dyDescent="0.25">
      <c r="A784" t="s">
        <v>1260</v>
      </c>
      <c r="B784" t="s">
        <v>1261</v>
      </c>
      <c r="C784" s="3">
        <v>45953</v>
      </c>
      <c r="D784">
        <v>28</v>
      </c>
      <c r="E784" s="3">
        <f t="shared" si="12"/>
        <v>45922</v>
      </c>
      <c r="F784" s="3">
        <f>IF(TableRefills3[[#This Row],[prev_refill_days]]="","",TableRefills3[[#This Row],[prev_refill_days]]+TableRefills3[[#This Row],[quantity_days]])</f>
        <v>45950</v>
      </c>
      <c r="G784">
        <f>IF(TableRefills3[[#This Row],[prev_refill_end]]="","",TableRefills3[[#This Row],[refill_date]]-TableRefills3[[#This Row],[prev_refill_end]])</f>
        <v>3</v>
      </c>
      <c r="H784" s="10">
        <f>IF(TableRefills3[[#This Row],[gap_days]]="",0,IF(TableRefills3[[#This Row],[gap_days]]&gt;2,1,0))</f>
        <v>1</v>
      </c>
      <c r="I784">
        <f>_xlfn.MAXIFS(TableRefills3[discountinuation_flag], TableRefills3[patient_id], A784)</f>
        <v>1</v>
      </c>
    </row>
    <row r="785" spans="1:9" x14ac:dyDescent="0.25">
      <c r="A785" t="s">
        <v>1268</v>
      </c>
      <c r="B785" t="s">
        <v>1269</v>
      </c>
      <c r="C785" s="3">
        <v>45872</v>
      </c>
      <c r="D785">
        <v>30</v>
      </c>
      <c r="E785" s="3" t="str">
        <f t="shared" si="12"/>
        <v/>
      </c>
      <c r="F785" s="3" t="str">
        <f>IF(TableRefills3[[#This Row],[prev_refill_days]]="","",TableRefills3[[#This Row],[prev_refill_days]]+TableRefills3[[#This Row],[quantity_days]])</f>
        <v/>
      </c>
      <c r="G785" t="str">
        <f>IF(TableRefills3[[#This Row],[prev_refill_end]]="","",TableRefills3[[#This Row],[refill_date]]-TableRefills3[[#This Row],[prev_refill_end]])</f>
        <v/>
      </c>
      <c r="H785" s="10">
        <f>IF(TableRefills3[[#This Row],[gap_days]]="",0,IF(TableRefills3[[#This Row],[gap_days]]&gt;2,1,0))</f>
        <v>0</v>
      </c>
      <c r="I785">
        <f>_xlfn.MAXIFS(TableRefills3[discountinuation_flag], TableRefills3[patient_id], A785)</f>
        <v>0</v>
      </c>
    </row>
    <row r="786" spans="1:9" x14ac:dyDescent="0.25">
      <c r="A786" t="s">
        <v>1268</v>
      </c>
      <c r="B786" t="s">
        <v>1269</v>
      </c>
      <c r="C786" s="3">
        <v>45899</v>
      </c>
      <c r="D786">
        <v>30</v>
      </c>
      <c r="E786" s="3">
        <f t="shared" si="12"/>
        <v>45872</v>
      </c>
      <c r="F786" s="3">
        <f>IF(TableRefills3[[#This Row],[prev_refill_days]]="","",TableRefills3[[#This Row],[prev_refill_days]]+TableRefills3[[#This Row],[quantity_days]])</f>
        <v>45902</v>
      </c>
      <c r="G786">
        <f>IF(TableRefills3[[#This Row],[prev_refill_end]]="","",TableRefills3[[#This Row],[refill_date]]-TableRefills3[[#This Row],[prev_refill_end]])</f>
        <v>-3</v>
      </c>
      <c r="H786" s="10">
        <f>IF(TableRefills3[[#This Row],[gap_days]]="",0,IF(TableRefills3[[#This Row],[gap_days]]&gt;2,1,0))</f>
        <v>0</v>
      </c>
      <c r="I786">
        <f>_xlfn.MAXIFS(TableRefills3[discountinuation_flag], TableRefills3[patient_id], A786)</f>
        <v>0</v>
      </c>
    </row>
    <row r="787" spans="1:9" x14ac:dyDescent="0.25">
      <c r="A787" t="s">
        <v>1268</v>
      </c>
      <c r="B787" t="s">
        <v>1269</v>
      </c>
      <c r="C787" s="3">
        <v>45929</v>
      </c>
      <c r="D787">
        <v>30</v>
      </c>
      <c r="E787" s="3">
        <f t="shared" si="12"/>
        <v>45899</v>
      </c>
      <c r="F787" s="3">
        <f>IF(TableRefills3[[#This Row],[prev_refill_days]]="","",TableRefills3[[#This Row],[prev_refill_days]]+TableRefills3[[#This Row],[quantity_days]])</f>
        <v>45929</v>
      </c>
      <c r="G787">
        <f>IF(TableRefills3[[#This Row],[prev_refill_end]]="","",TableRefills3[[#This Row],[refill_date]]-TableRefills3[[#This Row],[prev_refill_end]])</f>
        <v>0</v>
      </c>
      <c r="H787" s="10">
        <f>IF(TableRefills3[[#This Row],[gap_days]]="",0,IF(TableRefills3[[#This Row],[gap_days]]&gt;2,1,0))</f>
        <v>0</v>
      </c>
      <c r="I787">
        <f>_xlfn.MAXIFS(TableRefills3[discountinuation_flag], TableRefills3[patient_id], A787)</f>
        <v>0</v>
      </c>
    </row>
    <row r="788" spans="1:9" x14ac:dyDescent="0.25">
      <c r="A788" t="s">
        <v>1268</v>
      </c>
      <c r="B788" t="s">
        <v>1269</v>
      </c>
      <c r="C788" s="3">
        <v>45957</v>
      </c>
      <c r="D788">
        <v>30</v>
      </c>
      <c r="E788" s="3">
        <f t="shared" si="12"/>
        <v>45929</v>
      </c>
      <c r="F788" s="3">
        <f>IF(TableRefills3[[#This Row],[prev_refill_days]]="","",TableRefills3[[#This Row],[prev_refill_days]]+TableRefills3[[#This Row],[quantity_days]])</f>
        <v>45959</v>
      </c>
      <c r="G788">
        <f>IF(TableRefills3[[#This Row],[prev_refill_end]]="","",TableRefills3[[#This Row],[refill_date]]-TableRefills3[[#This Row],[prev_refill_end]])</f>
        <v>-2</v>
      </c>
      <c r="H788" s="10">
        <f>IF(TableRefills3[[#This Row],[gap_days]]="",0,IF(TableRefills3[[#This Row],[gap_days]]&gt;2,1,0))</f>
        <v>0</v>
      </c>
      <c r="I788">
        <f>_xlfn.MAXIFS(TableRefills3[discountinuation_flag], TableRefills3[patient_id], A788)</f>
        <v>0</v>
      </c>
    </row>
    <row r="789" spans="1:9" x14ac:dyDescent="0.25">
      <c r="A789" t="s">
        <v>1274</v>
      </c>
      <c r="B789" t="s">
        <v>1275</v>
      </c>
      <c r="C789" s="3">
        <v>45921</v>
      </c>
      <c r="D789">
        <v>28</v>
      </c>
      <c r="E789" s="3" t="str">
        <f t="shared" si="12"/>
        <v/>
      </c>
      <c r="F789" s="3" t="str">
        <f>IF(TableRefills3[[#This Row],[prev_refill_days]]="","",TableRefills3[[#This Row],[prev_refill_days]]+TableRefills3[[#This Row],[quantity_days]])</f>
        <v/>
      </c>
      <c r="G789" t="str">
        <f>IF(TableRefills3[[#This Row],[prev_refill_end]]="","",TableRefills3[[#This Row],[refill_date]]-TableRefills3[[#This Row],[prev_refill_end]])</f>
        <v/>
      </c>
      <c r="H789" s="10">
        <f>IF(TableRefills3[[#This Row],[gap_days]]="",0,IF(TableRefills3[[#This Row],[gap_days]]&gt;2,1,0))</f>
        <v>0</v>
      </c>
      <c r="I789">
        <f>_xlfn.MAXIFS(TableRefills3[discountinuation_flag], TableRefills3[patient_id], A789)</f>
        <v>0</v>
      </c>
    </row>
    <row r="790" spans="1:9" x14ac:dyDescent="0.25">
      <c r="A790" t="s">
        <v>1274</v>
      </c>
      <c r="B790" t="s">
        <v>1275</v>
      </c>
      <c r="C790" s="3">
        <v>45947</v>
      </c>
      <c r="D790">
        <v>28</v>
      </c>
      <c r="E790" s="3">
        <f t="shared" si="12"/>
        <v>45921</v>
      </c>
      <c r="F790" s="3">
        <f>IF(TableRefills3[[#This Row],[prev_refill_days]]="","",TableRefills3[[#This Row],[prev_refill_days]]+TableRefills3[[#This Row],[quantity_days]])</f>
        <v>45949</v>
      </c>
      <c r="G790">
        <f>IF(TableRefills3[[#This Row],[prev_refill_end]]="","",TableRefills3[[#This Row],[refill_date]]-TableRefills3[[#This Row],[prev_refill_end]])</f>
        <v>-2</v>
      </c>
      <c r="H790" s="10">
        <f>IF(TableRefills3[[#This Row],[gap_days]]="",0,IF(TableRefills3[[#This Row],[gap_days]]&gt;2,1,0))</f>
        <v>0</v>
      </c>
      <c r="I790">
        <f>_xlfn.MAXIFS(TableRefills3[discountinuation_flag], TableRefills3[patient_id], A790)</f>
        <v>0</v>
      </c>
    </row>
    <row r="791" spans="1:9" x14ac:dyDescent="0.25">
      <c r="A791" t="s">
        <v>1278</v>
      </c>
      <c r="B791" t="s">
        <v>1279</v>
      </c>
      <c r="C791" s="3">
        <v>45859</v>
      </c>
      <c r="D791">
        <v>21</v>
      </c>
      <c r="E791" s="3" t="str">
        <f t="shared" si="12"/>
        <v/>
      </c>
      <c r="F791" s="3" t="str">
        <f>IF(TableRefills3[[#This Row],[prev_refill_days]]="","",TableRefills3[[#This Row],[prev_refill_days]]+TableRefills3[[#This Row],[quantity_days]])</f>
        <v/>
      </c>
      <c r="G791" t="str">
        <f>IF(TableRefills3[[#This Row],[prev_refill_end]]="","",TableRefills3[[#This Row],[refill_date]]-TableRefills3[[#This Row],[prev_refill_end]])</f>
        <v/>
      </c>
      <c r="H791" s="10">
        <f>IF(TableRefills3[[#This Row],[gap_days]]="",0,IF(TableRefills3[[#This Row],[gap_days]]&gt;2,1,0))</f>
        <v>0</v>
      </c>
      <c r="I791">
        <f>_xlfn.MAXIFS(TableRefills3[discountinuation_flag], TableRefills3[patient_id], A791)</f>
        <v>1</v>
      </c>
    </row>
    <row r="792" spans="1:9" x14ac:dyDescent="0.25">
      <c r="A792" t="s">
        <v>1278</v>
      </c>
      <c r="B792" t="s">
        <v>1279</v>
      </c>
      <c r="C792" s="3">
        <v>45883</v>
      </c>
      <c r="D792">
        <v>21</v>
      </c>
      <c r="E792" s="3">
        <f t="shared" si="12"/>
        <v>45859</v>
      </c>
      <c r="F792" s="3">
        <f>IF(TableRefills3[[#This Row],[prev_refill_days]]="","",TableRefills3[[#This Row],[prev_refill_days]]+TableRefills3[[#This Row],[quantity_days]])</f>
        <v>45880</v>
      </c>
      <c r="G792">
        <f>IF(TableRefills3[[#This Row],[prev_refill_end]]="","",TableRefills3[[#This Row],[refill_date]]-TableRefills3[[#This Row],[prev_refill_end]])</f>
        <v>3</v>
      </c>
      <c r="H792" s="10">
        <f>IF(TableRefills3[[#This Row],[gap_days]]="",0,IF(TableRefills3[[#This Row],[gap_days]]&gt;2,1,0))</f>
        <v>1</v>
      </c>
      <c r="I792">
        <f>_xlfn.MAXIFS(TableRefills3[discountinuation_flag], TableRefills3[patient_id], A792)</f>
        <v>1</v>
      </c>
    </row>
    <row r="793" spans="1:9" x14ac:dyDescent="0.25">
      <c r="A793" t="s">
        <v>1278</v>
      </c>
      <c r="B793" t="s">
        <v>1279</v>
      </c>
      <c r="C793" s="3">
        <v>45901</v>
      </c>
      <c r="D793">
        <v>21</v>
      </c>
      <c r="E793" s="3">
        <f t="shared" si="12"/>
        <v>45883</v>
      </c>
      <c r="F793" s="3">
        <f>IF(TableRefills3[[#This Row],[prev_refill_days]]="","",TableRefills3[[#This Row],[prev_refill_days]]+TableRefills3[[#This Row],[quantity_days]])</f>
        <v>45904</v>
      </c>
      <c r="G793">
        <f>IF(TableRefills3[[#This Row],[prev_refill_end]]="","",TableRefills3[[#This Row],[refill_date]]-TableRefills3[[#This Row],[prev_refill_end]])</f>
        <v>-3</v>
      </c>
      <c r="H793" s="10">
        <f>IF(TableRefills3[[#This Row],[gap_days]]="",0,IF(TableRefills3[[#This Row],[gap_days]]&gt;2,1,0))</f>
        <v>0</v>
      </c>
      <c r="I793">
        <f>_xlfn.MAXIFS(TableRefills3[discountinuation_flag], TableRefills3[patient_id], A793)</f>
        <v>1</v>
      </c>
    </row>
    <row r="794" spans="1:9" x14ac:dyDescent="0.25">
      <c r="A794" t="s">
        <v>1278</v>
      </c>
      <c r="B794" t="s">
        <v>1279</v>
      </c>
      <c r="C794" s="3">
        <v>45922</v>
      </c>
      <c r="D794">
        <v>21</v>
      </c>
      <c r="E794" s="3">
        <f t="shared" si="12"/>
        <v>45901</v>
      </c>
      <c r="F794" s="3">
        <f>IF(TableRefills3[[#This Row],[prev_refill_days]]="","",TableRefills3[[#This Row],[prev_refill_days]]+TableRefills3[[#This Row],[quantity_days]])</f>
        <v>45922</v>
      </c>
      <c r="G794">
        <f>IF(TableRefills3[[#This Row],[prev_refill_end]]="","",TableRefills3[[#This Row],[refill_date]]-TableRefills3[[#This Row],[prev_refill_end]])</f>
        <v>0</v>
      </c>
      <c r="H794" s="10">
        <f>IF(TableRefills3[[#This Row],[gap_days]]="",0,IF(TableRefills3[[#This Row],[gap_days]]&gt;2,1,0))</f>
        <v>0</v>
      </c>
      <c r="I794">
        <f>_xlfn.MAXIFS(TableRefills3[discountinuation_flag], TableRefills3[patient_id], A794)</f>
        <v>1</v>
      </c>
    </row>
    <row r="795" spans="1:9" x14ac:dyDescent="0.25">
      <c r="A795" t="s">
        <v>1278</v>
      </c>
      <c r="B795" t="s">
        <v>1279</v>
      </c>
      <c r="C795" s="3">
        <v>45944</v>
      </c>
      <c r="D795">
        <v>21</v>
      </c>
      <c r="E795" s="3">
        <f t="shared" si="12"/>
        <v>45922</v>
      </c>
      <c r="F795" s="3">
        <f>IF(TableRefills3[[#This Row],[prev_refill_days]]="","",TableRefills3[[#This Row],[prev_refill_days]]+TableRefills3[[#This Row],[quantity_days]])</f>
        <v>45943</v>
      </c>
      <c r="G795">
        <f>IF(TableRefills3[[#This Row],[prev_refill_end]]="","",TableRefills3[[#This Row],[refill_date]]-TableRefills3[[#This Row],[prev_refill_end]])</f>
        <v>1</v>
      </c>
      <c r="H795" s="10">
        <f>IF(TableRefills3[[#This Row],[gap_days]]="",0,IF(TableRefills3[[#This Row],[gap_days]]&gt;2,1,0))</f>
        <v>0</v>
      </c>
      <c r="I795">
        <f>_xlfn.MAXIFS(TableRefills3[discountinuation_flag], TableRefills3[patient_id], A795)</f>
        <v>1</v>
      </c>
    </row>
    <row r="796" spans="1:9" x14ac:dyDescent="0.25">
      <c r="A796" t="s">
        <v>1285</v>
      </c>
      <c r="B796" t="s">
        <v>1286</v>
      </c>
      <c r="C796" s="3">
        <v>45897</v>
      </c>
      <c r="D796">
        <v>28</v>
      </c>
      <c r="E796" s="3" t="str">
        <f t="shared" si="12"/>
        <v/>
      </c>
      <c r="F796" s="3" t="str">
        <f>IF(TableRefills3[[#This Row],[prev_refill_days]]="","",TableRefills3[[#This Row],[prev_refill_days]]+TableRefills3[[#This Row],[quantity_days]])</f>
        <v/>
      </c>
      <c r="G796" t="str">
        <f>IF(TableRefills3[[#This Row],[prev_refill_end]]="","",TableRefills3[[#This Row],[refill_date]]-TableRefills3[[#This Row],[prev_refill_end]])</f>
        <v/>
      </c>
      <c r="H796" s="10">
        <f>IF(TableRefills3[[#This Row],[gap_days]]="",0,IF(TableRefills3[[#This Row],[gap_days]]&gt;2,1,0))</f>
        <v>0</v>
      </c>
      <c r="I796">
        <f>_xlfn.MAXIFS(TableRefills3[discountinuation_flag], TableRefills3[patient_id], A796)</f>
        <v>0</v>
      </c>
    </row>
    <row r="797" spans="1:9" x14ac:dyDescent="0.25">
      <c r="A797" t="s">
        <v>1285</v>
      </c>
      <c r="B797" t="s">
        <v>1286</v>
      </c>
      <c r="C797" s="3">
        <v>45925</v>
      </c>
      <c r="D797">
        <v>28</v>
      </c>
      <c r="E797" s="3">
        <f t="shared" si="12"/>
        <v>45897</v>
      </c>
      <c r="F797" s="3">
        <f>IF(TableRefills3[[#This Row],[prev_refill_days]]="","",TableRefills3[[#This Row],[prev_refill_days]]+TableRefills3[[#This Row],[quantity_days]])</f>
        <v>45925</v>
      </c>
      <c r="G797">
        <f>IF(TableRefills3[[#This Row],[prev_refill_end]]="","",TableRefills3[[#This Row],[refill_date]]-TableRefills3[[#This Row],[prev_refill_end]])</f>
        <v>0</v>
      </c>
      <c r="H797" s="10">
        <f>IF(TableRefills3[[#This Row],[gap_days]]="",0,IF(TableRefills3[[#This Row],[gap_days]]&gt;2,1,0))</f>
        <v>0</v>
      </c>
      <c r="I797">
        <f>_xlfn.MAXIFS(TableRefills3[discountinuation_flag], TableRefills3[patient_id], A797)</f>
        <v>0</v>
      </c>
    </row>
    <row r="798" spans="1:9" x14ac:dyDescent="0.25">
      <c r="A798" t="s">
        <v>1285</v>
      </c>
      <c r="B798" t="s">
        <v>1286</v>
      </c>
      <c r="C798" s="3">
        <v>45952</v>
      </c>
      <c r="D798">
        <v>28</v>
      </c>
      <c r="E798" s="3">
        <f t="shared" si="12"/>
        <v>45925</v>
      </c>
      <c r="F798" s="3">
        <f>IF(TableRefills3[[#This Row],[prev_refill_days]]="","",TableRefills3[[#This Row],[prev_refill_days]]+TableRefills3[[#This Row],[quantity_days]])</f>
        <v>45953</v>
      </c>
      <c r="G798">
        <f>IF(TableRefills3[[#This Row],[prev_refill_end]]="","",TableRefills3[[#This Row],[refill_date]]-TableRefills3[[#This Row],[prev_refill_end]])</f>
        <v>-1</v>
      </c>
      <c r="H798" s="10">
        <f>IF(TableRefills3[[#This Row],[gap_days]]="",0,IF(TableRefills3[[#This Row],[gap_days]]&gt;2,1,0))</f>
        <v>0</v>
      </c>
      <c r="I798">
        <f>_xlfn.MAXIFS(TableRefills3[discountinuation_flag], TableRefills3[patient_id], A798)</f>
        <v>0</v>
      </c>
    </row>
    <row r="799" spans="1:9" x14ac:dyDescent="0.25">
      <c r="A799" t="s">
        <v>1290</v>
      </c>
      <c r="B799" t="s">
        <v>1291</v>
      </c>
      <c r="C799" s="3">
        <v>45846</v>
      </c>
      <c r="D799">
        <v>30</v>
      </c>
      <c r="E799" s="3" t="str">
        <f t="shared" si="12"/>
        <v/>
      </c>
      <c r="F799" s="3" t="str">
        <f>IF(TableRefills3[[#This Row],[prev_refill_days]]="","",TableRefills3[[#This Row],[prev_refill_days]]+TableRefills3[[#This Row],[quantity_days]])</f>
        <v/>
      </c>
      <c r="G799" t="str">
        <f>IF(TableRefills3[[#This Row],[prev_refill_end]]="","",TableRefills3[[#This Row],[refill_date]]-TableRefills3[[#This Row],[prev_refill_end]])</f>
        <v/>
      </c>
      <c r="H799" s="10">
        <f>IF(TableRefills3[[#This Row],[gap_days]]="",0,IF(TableRefills3[[#This Row],[gap_days]]&gt;2,1,0))</f>
        <v>0</v>
      </c>
      <c r="I799">
        <f>_xlfn.MAXIFS(TableRefills3[discountinuation_flag], TableRefills3[patient_id], A799)</f>
        <v>0</v>
      </c>
    </row>
    <row r="800" spans="1:9" x14ac:dyDescent="0.25">
      <c r="A800" t="s">
        <v>1290</v>
      </c>
      <c r="B800" t="s">
        <v>1291</v>
      </c>
      <c r="C800" s="3">
        <v>45873</v>
      </c>
      <c r="D800">
        <v>30</v>
      </c>
      <c r="E800" s="3">
        <f t="shared" si="12"/>
        <v>45846</v>
      </c>
      <c r="F800" s="3">
        <f>IF(TableRefills3[[#This Row],[prev_refill_days]]="","",TableRefills3[[#This Row],[prev_refill_days]]+TableRefills3[[#This Row],[quantity_days]])</f>
        <v>45876</v>
      </c>
      <c r="G800">
        <f>IF(TableRefills3[[#This Row],[prev_refill_end]]="","",TableRefills3[[#This Row],[refill_date]]-TableRefills3[[#This Row],[prev_refill_end]])</f>
        <v>-3</v>
      </c>
      <c r="H800" s="10">
        <f>IF(TableRefills3[[#This Row],[gap_days]]="",0,IF(TableRefills3[[#This Row],[gap_days]]&gt;2,1,0))</f>
        <v>0</v>
      </c>
      <c r="I800">
        <f>_xlfn.MAXIFS(TableRefills3[discountinuation_flag], TableRefills3[patient_id], A800)</f>
        <v>0</v>
      </c>
    </row>
    <row r="801" spans="1:9" x14ac:dyDescent="0.25">
      <c r="A801" t="s">
        <v>1294</v>
      </c>
      <c r="B801" t="s">
        <v>1295</v>
      </c>
      <c r="C801" s="3">
        <v>45841</v>
      </c>
      <c r="D801">
        <v>28</v>
      </c>
      <c r="E801" s="3" t="str">
        <f t="shared" si="12"/>
        <v/>
      </c>
      <c r="F801" s="3" t="str">
        <f>IF(TableRefills3[[#This Row],[prev_refill_days]]="","",TableRefills3[[#This Row],[prev_refill_days]]+TableRefills3[[#This Row],[quantity_days]])</f>
        <v/>
      </c>
      <c r="G801" t="str">
        <f>IF(TableRefills3[[#This Row],[prev_refill_end]]="","",TableRefills3[[#This Row],[refill_date]]-TableRefills3[[#This Row],[prev_refill_end]])</f>
        <v/>
      </c>
      <c r="H801" s="10">
        <f>IF(TableRefills3[[#This Row],[gap_days]]="",0,IF(TableRefills3[[#This Row],[gap_days]]&gt;2,1,0))</f>
        <v>0</v>
      </c>
      <c r="I801">
        <f>_xlfn.MAXIFS(TableRefills3[discountinuation_flag], TableRefills3[patient_id], A801)</f>
        <v>1</v>
      </c>
    </row>
    <row r="802" spans="1:9" x14ac:dyDescent="0.25">
      <c r="A802" t="s">
        <v>1294</v>
      </c>
      <c r="B802" t="s">
        <v>1295</v>
      </c>
      <c r="C802" s="3">
        <v>45866</v>
      </c>
      <c r="D802">
        <v>28</v>
      </c>
      <c r="E802" s="3">
        <f t="shared" si="12"/>
        <v>45841</v>
      </c>
      <c r="F802" s="3">
        <f>IF(TableRefills3[[#This Row],[prev_refill_days]]="","",TableRefills3[[#This Row],[prev_refill_days]]+TableRefills3[[#This Row],[quantity_days]])</f>
        <v>45869</v>
      </c>
      <c r="G802">
        <f>IF(TableRefills3[[#This Row],[prev_refill_end]]="","",TableRefills3[[#This Row],[refill_date]]-TableRefills3[[#This Row],[prev_refill_end]])</f>
        <v>-3</v>
      </c>
      <c r="H802" s="10">
        <f>IF(TableRefills3[[#This Row],[gap_days]]="",0,IF(TableRefills3[[#This Row],[gap_days]]&gt;2,1,0))</f>
        <v>0</v>
      </c>
      <c r="I802">
        <f>_xlfn.MAXIFS(TableRefills3[discountinuation_flag], TableRefills3[patient_id], A802)</f>
        <v>1</v>
      </c>
    </row>
    <row r="803" spans="1:9" x14ac:dyDescent="0.25">
      <c r="A803" t="s">
        <v>1294</v>
      </c>
      <c r="B803" t="s">
        <v>1295</v>
      </c>
      <c r="C803" s="3">
        <v>45895</v>
      </c>
      <c r="D803">
        <v>28</v>
      </c>
      <c r="E803" s="3">
        <f t="shared" si="12"/>
        <v>45866</v>
      </c>
      <c r="F803" s="3">
        <f>IF(TableRefills3[[#This Row],[prev_refill_days]]="","",TableRefills3[[#This Row],[prev_refill_days]]+TableRefills3[[#This Row],[quantity_days]])</f>
        <v>45894</v>
      </c>
      <c r="G803">
        <f>IF(TableRefills3[[#This Row],[prev_refill_end]]="","",TableRefills3[[#This Row],[refill_date]]-TableRefills3[[#This Row],[prev_refill_end]])</f>
        <v>1</v>
      </c>
      <c r="H803" s="10">
        <f>IF(TableRefills3[[#This Row],[gap_days]]="",0,IF(TableRefills3[[#This Row],[gap_days]]&gt;2,1,0))</f>
        <v>0</v>
      </c>
      <c r="I803">
        <f>_xlfn.MAXIFS(TableRefills3[discountinuation_flag], TableRefills3[patient_id], A803)</f>
        <v>1</v>
      </c>
    </row>
    <row r="804" spans="1:9" x14ac:dyDescent="0.25">
      <c r="A804" t="s">
        <v>1294</v>
      </c>
      <c r="B804" t="s">
        <v>1295</v>
      </c>
      <c r="C804" s="3">
        <v>45926</v>
      </c>
      <c r="D804">
        <v>28</v>
      </c>
      <c r="E804" s="3">
        <f t="shared" si="12"/>
        <v>45895</v>
      </c>
      <c r="F804" s="3">
        <f>IF(TableRefills3[[#This Row],[prev_refill_days]]="","",TableRefills3[[#This Row],[prev_refill_days]]+TableRefills3[[#This Row],[quantity_days]])</f>
        <v>45923</v>
      </c>
      <c r="G804">
        <f>IF(TableRefills3[[#This Row],[prev_refill_end]]="","",TableRefills3[[#This Row],[refill_date]]-TableRefills3[[#This Row],[prev_refill_end]])</f>
        <v>3</v>
      </c>
      <c r="H804" s="10">
        <f>IF(TableRefills3[[#This Row],[gap_days]]="",0,IF(TableRefills3[[#This Row],[gap_days]]&gt;2,1,0))</f>
        <v>1</v>
      </c>
      <c r="I804">
        <f>_xlfn.MAXIFS(TableRefills3[discountinuation_flag], TableRefills3[patient_id], A804)</f>
        <v>1</v>
      </c>
    </row>
    <row r="805" spans="1:9" x14ac:dyDescent="0.25">
      <c r="A805" t="s">
        <v>1294</v>
      </c>
      <c r="B805" t="s">
        <v>1295</v>
      </c>
      <c r="C805" s="3">
        <v>45957</v>
      </c>
      <c r="D805">
        <v>28</v>
      </c>
      <c r="E805" s="3">
        <f t="shared" si="12"/>
        <v>45926</v>
      </c>
      <c r="F805" s="3">
        <f>IF(TableRefills3[[#This Row],[prev_refill_days]]="","",TableRefills3[[#This Row],[prev_refill_days]]+TableRefills3[[#This Row],[quantity_days]])</f>
        <v>45954</v>
      </c>
      <c r="G805">
        <f>IF(TableRefills3[[#This Row],[prev_refill_end]]="","",TableRefills3[[#This Row],[refill_date]]-TableRefills3[[#This Row],[prev_refill_end]])</f>
        <v>3</v>
      </c>
      <c r="H805" s="10">
        <f>IF(TableRefills3[[#This Row],[gap_days]]="",0,IF(TableRefills3[[#This Row],[gap_days]]&gt;2,1,0))</f>
        <v>1</v>
      </c>
      <c r="I805">
        <f>_xlfn.MAXIFS(TableRefills3[discountinuation_flag], TableRefills3[patient_id], A805)</f>
        <v>1</v>
      </c>
    </row>
    <row r="806" spans="1:9" x14ac:dyDescent="0.25">
      <c r="A806" t="s">
        <v>1301</v>
      </c>
      <c r="B806" t="s">
        <v>1302</v>
      </c>
      <c r="C806" s="3">
        <v>45802</v>
      </c>
      <c r="D806">
        <v>28</v>
      </c>
      <c r="E806" s="3" t="str">
        <f t="shared" si="12"/>
        <v/>
      </c>
      <c r="F806" s="3" t="str">
        <f>IF(TableRefills3[[#This Row],[prev_refill_days]]="","",TableRefills3[[#This Row],[prev_refill_days]]+TableRefills3[[#This Row],[quantity_days]])</f>
        <v/>
      </c>
      <c r="G806" t="str">
        <f>IF(TableRefills3[[#This Row],[prev_refill_end]]="","",TableRefills3[[#This Row],[refill_date]]-TableRefills3[[#This Row],[prev_refill_end]])</f>
        <v/>
      </c>
      <c r="H806" s="10">
        <f>IF(TableRefills3[[#This Row],[gap_days]]="",0,IF(TableRefills3[[#This Row],[gap_days]]&gt;2,1,0))</f>
        <v>0</v>
      </c>
      <c r="I806">
        <f>_xlfn.MAXIFS(TableRefills3[discountinuation_flag], TableRefills3[patient_id], A806)</f>
        <v>0</v>
      </c>
    </row>
    <row r="807" spans="1:9" x14ac:dyDescent="0.25">
      <c r="A807" t="s">
        <v>1301</v>
      </c>
      <c r="B807" t="s">
        <v>1302</v>
      </c>
      <c r="C807" s="3">
        <v>45831</v>
      </c>
      <c r="D807">
        <v>28</v>
      </c>
      <c r="E807" s="3">
        <f t="shared" si="12"/>
        <v>45802</v>
      </c>
      <c r="F807" s="3">
        <f>IF(TableRefills3[[#This Row],[prev_refill_days]]="","",TableRefills3[[#This Row],[prev_refill_days]]+TableRefills3[[#This Row],[quantity_days]])</f>
        <v>45830</v>
      </c>
      <c r="G807">
        <f>IF(TableRefills3[[#This Row],[prev_refill_end]]="","",TableRefills3[[#This Row],[refill_date]]-TableRefills3[[#This Row],[prev_refill_end]])</f>
        <v>1</v>
      </c>
      <c r="H807" s="10">
        <f>IF(TableRefills3[[#This Row],[gap_days]]="",0,IF(TableRefills3[[#This Row],[gap_days]]&gt;2,1,0))</f>
        <v>0</v>
      </c>
      <c r="I807">
        <f>_xlfn.MAXIFS(TableRefills3[discountinuation_flag], TableRefills3[patient_id], A807)</f>
        <v>0</v>
      </c>
    </row>
    <row r="808" spans="1:9" x14ac:dyDescent="0.25">
      <c r="A808" t="s">
        <v>1305</v>
      </c>
      <c r="B808" t="s">
        <v>1306</v>
      </c>
      <c r="C808" s="3">
        <v>45852</v>
      </c>
      <c r="D808">
        <v>56</v>
      </c>
      <c r="E808" s="3" t="str">
        <f t="shared" si="12"/>
        <v/>
      </c>
      <c r="F808" s="3" t="str">
        <f>IF(TableRefills3[[#This Row],[prev_refill_days]]="","",TableRefills3[[#This Row],[prev_refill_days]]+TableRefills3[[#This Row],[quantity_days]])</f>
        <v/>
      </c>
      <c r="G808" t="str">
        <f>IF(TableRefills3[[#This Row],[prev_refill_end]]="","",TableRefills3[[#This Row],[refill_date]]-TableRefills3[[#This Row],[prev_refill_end]])</f>
        <v/>
      </c>
      <c r="H808" s="10">
        <f>IF(TableRefills3[[#This Row],[gap_days]]="",0,IF(TableRefills3[[#This Row],[gap_days]]&gt;2,1,0))</f>
        <v>0</v>
      </c>
      <c r="I808">
        <f>_xlfn.MAXIFS(TableRefills3[discountinuation_flag], TableRefills3[patient_id], A808)</f>
        <v>0</v>
      </c>
    </row>
    <row r="809" spans="1:9" x14ac:dyDescent="0.25">
      <c r="A809" t="s">
        <v>1305</v>
      </c>
      <c r="B809" t="s">
        <v>1306</v>
      </c>
      <c r="C809" s="3">
        <v>45910</v>
      </c>
      <c r="D809">
        <v>56</v>
      </c>
      <c r="E809" s="3">
        <f t="shared" si="12"/>
        <v>45852</v>
      </c>
      <c r="F809" s="3">
        <f>IF(TableRefills3[[#This Row],[prev_refill_days]]="","",TableRefills3[[#This Row],[prev_refill_days]]+TableRefills3[[#This Row],[quantity_days]])</f>
        <v>45908</v>
      </c>
      <c r="G809">
        <f>IF(TableRefills3[[#This Row],[prev_refill_end]]="","",TableRefills3[[#This Row],[refill_date]]-TableRefills3[[#This Row],[prev_refill_end]])</f>
        <v>2</v>
      </c>
      <c r="H809" s="10">
        <f>IF(TableRefills3[[#This Row],[gap_days]]="",0,IF(TableRefills3[[#This Row],[gap_days]]&gt;2,1,0))</f>
        <v>0</v>
      </c>
      <c r="I809">
        <f>_xlfn.MAXIFS(TableRefills3[discountinuation_flag], TableRefills3[patient_id], A809)</f>
        <v>0</v>
      </c>
    </row>
    <row r="810" spans="1:9" x14ac:dyDescent="0.25">
      <c r="A810" t="s">
        <v>1309</v>
      </c>
      <c r="B810" t="s">
        <v>1310</v>
      </c>
      <c r="C810" s="3">
        <v>45935</v>
      </c>
      <c r="D810">
        <v>30</v>
      </c>
      <c r="E810" s="3" t="str">
        <f t="shared" si="12"/>
        <v/>
      </c>
      <c r="F810" s="3" t="str">
        <f>IF(TableRefills3[[#This Row],[prev_refill_days]]="","",TableRefills3[[#This Row],[prev_refill_days]]+TableRefills3[[#This Row],[quantity_days]])</f>
        <v/>
      </c>
      <c r="G810" t="str">
        <f>IF(TableRefills3[[#This Row],[prev_refill_end]]="","",TableRefills3[[#This Row],[refill_date]]-TableRefills3[[#This Row],[prev_refill_end]])</f>
        <v/>
      </c>
      <c r="H810" s="10">
        <f>IF(TableRefills3[[#This Row],[gap_days]]="",0,IF(TableRefills3[[#This Row],[gap_days]]&gt;2,1,0))</f>
        <v>0</v>
      </c>
      <c r="I810">
        <f>_xlfn.MAXIFS(TableRefills3[discountinuation_flag], TableRefills3[patient_id], A810)</f>
        <v>0</v>
      </c>
    </row>
    <row r="811" spans="1:9" x14ac:dyDescent="0.25">
      <c r="A811" t="s">
        <v>1312</v>
      </c>
      <c r="B811" t="s">
        <v>1313</v>
      </c>
      <c r="C811" s="3">
        <v>45841</v>
      </c>
      <c r="D811">
        <v>14</v>
      </c>
      <c r="E811" s="3" t="str">
        <f t="shared" si="12"/>
        <v/>
      </c>
      <c r="F811" s="3" t="str">
        <f>IF(TableRefills3[[#This Row],[prev_refill_days]]="","",TableRefills3[[#This Row],[prev_refill_days]]+TableRefills3[[#This Row],[quantity_days]])</f>
        <v/>
      </c>
      <c r="G811" t="str">
        <f>IF(TableRefills3[[#This Row],[prev_refill_end]]="","",TableRefills3[[#This Row],[refill_date]]-TableRefills3[[#This Row],[prev_refill_end]])</f>
        <v/>
      </c>
      <c r="H811" s="10">
        <f>IF(TableRefills3[[#This Row],[gap_days]]="",0,IF(TableRefills3[[#This Row],[gap_days]]&gt;2,1,0))</f>
        <v>0</v>
      </c>
      <c r="I811">
        <f>_xlfn.MAXIFS(TableRefills3[discountinuation_flag], TableRefills3[patient_id], A811)</f>
        <v>0</v>
      </c>
    </row>
    <row r="812" spans="1:9" x14ac:dyDescent="0.25">
      <c r="A812" t="s">
        <v>1312</v>
      </c>
      <c r="B812" t="s">
        <v>1313</v>
      </c>
      <c r="C812" s="3">
        <v>45853</v>
      </c>
      <c r="D812">
        <v>14</v>
      </c>
      <c r="E812" s="3">
        <f t="shared" si="12"/>
        <v>45841</v>
      </c>
      <c r="F812" s="3">
        <f>IF(TableRefills3[[#This Row],[prev_refill_days]]="","",TableRefills3[[#This Row],[prev_refill_days]]+TableRefills3[[#This Row],[quantity_days]])</f>
        <v>45855</v>
      </c>
      <c r="G812">
        <f>IF(TableRefills3[[#This Row],[prev_refill_end]]="","",TableRefills3[[#This Row],[refill_date]]-TableRefills3[[#This Row],[prev_refill_end]])</f>
        <v>-2</v>
      </c>
      <c r="H812" s="10">
        <f>IF(TableRefills3[[#This Row],[gap_days]]="",0,IF(TableRefills3[[#This Row],[gap_days]]&gt;2,1,0))</f>
        <v>0</v>
      </c>
      <c r="I812">
        <f>_xlfn.MAXIFS(TableRefills3[discountinuation_flag], TableRefills3[patient_id], A812)</f>
        <v>0</v>
      </c>
    </row>
    <row r="813" spans="1:9" x14ac:dyDescent="0.25">
      <c r="A813" t="s">
        <v>1312</v>
      </c>
      <c r="B813" t="s">
        <v>1313</v>
      </c>
      <c r="C813" s="3">
        <v>45867</v>
      </c>
      <c r="D813">
        <v>14</v>
      </c>
      <c r="E813" s="3">
        <f t="shared" si="12"/>
        <v>45853</v>
      </c>
      <c r="F813" s="3">
        <f>IF(TableRefills3[[#This Row],[prev_refill_days]]="","",TableRefills3[[#This Row],[prev_refill_days]]+TableRefills3[[#This Row],[quantity_days]])</f>
        <v>45867</v>
      </c>
      <c r="G813">
        <f>IF(TableRefills3[[#This Row],[prev_refill_end]]="","",TableRefills3[[#This Row],[refill_date]]-TableRefills3[[#This Row],[prev_refill_end]])</f>
        <v>0</v>
      </c>
      <c r="H813" s="10">
        <f>IF(TableRefills3[[#This Row],[gap_days]]="",0,IF(TableRefills3[[#This Row],[gap_days]]&gt;2,1,0))</f>
        <v>0</v>
      </c>
      <c r="I813">
        <f>_xlfn.MAXIFS(TableRefills3[discountinuation_flag], TableRefills3[patient_id], A813)</f>
        <v>0</v>
      </c>
    </row>
    <row r="814" spans="1:9" x14ac:dyDescent="0.25">
      <c r="A814" t="s">
        <v>1312</v>
      </c>
      <c r="B814" t="s">
        <v>1313</v>
      </c>
      <c r="C814" s="3">
        <v>45882</v>
      </c>
      <c r="D814">
        <v>14</v>
      </c>
      <c r="E814" s="3">
        <f t="shared" si="12"/>
        <v>45867</v>
      </c>
      <c r="F814" s="3">
        <f>IF(TableRefills3[[#This Row],[prev_refill_days]]="","",TableRefills3[[#This Row],[prev_refill_days]]+TableRefills3[[#This Row],[quantity_days]])</f>
        <v>45881</v>
      </c>
      <c r="G814">
        <f>IF(TableRefills3[[#This Row],[prev_refill_end]]="","",TableRefills3[[#This Row],[refill_date]]-TableRefills3[[#This Row],[prev_refill_end]])</f>
        <v>1</v>
      </c>
      <c r="H814" s="10">
        <f>IF(TableRefills3[[#This Row],[gap_days]]="",0,IF(TableRefills3[[#This Row],[gap_days]]&gt;2,1,0))</f>
        <v>0</v>
      </c>
      <c r="I814">
        <f>_xlfn.MAXIFS(TableRefills3[discountinuation_flag], TableRefills3[patient_id], A814)</f>
        <v>0</v>
      </c>
    </row>
    <row r="815" spans="1:9" x14ac:dyDescent="0.25">
      <c r="A815" t="s">
        <v>1312</v>
      </c>
      <c r="B815" t="s">
        <v>1313</v>
      </c>
      <c r="C815" s="3">
        <v>45897</v>
      </c>
      <c r="D815">
        <v>14</v>
      </c>
      <c r="E815" s="3">
        <f t="shared" si="12"/>
        <v>45882</v>
      </c>
      <c r="F815" s="3">
        <f>IF(TableRefills3[[#This Row],[prev_refill_days]]="","",TableRefills3[[#This Row],[prev_refill_days]]+TableRefills3[[#This Row],[quantity_days]])</f>
        <v>45896</v>
      </c>
      <c r="G815">
        <f>IF(TableRefills3[[#This Row],[prev_refill_end]]="","",TableRefills3[[#This Row],[refill_date]]-TableRefills3[[#This Row],[prev_refill_end]])</f>
        <v>1</v>
      </c>
      <c r="H815" s="10">
        <f>IF(TableRefills3[[#This Row],[gap_days]]="",0,IF(TableRefills3[[#This Row],[gap_days]]&gt;2,1,0))</f>
        <v>0</v>
      </c>
      <c r="I815">
        <f>_xlfn.MAXIFS(TableRefills3[discountinuation_flag], TableRefills3[patient_id], A815)</f>
        <v>0</v>
      </c>
    </row>
    <row r="816" spans="1:9" x14ac:dyDescent="0.25">
      <c r="A816" t="s">
        <v>1312</v>
      </c>
      <c r="B816" t="s">
        <v>1313</v>
      </c>
      <c r="C816" s="3">
        <v>45911</v>
      </c>
      <c r="D816">
        <v>14</v>
      </c>
      <c r="E816" s="3">
        <f t="shared" si="12"/>
        <v>45897</v>
      </c>
      <c r="F816" s="3">
        <f>IF(TableRefills3[[#This Row],[prev_refill_days]]="","",TableRefills3[[#This Row],[prev_refill_days]]+TableRefills3[[#This Row],[quantity_days]])</f>
        <v>45911</v>
      </c>
      <c r="G816">
        <f>IF(TableRefills3[[#This Row],[prev_refill_end]]="","",TableRefills3[[#This Row],[refill_date]]-TableRefills3[[#This Row],[prev_refill_end]])</f>
        <v>0</v>
      </c>
      <c r="H816" s="10">
        <f>IF(TableRefills3[[#This Row],[gap_days]]="",0,IF(TableRefills3[[#This Row],[gap_days]]&gt;2,1,0))</f>
        <v>0</v>
      </c>
      <c r="I816">
        <f>_xlfn.MAXIFS(TableRefills3[discountinuation_flag], TableRefills3[patient_id], A816)</f>
        <v>0</v>
      </c>
    </row>
    <row r="817" spans="1:9" x14ac:dyDescent="0.25">
      <c r="A817" t="s">
        <v>1312</v>
      </c>
      <c r="B817" t="s">
        <v>1313</v>
      </c>
      <c r="C817" s="3">
        <v>45927</v>
      </c>
      <c r="D817">
        <v>14</v>
      </c>
      <c r="E817" s="3">
        <f t="shared" si="12"/>
        <v>45911</v>
      </c>
      <c r="F817" s="3">
        <f>IF(TableRefills3[[#This Row],[prev_refill_days]]="","",TableRefills3[[#This Row],[prev_refill_days]]+TableRefills3[[#This Row],[quantity_days]])</f>
        <v>45925</v>
      </c>
      <c r="G817">
        <f>IF(TableRefills3[[#This Row],[prev_refill_end]]="","",TableRefills3[[#This Row],[refill_date]]-TableRefills3[[#This Row],[prev_refill_end]])</f>
        <v>2</v>
      </c>
      <c r="H817" s="10">
        <f>IF(TableRefills3[[#This Row],[gap_days]]="",0,IF(TableRefills3[[#This Row],[gap_days]]&gt;2,1,0))</f>
        <v>0</v>
      </c>
      <c r="I817">
        <f>_xlfn.MAXIFS(TableRefills3[discountinuation_flag], TableRefills3[patient_id], A817)</f>
        <v>0</v>
      </c>
    </row>
    <row r="818" spans="1:9" x14ac:dyDescent="0.25">
      <c r="A818" t="s">
        <v>1312</v>
      </c>
      <c r="B818" t="s">
        <v>1313</v>
      </c>
      <c r="C818" s="3">
        <v>45943</v>
      </c>
      <c r="D818">
        <v>14</v>
      </c>
      <c r="E818" s="3">
        <f t="shared" si="12"/>
        <v>45927</v>
      </c>
      <c r="F818" s="3">
        <f>IF(TableRefills3[[#This Row],[prev_refill_days]]="","",TableRefills3[[#This Row],[prev_refill_days]]+TableRefills3[[#This Row],[quantity_days]])</f>
        <v>45941</v>
      </c>
      <c r="G818">
        <f>IF(TableRefills3[[#This Row],[prev_refill_end]]="","",TableRefills3[[#This Row],[refill_date]]-TableRefills3[[#This Row],[prev_refill_end]])</f>
        <v>2</v>
      </c>
      <c r="H818" s="10">
        <f>IF(TableRefills3[[#This Row],[gap_days]]="",0,IF(TableRefills3[[#This Row],[gap_days]]&gt;2,1,0))</f>
        <v>0</v>
      </c>
      <c r="I818">
        <f>_xlfn.MAXIFS(TableRefills3[discountinuation_flag], TableRefills3[patient_id], A818)</f>
        <v>0</v>
      </c>
    </row>
    <row r="819" spans="1:9" x14ac:dyDescent="0.25">
      <c r="A819" t="s">
        <v>1312</v>
      </c>
      <c r="B819" t="s">
        <v>1313</v>
      </c>
      <c r="C819" s="3">
        <v>45954</v>
      </c>
      <c r="D819">
        <v>14</v>
      </c>
      <c r="E819" s="3">
        <f t="shared" si="12"/>
        <v>45943</v>
      </c>
      <c r="F819" s="3">
        <f>IF(TableRefills3[[#This Row],[prev_refill_days]]="","",TableRefills3[[#This Row],[prev_refill_days]]+TableRefills3[[#This Row],[quantity_days]])</f>
        <v>45957</v>
      </c>
      <c r="G819">
        <f>IF(TableRefills3[[#This Row],[prev_refill_end]]="","",TableRefills3[[#This Row],[refill_date]]-TableRefills3[[#This Row],[prev_refill_end]])</f>
        <v>-3</v>
      </c>
      <c r="H819" s="10">
        <f>IF(TableRefills3[[#This Row],[gap_days]]="",0,IF(TableRefills3[[#This Row],[gap_days]]&gt;2,1,0))</f>
        <v>0</v>
      </c>
      <c r="I819">
        <f>_xlfn.MAXIFS(TableRefills3[discountinuation_flag], TableRefills3[patient_id], A819)</f>
        <v>0</v>
      </c>
    </row>
    <row r="820" spans="1:9" x14ac:dyDescent="0.25">
      <c r="A820" t="s">
        <v>1323</v>
      </c>
      <c r="B820" t="s">
        <v>1324</v>
      </c>
      <c r="C820" s="3">
        <v>45861</v>
      </c>
      <c r="D820">
        <v>28</v>
      </c>
      <c r="E820" s="3" t="str">
        <f t="shared" si="12"/>
        <v/>
      </c>
      <c r="F820" s="3" t="str">
        <f>IF(TableRefills3[[#This Row],[prev_refill_days]]="","",TableRefills3[[#This Row],[prev_refill_days]]+TableRefills3[[#This Row],[quantity_days]])</f>
        <v/>
      </c>
      <c r="G820" t="str">
        <f>IF(TableRefills3[[#This Row],[prev_refill_end]]="","",TableRefills3[[#This Row],[refill_date]]-TableRefills3[[#This Row],[prev_refill_end]])</f>
        <v/>
      </c>
      <c r="H820" s="10">
        <f>IF(TableRefills3[[#This Row],[gap_days]]="",0,IF(TableRefills3[[#This Row],[gap_days]]&gt;2,1,0))</f>
        <v>0</v>
      </c>
      <c r="I820">
        <f>_xlfn.MAXIFS(TableRefills3[discountinuation_flag], TableRefills3[patient_id], A820)</f>
        <v>0</v>
      </c>
    </row>
    <row r="821" spans="1:9" x14ac:dyDescent="0.25">
      <c r="A821" t="s">
        <v>1326</v>
      </c>
      <c r="B821" t="s">
        <v>1327</v>
      </c>
      <c r="C821" s="3">
        <v>45858</v>
      </c>
      <c r="D821">
        <v>14</v>
      </c>
      <c r="E821" s="3" t="str">
        <f t="shared" si="12"/>
        <v/>
      </c>
      <c r="F821" s="3" t="str">
        <f>IF(TableRefills3[[#This Row],[prev_refill_days]]="","",TableRefills3[[#This Row],[prev_refill_days]]+TableRefills3[[#This Row],[quantity_days]])</f>
        <v/>
      </c>
      <c r="G821" t="str">
        <f>IF(TableRefills3[[#This Row],[prev_refill_end]]="","",TableRefills3[[#This Row],[refill_date]]-TableRefills3[[#This Row],[prev_refill_end]])</f>
        <v/>
      </c>
      <c r="H821" s="10">
        <f>IF(TableRefills3[[#This Row],[gap_days]]="",0,IF(TableRefills3[[#This Row],[gap_days]]&gt;2,1,0))</f>
        <v>0</v>
      </c>
      <c r="I821">
        <f>_xlfn.MAXIFS(TableRefills3[discountinuation_flag], TableRefills3[patient_id], A821)</f>
        <v>1</v>
      </c>
    </row>
    <row r="822" spans="1:9" x14ac:dyDescent="0.25">
      <c r="A822" t="s">
        <v>1326</v>
      </c>
      <c r="B822" t="s">
        <v>1327</v>
      </c>
      <c r="C822" s="3">
        <v>45871</v>
      </c>
      <c r="D822">
        <v>14</v>
      </c>
      <c r="E822" s="3">
        <f t="shared" si="12"/>
        <v>45858</v>
      </c>
      <c r="F822" s="3">
        <f>IF(TableRefills3[[#This Row],[prev_refill_days]]="","",TableRefills3[[#This Row],[prev_refill_days]]+TableRefills3[[#This Row],[quantity_days]])</f>
        <v>45872</v>
      </c>
      <c r="G822">
        <f>IF(TableRefills3[[#This Row],[prev_refill_end]]="","",TableRefills3[[#This Row],[refill_date]]-TableRefills3[[#This Row],[prev_refill_end]])</f>
        <v>-1</v>
      </c>
      <c r="H822" s="10">
        <f>IF(TableRefills3[[#This Row],[gap_days]]="",0,IF(TableRefills3[[#This Row],[gap_days]]&gt;2,1,0))</f>
        <v>0</v>
      </c>
      <c r="I822">
        <f>_xlfn.MAXIFS(TableRefills3[discountinuation_flag], TableRefills3[patient_id], A822)</f>
        <v>1</v>
      </c>
    </row>
    <row r="823" spans="1:9" x14ac:dyDescent="0.25">
      <c r="A823" t="s">
        <v>1326</v>
      </c>
      <c r="B823" t="s">
        <v>1327</v>
      </c>
      <c r="C823" s="3">
        <v>45888</v>
      </c>
      <c r="D823">
        <v>14</v>
      </c>
      <c r="E823" s="3">
        <f t="shared" si="12"/>
        <v>45871</v>
      </c>
      <c r="F823" s="3">
        <f>IF(TableRefills3[[#This Row],[prev_refill_days]]="","",TableRefills3[[#This Row],[prev_refill_days]]+TableRefills3[[#This Row],[quantity_days]])</f>
        <v>45885</v>
      </c>
      <c r="G823">
        <f>IF(TableRefills3[[#This Row],[prev_refill_end]]="","",TableRefills3[[#This Row],[refill_date]]-TableRefills3[[#This Row],[prev_refill_end]])</f>
        <v>3</v>
      </c>
      <c r="H823" s="10">
        <f>IF(TableRefills3[[#This Row],[gap_days]]="",0,IF(TableRefills3[[#This Row],[gap_days]]&gt;2,1,0))</f>
        <v>1</v>
      </c>
      <c r="I823">
        <f>_xlfn.MAXIFS(TableRefills3[discountinuation_flag], TableRefills3[patient_id], A823)</f>
        <v>1</v>
      </c>
    </row>
    <row r="824" spans="1:9" x14ac:dyDescent="0.25">
      <c r="A824" t="s">
        <v>1326</v>
      </c>
      <c r="B824" t="s">
        <v>1327</v>
      </c>
      <c r="C824" s="3">
        <v>45905</v>
      </c>
      <c r="D824">
        <v>14</v>
      </c>
      <c r="E824" s="3">
        <f t="shared" si="12"/>
        <v>45888</v>
      </c>
      <c r="F824" s="3">
        <f>IF(TableRefills3[[#This Row],[prev_refill_days]]="","",TableRefills3[[#This Row],[prev_refill_days]]+TableRefills3[[#This Row],[quantity_days]])</f>
        <v>45902</v>
      </c>
      <c r="G824">
        <f>IF(TableRefills3[[#This Row],[prev_refill_end]]="","",TableRefills3[[#This Row],[refill_date]]-TableRefills3[[#This Row],[prev_refill_end]])</f>
        <v>3</v>
      </c>
      <c r="H824" s="10">
        <f>IF(TableRefills3[[#This Row],[gap_days]]="",0,IF(TableRefills3[[#This Row],[gap_days]]&gt;2,1,0))</f>
        <v>1</v>
      </c>
      <c r="I824">
        <f>_xlfn.MAXIFS(TableRefills3[discountinuation_flag], TableRefills3[patient_id], A824)</f>
        <v>1</v>
      </c>
    </row>
    <row r="825" spans="1:9" x14ac:dyDescent="0.25">
      <c r="A825" t="s">
        <v>1326</v>
      </c>
      <c r="B825" t="s">
        <v>1327</v>
      </c>
      <c r="C825" s="3">
        <v>45920</v>
      </c>
      <c r="D825">
        <v>14</v>
      </c>
      <c r="E825" s="3">
        <f t="shared" si="12"/>
        <v>45905</v>
      </c>
      <c r="F825" s="3">
        <f>IF(TableRefills3[[#This Row],[prev_refill_days]]="","",TableRefills3[[#This Row],[prev_refill_days]]+TableRefills3[[#This Row],[quantity_days]])</f>
        <v>45919</v>
      </c>
      <c r="G825">
        <f>IF(TableRefills3[[#This Row],[prev_refill_end]]="","",TableRefills3[[#This Row],[refill_date]]-TableRefills3[[#This Row],[prev_refill_end]])</f>
        <v>1</v>
      </c>
      <c r="H825" s="10">
        <f>IF(TableRefills3[[#This Row],[gap_days]]="",0,IF(TableRefills3[[#This Row],[gap_days]]&gt;2,1,0))</f>
        <v>0</v>
      </c>
      <c r="I825">
        <f>_xlfn.MAXIFS(TableRefills3[discountinuation_flag], TableRefills3[patient_id], A825)</f>
        <v>1</v>
      </c>
    </row>
    <row r="826" spans="1:9" x14ac:dyDescent="0.25">
      <c r="A826" t="s">
        <v>1326</v>
      </c>
      <c r="B826" t="s">
        <v>1327</v>
      </c>
      <c r="C826" s="3">
        <v>45933</v>
      </c>
      <c r="D826">
        <v>14</v>
      </c>
      <c r="E826" s="3">
        <f t="shared" si="12"/>
        <v>45920</v>
      </c>
      <c r="F826" s="3">
        <f>IF(TableRefills3[[#This Row],[prev_refill_days]]="","",TableRefills3[[#This Row],[prev_refill_days]]+TableRefills3[[#This Row],[quantity_days]])</f>
        <v>45934</v>
      </c>
      <c r="G826">
        <f>IF(TableRefills3[[#This Row],[prev_refill_end]]="","",TableRefills3[[#This Row],[refill_date]]-TableRefills3[[#This Row],[prev_refill_end]])</f>
        <v>-1</v>
      </c>
      <c r="H826" s="10">
        <f>IF(TableRefills3[[#This Row],[gap_days]]="",0,IF(TableRefills3[[#This Row],[gap_days]]&gt;2,1,0))</f>
        <v>0</v>
      </c>
      <c r="I826">
        <f>_xlfn.MAXIFS(TableRefills3[discountinuation_flag], TableRefills3[patient_id], A826)</f>
        <v>1</v>
      </c>
    </row>
    <row r="827" spans="1:9" x14ac:dyDescent="0.25">
      <c r="A827" t="s">
        <v>1326</v>
      </c>
      <c r="B827" t="s">
        <v>1327</v>
      </c>
      <c r="C827" s="3">
        <v>45944</v>
      </c>
      <c r="D827">
        <v>14</v>
      </c>
      <c r="E827" s="3">
        <f t="shared" si="12"/>
        <v>45933</v>
      </c>
      <c r="F827" s="3">
        <f>IF(TableRefills3[[#This Row],[prev_refill_days]]="","",TableRefills3[[#This Row],[prev_refill_days]]+TableRefills3[[#This Row],[quantity_days]])</f>
        <v>45947</v>
      </c>
      <c r="G827">
        <f>IF(TableRefills3[[#This Row],[prev_refill_end]]="","",TableRefills3[[#This Row],[refill_date]]-TableRefills3[[#This Row],[prev_refill_end]])</f>
        <v>-3</v>
      </c>
      <c r="H827" s="10">
        <f>IF(TableRefills3[[#This Row],[gap_days]]="",0,IF(TableRefills3[[#This Row],[gap_days]]&gt;2,1,0))</f>
        <v>0</v>
      </c>
      <c r="I827">
        <f>_xlfn.MAXIFS(TableRefills3[discountinuation_flag], TableRefills3[patient_id], A827)</f>
        <v>1</v>
      </c>
    </row>
    <row r="828" spans="1:9" x14ac:dyDescent="0.25">
      <c r="A828" t="s">
        <v>1326</v>
      </c>
      <c r="B828" t="s">
        <v>1327</v>
      </c>
      <c r="C828" s="3">
        <v>45956</v>
      </c>
      <c r="D828">
        <v>14</v>
      </c>
      <c r="E828" s="3">
        <f t="shared" si="12"/>
        <v>45944</v>
      </c>
      <c r="F828" s="3">
        <f>IF(TableRefills3[[#This Row],[prev_refill_days]]="","",TableRefills3[[#This Row],[prev_refill_days]]+TableRefills3[[#This Row],[quantity_days]])</f>
        <v>45958</v>
      </c>
      <c r="G828">
        <f>IF(TableRefills3[[#This Row],[prev_refill_end]]="","",TableRefills3[[#This Row],[refill_date]]-TableRefills3[[#This Row],[prev_refill_end]])</f>
        <v>-2</v>
      </c>
      <c r="H828" s="10">
        <f>IF(TableRefills3[[#This Row],[gap_days]]="",0,IF(TableRefills3[[#This Row],[gap_days]]&gt;2,1,0))</f>
        <v>0</v>
      </c>
      <c r="I828">
        <f>_xlfn.MAXIFS(TableRefills3[discountinuation_flag], TableRefills3[patient_id], A828)</f>
        <v>1</v>
      </c>
    </row>
    <row r="829" spans="1:9" x14ac:dyDescent="0.25">
      <c r="A829" t="s">
        <v>1336</v>
      </c>
      <c r="B829" t="s">
        <v>1337</v>
      </c>
      <c r="C829" s="3">
        <v>45818</v>
      </c>
      <c r="D829">
        <v>28</v>
      </c>
      <c r="E829" s="3" t="str">
        <f t="shared" si="12"/>
        <v/>
      </c>
      <c r="F829" s="3" t="str">
        <f>IF(TableRefills3[[#This Row],[prev_refill_days]]="","",TableRefills3[[#This Row],[prev_refill_days]]+TableRefills3[[#This Row],[quantity_days]])</f>
        <v/>
      </c>
      <c r="G829" t="str">
        <f>IF(TableRefills3[[#This Row],[prev_refill_end]]="","",TableRefills3[[#This Row],[refill_date]]-TableRefills3[[#This Row],[prev_refill_end]])</f>
        <v/>
      </c>
      <c r="H829" s="10">
        <f>IF(TableRefills3[[#This Row],[gap_days]]="",0,IF(TableRefills3[[#This Row],[gap_days]]&gt;2,1,0))</f>
        <v>0</v>
      </c>
      <c r="I829">
        <f>_xlfn.MAXIFS(TableRefills3[discountinuation_flag], TableRefills3[patient_id], A829)</f>
        <v>0</v>
      </c>
    </row>
    <row r="830" spans="1:9" x14ac:dyDescent="0.25">
      <c r="A830" t="s">
        <v>1336</v>
      </c>
      <c r="B830" t="s">
        <v>1337</v>
      </c>
      <c r="C830" s="3">
        <v>45848</v>
      </c>
      <c r="D830">
        <v>28</v>
      </c>
      <c r="E830" s="3">
        <f t="shared" si="12"/>
        <v>45818</v>
      </c>
      <c r="F830" s="3">
        <f>IF(TableRefills3[[#This Row],[prev_refill_days]]="","",TableRefills3[[#This Row],[prev_refill_days]]+TableRefills3[[#This Row],[quantity_days]])</f>
        <v>45846</v>
      </c>
      <c r="G830">
        <f>IF(TableRefills3[[#This Row],[prev_refill_end]]="","",TableRefills3[[#This Row],[refill_date]]-TableRefills3[[#This Row],[prev_refill_end]])</f>
        <v>2</v>
      </c>
      <c r="H830" s="10">
        <f>IF(TableRefills3[[#This Row],[gap_days]]="",0,IF(TableRefills3[[#This Row],[gap_days]]&gt;2,1,0))</f>
        <v>0</v>
      </c>
      <c r="I830">
        <f>_xlfn.MAXIFS(TableRefills3[discountinuation_flag], TableRefills3[patient_id], A830)</f>
        <v>0</v>
      </c>
    </row>
    <row r="831" spans="1:9" x14ac:dyDescent="0.25">
      <c r="A831" t="s">
        <v>1336</v>
      </c>
      <c r="B831" t="s">
        <v>1337</v>
      </c>
      <c r="C831" s="3">
        <v>45878</v>
      </c>
      <c r="D831">
        <v>28</v>
      </c>
      <c r="E831" s="3">
        <f t="shared" si="12"/>
        <v>45848</v>
      </c>
      <c r="F831" s="3">
        <f>IF(TableRefills3[[#This Row],[prev_refill_days]]="","",TableRefills3[[#This Row],[prev_refill_days]]+TableRefills3[[#This Row],[quantity_days]])</f>
        <v>45876</v>
      </c>
      <c r="G831">
        <f>IF(TableRefills3[[#This Row],[prev_refill_end]]="","",TableRefills3[[#This Row],[refill_date]]-TableRefills3[[#This Row],[prev_refill_end]])</f>
        <v>2</v>
      </c>
      <c r="H831" s="10">
        <f>IF(TableRefills3[[#This Row],[gap_days]]="",0,IF(TableRefills3[[#This Row],[gap_days]]&gt;2,1,0))</f>
        <v>0</v>
      </c>
      <c r="I831">
        <f>_xlfn.MAXIFS(TableRefills3[discountinuation_flag], TableRefills3[patient_id], A831)</f>
        <v>0</v>
      </c>
    </row>
    <row r="832" spans="1:9" x14ac:dyDescent="0.25">
      <c r="A832" t="s">
        <v>1336</v>
      </c>
      <c r="B832" t="s">
        <v>1337</v>
      </c>
      <c r="C832" s="3">
        <v>45903</v>
      </c>
      <c r="D832">
        <v>28</v>
      </c>
      <c r="E832" s="3">
        <f t="shared" si="12"/>
        <v>45878</v>
      </c>
      <c r="F832" s="3">
        <f>IF(TableRefills3[[#This Row],[prev_refill_days]]="","",TableRefills3[[#This Row],[prev_refill_days]]+TableRefills3[[#This Row],[quantity_days]])</f>
        <v>45906</v>
      </c>
      <c r="G832">
        <f>IF(TableRefills3[[#This Row],[prev_refill_end]]="","",TableRefills3[[#This Row],[refill_date]]-TableRefills3[[#This Row],[prev_refill_end]])</f>
        <v>-3</v>
      </c>
      <c r="H832" s="10">
        <f>IF(TableRefills3[[#This Row],[gap_days]]="",0,IF(TableRefills3[[#This Row],[gap_days]]&gt;2,1,0))</f>
        <v>0</v>
      </c>
      <c r="I832">
        <f>_xlfn.MAXIFS(TableRefills3[discountinuation_flag], TableRefills3[patient_id], A832)</f>
        <v>0</v>
      </c>
    </row>
    <row r="833" spans="1:9" x14ac:dyDescent="0.25">
      <c r="A833" t="s">
        <v>1336</v>
      </c>
      <c r="B833" t="s">
        <v>1337</v>
      </c>
      <c r="C833" s="3">
        <v>45932</v>
      </c>
      <c r="D833">
        <v>28</v>
      </c>
      <c r="E833" s="3">
        <f t="shared" si="12"/>
        <v>45903</v>
      </c>
      <c r="F833" s="3">
        <f>IF(TableRefills3[[#This Row],[prev_refill_days]]="","",TableRefills3[[#This Row],[prev_refill_days]]+TableRefills3[[#This Row],[quantity_days]])</f>
        <v>45931</v>
      </c>
      <c r="G833">
        <f>IF(TableRefills3[[#This Row],[prev_refill_end]]="","",TableRefills3[[#This Row],[refill_date]]-TableRefills3[[#This Row],[prev_refill_end]])</f>
        <v>1</v>
      </c>
      <c r="H833" s="10">
        <f>IF(TableRefills3[[#This Row],[gap_days]]="",0,IF(TableRefills3[[#This Row],[gap_days]]&gt;2,1,0))</f>
        <v>0</v>
      </c>
      <c r="I833">
        <f>_xlfn.MAXIFS(TableRefills3[discountinuation_flag], TableRefills3[patient_id], A833)</f>
        <v>0</v>
      </c>
    </row>
    <row r="834" spans="1:9" x14ac:dyDescent="0.25">
      <c r="A834" t="s">
        <v>1336</v>
      </c>
      <c r="B834" t="s">
        <v>1337</v>
      </c>
      <c r="C834" s="3">
        <v>45958</v>
      </c>
      <c r="D834">
        <v>28</v>
      </c>
      <c r="E834" s="3">
        <f t="shared" ref="E834:E897" si="13">IF(A833=A834,C833,"")</f>
        <v>45932</v>
      </c>
      <c r="F834" s="3">
        <f>IF(TableRefills3[[#This Row],[prev_refill_days]]="","",TableRefills3[[#This Row],[prev_refill_days]]+TableRefills3[[#This Row],[quantity_days]])</f>
        <v>45960</v>
      </c>
      <c r="G834">
        <f>IF(TableRefills3[[#This Row],[prev_refill_end]]="","",TableRefills3[[#This Row],[refill_date]]-TableRefills3[[#This Row],[prev_refill_end]])</f>
        <v>-2</v>
      </c>
      <c r="H834" s="10">
        <f>IF(TableRefills3[[#This Row],[gap_days]]="",0,IF(TableRefills3[[#This Row],[gap_days]]&gt;2,1,0))</f>
        <v>0</v>
      </c>
      <c r="I834">
        <f>_xlfn.MAXIFS(TableRefills3[discountinuation_flag], TableRefills3[patient_id], A834)</f>
        <v>0</v>
      </c>
    </row>
    <row r="835" spans="1:9" x14ac:dyDescent="0.25">
      <c r="A835" t="s">
        <v>1344</v>
      </c>
      <c r="B835" t="s">
        <v>1345</v>
      </c>
      <c r="C835" s="3">
        <v>45909</v>
      </c>
      <c r="D835">
        <v>28</v>
      </c>
      <c r="E835" s="3" t="str">
        <f t="shared" si="13"/>
        <v/>
      </c>
      <c r="F835" s="3" t="str">
        <f>IF(TableRefills3[[#This Row],[prev_refill_days]]="","",TableRefills3[[#This Row],[prev_refill_days]]+TableRefills3[[#This Row],[quantity_days]])</f>
        <v/>
      </c>
      <c r="G835" t="str">
        <f>IF(TableRefills3[[#This Row],[prev_refill_end]]="","",TableRefills3[[#This Row],[refill_date]]-TableRefills3[[#This Row],[prev_refill_end]])</f>
        <v/>
      </c>
      <c r="H835" s="10">
        <f>IF(TableRefills3[[#This Row],[gap_days]]="",0,IF(TableRefills3[[#This Row],[gap_days]]&gt;2,1,0))</f>
        <v>0</v>
      </c>
      <c r="I835">
        <f>_xlfn.MAXIFS(TableRefills3[discountinuation_flag], TableRefills3[patient_id], A835)</f>
        <v>0</v>
      </c>
    </row>
    <row r="836" spans="1:9" x14ac:dyDescent="0.25">
      <c r="A836" t="s">
        <v>1344</v>
      </c>
      <c r="B836" t="s">
        <v>1345</v>
      </c>
      <c r="C836" s="3">
        <v>45935</v>
      </c>
      <c r="D836">
        <v>28</v>
      </c>
      <c r="E836" s="3">
        <f t="shared" si="13"/>
        <v>45909</v>
      </c>
      <c r="F836" s="3">
        <f>IF(TableRefills3[[#This Row],[prev_refill_days]]="","",TableRefills3[[#This Row],[prev_refill_days]]+TableRefills3[[#This Row],[quantity_days]])</f>
        <v>45937</v>
      </c>
      <c r="G836">
        <f>IF(TableRefills3[[#This Row],[prev_refill_end]]="","",TableRefills3[[#This Row],[refill_date]]-TableRefills3[[#This Row],[prev_refill_end]])</f>
        <v>-2</v>
      </c>
      <c r="H836" s="10">
        <f>IF(TableRefills3[[#This Row],[gap_days]]="",0,IF(TableRefills3[[#This Row],[gap_days]]&gt;2,1,0))</f>
        <v>0</v>
      </c>
      <c r="I836">
        <f>_xlfn.MAXIFS(TableRefills3[discountinuation_flag], TableRefills3[patient_id], A836)</f>
        <v>0</v>
      </c>
    </row>
    <row r="837" spans="1:9" x14ac:dyDescent="0.25">
      <c r="A837" t="s">
        <v>1348</v>
      </c>
      <c r="B837" t="s">
        <v>1349</v>
      </c>
      <c r="C837" s="3">
        <v>45905</v>
      </c>
      <c r="D837">
        <v>56</v>
      </c>
      <c r="E837" s="3" t="str">
        <f t="shared" si="13"/>
        <v/>
      </c>
      <c r="F837" s="3" t="str">
        <f>IF(TableRefills3[[#This Row],[prev_refill_days]]="","",TableRefills3[[#This Row],[prev_refill_days]]+TableRefills3[[#This Row],[quantity_days]])</f>
        <v/>
      </c>
      <c r="G837" t="str">
        <f>IF(TableRefills3[[#This Row],[prev_refill_end]]="","",TableRefills3[[#This Row],[refill_date]]-TableRefills3[[#This Row],[prev_refill_end]])</f>
        <v/>
      </c>
      <c r="H837" s="10">
        <f>IF(TableRefills3[[#This Row],[gap_days]]="",0,IF(TableRefills3[[#This Row],[gap_days]]&gt;2,1,0))</f>
        <v>0</v>
      </c>
      <c r="I837">
        <f>_xlfn.MAXIFS(TableRefills3[discountinuation_flag], TableRefills3[patient_id], A837)</f>
        <v>0</v>
      </c>
    </row>
    <row r="838" spans="1:9" x14ac:dyDescent="0.25">
      <c r="A838" t="s">
        <v>1348</v>
      </c>
      <c r="B838" t="s">
        <v>1349</v>
      </c>
      <c r="C838" s="3">
        <v>45959</v>
      </c>
      <c r="D838">
        <v>56</v>
      </c>
      <c r="E838" s="3">
        <f t="shared" si="13"/>
        <v>45905</v>
      </c>
      <c r="F838" s="3">
        <f>IF(TableRefills3[[#This Row],[prev_refill_days]]="","",TableRefills3[[#This Row],[prev_refill_days]]+TableRefills3[[#This Row],[quantity_days]])</f>
        <v>45961</v>
      </c>
      <c r="G838">
        <f>IF(TableRefills3[[#This Row],[prev_refill_end]]="","",TableRefills3[[#This Row],[refill_date]]-TableRefills3[[#This Row],[prev_refill_end]])</f>
        <v>-2</v>
      </c>
      <c r="H838" s="10">
        <f>IF(TableRefills3[[#This Row],[gap_days]]="",0,IF(TableRefills3[[#This Row],[gap_days]]&gt;2,1,0))</f>
        <v>0</v>
      </c>
      <c r="I838">
        <f>_xlfn.MAXIFS(TableRefills3[discountinuation_flag], TableRefills3[patient_id], A838)</f>
        <v>0</v>
      </c>
    </row>
    <row r="839" spans="1:9" x14ac:dyDescent="0.25">
      <c r="A839" t="s">
        <v>1352</v>
      </c>
      <c r="B839" t="s">
        <v>1353</v>
      </c>
      <c r="C839" s="3">
        <v>45905</v>
      </c>
      <c r="D839">
        <v>28</v>
      </c>
      <c r="E839" s="3" t="str">
        <f t="shared" si="13"/>
        <v/>
      </c>
      <c r="F839" s="3" t="str">
        <f>IF(TableRefills3[[#This Row],[prev_refill_days]]="","",TableRefills3[[#This Row],[prev_refill_days]]+TableRefills3[[#This Row],[quantity_days]])</f>
        <v/>
      </c>
      <c r="G839" t="str">
        <f>IF(TableRefills3[[#This Row],[prev_refill_end]]="","",TableRefills3[[#This Row],[refill_date]]-TableRefills3[[#This Row],[prev_refill_end]])</f>
        <v/>
      </c>
      <c r="H839" s="10">
        <f>IF(TableRefills3[[#This Row],[gap_days]]="",0,IF(TableRefills3[[#This Row],[gap_days]]&gt;2,1,0))</f>
        <v>0</v>
      </c>
      <c r="I839">
        <f>_xlfn.MAXIFS(TableRefills3[discountinuation_flag], TableRefills3[patient_id], A839)</f>
        <v>1</v>
      </c>
    </row>
    <row r="840" spans="1:9" x14ac:dyDescent="0.25">
      <c r="A840" t="s">
        <v>1352</v>
      </c>
      <c r="B840" t="s">
        <v>1353</v>
      </c>
      <c r="C840" s="3">
        <v>45936</v>
      </c>
      <c r="D840">
        <v>28</v>
      </c>
      <c r="E840" s="3">
        <f t="shared" si="13"/>
        <v>45905</v>
      </c>
      <c r="F840" s="3">
        <f>IF(TableRefills3[[#This Row],[prev_refill_days]]="","",TableRefills3[[#This Row],[prev_refill_days]]+TableRefills3[[#This Row],[quantity_days]])</f>
        <v>45933</v>
      </c>
      <c r="G840">
        <f>IF(TableRefills3[[#This Row],[prev_refill_end]]="","",TableRefills3[[#This Row],[refill_date]]-TableRefills3[[#This Row],[prev_refill_end]])</f>
        <v>3</v>
      </c>
      <c r="H840" s="10">
        <f>IF(TableRefills3[[#This Row],[gap_days]]="",0,IF(TableRefills3[[#This Row],[gap_days]]&gt;2,1,0))</f>
        <v>1</v>
      </c>
      <c r="I840">
        <f>_xlfn.MAXIFS(TableRefills3[discountinuation_flag], TableRefills3[patient_id], A840)</f>
        <v>1</v>
      </c>
    </row>
    <row r="841" spans="1:9" x14ac:dyDescent="0.25">
      <c r="A841" t="s">
        <v>1352</v>
      </c>
      <c r="B841" t="s">
        <v>1353</v>
      </c>
      <c r="C841" s="3">
        <v>45961</v>
      </c>
      <c r="D841">
        <v>28</v>
      </c>
      <c r="E841" s="3">
        <f t="shared" si="13"/>
        <v>45936</v>
      </c>
      <c r="F841" s="3">
        <f>IF(TableRefills3[[#This Row],[prev_refill_days]]="","",TableRefills3[[#This Row],[prev_refill_days]]+TableRefills3[[#This Row],[quantity_days]])</f>
        <v>45964</v>
      </c>
      <c r="G841">
        <f>IF(TableRefills3[[#This Row],[prev_refill_end]]="","",TableRefills3[[#This Row],[refill_date]]-TableRefills3[[#This Row],[prev_refill_end]])</f>
        <v>-3</v>
      </c>
      <c r="H841" s="10">
        <f>IF(TableRefills3[[#This Row],[gap_days]]="",0,IF(TableRefills3[[#This Row],[gap_days]]&gt;2,1,0))</f>
        <v>0</v>
      </c>
      <c r="I841">
        <f>_xlfn.MAXIFS(TableRefills3[discountinuation_flag], TableRefills3[patient_id], A841)</f>
        <v>1</v>
      </c>
    </row>
    <row r="842" spans="1:9" x14ac:dyDescent="0.25">
      <c r="A842" t="s">
        <v>1357</v>
      </c>
      <c r="B842" t="s">
        <v>1358</v>
      </c>
      <c r="C842" s="3">
        <v>45801</v>
      </c>
      <c r="D842">
        <v>28</v>
      </c>
      <c r="E842" s="3" t="str">
        <f t="shared" si="13"/>
        <v/>
      </c>
      <c r="F842" s="3" t="str">
        <f>IF(TableRefills3[[#This Row],[prev_refill_days]]="","",TableRefills3[[#This Row],[prev_refill_days]]+TableRefills3[[#This Row],[quantity_days]])</f>
        <v/>
      </c>
      <c r="G842" t="str">
        <f>IF(TableRefills3[[#This Row],[prev_refill_end]]="","",TableRefills3[[#This Row],[refill_date]]-TableRefills3[[#This Row],[prev_refill_end]])</f>
        <v/>
      </c>
      <c r="H842" s="10">
        <f>IF(TableRefills3[[#This Row],[gap_days]]="",0,IF(TableRefills3[[#This Row],[gap_days]]&gt;2,1,0))</f>
        <v>0</v>
      </c>
      <c r="I842">
        <f>_xlfn.MAXIFS(TableRefills3[discountinuation_flag], TableRefills3[patient_id], A842)</f>
        <v>0</v>
      </c>
    </row>
    <row r="843" spans="1:9" x14ac:dyDescent="0.25">
      <c r="A843" t="s">
        <v>1357</v>
      </c>
      <c r="B843" t="s">
        <v>1358</v>
      </c>
      <c r="C843" s="3">
        <v>45831</v>
      </c>
      <c r="D843">
        <v>28</v>
      </c>
      <c r="E843" s="3">
        <f t="shared" si="13"/>
        <v>45801</v>
      </c>
      <c r="F843" s="3">
        <f>IF(TableRefills3[[#This Row],[prev_refill_days]]="","",TableRefills3[[#This Row],[prev_refill_days]]+TableRefills3[[#This Row],[quantity_days]])</f>
        <v>45829</v>
      </c>
      <c r="G843">
        <f>IF(TableRefills3[[#This Row],[prev_refill_end]]="","",TableRefills3[[#This Row],[refill_date]]-TableRefills3[[#This Row],[prev_refill_end]])</f>
        <v>2</v>
      </c>
      <c r="H843" s="10">
        <f>IF(TableRefills3[[#This Row],[gap_days]]="",0,IF(TableRefills3[[#This Row],[gap_days]]&gt;2,1,0))</f>
        <v>0</v>
      </c>
      <c r="I843">
        <f>_xlfn.MAXIFS(TableRefills3[discountinuation_flag], TableRefills3[patient_id], A843)</f>
        <v>0</v>
      </c>
    </row>
    <row r="844" spans="1:9" x14ac:dyDescent="0.25">
      <c r="A844" t="s">
        <v>1357</v>
      </c>
      <c r="B844" t="s">
        <v>1358</v>
      </c>
      <c r="C844" s="3">
        <v>45856</v>
      </c>
      <c r="D844">
        <v>28</v>
      </c>
      <c r="E844" s="3">
        <f t="shared" si="13"/>
        <v>45831</v>
      </c>
      <c r="F844" s="3">
        <f>IF(TableRefills3[[#This Row],[prev_refill_days]]="","",TableRefills3[[#This Row],[prev_refill_days]]+TableRefills3[[#This Row],[quantity_days]])</f>
        <v>45859</v>
      </c>
      <c r="G844">
        <f>IF(TableRefills3[[#This Row],[prev_refill_end]]="","",TableRefills3[[#This Row],[refill_date]]-TableRefills3[[#This Row],[prev_refill_end]])</f>
        <v>-3</v>
      </c>
      <c r="H844" s="10">
        <f>IF(TableRefills3[[#This Row],[gap_days]]="",0,IF(TableRefills3[[#This Row],[gap_days]]&gt;2,1,0))</f>
        <v>0</v>
      </c>
      <c r="I844">
        <f>_xlfn.MAXIFS(TableRefills3[discountinuation_flag], TableRefills3[patient_id], A844)</f>
        <v>0</v>
      </c>
    </row>
    <row r="845" spans="1:9" x14ac:dyDescent="0.25">
      <c r="A845" t="s">
        <v>1357</v>
      </c>
      <c r="B845" t="s">
        <v>1358</v>
      </c>
      <c r="C845" s="3">
        <v>45884</v>
      </c>
      <c r="D845">
        <v>28</v>
      </c>
      <c r="E845" s="3">
        <f t="shared" si="13"/>
        <v>45856</v>
      </c>
      <c r="F845" s="3">
        <f>IF(TableRefills3[[#This Row],[prev_refill_days]]="","",TableRefills3[[#This Row],[prev_refill_days]]+TableRefills3[[#This Row],[quantity_days]])</f>
        <v>45884</v>
      </c>
      <c r="G845">
        <f>IF(TableRefills3[[#This Row],[prev_refill_end]]="","",TableRefills3[[#This Row],[refill_date]]-TableRefills3[[#This Row],[prev_refill_end]])</f>
        <v>0</v>
      </c>
      <c r="H845" s="10">
        <f>IF(TableRefills3[[#This Row],[gap_days]]="",0,IF(TableRefills3[[#This Row],[gap_days]]&gt;2,1,0))</f>
        <v>0</v>
      </c>
      <c r="I845">
        <f>_xlfn.MAXIFS(TableRefills3[discountinuation_flag], TableRefills3[patient_id], A845)</f>
        <v>0</v>
      </c>
    </row>
    <row r="846" spans="1:9" x14ac:dyDescent="0.25">
      <c r="A846" t="s">
        <v>1357</v>
      </c>
      <c r="B846" t="s">
        <v>1358</v>
      </c>
      <c r="C846" s="3">
        <v>45914</v>
      </c>
      <c r="D846">
        <v>28</v>
      </c>
      <c r="E846" s="3">
        <f t="shared" si="13"/>
        <v>45884</v>
      </c>
      <c r="F846" s="3">
        <f>IF(TableRefills3[[#This Row],[prev_refill_days]]="","",TableRefills3[[#This Row],[prev_refill_days]]+TableRefills3[[#This Row],[quantity_days]])</f>
        <v>45912</v>
      </c>
      <c r="G846">
        <f>IF(TableRefills3[[#This Row],[prev_refill_end]]="","",TableRefills3[[#This Row],[refill_date]]-TableRefills3[[#This Row],[prev_refill_end]])</f>
        <v>2</v>
      </c>
      <c r="H846" s="10">
        <f>IF(TableRefills3[[#This Row],[gap_days]]="",0,IF(TableRefills3[[#This Row],[gap_days]]&gt;2,1,0))</f>
        <v>0</v>
      </c>
      <c r="I846">
        <f>_xlfn.MAXIFS(TableRefills3[discountinuation_flag], TableRefills3[patient_id], A846)</f>
        <v>0</v>
      </c>
    </row>
    <row r="847" spans="1:9" x14ac:dyDescent="0.25">
      <c r="A847" t="s">
        <v>1357</v>
      </c>
      <c r="B847" t="s">
        <v>1358</v>
      </c>
      <c r="C847" s="3">
        <v>45943</v>
      </c>
      <c r="D847">
        <v>28</v>
      </c>
      <c r="E847" s="3">
        <f t="shared" si="13"/>
        <v>45914</v>
      </c>
      <c r="F847" s="3">
        <f>IF(TableRefills3[[#This Row],[prev_refill_days]]="","",TableRefills3[[#This Row],[prev_refill_days]]+TableRefills3[[#This Row],[quantity_days]])</f>
        <v>45942</v>
      </c>
      <c r="G847">
        <f>IF(TableRefills3[[#This Row],[prev_refill_end]]="","",TableRefills3[[#This Row],[refill_date]]-TableRefills3[[#This Row],[prev_refill_end]])</f>
        <v>1</v>
      </c>
      <c r="H847" s="10">
        <f>IF(TableRefills3[[#This Row],[gap_days]]="",0,IF(TableRefills3[[#This Row],[gap_days]]&gt;2,1,0))</f>
        <v>0</v>
      </c>
      <c r="I847">
        <f>_xlfn.MAXIFS(TableRefills3[discountinuation_flag], TableRefills3[patient_id], A847)</f>
        <v>0</v>
      </c>
    </row>
    <row r="848" spans="1:9" x14ac:dyDescent="0.25">
      <c r="A848" t="s">
        <v>1365</v>
      </c>
      <c r="B848" t="s">
        <v>1366</v>
      </c>
      <c r="C848" s="3">
        <v>45907</v>
      </c>
      <c r="D848">
        <v>30</v>
      </c>
      <c r="E848" s="3" t="str">
        <f t="shared" si="13"/>
        <v/>
      </c>
      <c r="F848" s="3" t="str">
        <f>IF(TableRefills3[[#This Row],[prev_refill_days]]="","",TableRefills3[[#This Row],[prev_refill_days]]+TableRefills3[[#This Row],[quantity_days]])</f>
        <v/>
      </c>
      <c r="G848" t="str">
        <f>IF(TableRefills3[[#This Row],[prev_refill_end]]="","",TableRefills3[[#This Row],[refill_date]]-TableRefills3[[#This Row],[prev_refill_end]])</f>
        <v/>
      </c>
      <c r="H848" s="10">
        <f>IF(TableRefills3[[#This Row],[gap_days]]="",0,IF(TableRefills3[[#This Row],[gap_days]]&gt;2,1,0))</f>
        <v>0</v>
      </c>
      <c r="I848">
        <f>_xlfn.MAXIFS(TableRefills3[discountinuation_flag], TableRefills3[patient_id], A848)</f>
        <v>0</v>
      </c>
    </row>
    <row r="849" spans="1:9" x14ac:dyDescent="0.25">
      <c r="A849" t="s">
        <v>1365</v>
      </c>
      <c r="B849" t="s">
        <v>1366</v>
      </c>
      <c r="C849" s="3">
        <v>45939</v>
      </c>
      <c r="D849">
        <v>30</v>
      </c>
      <c r="E849" s="3">
        <f t="shared" si="13"/>
        <v>45907</v>
      </c>
      <c r="F849" s="3">
        <f>IF(TableRefills3[[#This Row],[prev_refill_days]]="","",TableRefills3[[#This Row],[prev_refill_days]]+TableRefills3[[#This Row],[quantity_days]])</f>
        <v>45937</v>
      </c>
      <c r="G849">
        <f>IF(TableRefills3[[#This Row],[prev_refill_end]]="","",TableRefills3[[#This Row],[refill_date]]-TableRefills3[[#This Row],[prev_refill_end]])</f>
        <v>2</v>
      </c>
      <c r="H849" s="10">
        <f>IF(TableRefills3[[#This Row],[gap_days]]="",0,IF(TableRefills3[[#This Row],[gap_days]]&gt;2,1,0))</f>
        <v>0</v>
      </c>
      <c r="I849">
        <f>_xlfn.MAXIFS(TableRefills3[discountinuation_flag], TableRefills3[patient_id], A849)</f>
        <v>0</v>
      </c>
    </row>
    <row r="850" spans="1:9" x14ac:dyDescent="0.25">
      <c r="A850" t="s">
        <v>1369</v>
      </c>
      <c r="B850" t="s">
        <v>1370</v>
      </c>
      <c r="C850" s="3">
        <v>45839</v>
      </c>
      <c r="D850">
        <v>21</v>
      </c>
      <c r="E850" s="3" t="str">
        <f t="shared" si="13"/>
        <v/>
      </c>
      <c r="F850" s="3" t="str">
        <f>IF(TableRefills3[[#This Row],[prev_refill_days]]="","",TableRefills3[[#This Row],[prev_refill_days]]+TableRefills3[[#This Row],[quantity_days]])</f>
        <v/>
      </c>
      <c r="G850" t="str">
        <f>IF(TableRefills3[[#This Row],[prev_refill_end]]="","",TableRefills3[[#This Row],[refill_date]]-TableRefills3[[#This Row],[prev_refill_end]])</f>
        <v/>
      </c>
      <c r="H850" s="10">
        <f>IF(TableRefills3[[#This Row],[gap_days]]="",0,IF(TableRefills3[[#This Row],[gap_days]]&gt;2,1,0))</f>
        <v>0</v>
      </c>
      <c r="I850">
        <f>_xlfn.MAXIFS(TableRefills3[discountinuation_flag], TableRefills3[patient_id], A850)</f>
        <v>0</v>
      </c>
    </row>
    <row r="851" spans="1:9" x14ac:dyDescent="0.25">
      <c r="A851" t="s">
        <v>1369</v>
      </c>
      <c r="B851" t="s">
        <v>1370</v>
      </c>
      <c r="C851" s="3">
        <v>45861</v>
      </c>
      <c r="D851">
        <v>21</v>
      </c>
      <c r="E851" s="3">
        <f t="shared" si="13"/>
        <v>45839</v>
      </c>
      <c r="F851" s="3">
        <f>IF(TableRefills3[[#This Row],[prev_refill_days]]="","",TableRefills3[[#This Row],[prev_refill_days]]+TableRefills3[[#This Row],[quantity_days]])</f>
        <v>45860</v>
      </c>
      <c r="G851">
        <f>IF(TableRefills3[[#This Row],[prev_refill_end]]="","",TableRefills3[[#This Row],[refill_date]]-TableRefills3[[#This Row],[prev_refill_end]])</f>
        <v>1</v>
      </c>
      <c r="H851" s="10">
        <f>IF(TableRefills3[[#This Row],[gap_days]]="",0,IF(TableRefills3[[#This Row],[gap_days]]&gt;2,1,0))</f>
        <v>0</v>
      </c>
      <c r="I851">
        <f>_xlfn.MAXIFS(TableRefills3[discountinuation_flag], TableRefills3[patient_id], A851)</f>
        <v>0</v>
      </c>
    </row>
    <row r="852" spans="1:9" x14ac:dyDescent="0.25">
      <c r="A852" t="s">
        <v>1369</v>
      </c>
      <c r="B852" t="s">
        <v>1370</v>
      </c>
      <c r="C852" s="3">
        <v>45883</v>
      </c>
      <c r="D852">
        <v>21</v>
      </c>
      <c r="E852" s="3">
        <f t="shared" si="13"/>
        <v>45861</v>
      </c>
      <c r="F852" s="3">
        <f>IF(TableRefills3[[#This Row],[prev_refill_days]]="","",TableRefills3[[#This Row],[prev_refill_days]]+TableRefills3[[#This Row],[quantity_days]])</f>
        <v>45882</v>
      </c>
      <c r="G852">
        <f>IF(TableRefills3[[#This Row],[prev_refill_end]]="","",TableRefills3[[#This Row],[refill_date]]-TableRefills3[[#This Row],[prev_refill_end]])</f>
        <v>1</v>
      </c>
      <c r="H852" s="10">
        <f>IF(TableRefills3[[#This Row],[gap_days]]="",0,IF(TableRefills3[[#This Row],[gap_days]]&gt;2,1,0))</f>
        <v>0</v>
      </c>
      <c r="I852">
        <f>_xlfn.MAXIFS(TableRefills3[discountinuation_flag], TableRefills3[patient_id], A852)</f>
        <v>0</v>
      </c>
    </row>
    <row r="853" spans="1:9" x14ac:dyDescent="0.25">
      <c r="A853" t="s">
        <v>1369</v>
      </c>
      <c r="B853" t="s">
        <v>1370</v>
      </c>
      <c r="C853" s="3">
        <v>45902</v>
      </c>
      <c r="D853">
        <v>21</v>
      </c>
      <c r="E853" s="3">
        <f t="shared" si="13"/>
        <v>45883</v>
      </c>
      <c r="F853" s="3">
        <f>IF(TableRefills3[[#This Row],[prev_refill_days]]="","",TableRefills3[[#This Row],[prev_refill_days]]+TableRefills3[[#This Row],[quantity_days]])</f>
        <v>45904</v>
      </c>
      <c r="G853">
        <f>IF(TableRefills3[[#This Row],[prev_refill_end]]="","",TableRefills3[[#This Row],[refill_date]]-TableRefills3[[#This Row],[prev_refill_end]])</f>
        <v>-2</v>
      </c>
      <c r="H853" s="10">
        <f>IF(TableRefills3[[#This Row],[gap_days]]="",0,IF(TableRefills3[[#This Row],[gap_days]]&gt;2,1,0))</f>
        <v>0</v>
      </c>
      <c r="I853">
        <f>_xlfn.MAXIFS(TableRefills3[discountinuation_flag], TableRefills3[patient_id], A853)</f>
        <v>0</v>
      </c>
    </row>
    <row r="854" spans="1:9" x14ac:dyDescent="0.25">
      <c r="A854" t="s">
        <v>1369</v>
      </c>
      <c r="B854" t="s">
        <v>1370</v>
      </c>
      <c r="C854" s="3">
        <v>45924</v>
      </c>
      <c r="D854">
        <v>21</v>
      </c>
      <c r="E854" s="3">
        <f t="shared" si="13"/>
        <v>45902</v>
      </c>
      <c r="F854" s="3">
        <f>IF(TableRefills3[[#This Row],[prev_refill_days]]="","",TableRefills3[[#This Row],[prev_refill_days]]+TableRefills3[[#This Row],[quantity_days]])</f>
        <v>45923</v>
      </c>
      <c r="G854">
        <f>IF(TableRefills3[[#This Row],[prev_refill_end]]="","",TableRefills3[[#This Row],[refill_date]]-TableRefills3[[#This Row],[prev_refill_end]])</f>
        <v>1</v>
      </c>
      <c r="H854" s="10">
        <f>IF(TableRefills3[[#This Row],[gap_days]]="",0,IF(TableRefills3[[#This Row],[gap_days]]&gt;2,1,0))</f>
        <v>0</v>
      </c>
      <c r="I854">
        <f>_xlfn.MAXIFS(TableRefills3[discountinuation_flag], TableRefills3[patient_id], A854)</f>
        <v>0</v>
      </c>
    </row>
    <row r="855" spans="1:9" x14ac:dyDescent="0.25">
      <c r="A855" t="s">
        <v>1369</v>
      </c>
      <c r="B855" t="s">
        <v>1370</v>
      </c>
      <c r="C855" s="3">
        <v>45947</v>
      </c>
      <c r="D855">
        <v>21</v>
      </c>
      <c r="E855" s="3">
        <f t="shared" si="13"/>
        <v>45924</v>
      </c>
      <c r="F855" s="3">
        <f>IF(TableRefills3[[#This Row],[prev_refill_days]]="","",TableRefills3[[#This Row],[prev_refill_days]]+TableRefills3[[#This Row],[quantity_days]])</f>
        <v>45945</v>
      </c>
      <c r="G855">
        <f>IF(TableRefills3[[#This Row],[prev_refill_end]]="","",TableRefills3[[#This Row],[refill_date]]-TableRefills3[[#This Row],[prev_refill_end]])</f>
        <v>2</v>
      </c>
      <c r="H855" s="10">
        <f>IF(TableRefills3[[#This Row],[gap_days]]="",0,IF(TableRefills3[[#This Row],[gap_days]]&gt;2,1,0))</f>
        <v>0</v>
      </c>
      <c r="I855">
        <f>_xlfn.MAXIFS(TableRefills3[discountinuation_flag], TableRefills3[patient_id], A855)</f>
        <v>0</v>
      </c>
    </row>
    <row r="856" spans="1:9" x14ac:dyDescent="0.25">
      <c r="A856" t="s">
        <v>1377</v>
      </c>
      <c r="B856" t="s">
        <v>1378</v>
      </c>
      <c r="C856" s="3">
        <v>45927</v>
      </c>
      <c r="D856">
        <v>14</v>
      </c>
      <c r="E856" s="3" t="str">
        <f t="shared" si="13"/>
        <v/>
      </c>
      <c r="F856" s="3" t="str">
        <f>IF(TableRefills3[[#This Row],[prev_refill_days]]="","",TableRefills3[[#This Row],[prev_refill_days]]+TableRefills3[[#This Row],[quantity_days]])</f>
        <v/>
      </c>
      <c r="G856" t="str">
        <f>IF(TableRefills3[[#This Row],[prev_refill_end]]="","",TableRefills3[[#This Row],[refill_date]]-TableRefills3[[#This Row],[prev_refill_end]])</f>
        <v/>
      </c>
      <c r="H856" s="10">
        <f>IF(TableRefills3[[#This Row],[gap_days]]="",0,IF(TableRefills3[[#This Row],[gap_days]]&gt;2,1,0))</f>
        <v>0</v>
      </c>
      <c r="I856">
        <f>_xlfn.MAXIFS(TableRefills3[discountinuation_flag], TableRefills3[patient_id], A856)</f>
        <v>0</v>
      </c>
    </row>
    <row r="857" spans="1:9" x14ac:dyDescent="0.25">
      <c r="A857" t="s">
        <v>1377</v>
      </c>
      <c r="B857" t="s">
        <v>1378</v>
      </c>
      <c r="C857" s="3">
        <v>45943</v>
      </c>
      <c r="D857">
        <v>14</v>
      </c>
      <c r="E857" s="3">
        <f t="shared" si="13"/>
        <v>45927</v>
      </c>
      <c r="F857" s="3">
        <f>IF(TableRefills3[[#This Row],[prev_refill_days]]="","",TableRefills3[[#This Row],[prev_refill_days]]+TableRefills3[[#This Row],[quantity_days]])</f>
        <v>45941</v>
      </c>
      <c r="G857">
        <f>IF(TableRefills3[[#This Row],[prev_refill_end]]="","",TableRefills3[[#This Row],[refill_date]]-TableRefills3[[#This Row],[prev_refill_end]])</f>
        <v>2</v>
      </c>
      <c r="H857" s="10">
        <f>IF(TableRefills3[[#This Row],[gap_days]]="",0,IF(TableRefills3[[#This Row],[gap_days]]&gt;2,1,0))</f>
        <v>0</v>
      </c>
      <c r="I857">
        <f>_xlfn.MAXIFS(TableRefills3[discountinuation_flag], TableRefills3[patient_id], A857)</f>
        <v>0</v>
      </c>
    </row>
    <row r="858" spans="1:9" x14ac:dyDescent="0.25">
      <c r="A858" t="s">
        <v>1377</v>
      </c>
      <c r="B858" t="s">
        <v>1378</v>
      </c>
      <c r="C858" s="3">
        <v>45956</v>
      </c>
      <c r="D858">
        <v>14</v>
      </c>
      <c r="E858" s="3">
        <f t="shared" si="13"/>
        <v>45943</v>
      </c>
      <c r="F858" s="3">
        <f>IF(TableRefills3[[#This Row],[prev_refill_days]]="","",TableRefills3[[#This Row],[prev_refill_days]]+TableRefills3[[#This Row],[quantity_days]])</f>
        <v>45957</v>
      </c>
      <c r="G858">
        <f>IF(TableRefills3[[#This Row],[prev_refill_end]]="","",TableRefills3[[#This Row],[refill_date]]-TableRefills3[[#This Row],[prev_refill_end]])</f>
        <v>-1</v>
      </c>
      <c r="H858" s="10">
        <f>IF(TableRefills3[[#This Row],[gap_days]]="",0,IF(TableRefills3[[#This Row],[gap_days]]&gt;2,1,0))</f>
        <v>0</v>
      </c>
      <c r="I858">
        <f>_xlfn.MAXIFS(TableRefills3[discountinuation_flag], TableRefills3[patient_id], A858)</f>
        <v>0</v>
      </c>
    </row>
    <row r="859" spans="1:9" x14ac:dyDescent="0.25">
      <c r="A859" t="s">
        <v>1382</v>
      </c>
      <c r="B859" t="s">
        <v>1383</v>
      </c>
      <c r="C859" s="3">
        <v>45790</v>
      </c>
      <c r="D859">
        <v>28</v>
      </c>
      <c r="E859" s="3" t="str">
        <f t="shared" si="13"/>
        <v/>
      </c>
      <c r="F859" s="3" t="str">
        <f>IF(TableRefills3[[#This Row],[prev_refill_days]]="","",TableRefills3[[#This Row],[prev_refill_days]]+TableRefills3[[#This Row],[quantity_days]])</f>
        <v/>
      </c>
      <c r="G859" t="str">
        <f>IF(TableRefills3[[#This Row],[prev_refill_end]]="","",TableRefills3[[#This Row],[refill_date]]-TableRefills3[[#This Row],[prev_refill_end]])</f>
        <v/>
      </c>
      <c r="H859" s="10">
        <f>IF(TableRefills3[[#This Row],[gap_days]]="",0,IF(TableRefills3[[#This Row],[gap_days]]&gt;2,1,0))</f>
        <v>0</v>
      </c>
      <c r="I859">
        <f>_xlfn.MAXIFS(TableRefills3[discountinuation_flag], TableRefills3[patient_id], A859)</f>
        <v>1</v>
      </c>
    </row>
    <row r="860" spans="1:9" x14ac:dyDescent="0.25">
      <c r="A860" t="s">
        <v>1382</v>
      </c>
      <c r="B860" t="s">
        <v>1383</v>
      </c>
      <c r="C860" s="3">
        <v>45819</v>
      </c>
      <c r="D860">
        <v>28</v>
      </c>
      <c r="E860" s="3">
        <f t="shared" si="13"/>
        <v>45790</v>
      </c>
      <c r="F860" s="3">
        <f>IF(TableRefills3[[#This Row],[prev_refill_days]]="","",TableRefills3[[#This Row],[prev_refill_days]]+TableRefills3[[#This Row],[quantity_days]])</f>
        <v>45818</v>
      </c>
      <c r="G860">
        <f>IF(TableRefills3[[#This Row],[prev_refill_end]]="","",TableRefills3[[#This Row],[refill_date]]-TableRefills3[[#This Row],[prev_refill_end]])</f>
        <v>1</v>
      </c>
      <c r="H860" s="10">
        <f>IF(TableRefills3[[#This Row],[gap_days]]="",0,IF(TableRefills3[[#This Row],[gap_days]]&gt;2,1,0))</f>
        <v>0</v>
      </c>
      <c r="I860">
        <f>_xlfn.MAXIFS(TableRefills3[discountinuation_flag], TableRefills3[patient_id], A860)</f>
        <v>1</v>
      </c>
    </row>
    <row r="861" spans="1:9" x14ac:dyDescent="0.25">
      <c r="A861" t="s">
        <v>1382</v>
      </c>
      <c r="B861" t="s">
        <v>1383</v>
      </c>
      <c r="C861" s="3">
        <v>45849</v>
      </c>
      <c r="D861">
        <v>28</v>
      </c>
      <c r="E861" s="3">
        <f t="shared" si="13"/>
        <v>45819</v>
      </c>
      <c r="F861" s="3">
        <f>IF(TableRefills3[[#This Row],[prev_refill_days]]="","",TableRefills3[[#This Row],[prev_refill_days]]+TableRefills3[[#This Row],[quantity_days]])</f>
        <v>45847</v>
      </c>
      <c r="G861">
        <f>IF(TableRefills3[[#This Row],[prev_refill_end]]="","",TableRefills3[[#This Row],[refill_date]]-TableRefills3[[#This Row],[prev_refill_end]])</f>
        <v>2</v>
      </c>
      <c r="H861" s="10">
        <f>IF(TableRefills3[[#This Row],[gap_days]]="",0,IF(TableRefills3[[#This Row],[gap_days]]&gt;2,1,0))</f>
        <v>0</v>
      </c>
      <c r="I861">
        <f>_xlfn.MAXIFS(TableRefills3[discountinuation_flag], TableRefills3[patient_id], A861)</f>
        <v>1</v>
      </c>
    </row>
    <row r="862" spans="1:9" x14ac:dyDescent="0.25">
      <c r="A862" t="s">
        <v>1382</v>
      </c>
      <c r="B862" t="s">
        <v>1383</v>
      </c>
      <c r="C862" s="3">
        <v>45875</v>
      </c>
      <c r="D862">
        <v>28</v>
      </c>
      <c r="E862" s="3">
        <f t="shared" si="13"/>
        <v>45849</v>
      </c>
      <c r="F862" s="3">
        <f>IF(TableRefills3[[#This Row],[prev_refill_days]]="","",TableRefills3[[#This Row],[prev_refill_days]]+TableRefills3[[#This Row],[quantity_days]])</f>
        <v>45877</v>
      </c>
      <c r="G862">
        <f>IF(TableRefills3[[#This Row],[prev_refill_end]]="","",TableRefills3[[#This Row],[refill_date]]-TableRefills3[[#This Row],[prev_refill_end]])</f>
        <v>-2</v>
      </c>
      <c r="H862" s="10">
        <f>IF(TableRefills3[[#This Row],[gap_days]]="",0,IF(TableRefills3[[#This Row],[gap_days]]&gt;2,1,0))</f>
        <v>0</v>
      </c>
      <c r="I862">
        <f>_xlfn.MAXIFS(TableRefills3[discountinuation_flag], TableRefills3[patient_id], A862)</f>
        <v>1</v>
      </c>
    </row>
    <row r="863" spans="1:9" x14ac:dyDescent="0.25">
      <c r="A863" t="s">
        <v>1382</v>
      </c>
      <c r="B863" t="s">
        <v>1383</v>
      </c>
      <c r="C863" s="3">
        <v>45903</v>
      </c>
      <c r="D863">
        <v>28</v>
      </c>
      <c r="E863" s="3">
        <f t="shared" si="13"/>
        <v>45875</v>
      </c>
      <c r="F863" s="3">
        <f>IF(TableRefills3[[#This Row],[prev_refill_days]]="","",TableRefills3[[#This Row],[prev_refill_days]]+TableRefills3[[#This Row],[quantity_days]])</f>
        <v>45903</v>
      </c>
      <c r="G863">
        <f>IF(TableRefills3[[#This Row],[prev_refill_end]]="","",TableRefills3[[#This Row],[refill_date]]-TableRefills3[[#This Row],[prev_refill_end]])</f>
        <v>0</v>
      </c>
      <c r="H863" s="10">
        <f>IF(TableRefills3[[#This Row],[gap_days]]="",0,IF(TableRefills3[[#This Row],[gap_days]]&gt;2,1,0))</f>
        <v>0</v>
      </c>
      <c r="I863">
        <f>_xlfn.MAXIFS(TableRefills3[discountinuation_flag], TableRefills3[patient_id], A863)</f>
        <v>1</v>
      </c>
    </row>
    <row r="864" spans="1:9" x14ac:dyDescent="0.25">
      <c r="A864" t="s">
        <v>1382</v>
      </c>
      <c r="B864" t="s">
        <v>1383</v>
      </c>
      <c r="C864" s="3">
        <v>45930</v>
      </c>
      <c r="D864">
        <v>28</v>
      </c>
      <c r="E864" s="3">
        <f t="shared" si="13"/>
        <v>45903</v>
      </c>
      <c r="F864" s="3">
        <f>IF(TableRefills3[[#This Row],[prev_refill_days]]="","",TableRefills3[[#This Row],[prev_refill_days]]+TableRefills3[[#This Row],[quantity_days]])</f>
        <v>45931</v>
      </c>
      <c r="G864">
        <f>IF(TableRefills3[[#This Row],[prev_refill_end]]="","",TableRefills3[[#This Row],[refill_date]]-TableRefills3[[#This Row],[prev_refill_end]])</f>
        <v>-1</v>
      </c>
      <c r="H864" s="10">
        <f>IF(TableRefills3[[#This Row],[gap_days]]="",0,IF(TableRefills3[[#This Row],[gap_days]]&gt;2,1,0))</f>
        <v>0</v>
      </c>
      <c r="I864">
        <f>_xlfn.MAXIFS(TableRefills3[discountinuation_flag], TableRefills3[patient_id], A864)</f>
        <v>1</v>
      </c>
    </row>
    <row r="865" spans="1:9" x14ac:dyDescent="0.25">
      <c r="A865" t="s">
        <v>1382</v>
      </c>
      <c r="B865" t="s">
        <v>1383</v>
      </c>
      <c r="C865" s="3">
        <v>45961</v>
      </c>
      <c r="D865">
        <v>28</v>
      </c>
      <c r="E865" s="3">
        <f t="shared" si="13"/>
        <v>45930</v>
      </c>
      <c r="F865" s="3">
        <f>IF(TableRefills3[[#This Row],[prev_refill_days]]="","",TableRefills3[[#This Row],[prev_refill_days]]+TableRefills3[[#This Row],[quantity_days]])</f>
        <v>45958</v>
      </c>
      <c r="G865">
        <f>IF(TableRefills3[[#This Row],[prev_refill_end]]="","",TableRefills3[[#This Row],[refill_date]]-TableRefills3[[#This Row],[prev_refill_end]])</f>
        <v>3</v>
      </c>
      <c r="H865" s="10">
        <f>IF(TableRefills3[[#This Row],[gap_days]]="",0,IF(TableRefills3[[#This Row],[gap_days]]&gt;2,1,0))</f>
        <v>1</v>
      </c>
      <c r="I865">
        <f>_xlfn.MAXIFS(TableRefills3[discountinuation_flag], TableRefills3[patient_id], A865)</f>
        <v>1</v>
      </c>
    </row>
    <row r="866" spans="1:9" x14ac:dyDescent="0.25">
      <c r="A866" t="s">
        <v>1391</v>
      </c>
      <c r="B866" t="s">
        <v>1392</v>
      </c>
      <c r="C866" s="3">
        <v>45850</v>
      </c>
      <c r="D866">
        <v>30</v>
      </c>
      <c r="E866" s="3" t="str">
        <f t="shared" si="13"/>
        <v/>
      </c>
      <c r="F866" s="3" t="str">
        <f>IF(TableRefills3[[#This Row],[prev_refill_days]]="","",TableRefills3[[#This Row],[prev_refill_days]]+TableRefills3[[#This Row],[quantity_days]])</f>
        <v/>
      </c>
      <c r="G866" t="str">
        <f>IF(TableRefills3[[#This Row],[prev_refill_end]]="","",TableRefills3[[#This Row],[refill_date]]-TableRefills3[[#This Row],[prev_refill_end]])</f>
        <v/>
      </c>
      <c r="H866" s="10">
        <f>IF(TableRefills3[[#This Row],[gap_days]]="",0,IF(TableRefills3[[#This Row],[gap_days]]&gt;2,1,0))</f>
        <v>0</v>
      </c>
      <c r="I866">
        <f>_xlfn.MAXIFS(TableRefills3[discountinuation_flag], TableRefills3[patient_id], A866)</f>
        <v>0</v>
      </c>
    </row>
    <row r="867" spans="1:9" x14ac:dyDescent="0.25">
      <c r="A867" t="s">
        <v>1391</v>
      </c>
      <c r="B867" t="s">
        <v>1392</v>
      </c>
      <c r="C867" s="3">
        <v>45882</v>
      </c>
      <c r="D867">
        <v>30</v>
      </c>
      <c r="E867" s="3">
        <f t="shared" si="13"/>
        <v>45850</v>
      </c>
      <c r="F867" s="3">
        <f>IF(TableRefills3[[#This Row],[prev_refill_days]]="","",TableRefills3[[#This Row],[prev_refill_days]]+TableRefills3[[#This Row],[quantity_days]])</f>
        <v>45880</v>
      </c>
      <c r="G867">
        <f>IF(TableRefills3[[#This Row],[prev_refill_end]]="","",TableRefills3[[#This Row],[refill_date]]-TableRefills3[[#This Row],[prev_refill_end]])</f>
        <v>2</v>
      </c>
      <c r="H867" s="10">
        <f>IF(TableRefills3[[#This Row],[gap_days]]="",0,IF(TableRefills3[[#This Row],[gap_days]]&gt;2,1,0))</f>
        <v>0</v>
      </c>
      <c r="I867">
        <f>_xlfn.MAXIFS(TableRefills3[discountinuation_flag], TableRefills3[patient_id], A867)</f>
        <v>0</v>
      </c>
    </row>
    <row r="868" spans="1:9" x14ac:dyDescent="0.25">
      <c r="A868" t="s">
        <v>1391</v>
      </c>
      <c r="B868" t="s">
        <v>1392</v>
      </c>
      <c r="C868" s="3">
        <v>45913</v>
      </c>
      <c r="D868">
        <v>30</v>
      </c>
      <c r="E868" s="3">
        <f t="shared" si="13"/>
        <v>45882</v>
      </c>
      <c r="F868" s="3">
        <f>IF(TableRefills3[[#This Row],[prev_refill_days]]="","",TableRefills3[[#This Row],[prev_refill_days]]+TableRefills3[[#This Row],[quantity_days]])</f>
        <v>45912</v>
      </c>
      <c r="G868">
        <f>IF(TableRefills3[[#This Row],[prev_refill_end]]="","",TableRefills3[[#This Row],[refill_date]]-TableRefills3[[#This Row],[prev_refill_end]])</f>
        <v>1</v>
      </c>
      <c r="H868" s="10">
        <f>IF(TableRefills3[[#This Row],[gap_days]]="",0,IF(TableRefills3[[#This Row],[gap_days]]&gt;2,1,0))</f>
        <v>0</v>
      </c>
      <c r="I868">
        <f>_xlfn.MAXIFS(TableRefills3[discountinuation_flag], TableRefills3[patient_id], A868)</f>
        <v>0</v>
      </c>
    </row>
    <row r="869" spans="1:9" x14ac:dyDescent="0.25">
      <c r="A869" t="s">
        <v>1396</v>
      </c>
      <c r="B869" t="s">
        <v>1397</v>
      </c>
      <c r="C869" s="3">
        <v>45930</v>
      </c>
      <c r="D869">
        <v>28</v>
      </c>
      <c r="E869" s="3" t="str">
        <f t="shared" si="13"/>
        <v/>
      </c>
      <c r="F869" s="3" t="str">
        <f>IF(TableRefills3[[#This Row],[prev_refill_days]]="","",TableRefills3[[#This Row],[prev_refill_days]]+TableRefills3[[#This Row],[quantity_days]])</f>
        <v/>
      </c>
      <c r="G869" t="str">
        <f>IF(TableRefills3[[#This Row],[prev_refill_end]]="","",TableRefills3[[#This Row],[refill_date]]-TableRefills3[[#This Row],[prev_refill_end]])</f>
        <v/>
      </c>
      <c r="H869" s="10">
        <f>IF(TableRefills3[[#This Row],[gap_days]]="",0,IF(TableRefills3[[#This Row],[gap_days]]&gt;2,1,0))</f>
        <v>0</v>
      </c>
      <c r="I869">
        <f>_xlfn.MAXIFS(TableRefills3[discountinuation_flag], TableRefills3[patient_id], A869)</f>
        <v>1</v>
      </c>
    </row>
    <row r="870" spans="1:9" x14ac:dyDescent="0.25">
      <c r="A870" t="s">
        <v>1396</v>
      </c>
      <c r="B870" t="s">
        <v>1397</v>
      </c>
      <c r="C870" s="3">
        <v>45961</v>
      </c>
      <c r="D870">
        <v>28</v>
      </c>
      <c r="E870" s="3">
        <f t="shared" si="13"/>
        <v>45930</v>
      </c>
      <c r="F870" s="3">
        <f>IF(TableRefills3[[#This Row],[prev_refill_days]]="","",TableRefills3[[#This Row],[prev_refill_days]]+TableRefills3[[#This Row],[quantity_days]])</f>
        <v>45958</v>
      </c>
      <c r="G870">
        <f>IF(TableRefills3[[#This Row],[prev_refill_end]]="","",TableRefills3[[#This Row],[refill_date]]-TableRefills3[[#This Row],[prev_refill_end]])</f>
        <v>3</v>
      </c>
      <c r="H870" s="10">
        <f>IF(TableRefills3[[#This Row],[gap_days]]="",0,IF(TableRefills3[[#This Row],[gap_days]]&gt;2,1,0))</f>
        <v>1</v>
      </c>
      <c r="I870">
        <f>_xlfn.MAXIFS(TableRefills3[discountinuation_flag], TableRefills3[patient_id], A870)</f>
        <v>1</v>
      </c>
    </row>
    <row r="871" spans="1:9" x14ac:dyDescent="0.25">
      <c r="A871" t="s">
        <v>1400</v>
      </c>
      <c r="B871" t="s">
        <v>1401</v>
      </c>
      <c r="C871" s="3">
        <v>45945</v>
      </c>
      <c r="D871">
        <v>28</v>
      </c>
      <c r="E871" s="3" t="str">
        <f t="shared" si="13"/>
        <v/>
      </c>
      <c r="F871" s="3" t="str">
        <f>IF(TableRefills3[[#This Row],[prev_refill_days]]="","",TableRefills3[[#This Row],[prev_refill_days]]+TableRefills3[[#This Row],[quantity_days]])</f>
        <v/>
      </c>
      <c r="G871" t="str">
        <f>IF(TableRefills3[[#This Row],[prev_refill_end]]="","",TableRefills3[[#This Row],[refill_date]]-TableRefills3[[#This Row],[prev_refill_end]])</f>
        <v/>
      </c>
      <c r="H871" s="10">
        <f>IF(TableRefills3[[#This Row],[gap_days]]="",0,IF(TableRefills3[[#This Row],[gap_days]]&gt;2,1,0))</f>
        <v>0</v>
      </c>
      <c r="I871">
        <f>_xlfn.MAXIFS(TableRefills3[discountinuation_flag], TableRefills3[patient_id], A871)</f>
        <v>0</v>
      </c>
    </row>
    <row r="872" spans="1:9" x14ac:dyDescent="0.25">
      <c r="A872" t="s">
        <v>1403</v>
      </c>
      <c r="B872" t="s">
        <v>1404</v>
      </c>
      <c r="C872" s="3">
        <v>45898</v>
      </c>
      <c r="D872">
        <v>28</v>
      </c>
      <c r="E872" s="3" t="str">
        <f t="shared" si="13"/>
        <v/>
      </c>
      <c r="F872" s="3" t="str">
        <f>IF(TableRefills3[[#This Row],[prev_refill_days]]="","",TableRefills3[[#This Row],[prev_refill_days]]+TableRefills3[[#This Row],[quantity_days]])</f>
        <v/>
      </c>
      <c r="G872" t="str">
        <f>IF(TableRefills3[[#This Row],[prev_refill_end]]="","",TableRefills3[[#This Row],[refill_date]]-TableRefills3[[#This Row],[prev_refill_end]])</f>
        <v/>
      </c>
      <c r="H872" s="10">
        <f>IF(TableRefills3[[#This Row],[gap_days]]="",0,IF(TableRefills3[[#This Row],[gap_days]]&gt;2,1,0))</f>
        <v>0</v>
      </c>
      <c r="I872">
        <f>_xlfn.MAXIFS(TableRefills3[discountinuation_flag], TableRefills3[patient_id], A872)</f>
        <v>0</v>
      </c>
    </row>
    <row r="873" spans="1:9" x14ac:dyDescent="0.25">
      <c r="A873" t="s">
        <v>1406</v>
      </c>
      <c r="B873" t="s">
        <v>1407</v>
      </c>
      <c r="C873" s="3">
        <v>45915</v>
      </c>
      <c r="D873">
        <v>28</v>
      </c>
      <c r="E873" s="3" t="str">
        <f t="shared" si="13"/>
        <v/>
      </c>
      <c r="F873" s="3" t="str">
        <f>IF(TableRefills3[[#This Row],[prev_refill_days]]="","",TableRefills3[[#This Row],[prev_refill_days]]+TableRefills3[[#This Row],[quantity_days]])</f>
        <v/>
      </c>
      <c r="G873" t="str">
        <f>IF(TableRefills3[[#This Row],[prev_refill_end]]="","",TableRefills3[[#This Row],[refill_date]]-TableRefills3[[#This Row],[prev_refill_end]])</f>
        <v/>
      </c>
      <c r="H873" s="10">
        <f>IF(TableRefills3[[#This Row],[gap_days]]="",0,IF(TableRefills3[[#This Row],[gap_days]]&gt;2,1,0))</f>
        <v>0</v>
      </c>
      <c r="I873">
        <f>_xlfn.MAXIFS(TableRefills3[discountinuation_flag], TableRefills3[patient_id], A873)</f>
        <v>0</v>
      </c>
    </row>
    <row r="874" spans="1:9" x14ac:dyDescent="0.25">
      <c r="A874" t="s">
        <v>1409</v>
      </c>
      <c r="B874" t="s">
        <v>1410</v>
      </c>
      <c r="C874" s="3">
        <v>45805</v>
      </c>
      <c r="D874">
        <v>28</v>
      </c>
      <c r="E874" s="3" t="str">
        <f t="shared" si="13"/>
        <v/>
      </c>
      <c r="F874" s="3" t="str">
        <f>IF(TableRefills3[[#This Row],[prev_refill_days]]="","",TableRefills3[[#This Row],[prev_refill_days]]+TableRefills3[[#This Row],[quantity_days]])</f>
        <v/>
      </c>
      <c r="G874" t="str">
        <f>IF(TableRefills3[[#This Row],[prev_refill_end]]="","",TableRefills3[[#This Row],[refill_date]]-TableRefills3[[#This Row],[prev_refill_end]])</f>
        <v/>
      </c>
      <c r="H874" s="10">
        <f>IF(TableRefills3[[#This Row],[gap_days]]="",0,IF(TableRefills3[[#This Row],[gap_days]]&gt;2,1,0))</f>
        <v>0</v>
      </c>
      <c r="I874">
        <f>_xlfn.MAXIFS(TableRefills3[discountinuation_flag], TableRefills3[patient_id], A874)</f>
        <v>0</v>
      </c>
    </row>
    <row r="875" spans="1:9" x14ac:dyDescent="0.25">
      <c r="A875" t="s">
        <v>1409</v>
      </c>
      <c r="B875" t="s">
        <v>1410</v>
      </c>
      <c r="C875" s="3">
        <v>45835</v>
      </c>
      <c r="D875">
        <v>28</v>
      </c>
      <c r="E875" s="3">
        <f t="shared" si="13"/>
        <v>45805</v>
      </c>
      <c r="F875" s="3">
        <f>IF(TableRefills3[[#This Row],[prev_refill_days]]="","",TableRefills3[[#This Row],[prev_refill_days]]+TableRefills3[[#This Row],[quantity_days]])</f>
        <v>45833</v>
      </c>
      <c r="G875">
        <f>IF(TableRefills3[[#This Row],[prev_refill_end]]="","",TableRefills3[[#This Row],[refill_date]]-TableRefills3[[#This Row],[prev_refill_end]])</f>
        <v>2</v>
      </c>
      <c r="H875" s="10">
        <f>IF(TableRefills3[[#This Row],[gap_days]]="",0,IF(TableRefills3[[#This Row],[gap_days]]&gt;2,1,0))</f>
        <v>0</v>
      </c>
      <c r="I875">
        <f>_xlfn.MAXIFS(TableRefills3[discountinuation_flag], TableRefills3[patient_id], A875)</f>
        <v>0</v>
      </c>
    </row>
    <row r="876" spans="1:9" x14ac:dyDescent="0.25">
      <c r="A876" t="s">
        <v>1409</v>
      </c>
      <c r="B876" t="s">
        <v>1410</v>
      </c>
      <c r="C876" s="3">
        <v>45865</v>
      </c>
      <c r="D876">
        <v>28</v>
      </c>
      <c r="E876" s="3">
        <f t="shared" si="13"/>
        <v>45835</v>
      </c>
      <c r="F876" s="3">
        <f>IF(TableRefills3[[#This Row],[prev_refill_days]]="","",TableRefills3[[#This Row],[prev_refill_days]]+TableRefills3[[#This Row],[quantity_days]])</f>
        <v>45863</v>
      </c>
      <c r="G876">
        <f>IF(TableRefills3[[#This Row],[prev_refill_end]]="","",TableRefills3[[#This Row],[refill_date]]-TableRefills3[[#This Row],[prev_refill_end]])</f>
        <v>2</v>
      </c>
      <c r="H876" s="10">
        <f>IF(TableRefills3[[#This Row],[gap_days]]="",0,IF(TableRefills3[[#This Row],[gap_days]]&gt;2,1,0))</f>
        <v>0</v>
      </c>
      <c r="I876">
        <f>_xlfn.MAXIFS(TableRefills3[discountinuation_flag], TableRefills3[patient_id], A876)</f>
        <v>0</v>
      </c>
    </row>
    <row r="877" spans="1:9" x14ac:dyDescent="0.25">
      <c r="A877" t="s">
        <v>1409</v>
      </c>
      <c r="B877" t="s">
        <v>1410</v>
      </c>
      <c r="C877" s="3">
        <v>45895</v>
      </c>
      <c r="D877">
        <v>28</v>
      </c>
      <c r="E877" s="3">
        <f t="shared" si="13"/>
        <v>45865</v>
      </c>
      <c r="F877" s="3">
        <f>IF(TableRefills3[[#This Row],[prev_refill_days]]="","",TableRefills3[[#This Row],[prev_refill_days]]+TableRefills3[[#This Row],[quantity_days]])</f>
        <v>45893</v>
      </c>
      <c r="G877">
        <f>IF(TableRefills3[[#This Row],[prev_refill_end]]="","",TableRefills3[[#This Row],[refill_date]]-TableRefills3[[#This Row],[prev_refill_end]])</f>
        <v>2</v>
      </c>
      <c r="H877" s="10">
        <f>IF(TableRefills3[[#This Row],[gap_days]]="",0,IF(TableRefills3[[#This Row],[gap_days]]&gt;2,1,0))</f>
        <v>0</v>
      </c>
      <c r="I877">
        <f>_xlfn.MAXIFS(TableRefills3[discountinuation_flag], TableRefills3[patient_id], A877)</f>
        <v>0</v>
      </c>
    </row>
    <row r="878" spans="1:9" x14ac:dyDescent="0.25">
      <c r="A878" t="s">
        <v>1409</v>
      </c>
      <c r="B878" t="s">
        <v>1410</v>
      </c>
      <c r="C878" s="3">
        <v>45925</v>
      </c>
      <c r="D878">
        <v>28</v>
      </c>
      <c r="E878" s="3">
        <f t="shared" si="13"/>
        <v>45895</v>
      </c>
      <c r="F878" s="3">
        <f>IF(TableRefills3[[#This Row],[prev_refill_days]]="","",TableRefills3[[#This Row],[prev_refill_days]]+TableRefills3[[#This Row],[quantity_days]])</f>
        <v>45923</v>
      </c>
      <c r="G878">
        <f>IF(TableRefills3[[#This Row],[prev_refill_end]]="","",TableRefills3[[#This Row],[refill_date]]-TableRefills3[[#This Row],[prev_refill_end]])</f>
        <v>2</v>
      </c>
      <c r="H878" s="10">
        <f>IF(TableRefills3[[#This Row],[gap_days]]="",0,IF(TableRefills3[[#This Row],[gap_days]]&gt;2,1,0))</f>
        <v>0</v>
      </c>
      <c r="I878">
        <f>_xlfn.MAXIFS(TableRefills3[discountinuation_flag], TableRefills3[patient_id], A878)</f>
        <v>0</v>
      </c>
    </row>
    <row r="879" spans="1:9" x14ac:dyDescent="0.25">
      <c r="A879" t="s">
        <v>1409</v>
      </c>
      <c r="B879" t="s">
        <v>1410</v>
      </c>
      <c r="C879" s="3">
        <v>45951</v>
      </c>
      <c r="D879">
        <v>28</v>
      </c>
      <c r="E879" s="3">
        <f t="shared" si="13"/>
        <v>45925</v>
      </c>
      <c r="F879" s="3">
        <f>IF(TableRefills3[[#This Row],[prev_refill_days]]="","",TableRefills3[[#This Row],[prev_refill_days]]+TableRefills3[[#This Row],[quantity_days]])</f>
        <v>45953</v>
      </c>
      <c r="G879">
        <f>IF(TableRefills3[[#This Row],[prev_refill_end]]="","",TableRefills3[[#This Row],[refill_date]]-TableRefills3[[#This Row],[prev_refill_end]])</f>
        <v>-2</v>
      </c>
      <c r="H879" s="10">
        <f>IF(TableRefills3[[#This Row],[gap_days]]="",0,IF(TableRefills3[[#This Row],[gap_days]]&gt;2,1,0))</f>
        <v>0</v>
      </c>
      <c r="I879">
        <f>_xlfn.MAXIFS(TableRefills3[discountinuation_flag], TableRefills3[patient_id], A879)</f>
        <v>0</v>
      </c>
    </row>
    <row r="880" spans="1:9" x14ac:dyDescent="0.25">
      <c r="A880" t="s">
        <v>1417</v>
      </c>
      <c r="B880" t="s">
        <v>1418</v>
      </c>
      <c r="C880" s="3">
        <v>45812</v>
      </c>
      <c r="D880">
        <v>28</v>
      </c>
      <c r="E880" s="3" t="str">
        <f t="shared" si="13"/>
        <v/>
      </c>
      <c r="F880" s="3" t="str">
        <f>IF(TableRefills3[[#This Row],[prev_refill_days]]="","",TableRefills3[[#This Row],[prev_refill_days]]+TableRefills3[[#This Row],[quantity_days]])</f>
        <v/>
      </c>
      <c r="G880" t="str">
        <f>IF(TableRefills3[[#This Row],[prev_refill_end]]="","",TableRefills3[[#This Row],[refill_date]]-TableRefills3[[#This Row],[prev_refill_end]])</f>
        <v/>
      </c>
      <c r="H880" s="10">
        <f>IF(TableRefills3[[#This Row],[gap_days]]="",0,IF(TableRefills3[[#This Row],[gap_days]]&gt;2,1,0))</f>
        <v>0</v>
      </c>
      <c r="I880">
        <f>_xlfn.MAXIFS(TableRefills3[discountinuation_flag], TableRefills3[patient_id], A880)</f>
        <v>1</v>
      </c>
    </row>
    <row r="881" spans="1:9" x14ac:dyDescent="0.25">
      <c r="A881" t="s">
        <v>1417</v>
      </c>
      <c r="B881" t="s">
        <v>1418</v>
      </c>
      <c r="C881" s="3">
        <v>45842</v>
      </c>
      <c r="D881">
        <v>28</v>
      </c>
      <c r="E881" s="3">
        <f t="shared" si="13"/>
        <v>45812</v>
      </c>
      <c r="F881" s="3">
        <f>IF(TableRefills3[[#This Row],[prev_refill_days]]="","",TableRefills3[[#This Row],[prev_refill_days]]+TableRefills3[[#This Row],[quantity_days]])</f>
        <v>45840</v>
      </c>
      <c r="G881">
        <f>IF(TableRefills3[[#This Row],[prev_refill_end]]="","",TableRefills3[[#This Row],[refill_date]]-TableRefills3[[#This Row],[prev_refill_end]])</f>
        <v>2</v>
      </c>
      <c r="H881" s="10">
        <f>IF(TableRefills3[[#This Row],[gap_days]]="",0,IF(TableRefills3[[#This Row],[gap_days]]&gt;2,1,0))</f>
        <v>0</v>
      </c>
      <c r="I881">
        <f>_xlfn.MAXIFS(TableRefills3[discountinuation_flag], TableRefills3[patient_id], A881)</f>
        <v>1</v>
      </c>
    </row>
    <row r="882" spans="1:9" x14ac:dyDescent="0.25">
      <c r="A882" t="s">
        <v>1417</v>
      </c>
      <c r="B882" t="s">
        <v>1418</v>
      </c>
      <c r="C882" s="3">
        <v>45872</v>
      </c>
      <c r="D882">
        <v>28</v>
      </c>
      <c r="E882" s="3">
        <f t="shared" si="13"/>
        <v>45842</v>
      </c>
      <c r="F882" s="3">
        <f>IF(TableRefills3[[#This Row],[prev_refill_days]]="","",TableRefills3[[#This Row],[prev_refill_days]]+TableRefills3[[#This Row],[quantity_days]])</f>
        <v>45870</v>
      </c>
      <c r="G882">
        <f>IF(TableRefills3[[#This Row],[prev_refill_end]]="","",TableRefills3[[#This Row],[refill_date]]-TableRefills3[[#This Row],[prev_refill_end]])</f>
        <v>2</v>
      </c>
      <c r="H882" s="10">
        <f>IF(TableRefills3[[#This Row],[gap_days]]="",0,IF(TableRefills3[[#This Row],[gap_days]]&gt;2,1,0))</f>
        <v>0</v>
      </c>
      <c r="I882">
        <f>_xlfn.MAXIFS(TableRefills3[discountinuation_flag], TableRefills3[patient_id], A882)</f>
        <v>1</v>
      </c>
    </row>
    <row r="883" spans="1:9" x14ac:dyDescent="0.25">
      <c r="A883" t="s">
        <v>1417</v>
      </c>
      <c r="B883" t="s">
        <v>1418</v>
      </c>
      <c r="C883" s="3">
        <v>45903</v>
      </c>
      <c r="D883">
        <v>28</v>
      </c>
      <c r="E883" s="3">
        <f t="shared" si="13"/>
        <v>45872</v>
      </c>
      <c r="F883" s="3">
        <f>IF(TableRefills3[[#This Row],[prev_refill_days]]="","",TableRefills3[[#This Row],[prev_refill_days]]+TableRefills3[[#This Row],[quantity_days]])</f>
        <v>45900</v>
      </c>
      <c r="G883">
        <f>IF(TableRefills3[[#This Row],[prev_refill_end]]="","",TableRefills3[[#This Row],[refill_date]]-TableRefills3[[#This Row],[prev_refill_end]])</f>
        <v>3</v>
      </c>
      <c r="H883" s="10">
        <f>IF(TableRefills3[[#This Row],[gap_days]]="",0,IF(TableRefills3[[#This Row],[gap_days]]&gt;2,1,0))</f>
        <v>1</v>
      </c>
      <c r="I883">
        <f>_xlfn.MAXIFS(TableRefills3[discountinuation_flag], TableRefills3[patient_id], A883)</f>
        <v>1</v>
      </c>
    </row>
    <row r="884" spans="1:9" x14ac:dyDescent="0.25">
      <c r="A884" t="s">
        <v>1417</v>
      </c>
      <c r="B884" t="s">
        <v>1418</v>
      </c>
      <c r="C884" s="3">
        <v>45932</v>
      </c>
      <c r="D884">
        <v>28</v>
      </c>
      <c r="E884" s="3">
        <f t="shared" si="13"/>
        <v>45903</v>
      </c>
      <c r="F884" s="3">
        <f>IF(TableRefills3[[#This Row],[prev_refill_days]]="","",TableRefills3[[#This Row],[prev_refill_days]]+TableRefills3[[#This Row],[quantity_days]])</f>
        <v>45931</v>
      </c>
      <c r="G884">
        <f>IF(TableRefills3[[#This Row],[prev_refill_end]]="","",TableRefills3[[#This Row],[refill_date]]-TableRefills3[[#This Row],[prev_refill_end]])</f>
        <v>1</v>
      </c>
      <c r="H884" s="10">
        <f>IF(TableRefills3[[#This Row],[gap_days]]="",0,IF(TableRefills3[[#This Row],[gap_days]]&gt;2,1,0))</f>
        <v>0</v>
      </c>
      <c r="I884">
        <f>_xlfn.MAXIFS(TableRefills3[discountinuation_flag], TableRefills3[patient_id], A884)</f>
        <v>1</v>
      </c>
    </row>
    <row r="885" spans="1:9" x14ac:dyDescent="0.25">
      <c r="A885" t="s">
        <v>1417</v>
      </c>
      <c r="B885" t="s">
        <v>1418</v>
      </c>
      <c r="C885" s="3">
        <v>45961</v>
      </c>
      <c r="D885">
        <v>28</v>
      </c>
      <c r="E885" s="3">
        <f t="shared" si="13"/>
        <v>45932</v>
      </c>
      <c r="F885" s="3">
        <f>IF(TableRefills3[[#This Row],[prev_refill_days]]="","",TableRefills3[[#This Row],[prev_refill_days]]+TableRefills3[[#This Row],[quantity_days]])</f>
        <v>45960</v>
      </c>
      <c r="G885">
        <f>IF(TableRefills3[[#This Row],[prev_refill_end]]="","",TableRefills3[[#This Row],[refill_date]]-TableRefills3[[#This Row],[prev_refill_end]])</f>
        <v>1</v>
      </c>
      <c r="H885" s="10">
        <f>IF(TableRefills3[[#This Row],[gap_days]]="",0,IF(TableRefills3[[#This Row],[gap_days]]&gt;2,1,0))</f>
        <v>0</v>
      </c>
      <c r="I885">
        <f>_xlfn.MAXIFS(TableRefills3[discountinuation_flag], TableRefills3[patient_id], A885)</f>
        <v>1</v>
      </c>
    </row>
    <row r="886" spans="1:9" x14ac:dyDescent="0.25">
      <c r="A886" t="s">
        <v>1425</v>
      </c>
      <c r="B886" t="s">
        <v>1426</v>
      </c>
      <c r="C886" s="3">
        <v>45871</v>
      </c>
      <c r="D886">
        <v>21</v>
      </c>
      <c r="E886" s="3" t="str">
        <f t="shared" si="13"/>
        <v/>
      </c>
      <c r="F886" s="3" t="str">
        <f>IF(TableRefills3[[#This Row],[prev_refill_days]]="","",TableRefills3[[#This Row],[prev_refill_days]]+TableRefills3[[#This Row],[quantity_days]])</f>
        <v/>
      </c>
      <c r="G886" t="str">
        <f>IF(TableRefills3[[#This Row],[prev_refill_end]]="","",TableRefills3[[#This Row],[refill_date]]-TableRefills3[[#This Row],[prev_refill_end]])</f>
        <v/>
      </c>
      <c r="H886" s="10">
        <f>IF(TableRefills3[[#This Row],[gap_days]]="",0,IF(TableRefills3[[#This Row],[gap_days]]&gt;2,1,0))</f>
        <v>0</v>
      </c>
      <c r="I886">
        <f>_xlfn.MAXIFS(TableRefills3[discountinuation_flag], TableRefills3[patient_id], A886)</f>
        <v>0</v>
      </c>
    </row>
    <row r="887" spans="1:9" x14ac:dyDescent="0.25">
      <c r="A887" t="s">
        <v>1425</v>
      </c>
      <c r="B887" t="s">
        <v>1426</v>
      </c>
      <c r="C887" s="3">
        <v>45894</v>
      </c>
      <c r="D887">
        <v>21</v>
      </c>
      <c r="E887" s="3">
        <f t="shared" si="13"/>
        <v>45871</v>
      </c>
      <c r="F887" s="3">
        <f>IF(TableRefills3[[#This Row],[prev_refill_days]]="","",TableRefills3[[#This Row],[prev_refill_days]]+TableRefills3[[#This Row],[quantity_days]])</f>
        <v>45892</v>
      </c>
      <c r="G887">
        <f>IF(TableRefills3[[#This Row],[prev_refill_end]]="","",TableRefills3[[#This Row],[refill_date]]-TableRefills3[[#This Row],[prev_refill_end]])</f>
        <v>2</v>
      </c>
      <c r="H887" s="10">
        <f>IF(TableRefills3[[#This Row],[gap_days]]="",0,IF(TableRefills3[[#This Row],[gap_days]]&gt;2,1,0))</f>
        <v>0</v>
      </c>
      <c r="I887">
        <f>_xlfn.MAXIFS(TableRefills3[discountinuation_flag], TableRefills3[patient_id], A887)</f>
        <v>0</v>
      </c>
    </row>
    <row r="888" spans="1:9" x14ac:dyDescent="0.25">
      <c r="A888" t="s">
        <v>1425</v>
      </c>
      <c r="B888" t="s">
        <v>1426</v>
      </c>
      <c r="C888" s="3">
        <v>45914</v>
      </c>
      <c r="D888">
        <v>21</v>
      </c>
      <c r="E888" s="3">
        <f t="shared" si="13"/>
        <v>45894</v>
      </c>
      <c r="F888" s="3">
        <f>IF(TableRefills3[[#This Row],[prev_refill_days]]="","",TableRefills3[[#This Row],[prev_refill_days]]+TableRefills3[[#This Row],[quantity_days]])</f>
        <v>45915</v>
      </c>
      <c r="G888">
        <f>IF(TableRefills3[[#This Row],[prev_refill_end]]="","",TableRefills3[[#This Row],[refill_date]]-TableRefills3[[#This Row],[prev_refill_end]])</f>
        <v>-1</v>
      </c>
      <c r="H888" s="10">
        <f>IF(TableRefills3[[#This Row],[gap_days]]="",0,IF(TableRefills3[[#This Row],[gap_days]]&gt;2,1,0))</f>
        <v>0</v>
      </c>
      <c r="I888">
        <f>_xlfn.MAXIFS(TableRefills3[discountinuation_flag], TableRefills3[patient_id], A888)</f>
        <v>0</v>
      </c>
    </row>
    <row r="889" spans="1:9" x14ac:dyDescent="0.25">
      <c r="A889" t="s">
        <v>1430</v>
      </c>
      <c r="B889" t="s">
        <v>1431</v>
      </c>
      <c r="C889" s="3">
        <v>45881</v>
      </c>
      <c r="D889">
        <v>14</v>
      </c>
      <c r="E889" s="3" t="str">
        <f t="shared" si="13"/>
        <v/>
      </c>
      <c r="F889" s="3" t="str">
        <f>IF(TableRefills3[[#This Row],[prev_refill_days]]="","",TableRefills3[[#This Row],[prev_refill_days]]+TableRefills3[[#This Row],[quantity_days]])</f>
        <v/>
      </c>
      <c r="G889" t="str">
        <f>IF(TableRefills3[[#This Row],[prev_refill_end]]="","",TableRefills3[[#This Row],[refill_date]]-TableRefills3[[#This Row],[prev_refill_end]])</f>
        <v/>
      </c>
      <c r="H889" s="10">
        <f>IF(TableRefills3[[#This Row],[gap_days]]="",0,IF(TableRefills3[[#This Row],[gap_days]]&gt;2,1,0))</f>
        <v>0</v>
      </c>
      <c r="I889">
        <f>_xlfn.MAXIFS(TableRefills3[discountinuation_flag], TableRefills3[patient_id], A889)</f>
        <v>0</v>
      </c>
    </row>
    <row r="890" spans="1:9" x14ac:dyDescent="0.25">
      <c r="A890" t="s">
        <v>1430</v>
      </c>
      <c r="B890" t="s">
        <v>1431</v>
      </c>
      <c r="C890" s="3">
        <v>45892</v>
      </c>
      <c r="D890">
        <v>14</v>
      </c>
      <c r="E890" s="3">
        <f t="shared" si="13"/>
        <v>45881</v>
      </c>
      <c r="F890" s="3">
        <f>IF(TableRefills3[[#This Row],[prev_refill_days]]="","",TableRefills3[[#This Row],[prev_refill_days]]+TableRefills3[[#This Row],[quantity_days]])</f>
        <v>45895</v>
      </c>
      <c r="G890">
        <f>IF(TableRefills3[[#This Row],[prev_refill_end]]="","",TableRefills3[[#This Row],[refill_date]]-TableRefills3[[#This Row],[prev_refill_end]])</f>
        <v>-3</v>
      </c>
      <c r="H890" s="10">
        <f>IF(TableRefills3[[#This Row],[gap_days]]="",0,IF(TableRefills3[[#This Row],[gap_days]]&gt;2,1,0))</f>
        <v>0</v>
      </c>
      <c r="I890">
        <f>_xlfn.MAXIFS(TableRefills3[discountinuation_flag], TableRefills3[patient_id], A890)</f>
        <v>0</v>
      </c>
    </row>
    <row r="891" spans="1:9" x14ac:dyDescent="0.25">
      <c r="A891" t="s">
        <v>1430</v>
      </c>
      <c r="B891" t="s">
        <v>1431</v>
      </c>
      <c r="C891" s="3">
        <v>45903</v>
      </c>
      <c r="D891">
        <v>14</v>
      </c>
      <c r="E891" s="3">
        <f t="shared" si="13"/>
        <v>45892</v>
      </c>
      <c r="F891" s="3">
        <f>IF(TableRefills3[[#This Row],[prev_refill_days]]="","",TableRefills3[[#This Row],[prev_refill_days]]+TableRefills3[[#This Row],[quantity_days]])</f>
        <v>45906</v>
      </c>
      <c r="G891">
        <f>IF(TableRefills3[[#This Row],[prev_refill_end]]="","",TableRefills3[[#This Row],[refill_date]]-TableRefills3[[#This Row],[prev_refill_end]])</f>
        <v>-3</v>
      </c>
      <c r="H891" s="10">
        <f>IF(TableRefills3[[#This Row],[gap_days]]="",0,IF(TableRefills3[[#This Row],[gap_days]]&gt;2,1,0))</f>
        <v>0</v>
      </c>
      <c r="I891">
        <f>_xlfn.MAXIFS(TableRefills3[discountinuation_flag], TableRefills3[patient_id], A891)</f>
        <v>0</v>
      </c>
    </row>
    <row r="892" spans="1:9" x14ac:dyDescent="0.25">
      <c r="A892" t="s">
        <v>1430</v>
      </c>
      <c r="B892" t="s">
        <v>1431</v>
      </c>
      <c r="C892" s="3">
        <v>45917</v>
      </c>
      <c r="D892">
        <v>14</v>
      </c>
      <c r="E892" s="3">
        <f t="shared" si="13"/>
        <v>45903</v>
      </c>
      <c r="F892" s="3">
        <f>IF(TableRefills3[[#This Row],[prev_refill_days]]="","",TableRefills3[[#This Row],[prev_refill_days]]+TableRefills3[[#This Row],[quantity_days]])</f>
        <v>45917</v>
      </c>
      <c r="G892">
        <f>IF(TableRefills3[[#This Row],[prev_refill_end]]="","",TableRefills3[[#This Row],[refill_date]]-TableRefills3[[#This Row],[prev_refill_end]])</f>
        <v>0</v>
      </c>
      <c r="H892" s="10">
        <f>IF(TableRefills3[[#This Row],[gap_days]]="",0,IF(TableRefills3[[#This Row],[gap_days]]&gt;2,1,0))</f>
        <v>0</v>
      </c>
      <c r="I892">
        <f>_xlfn.MAXIFS(TableRefills3[discountinuation_flag], TableRefills3[patient_id], A892)</f>
        <v>0</v>
      </c>
    </row>
    <row r="893" spans="1:9" x14ac:dyDescent="0.25">
      <c r="A893" t="s">
        <v>1430</v>
      </c>
      <c r="B893" t="s">
        <v>1431</v>
      </c>
      <c r="C893" s="3">
        <v>45928</v>
      </c>
      <c r="D893">
        <v>14</v>
      </c>
      <c r="E893" s="3">
        <f t="shared" si="13"/>
        <v>45917</v>
      </c>
      <c r="F893" s="3">
        <f>IF(TableRefills3[[#This Row],[prev_refill_days]]="","",TableRefills3[[#This Row],[prev_refill_days]]+TableRefills3[[#This Row],[quantity_days]])</f>
        <v>45931</v>
      </c>
      <c r="G893">
        <f>IF(TableRefills3[[#This Row],[prev_refill_end]]="","",TableRefills3[[#This Row],[refill_date]]-TableRefills3[[#This Row],[prev_refill_end]])</f>
        <v>-3</v>
      </c>
      <c r="H893" s="10">
        <f>IF(TableRefills3[[#This Row],[gap_days]]="",0,IF(TableRefills3[[#This Row],[gap_days]]&gt;2,1,0))</f>
        <v>0</v>
      </c>
      <c r="I893">
        <f>_xlfn.MAXIFS(TableRefills3[discountinuation_flag], TableRefills3[patient_id], A893)</f>
        <v>0</v>
      </c>
    </row>
    <row r="894" spans="1:9" x14ac:dyDescent="0.25">
      <c r="A894" t="s">
        <v>1430</v>
      </c>
      <c r="B894" t="s">
        <v>1431</v>
      </c>
      <c r="C894" s="3">
        <v>45939</v>
      </c>
      <c r="D894">
        <v>14</v>
      </c>
      <c r="E894" s="3">
        <f t="shared" si="13"/>
        <v>45928</v>
      </c>
      <c r="F894" s="3">
        <f>IF(TableRefills3[[#This Row],[prev_refill_days]]="","",TableRefills3[[#This Row],[prev_refill_days]]+TableRefills3[[#This Row],[quantity_days]])</f>
        <v>45942</v>
      </c>
      <c r="G894">
        <f>IF(TableRefills3[[#This Row],[prev_refill_end]]="","",TableRefills3[[#This Row],[refill_date]]-TableRefills3[[#This Row],[prev_refill_end]])</f>
        <v>-3</v>
      </c>
      <c r="H894" s="10">
        <f>IF(TableRefills3[[#This Row],[gap_days]]="",0,IF(TableRefills3[[#This Row],[gap_days]]&gt;2,1,0))</f>
        <v>0</v>
      </c>
      <c r="I894">
        <f>_xlfn.MAXIFS(TableRefills3[discountinuation_flag], TableRefills3[patient_id], A894)</f>
        <v>0</v>
      </c>
    </row>
    <row r="895" spans="1:9" x14ac:dyDescent="0.25">
      <c r="A895" t="s">
        <v>1430</v>
      </c>
      <c r="B895" t="s">
        <v>1431</v>
      </c>
      <c r="C895" s="3">
        <v>45952</v>
      </c>
      <c r="D895">
        <v>14</v>
      </c>
      <c r="E895" s="3">
        <f t="shared" si="13"/>
        <v>45939</v>
      </c>
      <c r="F895" s="3">
        <f>IF(TableRefills3[[#This Row],[prev_refill_days]]="","",TableRefills3[[#This Row],[prev_refill_days]]+TableRefills3[[#This Row],[quantity_days]])</f>
        <v>45953</v>
      </c>
      <c r="G895">
        <f>IF(TableRefills3[[#This Row],[prev_refill_end]]="","",TableRefills3[[#This Row],[refill_date]]-TableRefills3[[#This Row],[prev_refill_end]])</f>
        <v>-1</v>
      </c>
      <c r="H895" s="10">
        <f>IF(TableRefills3[[#This Row],[gap_days]]="",0,IF(TableRefills3[[#This Row],[gap_days]]&gt;2,1,0))</f>
        <v>0</v>
      </c>
      <c r="I895">
        <f>_xlfn.MAXIFS(TableRefills3[discountinuation_flag], TableRefills3[patient_id], A895)</f>
        <v>0</v>
      </c>
    </row>
    <row r="896" spans="1:9" x14ac:dyDescent="0.25">
      <c r="A896" t="s">
        <v>1439</v>
      </c>
      <c r="B896" t="s">
        <v>1440</v>
      </c>
      <c r="C896" s="3">
        <v>45789</v>
      </c>
      <c r="D896">
        <v>30</v>
      </c>
      <c r="E896" s="3" t="str">
        <f t="shared" si="13"/>
        <v/>
      </c>
      <c r="F896" s="3" t="str">
        <f>IF(TableRefills3[[#This Row],[prev_refill_days]]="","",TableRefills3[[#This Row],[prev_refill_days]]+TableRefills3[[#This Row],[quantity_days]])</f>
        <v/>
      </c>
      <c r="G896" t="str">
        <f>IF(TableRefills3[[#This Row],[prev_refill_end]]="","",TableRefills3[[#This Row],[refill_date]]-TableRefills3[[#This Row],[prev_refill_end]])</f>
        <v/>
      </c>
      <c r="H896" s="10">
        <f>IF(TableRefills3[[#This Row],[gap_days]]="",0,IF(TableRefills3[[#This Row],[gap_days]]&gt;2,1,0))</f>
        <v>0</v>
      </c>
      <c r="I896">
        <f>_xlfn.MAXIFS(TableRefills3[discountinuation_flag], TableRefills3[patient_id], A896)</f>
        <v>1</v>
      </c>
    </row>
    <row r="897" spans="1:9" x14ac:dyDescent="0.25">
      <c r="A897" t="s">
        <v>1439</v>
      </c>
      <c r="B897" t="s">
        <v>1440</v>
      </c>
      <c r="C897" s="3">
        <v>45818</v>
      </c>
      <c r="D897">
        <v>30</v>
      </c>
      <c r="E897" s="3">
        <f t="shared" si="13"/>
        <v>45789</v>
      </c>
      <c r="F897" s="3">
        <f>IF(TableRefills3[[#This Row],[prev_refill_days]]="","",TableRefills3[[#This Row],[prev_refill_days]]+TableRefills3[[#This Row],[quantity_days]])</f>
        <v>45819</v>
      </c>
      <c r="G897">
        <f>IF(TableRefills3[[#This Row],[prev_refill_end]]="","",TableRefills3[[#This Row],[refill_date]]-TableRefills3[[#This Row],[prev_refill_end]])</f>
        <v>-1</v>
      </c>
      <c r="H897" s="10">
        <f>IF(TableRefills3[[#This Row],[gap_days]]="",0,IF(TableRefills3[[#This Row],[gap_days]]&gt;2,1,0))</f>
        <v>0</v>
      </c>
      <c r="I897">
        <f>_xlfn.MAXIFS(TableRefills3[discountinuation_flag], TableRefills3[patient_id], A897)</f>
        <v>1</v>
      </c>
    </row>
    <row r="898" spans="1:9" x14ac:dyDescent="0.25">
      <c r="A898" t="s">
        <v>1439</v>
      </c>
      <c r="B898" t="s">
        <v>1440</v>
      </c>
      <c r="C898" s="3">
        <v>45847</v>
      </c>
      <c r="D898">
        <v>30</v>
      </c>
      <c r="E898" s="3">
        <f t="shared" ref="E898:E961" si="14">IF(A897=A898,C897,"")</f>
        <v>45818</v>
      </c>
      <c r="F898" s="3">
        <f>IF(TableRefills3[[#This Row],[prev_refill_days]]="","",TableRefills3[[#This Row],[prev_refill_days]]+TableRefills3[[#This Row],[quantity_days]])</f>
        <v>45848</v>
      </c>
      <c r="G898">
        <f>IF(TableRefills3[[#This Row],[prev_refill_end]]="","",TableRefills3[[#This Row],[refill_date]]-TableRefills3[[#This Row],[prev_refill_end]])</f>
        <v>-1</v>
      </c>
      <c r="H898" s="10">
        <f>IF(TableRefills3[[#This Row],[gap_days]]="",0,IF(TableRefills3[[#This Row],[gap_days]]&gt;2,1,0))</f>
        <v>0</v>
      </c>
      <c r="I898">
        <f>_xlfn.MAXIFS(TableRefills3[discountinuation_flag], TableRefills3[patient_id], A898)</f>
        <v>1</v>
      </c>
    </row>
    <row r="899" spans="1:9" x14ac:dyDescent="0.25">
      <c r="A899" t="s">
        <v>1439</v>
      </c>
      <c r="B899" t="s">
        <v>1440</v>
      </c>
      <c r="C899" s="3">
        <v>45880</v>
      </c>
      <c r="D899">
        <v>30</v>
      </c>
      <c r="E899" s="3">
        <f t="shared" si="14"/>
        <v>45847</v>
      </c>
      <c r="F899" s="3">
        <f>IF(TableRefills3[[#This Row],[prev_refill_days]]="","",TableRefills3[[#This Row],[prev_refill_days]]+TableRefills3[[#This Row],[quantity_days]])</f>
        <v>45877</v>
      </c>
      <c r="G899">
        <f>IF(TableRefills3[[#This Row],[prev_refill_end]]="","",TableRefills3[[#This Row],[refill_date]]-TableRefills3[[#This Row],[prev_refill_end]])</f>
        <v>3</v>
      </c>
      <c r="H899" s="10">
        <f>IF(TableRefills3[[#This Row],[gap_days]]="",0,IF(TableRefills3[[#This Row],[gap_days]]&gt;2,1,0))</f>
        <v>1</v>
      </c>
      <c r="I899">
        <f>_xlfn.MAXIFS(TableRefills3[discountinuation_flag], TableRefills3[patient_id], A899)</f>
        <v>1</v>
      </c>
    </row>
    <row r="900" spans="1:9" x14ac:dyDescent="0.25">
      <c r="A900" t="s">
        <v>1439</v>
      </c>
      <c r="B900" t="s">
        <v>1440</v>
      </c>
      <c r="C900" s="3">
        <v>45912</v>
      </c>
      <c r="D900">
        <v>30</v>
      </c>
      <c r="E900" s="3">
        <f t="shared" si="14"/>
        <v>45880</v>
      </c>
      <c r="F900" s="3">
        <f>IF(TableRefills3[[#This Row],[prev_refill_days]]="","",TableRefills3[[#This Row],[prev_refill_days]]+TableRefills3[[#This Row],[quantity_days]])</f>
        <v>45910</v>
      </c>
      <c r="G900">
        <f>IF(TableRefills3[[#This Row],[prev_refill_end]]="","",TableRefills3[[#This Row],[refill_date]]-TableRefills3[[#This Row],[prev_refill_end]])</f>
        <v>2</v>
      </c>
      <c r="H900" s="10">
        <f>IF(TableRefills3[[#This Row],[gap_days]]="",0,IF(TableRefills3[[#This Row],[gap_days]]&gt;2,1,0))</f>
        <v>0</v>
      </c>
      <c r="I900">
        <f>_xlfn.MAXIFS(TableRefills3[discountinuation_flag], TableRefills3[patient_id], A900)</f>
        <v>1</v>
      </c>
    </row>
    <row r="901" spans="1:9" x14ac:dyDescent="0.25">
      <c r="A901" t="s">
        <v>1439</v>
      </c>
      <c r="B901" t="s">
        <v>1440</v>
      </c>
      <c r="C901" s="3">
        <v>45941</v>
      </c>
      <c r="D901">
        <v>30</v>
      </c>
      <c r="E901" s="3">
        <f t="shared" si="14"/>
        <v>45912</v>
      </c>
      <c r="F901" s="3">
        <f>IF(TableRefills3[[#This Row],[prev_refill_days]]="","",TableRefills3[[#This Row],[prev_refill_days]]+TableRefills3[[#This Row],[quantity_days]])</f>
        <v>45942</v>
      </c>
      <c r="G901">
        <f>IF(TableRefills3[[#This Row],[prev_refill_end]]="","",TableRefills3[[#This Row],[refill_date]]-TableRefills3[[#This Row],[prev_refill_end]])</f>
        <v>-1</v>
      </c>
      <c r="H901" s="10">
        <f>IF(TableRefills3[[#This Row],[gap_days]]="",0,IF(TableRefills3[[#This Row],[gap_days]]&gt;2,1,0))</f>
        <v>0</v>
      </c>
      <c r="I901">
        <f>_xlfn.MAXIFS(TableRefills3[discountinuation_flag], TableRefills3[patient_id], A901)</f>
        <v>1</v>
      </c>
    </row>
    <row r="902" spans="1:9" x14ac:dyDescent="0.25">
      <c r="A902" t="s">
        <v>1447</v>
      </c>
      <c r="B902" t="s">
        <v>1448</v>
      </c>
      <c r="C902" s="3">
        <v>45791</v>
      </c>
      <c r="D902">
        <v>28</v>
      </c>
      <c r="E902" s="3" t="str">
        <f t="shared" si="14"/>
        <v/>
      </c>
      <c r="F902" s="3" t="str">
        <f>IF(TableRefills3[[#This Row],[prev_refill_days]]="","",TableRefills3[[#This Row],[prev_refill_days]]+TableRefills3[[#This Row],[quantity_days]])</f>
        <v/>
      </c>
      <c r="G902" t="str">
        <f>IF(TableRefills3[[#This Row],[prev_refill_end]]="","",TableRefills3[[#This Row],[refill_date]]-TableRefills3[[#This Row],[prev_refill_end]])</f>
        <v/>
      </c>
      <c r="H902" s="10">
        <f>IF(TableRefills3[[#This Row],[gap_days]]="",0,IF(TableRefills3[[#This Row],[gap_days]]&gt;2,1,0))</f>
        <v>0</v>
      </c>
      <c r="I902">
        <f>_xlfn.MAXIFS(TableRefills3[discountinuation_flag], TableRefills3[patient_id], A902)</f>
        <v>1</v>
      </c>
    </row>
    <row r="903" spans="1:9" x14ac:dyDescent="0.25">
      <c r="A903" t="s">
        <v>1447</v>
      </c>
      <c r="B903" t="s">
        <v>1448</v>
      </c>
      <c r="C903" s="3">
        <v>45816</v>
      </c>
      <c r="D903">
        <v>28</v>
      </c>
      <c r="E903" s="3">
        <f t="shared" si="14"/>
        <v>45791</v>
      </c>
      <c r="F903" s="3">
        <f>IF(TableRefills3[[#This Row],[prev_refill_days]]="","",TableRefills3[[#This Row],[prev_refill_days]]+TableRefills3[[#This Row],[quantity_days]])</f>
        <v>45819</v>
      </c>
      <c r="G903">
        <f>IF(TableRefills3[[#This Row],[prev_refill_end]]="","",TableRefills3[[#This Row],[refill_date]]-TableRefills3[[#This Row],[prev_refill_end]])</f>
        <v>-3</v>
      </c>
      <c r="H903" s="10">
        <f>IF(TableRefills3[[#This Row],[gap_days]]="",0,IF(TableRefills3[[#This Row],[gap_days]]&gt;2,1,0))</f>
        <v>0</v>
      </c>
      <c r="I903">
        <f>_xlfn.MAXIFS(TableRefills3[discountinuation_flag], TableRefills3[patient_id], A903)</f>
        <v>1</v>
      </c>
    </row>
    <row r="904" spans="1:9" x14ac:dyDescent="0.25">
      <c r="A904" t="s">
        <v>1447</v>
      </c>
      <c r="B904" t="s">
        <v>1448</v>
      </c>
      <c r="C904" s="3">
        <v>45847</v>
      </c>
      <c r="D904">
        <v>28</v>
      </c>
      <c r="E904" s="3">
        <f t="shared" si="14"/>
        <v>45816</v>
      </c>
      <c r="F904" s="3">
        <f>IF(TableRefills3[[#This Row],[prev_refill_days]]="","",TableRefills3[[#This Row],[prev_refill_days]]+TableRefills3[[#This Row],[quantity_days]])</f>
        <v>45844</v>
      </c>
      <c r="G904">
        <f>IF(TableRefills3[[#This Row],[prev_refill_end]]="","",TableRefills3[[#This Row],[refill_date]]-TableRefills3[[#This Row],[prev_refill_end]])</f>
        <v>3</v>
      </c>
      <c r="H904" s="10">
        <f>IF(TableRefills3[[#This Row],[gap_days]]="",0,IF(TableRefills3[[#This Row],[gap_days]]&gt;2,1,0))</f>
        <v>1</v>
      </c>
      <c r="I904">
        <f>_xlfn.MAXIFS(TableRefills3[discountinuation_flag], TableRefills3[patient_id], A904)</f>
        <v>1</v>
      </c>
    </row>
    <row r="905" spans="1:9" x14ac:dyDescent="0.25">
      <c r="A905" t="s">
        <v>1447</v>
      </c>
      <c r="B905" t="s">
        <v>1448</v>
      </c>
      <c r="C905" s="3">
        <v>45872</v>
      </c>
      <c r="D905">
        <v>28</v>
      </c>
      <c r="E905" s="3">
        <f t="shared" si="14"/>
        <v>45847</v>
      </c>
      <c r="F905" s="3">
        <f>IF(TableRefills3[[#This Row],[prev_refill_days]]="","",TableRefills3[[#This Row],[prev_refill_days]]+TableRefills3[[#This Row],[quantity_days]])</f>
        <v>45875</v>
      </c>
      <c r="G905">
        <f>IF(TableRefills3[[#This Row],[prev_refill_end]]="","",TableRefills3[[#This Row],[refill_date]]-TableRefills3[[#This Row],[prev_refill_end]])</f>
        <v>-3</v>
      </c>
      <c r="H905" s="10">
        <f>IF(TableRefills3[[#This Row],[gap_days]]="",0,IF(TableRefills3[[#This Row],[gap_days]]&gt;2,1,0))</f>
        <v>0</v>
      </c>
      <c r="I905">
        <f>_xlfn.MAXIFS(TableRefills3[discountinuation_flag], TableRefills3[patient_id], A905)</f>
        <v>1</v>
      </c>
    </row>
    <row r="906" spans="1:9" x14ac:dyDescent="0.25">
      <c r="A906" t="s">
        <v>1447</v>
      </c>
      <c r="B906" t="s">
        <v>1448</v>
      </c>
      <c r="C906" s="3">
        <v>45903</v>
      </c>
      <c r="D906">
        <v>28</v>
      </c>
      <c r="E906" s="3">
        <f t="shared" si="14"/>
        <v>45872</v>
      </c>
      <c r="F906" s="3">
        <f>IF(TableRefills3[[#This Row],[prev_refill_days]]="","",TableRefills3[[#This Row],[prev_refill_days]]+TableRefills3[[#This Row],[quantity_days]])</f>
        <v>45900</v>
      </c>
      <c r="G906">
        <f>IF(TableRefills3[[#This Row],[prev_refill_end]]="","",TableRefills3[[#This Row],[refill_date]]-TableRefills3[[#This Row],[prev_refill_end]])</f>
        <v>3</v>
      </c>
      <c r="H906" s="10">
        <f>IF(TableRefills3[[#This Row],[gap_days]]="",0,IF(TableRefills3[[#This Row],[gap_days]]&gt;2,1,0))</f>
        <v>1</v>
      </c>
      <c r="I906">
        <f>_xlfn.MAXIFS(TableRefills3[discountinuation_flag], TableRefills3[patient_id], A906)</f>
        <v>1</v>
      </c>
    </row>
    <row r="907" spans="1:9" x14ac:dyDescent="0.25">
      <c r="A907" t="s">
        <v>1447</v>
      </c>
      <c r="B907" t="s">
        <v>1448</v>
      </c>
      <c r="C907" s="3">
        <v>45933</v>
      </c>
      <c r="D907">
        <v>28</v>
      </c>
      <c r="E907" s="3">
        <f t="shared" si="14"/>
        <v>45903</v>
      </c>
      <c r="F907" s="3">
        <f>IF(TableRefills3[[#This Row],[prev_refill_days]]="","",TableRefills3[[#This Row],[prev_refill_days]]+TableRefills3[[#This Row],[quantity_days]])</f>
        <v>45931</v>
      </c>
      <c r="G907">
        <f>IF(TableRefills3[[#This Row],[prev_refill_end]]="","",TableRefills3[[#This Row],[refill_date]]-TableRefills3[[#This Row],[prev_refill_end]])</f>
        <v>2</v>
      </c>
      <c r="H907" s="10">
        <f>IF(TableRefills3[[#This Row],[gap_days]]="",0,IF(TableRefills3[[#This Row],[gap_days]]&gt;2,1,0))</f>
        <v>0</v>
      </c>
      <c r="I907">
        <f>_xlfn.MAXIFS(TableRefills3[discountinuation_flag], TableRefills3[patient_id], A907)</f>
        <v>1</v>
      </c>
    </row>
    <row r="908" spans="1:9" x14ac:dyDescent="0.25">
      <c r="A908" t="s">
        <v>1455</v>
      </c>
      <c r="B908" t="s">
        <v>1456</v>
      </c>
      <c r="C908" s="3">
        <v>45921</v>
      </c>
      <c r="D908">
        <v>28</v>
      </c>
      <c r="E908" s="3" t="str">
        <f t="shared" si="14"/>
        <v/>
      </c>
      <c r="F908" s="3" t="str">
        <f>IF(TableRefills3[[#This Row],[prev_refill_days]]="","",TableRefills3[[#This Row],[prev_refill_days]]+TableRefills3[[#This Row],[quantity_days]])</f>
        <v/>
      </c>
      <c r="G908" t="str">
        <f>IF(TableRefills3[[#This Row],[prev_refill_end]]="","",TableRefills3[[#This Row],[refill_date]]-TableRefills3[[#This Row],[prev_refill_end]])</f>
        <v/>
      </c>
      <c r="H908" s="10">
        <f>IF(TableRefills3[[#This Row],[gap_days]]="",0,IF(TableRefills3[[#This Row],[gap_days]]&gt;2,1,0))</f>
        <v>0</v>
      </c>
      <c r="I908">
        <f>_xlfn.MAXIFS(TableRefills3[discountinuation_flag], TableRefills3[patient_id], A908)</f>
        <v>0</v>
      </c>
    </row>
    <row r="909" spans="1:9" x14ac:dyDescent="0.25">
      <c r="A909" t="s">
        <v>1455</v>
      </c>
      <c r="B909" t="s">
        <v>1456</v>
      </c>
      <c r="C909" s="3">
        <v>45951</v>
      </c>
      <c r="D909">
        <v>28</v>
      </c>
      <c r="E909" s="3">
        <f t="shared" si="14"/>
        <v>45921</v>
      </c>
      <c r="F909" s="3">
        <f>IF(TableRefills3[[#This Row],[prev_refill_days]]="","",TableRefills3[[#This Row],[prev_refill_days]]+TableRefills3[[#This Row],[quantity_days]])</f>
        <v>45949</v>
      </c>
      <c r="G909">
        <f>IF(TableRefills3[[#This Row],[prev_refill_end]]="","",TableRefills3[[#This Row],[refill_date]]-TableRefills3[[#This Row],[prev_refill_end]])</f>
        <v>2</v>
      </c>
      <c r="H909" s="10">
        <f>IF(TableRefills3[[#This Row],[gap_days]]="",0,IF(TableRefills3[[#This Row],[gap_days]]&gt;2,1,0))</f>
        <v>0</v>
      </c>
      <c r="I909">
        <f>_xlfn.MAXIFS(TableRefills3[discountinuation_flag], TableRefills3[patient_id], A909)</f>
        <v>0</v>
      </c>
    </row>
    <row r="910" spans="1:9" x14ac:dyDescent="0.25">
      <c r="A910" t="s">
        <v>1459</v>
      </c>
      <c r="B910" t="s">
        <v>1460</v>
      </c>
      <c r="C910" s="3">
        <v>45870</v>
      </c>
      <c r="D910">
        <v>14</v>
      </c>
      <c r="E910" s="3" t="str">
        <f t="shared" si="14"/>
        <v/>
      </c>
      <c r="F910" s="3" t="str">
        <f>IF(TableRefills3[[#This Row],[prev_refill_days]]="","",TableRefills3[[#This Row],[prev_refill_days]]+TableRefills3[[#This Row],[quantity_days]])</f>
        <v/>
      </c>
      <c r="G910" t="str">
        <f>IF(TableRefills3[[#This Row],[prev_refill_end]]="","",TableRefills3[[#This Row],[refill_date]]-TableRefills3[[#This Row],[prev_refill_end]])</f>
        <v/>
      </c>
      <c r="H910" s="10">
        <f>IF(TableRefills3[[#This Row],[gap_days]]="",0,IF(TableRefills3[[#This Row],[gap_days]]&gt;2,1,0))</f>
        <v>0</v>
      </c>
      <c r="I910">
        <f>_xlfn.MAXIFS(TableRefills3[discountinuation_flag], TableRefills3[patient_id], A910)</f>
        <v>1</v>
      </c>
    </row>
    <row r="911" spans="1:9" x14ac:dyDescent="0.25">
      <c r="A911" t="s">
        <v>1459</v>
      </c>
      <c r="B911" t="s">
        <v>1460</v>
      </c>
      <c r="C911" s="3">
        <v>45882</v>
      </c>
      <c r="D911">
        <v>14</v>
      </c>
      <c r="E911" s="3">
        <f t="shared" si="14"/>
        <v>45870</v>
      </c>
      <c r="F911" s="3">
        <f>IF(TableRefills3[[#This Row],[prev_refill_days]]="","",TableRefills3[[#This Row],[prev_refill_days]]+TableRefills3[[#This Row],[quantity_days]])</f>
        <v>45884</v>
      </c>
      <c r="G911">
        <f>IF(TableRefills3[[#This Row],[prev_refill_end]]="","",TableRefills3[[#This Row],[refill_date]]-TableRefills3[[#This Row],[prev_refill_end]])</f>
        <v>-2</v>
      </c>
      <c r="H911" s="10">
        <f>IF(TableRefills3[[#This Row],[gap_days]]="",0,IF(TableRefills3[[#This Row],[gap_days]]&gt;2,1,0))</f>
        <v>0</v>
      </c>
      <c r="I911">
        <f>_xlfn.MAXIFS(TableRefills3[discountinuation_flag], TableRefills3[patient_id], A911)</f>
        <v>1</v>
      </c>
    </row>
    <row r="912" spans="1:9" x14ac:dyDescent="0.25">
      <c r="A912" t="s">
        <v>1459</v>
      </c>
      <c r="B912" t="s">
        <v>1460</v>
      </c>
      <c r="C912" s="3">
        <v>45899</v>
      </c>
      <c r="D912">
        <v>14</v>
      </c>
      <c r="E912" s="3">
        <f t="shared" si="14"/>
        <v>45882</v>
      </c>
      <c r="F912" s="3">
        <f>IF(TableRefills3[[#This Row],[prev_refill_days]]="","",TableRefills3[[#This Row],[prev_refill_days]]+TableRefills3[[#This Row],[quantity_days]])</f>
        <v>45896</v>
      </c>
      <c r="G912">
        <f>IF(TableRefills3[[#This Row],[prev_refill_end]]="","",TableRefills3[[#This Row],[refill_date]]-TableRefills3[[#This Row],[prev_refill_end]])</f>
        <v>3</v>
      </c>
      <c r="H912" s="10">
        <f>IF(TableRefills3[[#This Row],[gap_days]]="",0,IF(TableRefills3[[#This Row],[gap_days]]&gt;2,1,0))</f>
        <v>1</v>
      </c>
      <c r="I912">
        <f>_xlfn.MAXIFS(TableRefills3[discountinuation_flag], TableRefills3[patient_id], A912)</f>
        <v>1</v>
      </c>
    </row>
    <row r="913" spans="1:9" x14ac:dyDescent="0.25">
      <c r="A913" t="s">
        <v>1459</v>
      </c>
      <c r="B913" t="s">
        <v>1460</v>
      </c>
      <c r="C913" s="3">
        <v>45916</v>
      </c>
      <c r="D913">
        <v>14</v>
      </c>
      <c r="E913" s="3">
        <f t="shared" si="14"/>
        <v>45899</v>
      </c>
      <c r="F913" s="3">
        <f>IF(TableRefills3[[#This Row],[prev_refill_days]]="","",TableRefills3[[#This Row],[prev_refill_days]]+TableRefills3[[#This Row],[quantity_days]])</f>
        <v>45913</v>
      </c>
      <c r="G913">
        <f>IF(TableRefills3[[#This Row],[prev_refill_end]]="","",TableRefills3[[#This Row],[refill_date]]-TableRefills3[[#This Row],[prev_refill_end]])</f>
        <v>3</v>
      </c>
      <c r="H913" s="10">
        <f>IF(TableRefills3[[#This Row],[gap_days]]="",0,IF(TableRefills3[[#This Row],[gap_days]]&gt;2,1,0))</f>
        <v>1</v>
      </c>
      <c r="I913">
        <f>_xlfn.MAXIFS(TableRefills3[discountinuation_flag], TableRefills3[patient_id], A913)</f>
        <v>1</v>
      </c>
    </row>
    <row r="914" spans="1:9" x14ac:dyDescent="0.25">
      <c r="A914" t="s">
        <v>1459</v>
      </c>
      <c r="B914" t="s">
        <v>1460</v>
      </c>
      <c r="C914" s="3">
        <v>45929</v>
      </c>
      <c r="D914">
        <v>14</v>
      </c>
      <c r="E914" s="3">
        <f t="shared" si="14"/>
        <v>45916</v>
      </c>
      <c r="F914" s="3">
        <f>IF(TableRefills3[[#This Row],[prev_refill_days]]="","",TableRefills3[[#This Row],[prev_refill_days]]+TableRefills3[[#This Row],[quantity_days]])</f>
        <v>45930</v>
      </c>
      <c r="G914">
        <f>IF(TableRefills3[[#This Row],[prev_refill_end]]="","",TableRefills3[[#This Row],[refill_date]]-TableRefills3[[#This Row],[prev_refill_end]])</f>
        <v>-1</v>
      </c>
      <c r="H914" s="10">
        <f>IF(TableRefills3[[#This Row],[gap_days]]="",0,IF(TableRefills3[[#This Row],[gap_days]]&gt;2,1,0))</f>
        <v>0</v>
      </c>
      <c r="I914">
        <f>_xlfn.MAXIFS(TableRefills3[discountinuation_flag], TableRefills3[patient_id], A914)</f>
        <v>1</v>
      </c>
    </row>
    <row r="915" spans="1:9" x14ac:dyDescent="0.25">
      <c r="A915" t="s">
        <v>1459</v>
      </c>
      <c r="B915" t="s">
        <v>1460</v>
      </c>
      <c r="C915" s="3">
        <v>45945</v>
      </c>
      <c r="D915">
        <v>14</v>
      </c>
      <c r="E915" s="3">
        <f t="shared" si="14"/>
        <v>45929</v>
      </c>
      <c r="F915" s="3">
        <f>IF(TableRefills3[[#This Row],[prev_refill_days]]="","",TableRefills3[[#This Row],[prev_refill_days]]+TableRefills3[[#This Row],[quantity_days]])</f>
        <v>45943</v>
      </c>
      <c r="G915">
        <f>IF(TableRefills3[[#This Row],[prev_refill_end]]="","",TableRefills3[[#This Row],[refill_date]]-TableRefills3[[#This Row],[prev_refill_end]])</f>
        <v>2</v>
      </c>
      <c r="H915" s="10">
        <f>IF(TableRefills3[[#This Row],[gap_days]]="",0,IF(TableRefills3[[#This Row],[gap_days]]&gt;2,1,0))</f>
        <v>0</v>
      </c>
      <c r="I915">
        <f>_xlfn.MAXIFS(TableRefills3[discountinuation_flag], TableRefills3[patient_id], A915)</f>
        <v>1</v>
      </c>
    </row>
    <row r="916" spans="1:9" x14ac:dyDescent="0.25">
      <c r="A916" t="s">
        <v>1459</v>
      </c>
      <c r="B916" t="s">
        <v>1460</v>
      </c>
      <c r="C916" s="3">
        <v>45959</v>
      </c>
      <c r="D916">
        <v>14</v>
      </c>
      <c r="E916" s="3">
        <f t="shared" si="14"/>
        <v>45945</v>
      </c>
      <c r="F916" s="3">
        <f>IF(TableRefills3[[#This Row],[prev_refill_days]]="","",TableRefills3[[#This Row],[prev_refill_days]]+TableRefills3[[#This Row],[quantity_days]])</f>
        <v>45959</v>
      </c>
      <c r="G916">
        <f>IF(TableRefills3[[#This Row],[prev_refill_end]]="","",TableRefills3[[#This Row],[refill_date]]-TableRefills3[[#This Row],[prev_refill_end]])</f>
        <v>0</v>
      </c>
      <c r="H916" s="10">
        <f>IF(TableRefills3[[#This Row],[gap_days]]="",0,IF(TableRefills3[[#This Row],[gap_days]]&gt;2,1,0))</f>
        <v>0</v>
      </c>
      <c r="I916">
        <f>_xlfn.MAXIFS(TableRefills3[discountinuation_flag], TableRefills3[patient_id], A916)</f>
        <v>1</v>
      </c>
    </row>
    <row r="917" spans="1:9" x14ac:dyDescent="0.25">
      <c r="A917" t="s">
        <v>1468</v>
      </c>
      <c r="B917" t="s">
        <v>1469</v>
      </c>
      <c r="C917" s="3">
        <v>45851</v>
      </c>
      <c r="D917">
        <v>28</v>
      </c>
      <c r="E917" s="3" t="str">
        <f t="shared" si="14"/>
        <v/>
      </c>
      <c r="F917" s="3" t="str">
        <f>IF(TableRefills3[[#This Row],[prev_refill_days]]="","",TableRefills3[[#This Row],[prev_refill_days]]+TableRefills3[[#This Row],[quantity_days]])</f>
        <v/>
      </c>
      <c r="G917" t="str">
        <f>IF(TableRefills3[[#This Row],[prev_refill_end]]="","",TableRefills3[[#This Row],[refill_date]]-TableRefills3[[#This Row],[prev_refill_end]])</f>
        <v/>
      </c>
      <c r="H917" s="10">
        <f>IF(TableRefills3[[#This Row],[gap_days]]="",0,IF(TableRefills3[[#This Row],[gap_days]]&gt;2,1,0))</f>
        <v>0</v>
      </c>
      <c r="I917">
        <f>_xlfn.MAXIFS(TableRefills3[discountinuation_flag], TableRefills3[patient_id], A917)</f>
        <v>0</v>
      </c>
    </row>
    <row r="918" spans="1:9" x14ac:dyDescent="0.25">
      <c r="A918" t="s">
        <v>1468</v>
      </c>
      <c r="B918" t="s">
        <v>1469</v>
      </c>
      <c r="C918" s="3">
        <v>45881</v>
      </c>
      <c r="D918">
        <v>28</v>
      </c>
      <c r="E918" s="3">
        <f t="shared" si="14"/>
        <v>45851</v>
      </c>
      <c r="F918" s="3">
        <f>IF(TableRefills3[[#This Row],[prev_refill_days]]="","",TableRefills3[[#This Row],[prev_refill_days]]+TableRefills3[[#This Row],[quantity_days]])</f>
        <v>45879</v>
      </c>
      <c r="G918">
        <f>IF(TableRefills3[[#This Row],[prev_refill_end]]="","",TableRefills3[[#This Row],[refill_date]]-TableRefills3[[#This Row],[prev_refill_end]])</f>
        <v>2</v>
      </c>
      <c r="H918" s="10">
        <f>IF(TableRefills3[[#This Row],[gap_days]]="",0,IF(TableRefills3[[#This Row],[gap_days]]&gt;2,1,0))</f>
        <v>0</v>
      </c>
      <c r="I918">
        <f>_xlfn.MAXIFS(TableRefills3[discountinuation_flag], TableRefills3[patient_id], A918)</f>
        <v>0</v>
      </c>
    </row>
    <row r="919" spans="1:9" x14ac:dyDescent="0.25">
      <c r="A919" t="s">
        <v>1468</v>
      </c>
      <c r="B919" t="s">
        <v>1469</v>
      </c>
      <c r="C919" s="3">
        <v>45910</v>
      </c>
      <c r="D919">
        <v>28</v>
      </c>
      <c r="E919" s="3">
        <f t="shared" si="14"/>
        <v>45881</v>
      </c>
      <c r="F919" s="3">
        <f>IF(TableRefills3[[#This Row],[prev_refill_days]]="","",TableRefills3[[#This Row],[prev_refill_days]]+TableRefills3[[#This Row],[quantity_days]])</f>
        <v>45909</v>
      </c>
      <c r="G919">
        <f>IF(TableRefills3[[#This Row],[prev_refill_end]]="","",TableRefills3[[#This Row],[refill_date]]-TableRefills3[[#This Row],[prev_refill_end]])</f>
        <v>1</v>
      </c>
      <c r="H919" s="10">
        <f>IF(TableRefills3[[#This Row],[gap_days]]="",0,IF(TableRefills3[[#This Row],[gap_days]]&gt;2,1,0))</f>
        <v>0</v>
      </c>
      <c r="I919">
        <f>_xlfn.MAXIFS(TableRefills3[discountinuation_flag], TableRefills3[patient_id], A919)</f>
        <v>0</v>
      </c>
    </row>
    <row r="920" spans="1:9" x14ac:dyDescent="0.25">
      <c r="A920" t="s">
        <v>1468</v>
      </c>
      <c r="B920" t="s">
        <v>1469</v>
      </c>
      <c r="C920" s="3">
        <v>45935</v>
      </c>
      <c r="D920">
        <v>28</v>
      </c>
      <c r="E920" s="3">
        <f t="shared" si="14"/>
        <v>45910</v>
      </c>
      <c r="F920" s="3">
        <f>IF(TableRefills3[[#This Row],[prev_refill_days]]="","",TableRefills3[[#This Row],[prev_refill_days]]+TableRefills3[[#This Row],[quantity_days]])</f>
        <v>45938</v>
      </c>
      <c r="G920">
        <f>IF(TableRefills3[[#This Row],[prev_refill_end]]="","",TableRefills3[[#This Row],[refill_date]]-TableRefills3[[#This Row],[prev_refill_end]])</f>
        <v>-3</v>
      </c>
      <c r="H920" s="10">
        <f>IF(TableRefills3[[#This Row],[gap_days]]="",0,IF(TableRefills3[[#This Row],[gap_days]]&gt;2,1,0))</f>
        <v>0</v>
      </c>
      <c r="I920">
        <f>_xlfn.MAXIFS(TableRefills3[discountinuation_flag], TableRefills3[patient_id], A920)</f>
        <v>0</v>
      </c>
    </row>
    <row r="921" spans="1:9" x14ac:dyDescent="0.25">
      <c r="A921" t="s">
        <v>1474</v>
      </c>
      <c r="B921" t="s">
        <v>1475</v>
      </c>
      <c r="C921" s="3">
        <v>45876</v>
      </c>
      <c r="D921">
        <v>30</v>
      </c>
      <c r="E921" s="3" t="str">
        <f t="shared" si="14"/>
        <v/>
      </c>
      <c r="F921" s="3" t="str">
        <f>IF(TableRefills3[[#This Row],[prev_refill_days]]="","",TableRefills3[[#This Row],[prev_refill_days]]+TableRefills3[[#This Row],[quantity_days]])</f>
        <v/>
      </c>
      <c r="G921" t="str">
        <f>IF(TableRefills3[[#This Row],[prev_refill_end]]="","",TableRefills3[[#This Row],[refill_date]]-TableRefills3[[#This Row],[prev_refill_end]])</f>
        <v/>
      </c>
      <c r="H921" s="10">
        <f>IF(TableRefills3[[#This Row],[gap_days]]="",0,IF(TableRefills3[[#This Row],[gap_days]]&gt;2,1,0))</f>
        <v>0</v>
      </c>
      <c r="I921">
        <f>_xlfn.MAXIFS(TableRefills3[discountinuation_flag], TableRefills3[patient_id], A921)</f>
        <v>1</v>
      </c>
    </row>
    <row r="922" spans="1:9" x14ac:dyDescent="0.25">
      <c r="A922" t="s">
        <v>1474</v>
      </c>
      <c r="B922" t="s">
        <v>1475</v>
      </c>
      <c r="C922" s="3">
        <v>45907</v>
      </c>
      <c r="D922">
        <v>30</v>
      </c>
      <c r="E922" s="3">
        <f t="shared" si="14"/>
        <v>45876</v>
      </c>
      <c r="F922" s="3">
        <f>IF(TableRefills3[[#This Row],[prev_refill_days]]="","",TableRefills3[[#This Row],[prev_refill_days]]+TableRefills3[[#This Row],[quantity_days]])</f>
        <v>45906</v>
      </c>
      <c r="G922">
        <f>IF(TableRefills3[[#This Row],[prev_refill_end]]="","",TableRefills3[[#This Row],[refill_date]]-TableRefills3[[#This Row],[prev_refill_end]])</f>
        <v>1</v>
      </c>
      <c r="H922" s="10">
        <f>IF(TableRefills3[[#This Row],[gap_days]]="",0,IF(TableRefills3[[#This Row],[gap_days]]&gt;2,1,0))</f>
        <v>0</v>
      </c>
      <c r="I922">
        <f>_xlfn.MAXIFS(TableRefills3[discountinuation_flag], TableRefills3[patient_id], A922)</f>
        <v>1</v>
      </c>
    </row>
    <row r="923" spans="1:9" x14ac:dyDescent="0.25">
      <c r="A923" t="s">
        <v>1474</v>
      </c>
      <c r="B923" t="s">
        <v>1475</v>
      </c>
      <c r="C923" s="3">
        <v>45940</v>
      </c>
      <c r="D923">
        <v>30</v>
      </c>
      <c r="E923" s="3">
        <f t="shared" si="14"/>
        <v>45907</v>
      </c>
      <c r="F923" s="3">
        <f>IF(TableRefills3[[#This Row],[prev_refill_days]]="","",TableRefills3[[#This Row],[prev_refill_days]]+TableRefills3[[#This Row],[quantity_days]])</f>
        <v>45937</v>
      </c>
      <c r="G923">
        <f>IF(TableRefills3[[#This Row],[prev_refill_end]]="","",TableRefills3[[#This Row],[refill_date]]-TableRefills3[[#This Row],[prev_refill_end]])</f>
        <v>3</v>
      </c>
      <c r="H923" s="10">
        <f>IF(TableRefills3[[#This Row],[gap_days]]="",0,IF(TableRefills3[[#This Row],[gap_days]]&gt;2,1,0))</f>
        <v>1</v>
      </c>
      <c r="I923">
        <f>_xlfn.MAXIFS(TableRefills3[discountinuation_flag], TableRefills3[patient_id], A923)</f>
        <v>1</v>
      </c>
    </row>
    <row r="924" spans="1:9" x14ac:dyDescent="0.25">
      <c r="A924" t="s">
        <v>1479</v>
      </c>
      <c r="B924" t="s">
        <v>1480</v>
      </c>
      <c r="C924" s="3">
        <v>45893</v>
      </c>
      <c r="D924">
        <v>30</v>
      </c>
      <c r="E924" s="3" t="str">
        <f t="shared" si="14"/>
        <v/>
      </c>
      <c r="F924" s="3" t="str">
        <f>IF(TableRefills3[[#This Row],[prev_refill_days]]="","",TableRefills3[[#This Row],[prev_refill_days]]+TableRefills3[[#This Row],[quantity_days]])</f>
        <v/>
      </c>
      <c r="G924" t="str">
        <f>IF(TableRefills3[[#This Row],[prev_refill_end]]="","",TableRefills3[[#This Row],[refill_date]]-TableRefills3[[#This Row],[prev_refill_end]])</f>
        <v/>
      </c>
      <c r="H924" s="10">
        <f>IF(TableRefills3[[#This Row],[gap_days]]="",0,IF(TableRefills3[[#This Row],[gap_days]]&gt;2,1,0))</f>
        <v>0</v>
      </c>
      <c r="I924">
        <f>_xlfn.MAXIFS(TableRefills3[discountinuation_flag], TableRefills3[patient_id], A924)</f>
        <v>1</v>
      </c>
    </row>
    <row r="925" spans="1:9" x14ac:dyDescent="0.25">
      <c r="A925" t="s">
        <v>1479</v>
      </c>
      <c r="B925" t="s">
        <v>1480</v>
      </c>
      <c r="C925" s="3">
        <v>45926</v>
      </c>
      <c r="D925">
        <v>30</v>
      </c>
      <c r="E925" s="3">
        <f t="shared" si="14"/>
        <v>45893</v>
      </c>
      <c r="F925" s="3">
        <f>IF(TableRefills3[[#This Row],[prev_refill_days]]="","",TableRefills3[[#This Row],[prev_refill_days]]+TableRefills3[[#This Row],[quantity_days]])</f>
        <v>45923</v>
      </c>
      <c r="G925">
        <f>IF(TableRefills3[[#This Row],[prev_refill_end]]="","",TableRefills3[[#This Row],[refill_date]]-TableRefills3[[#This Row],[prev_refill_end]])</f>
        <v>3</v>
      </c>
      <c r="H925" s="10">
        <f>IF(TableRefills3[[#This Row],[gap_days]]="",0,IF(TableRefills3[[#This Row],[gap_days]]&gt;2,1,0))</f>
        <v>1</v>
      </c>
      <c r="I925">
        <f>_xlfn.MAXIFS(TableRefills3[discountinuation_flag], TableRefills3[patient_id], A925)</f>
        <v>1</v>
      </c>
    </row>
    <row r="926" spans="1:9" x14ac:dyDescent="0.25">
      <c r="A926" t="s">
        <v>1479</v>
      </c>
      <c r="B926" t="s">
        <v>1480</v>
      </c>
      <c r="C926" s="3">
        <v>45958</v>
      </c>
      <c r="D926">
        <v>30</v>
      </c>
      <c r="E926" s="3">
        <f t="shared" si="14"/>
        <v>45926</v>
      </c>
      <c r="F926" s="3">
        <f>IF(TableRefills3[[#This Row],[prev_refill_days]]="","",TableRefills3[[#This Row],[prev_refill_days]]+TableRefills3[[#This Row],[quantity_days]])</f>
        <v>45956</v>
      </c>
      <c r="G926">
        <f>IF(TableRefills3[[#This Row],[prev_refill_end]]="","",TableRefills3[[#This Row],[refill_date]]-TableRefills3[[#This Row],[prev_refill_end]])</f>
        <v>2</v>
      </c>
      <c r="H926" s="10">
        <f>IF(TableRefills3[[#This Row],[gap_days]]="",0,IF(TableRefills3[[#This Row],[gap_days]]&gt;2,1,0))</f>
        <v>0</v>
      </c>
      <c r="I926">
        <f>_xlfn.MAXIFS(TableRefills3[discountinuation_flag], TableRefills3[patient_id], A926)</f>
        <v>1</v>
      </c>
    </row>
    <row r="927" spans="1:9" x14ac:dyDescent="0.25">
      <c r="A927" t="s">
        <v>1484</v>
      </c>
      <c r="B927" t="s">
        <v>1485</v>
      </c>
      <c r="C927" s="3">
        <v>45918</v>
      </c>
      <c r="D927">
        <v>28</v>
      </c>
      <c r="E927" s="3" t="str">
        <f t="shared" si="14"/>
        <v/>
      </c>
      <c r="F927" s="3" t="str">
        <f>IF(TableRefills3[[#This Row],[prev_refill_days]]="","",TableRefills3[[#This Row],[prev_refill_days]]+TableRefills3[[#This Row],[quantity_days]])</f>
        <v/>
      </c>
      <c r="G927" t="str">
        <f>IF(TableRefills3[[#This Row],[prev_refill_end]]="","",TableRefills3[[#This Row],[refill_date]]-TableRefills3[[#This Row],[prev_refill_end]])</f>
        <v/>
      </c>
      <c r="H927" s="10">
        <f>IF(TableRefills3[[#This Row],[gap_days]]="",0,IF(TableRefills3[[#This Row],[gap_days]]&gt;2,1,0))</f>
        <v>0</v>
      </c>
      <c r="I927">
        <f>_xlfn.MAXIFS(TableRefills3[discountinuation_flag], TableRefills3[patient_id], A927)</f>
        <v>0</v>
      </c>
    </row>
    <row r="928" spans="1:9" x14ac:dyDescent="0.25">
      <c r="A928" t="s">
        <v>1484</v>
      </c>
      <c r="B928" t="s">
        <v>1485</v>
      </c>
      <c r="C928" s="3">
        <v>45945</v>
      </c>
      <c r="D928">
        <v>28</v>
      </c>
      <c r="E928" s="3">
        <f t="shared" si="14"/>
        <v>45918</v>
      </c>
      <c r="F928" s="3">
        <f>IF(TableRefills3[[#This Row],[prev_refill_days]]="","",TableRefills3[[#This Row],[prev_refill_days]]+TableRefills3[[#This Row],[quantity_days]])</f>
        <v>45946</v>
      </c>
      <c r="G928">
        <f>IF(TableRefills3[[#This Row],[prev_refill_end]]="","",TableRefills3[[#This Row],[refill_date]]-TableRefills3[[#This Row],[prev_refill_end]])</f>
        <v>-1</v>
      </c>
      <c r="H928" s="10">
        <f>IF(TableRefills3[[#This Row],[gap_days]]="",0,IF(TableRefills3[[#This Row],[gap_days]]&gt;2,1,0))</f>
        <v>0</v>
      </c>
      <c r="I928">
        <f>_xlfn.MAXIFS(TableRefills3[discountinuation_flag], TableRefills3[patient_id], A928)</f>
        <v>0</v>
      </c>
    </row>
    <row r="929" spans="1:9" x14ac:dyDescent="0.25">
      <c r="A929" t="s">
        <v>1488</v>
      </c>
      <c r="B929" t="s">
        <v>1489</v>
      </c>
      <c r="C929" s="3">
        <v>45937</v>
      </c>
      <c r="D929">
        <v>28</v>
      </c>
      <c r="E929" s="3" t="str">
        <f t="shared" si="14"/>
        <v/>
      </c>
      <c r="F929" s="3" t="str">
        <f>IF(TableRefills3[[#This Row],[prev_refill_days]]="","",TableRefills3[[#This Row],[prev_refill_days]]+TableRefills3[[#This Row],[quantity_days]])</f>
        <v/>
      </c>
      <c r="G929" t="str">
        <f>IF(TableRefills3[[#This Row],[prev_refill_end]]="","",TableRefills3[[#This Row],[refill_date]]-TableRefills3[[#This Row],[prev_refill_end]])</f>
        <v/>
      </c>
      <c r="H929" s="10">
        <f>IF(TableRefills3[[#This Row],[gap_days]]="",0,IF(TableRefills3[[#This Row],[gap_days]]&gt;2,1,0))</f>
        <v>0</v>
      </c>
      <c r="I929">
        <f>_xlfn.MAXIFS(TableRefills3[discountinuation_flag], TableRefills3[patient_id], A929)</f>
        <v>0</v>
      </c>
    </row>
    <row r="930" spans="1:9" x14ac:dyDescent="0.25">
      <c r="A930" t="s">
        <v>1491</v>
      </c>
      <c r="B930" t="s">
        <v>1492</v>
      </c>
      <c r="C930" s="3">
        <v>45934</v>
      </c>
      <c r="D930">
        <v>21</v>
      </c>
      <c r="E930" s="3" t="str">
        <f t="shared" si="14"/>
        <v/>
      </c>
      <c r="F930" s="3" t="str">
        <f>IF(TableRefills3[[#This Row],[prev_refill_days]]="","",TableRefills3[[#This Row],[prev_refill_days]]+TableRefills3[[#This Row],[quantity_days]])</f>
        <v/>
      </c>
      <c r="G930" t="str">
        <f>IF(TableRefills3[[#This Row],[prev_refill_end]]="","",TableRefills3[[#This Row],[refill_date]]-TableRefills3[[#This Row],[prev_refill_end]])</f>
        <v/>
      </c>
      <c r="H930" s="10">
        <f>IF(TableRefills3[[#This Row],[gap_days]]="",0,IF(TableRefills3[[#This Row],[gap_days]]&gt;2,1,0))</f>
        <v>0</v>
      </c>
      <c r="I930">
        <f>_xlfn.MAXIFS(TableRefills3[discountinuation_flag], TableRefills3[patient_id], A930)</f>
        <v>1</v>
      </c>
    </row>
    <row r="931" spans="1:9" x14ac:dyDescent="0.25">
      <c r="A931" t="s">
        <v>1491</v>
      </c>
      <c r="B931" t="s">
        <v>1492</v>
      </c>
      <c r="C931" s="3">
        <v>45958</v>
      </c>
      <c r="D931">
        <v>21</v>
      </c>
      <c r="E931" s="3">
        <f t="shared" si="14"/>
        <v>45934</v>
      </c>
      <c r="F931" s="3">
        <f>IF(TableRefills3[[#This Row],[prev_refill_days]]="","",TableRefills3[[#This Row],[prev_refill_days]]+TableRefills3[[#This Row],[quantity_days]])</f>
        <v>45955</v>
      </c>
      <c r="G931">
        <f>IF(TableRefills3[[#This Row],[prev_refill_end]]="","",TableRefills3[[#This Row],[refill_date]]-TableRefills3[[#This Row],[prev_refill_end]])</f>
        <v>3</v>
      </c>
      <c r="H931" s="10">
        <f>IF(TableRefills3[[#This Row],[gap_days]]="",0,IF(TableRefills3[[#This Row],[gap_days]]&gt;2,1,0))</f>
        <v>1</v>
      </c>
      <c r="I931">
        <f>_xlfn.MAXIFS(TableRefills3[discountinuation_flag], TableRefills3[patient_id], A931)</f>
        <v>1</v>
      </c>
    </row>
    <row r="932" spans="1:9" x14ac:dyDescent="0.25">
      <c r="A932" t="s">
        <v>1495</v>
      </c>
      <c r="B932" t="s">
        <v>1496</v>
      </c>
      <c r="C932" s="3">
        <v>45810</v>
      </c>
      <c r="D932">
        <v>28</v>
      </c>
      <c r="E932" s="3" t="str">
        <f t="shared" si="14"/>
        <v/>
      </c>
      <c r="F932" s="3" t="str">
        <f>IF(TableRefills3[[#This Row],[prev_refill_days]]="","",TableRefills3[[#This Row],[prev_refill_days]]+TableRefills3[[#This Row],[quantity_days]])</f>
        <v/>
      </c>
      <c r="G932" t="str">
        <f>IF(TableRefills3[[#This Row],[prev_refill_end]]="","",TableRefills3[[#This Row],[refill_date]]-TableRefills3[[#This Row],[prev_refill_end]])</f>
        <v/>
      </c>
      <c r="H932" s="10">
        <f>IF(TableRefills3[[#This Row],[gap_days]]="",0,IF(TableRefills3[[#This Row],[gap_days]]&gt;2,1,0))</f>
        <v>0</v>
      </c>
      <c r="I932">
        <f>_xlfn.MAXIFS(TableRefills3[discountinuation_flag], TableRefills3[patient_id], A932)</f>
        <v>0</v>
      </c>
    </row>
    <row r="933" spans="1:9" x14ac:dyDescent="0.25">
      <c r="A933" t="s">
        <v>1495</v>
      </c>
      <c r="B933" t="s">
        <v>1496</v>
      </c>
      <c r="C933" s="3">
        <v>45838</v>
      </c>
      <c r="D933">
        <v>28</v>
      </c>
      <c r="E933" s="3">
        <f t="shared" si="14"/>
        <v>45810</v>
      </c>
      <c r="F933" s="3">
        <f>IF(TableRefills3[[#This Row],[prev_refill_days]]="","",TableRefills3[[#This Row],[prev_refill_days]]+TableRefills3[[#This Row],[quantity_days]])</f>
        <v>45838</v>
      </c>
      <c r="G933">
        <f>IF(TableRefills3[[#This Row],[prev_refill_end]]="","",TableRefills3[[#This Row],[refill_date]]-TableRefills3[[#This Row],[prev_refill_end]])</f>
        <v>0</v>
      </c>
      <c r="H933" s="10">
        <f>IF(TableRefills3[[#This Row],[gap_days]]="",0,IF(TableRefills3[[#This Row],[gap_days]]&gt;2,1,0))</f>
        <v>0</v>
      </c>
      <c r="I933">
        <f>_xlfn.MAXIFS(TableRefills3[discountinuation_flag], TableRefills3[patient_id], A933)</f>
        <v>0</v>
      </c>
    </row>
    <row r="934" spans="1:9" x14ac:dyDescent="0.25">
      <c r="A934" t="s">
        <v>1495</v>
      </c>
      <c r="B934" t="s">
        <v>1496</v>
      </c>
      <c r="C934" s="3">
        <v>45868</v>
      </c>
      <c r="D934">
        <v>28</v>
      </c>
      <c r="E934" s="3">
        <f t="shared" si="14"/>
        <v>45838</v>
      </c>
      <c r="F934" s="3">
        <f>IF(TableRefills3[[#This Row],[prev_refill_days]]="","",TableRefills3[[#This Row],[prev_refill_days]]+TableRefills3[[#This Row],[quantity_days]])</f>
        <v>45866</v>
      </c>
      <c r="G934">
        <f>IF(TableRefills3[[#This Row],[prev_refill_end]]="","",TableRefills3[[#This Row],[refill_date]]-TableRefills3[[#This Row],[prev_refill_end]])</f>
        <v>2</v>
      </c>
      <c r="H934" s="10">
        <f>IF(TableRefills3[[#This Row],[gap_days]]="",0,IF(TableRefills3[[#This Row],[gap_days]]&gt;2,1,0))</f>
        <v>0</v>
      </c>
      <c r="I934">
        <f>_xlfn.MAXIFS(TableRefills3[discountinuation_flag], TableRefills3[patient_id], A934)</f>
        <v>0</v>
      </c>
    </row>
    <row r="935" spans="1:9" x14ac:dyDescent="0.25">
      <c r="A935" t="s">
        <v>1495</v>
      </c>
      <c r="B935" t="s">
        <v>1496</v>
      </c>
      <c r="C935" s="3">
        <v>45894</v>
      </c>
      <c r="D935">
        <v>28</v>
      </c>
      <c r="E935" s="3">
        <f t="shared" si="14"/>
        <v>45868</v>
      </c>
      <c r="F935" s="3">
        <f>IF(TableRefills3[[#This Row],[prev_refill_days]]="","",TableRefills3[[#This Row],[prev_refill_days]]+TableRefills3[[#This Row],[quantity_days]])</f>
        <v>45896</v>
      </c>
      <c r="G935">
        <f>IF(TableRefills3[[#This Row],[prev_refill_end]]="","",TableRefills3[[#This Row],[refill_date]]-TableRefills3[[#This Row],[prev_refill_end]])</f>
        <v>-2</v>
      </c>
      <c r="H935" s="10">
        <f>IF(TableRefills3[[#This Row],[gap_days]]="",0,IF(TableRefills3[[#This Row],[gap_days]]&gt;2,1,0))</f>
        <v>0</v>
      </c>
      <c r="I935">
        <f>_xlfn.MAXIFS(TableRefills3[discountinuation_flag], TableRefills3[patient_id], A935)</f>
        <v>0</v>
      </c>
    </row>
    <row r="936" spans="1:9" x14ac:dyDescent="0.25">
      <c r="A936" t="s">
        <v>1495</v>
      </c>
      <c r="B936" t="s">
        <v>1496</v>
      </c>
      <c r="C936" s="3">
        <v>45924</v>
      </c>
      <c r="D936">
        <v>28</v>
      </c>
      <c r="E936" s="3">
        <f t="shared" si="14"/>
        <v>45894</v>
      </c>
      <c r="F936" s="3">
        <f>IF(TableRefills3[[#This Row],[prev_refill_days]]="","",TableRefills3[[#This Row],[prev_refill_days]]+TableRefills3[[#This Row],[quantity_days]])</f>
        <v>45922</v>
      </c>
      <c r="G936">
        <f>IF(TableRefills3[[#This Row],[prev_refill_end]]="","",TableRefills3[[#This Row],[refill_date]]-TableRefills3[[#This Row],[prev_refill_end]])</f>
        <v>2</v>
      </c>
      <c r="H936" s="10">
        <f>IF(TableRefills3[[#This Row],[gap_days]]="",0,IF(TableRefills3[[#This Row],[gap_days]]&gt;2,1,0))</f>
        <v>0</v>
      </c>
      <c r="I936">
        <f>_xlfn.MAXIFS(TableRefills3[discountinuation_flag], TableRefills3[patient_id], A936)</f>
        <v>0</v>
      </c>
    </row>
    <row r="937" spans="1:9" x14ac:dyDescent="0.25">
      <c r="A937" t="s">
        <v>1495</v>
      </c>
      <c r="B937" t="s">
        <v>1496</v>
      </c>
      <c r="C937" s="3">
        <v>45949</v>
      </c>
      <c r="D937">
        <v>28</v>
      </c>
      <c r="E937" s="3">
        <f t="shared" si="14"/>
        <v>45924</v>
      </c>
      <c r="F937" s="3">
        <f>IF(TableRefills3[[#This Row],[prev_refill_days]]="","",TableRefills3[[#This Row],[prev_refill_days]]+TableRefills3[[#This Row],[quantity_days]])</f>
        <v>45952</v>
      </c>
      <c r="G937">
        <f>IF(TableRefills3[[#This Row],[prev_refill_end]]="","",TableRefills3[[#This Row],[refill_date]]-TableRefills3[[#This Row],[prev_refill_end]])</f>
        <v>-3</v>
      </c>
      <c r="H937" s="10">
        <f>IF(TableRefills3[[#This Row],[gap_days]]="",0,IF(TableRefills3[[#This Row],[gap_days]]&gt;2,1,0))</f>
        <v>0</v>
      </c>
      <c r="I937">
        <f>_xlfn.MAXIFS(TableRefills3[discountinuation_flag], TableRefills3[patient_id], A937)</f>
        <v>0</v>
      </c>
    </row>
    <row r="938" spans="1:9" x14ac:dyDescent="0.25">
      <c r="A938" t="s">
        <v>1503</v>
      </c>
      <c r="B938" t="s">
        <v>1504</v>
      </c>
      <c r="C938" s="3">
        <v>45878</v>
      </c>
      <c r="D938">
        <v>21</v>
      </c>
      <c r="E938" s="3" t="str">
        <f t="shared" si="14"/>
        <v/>
      </c>
      <c r="F938" s="3" t="str">
        <f>IF(TableRefills3[[#This Row],[prev_refill_days]]="","",TableRefills3[[#This Row],[prev_refill_days]]+TableRefills3[[#This Row],[quantity_days]])</f>
        <v/>
      </c>
      <c r="G938" t="str">
        <f>IF(TableRefills3[[#This Row],[prev_refill_end]]="","",TableRefills3[[#This Row],[refill_date]]-TableRefills3[[#This Row],[prev_refill_end]])</f>
        <v/>
      </c>
      <c r="H938" s="10">
        <f>IF(TableRefills3[[#This Row],[gap_days]]="",0,IF(TableRefills3[[#This Row],[gap_days]]&gt;2,1,0))</f>
        <v>0</v>
      </c>
      <c r="I938">
        <f>_xlfn.MAXIFS(TableRefills3[discountinuation_flag], TableRefills3[patient_id], A938)</f>
        <v>1</v>
      </c>
    </row>
    <row r="939" spans="1:9" x14ac:dyDescent="0.25">
      <c r="A939" t="s">
        <v>1503</v>
      </c>
      <c r="B939" t="s">
        <v>1504</v>
      </c>
      <c r="C939" s="3">
        <v>45898</v>
      </c>
      <c r="D939">
        <v>21</v>
      </c>
      <c r="E939" s="3">
        <f t="shared" si="14"/>
        <v>45878</v>
      </c>
      <c r="F939" s="3">
        <f>IF(TableRefills3[[#This Row],[prev_refill_days]]="","",TableRefills3[[#This Row],[prev_refill_days]]+TableRefills3[[#This Row],[quantity_days]])</f>
        <v>45899</v>
      </c>
      <c r="G939">
        <f>IF(TableRefills3[[#This Row],[prev_refill_end]]="","",TableRefills3[[#This Row],[refill_date]]-TableRefills3[[#This Row],[prev_refill_end]])</f>
        <v>-1</v>
      </c>
      <c r="H939" s="10">
        <f>IF(TableRefills3[[#This Row],[gap_days]]="",0,IF(TableRefills3[[#This Row],[gap_days]]&gt;2,1,0))</f>
        <v>0</v>
      </c>
      <c r="I939">
        <f>_xlfn.MAXIFS(TableRefills3[discountinuation_flag], TableRefills3[patient_id], A939)</f>
        <v>1</v>
      </c>
    </row>
    <row r="940" spans="1:9" x14ac:dyDescent="0.25">
      <c r="A940" t="s">
        <v>1503</v>
      </c>
      <c r="B940" t="s">
        <v>1504</v>
      </c>
      <c r="C940" s="3">
        <v>45918</v>
      </c>
      <c r="D940">
        <v>21</v>
      </c>
      <c r="E940" s="3">
        <f t="shared" si="14"/>
        <v>45898</v>
      </c>
      <c r="F940" s="3">
        <f>IF(TableRefills3[[#This Row],[prev_refill_days]]="","",TableRefills3[[#This Row],[prev_refill_days]]+TableRefills3[[#This Row],[quantity_days]])</f>
        <v>45919</v>
      </c>
      <c r="G940">
        <f>IF(TableRefills3[[#This Row],[prev_refill_end]]="","",TableRefills3[[#This Row],[refill_date]]-TableRefills3[[#This Row],[prev_refill_end]])</f>
        <v>-1</v>
      </c>
      <c r="H940" s="10">
        <f>IF(TableRefills3[[#This Row],[gap_days]]="",0,IF(TableRefills3[[#This Row],[gap_days]]&gt;2,1,0))</f>
        <v>0</v>
      </c>
      <c r="I940">
        <f>_xlfn.MAXIFS(TableRefills3[discountinuation_flag], TableRefills3[patient_id], A940)</f>
        <v>1</v>
      </c>
    </row>
    <row r="941" spans="1:9" x14ac:dyDescent="0.25">
      <c r="A941" t="s">
        <v>1503</v>
      </c>
      <c r="B941" t="s">
        <v>1504</v>
      </c>
      <c r="C941" s="3">
        <v>45937</v>
      </c>
      <c r="D941">
        <v>21</v>
      </c>
      <c r="E941" s="3">
        <f t="shared" si="14"/>
        <v>45918</v>
      </c>
      <c r="F941" s="3">
        <f>IF(TableRefills3[[#This Row],[prev_refill_days]]="","",TableRefills3[[#This Row],[prev_refill_days]]+TableRefills3[[#This Row],[quantity_days]])</f>
        <v>45939</v>
      </c>
      <c r="G941">
        <f>IF(TableRefills3[[#This Row],[prev_refill_end]]="","",TableRefills3[[#This Row],[refill_date]]-TableRefills3[[#This Row],[prev_refill_end]])</f>
        <v>-2</v>
      </c>
      <c r="H941" s="10">
        <f>IF(TableRefills3[[#This Row],[gap_days]]="",0,IF(TableRefills3[[#This Row],[gap_days]]&gt;2,1,0))</f>
        <v>0</v>
      </c>
      <c r="I941">
        <f>_xlfn.MAXIFS(TableRefills3[discountinuation_flag], TableRefills3[patient_id], A941)</f>
        <v>1</v>
      </c>
    </row>
    <row r="942" spans="1:9" x14ac:dyDescent="0.25">
      <c r="A942" t="s">
        <v>1503</v>
      </c>
      <c r="B942" t="s">
        <v>1504</v>
      </c>
      <c r="C942" s="3">
        <v>45961</v>
      </c>
      <c r="D942">
        <v>21</v>
      </c>
      <c r="E942" s="3">
        <f t="shared" si="14"/>
        <v>45937</v>
      </c>
      <c r="F942" s="3">
        <f>IF(TableRefills3[[#This Row],[prev_refill_days]]="","",TableRefills3[[#This Row],[prev_refill_days]]+TableRefills3[[#This Row],[quantity_days]])</f>
        <v>45958</v>
      </c>
      <c r="G942">
        <f>IF(TableRefills3[[#This Row],[prev_refill_end]]="","",TableRefills3[[#This Row],[refill_date]]-TableRefills3[[#This Row],[prev_refill_end]])</f>
        <v>3</v>
      </c>
      <c r="H942" s="10">
        <f>IF(TableRefills3[[#This Row],[gap_days]]="",0,IF(TableRefills3[[#This Row],[gap_days]]&gt;2,1,0))</f>
        <v>1</v>
      </c>
      <c r="I942">
        <f>_xlfn.MAXIFS(TableRefills3[discountinuation_flag], TableRefills3[patient_id], A942)</f>
        <v>1</v>
      </c>
    </row>
    <row r="943" spans="1:9" x14ac:dyDescent="0.25">
      <c r="A943" t="s">
        <v>1510</v>
      </c>
      <c r="B943" t="s">
        <v>1511</v>
      </c>
      <c r="C943" s="3">
        <v>45864</v>
      </c>
      <c r="D943">
        <v>30</v>
      </c>
      <c r="E943" s="3" t="str">
        <f t="shared" si="14"/>
        <v/>
      </c>
      <c r="F943" s="3" t="str">
        <f>IF(TableRefills3[[#This Row],[prev_refill_days]]="","",TableRefills3[[#This Row],[prev_refill_days]]+TableRefills3[[#This Row],[quantity_days]])</f>
        <v/>
      </c>
      <c r="G943" t="str">
        <f>IF(TableRefills3[[#This Row],[prev_refill_end]]="","",TableRefills3[[#This Row],[refill_date]]-TableRefills3[[#This Row],[prev_refill_end]])</f>
        <v/>
      </c>
      <c r="H943" s="10">
        <f>IF(TableRefills3[[#This Row],[gap_days]]="",0,IF(TableRefills3[[#This Row],[gap_days]]&gt;2,1,0))</f>
        <v>0</v>
      </c>
      <c r="I943">
        <f>_xlfn.MAXIFS(TableRefills3[discountinuation_flag], TableRefills3[patient_id], A943)</f>
        <v>0</v>
      </c>
    </row>
    <row r="944" spans="1:9" x14ac:dyDescent="0.25">
      <c r="A944" t="s">
        <v>1510</v>
      </c>
      <c r="B944" t="s">
        <v>1511</v>
      </c>
      <c r="C944" s="3">
        <v>45894</v>
      </c>
      <c r="D944">
        <v>30</v>
      </c>
      <c r="E944" s="3">
        <f t="shared" si="14"/>
        <v>45864</v>
      </c>
      <c r="F944" s="3">
        <f>IF(TableRefills3[[#This Row],[prev_refill_days]]="","",TableRefills3[[#This Row],[prev_refill_days]]+TableRefills3[[#This Row],[quantity_days]])</f>
        <v>45894</v>
      </c>
      <c r="G944">
        <f>IF(TableRefills3[[#This Row],[prev_refill_end]]="","",TableRefills3[[#This Row],[refill_date]]-TableRefills3[[#This Row],[prev_refill_end]])</f>
        <v>0</v>
      </c>
      <c r="H944" s="10">
        <f>IF(TableRefills3[[#This Row],[gap_days]]="",0,IF(TableRefills3[[#This Row],[gap_days]]&gt;2,1,0))</f>
        <v>0</v>
      </c>
      <c r="I944">
        <f>_xlfn.MAXIFS(TableRefills3[discountinuation_flag], TableRefills3[patient_id], A944)</f>
        <v>0</v>
      </c>
    </row>
    <row r="945" spans="1:9" x14ac:dyDescent="0.25">
      <c r="A945" t="s">
        <v>1510</v>
      </c>
      <c r="B945" t="s">
        <v>1511</v>
      </c>
      <c r="C945" s="3">
        <v>45922</v>
      </c>
      <c r="D945">
        <v>30</v>
      </c>
      <c r="E945" s="3">
        <f t="shared" si="14"/>
        <v>45894</v>
      </c>
      <c r="F945" s="3">
        <f>IF(TableRefills3[[#This Row],[prev_refill_days]]="","",TableRefills3[[#This Row],[prev_refill_days]]+TableRefills3[[#This Row],[quantity_days]])</f>
        <v>45924</v>
      </c>
      <c r="G945">
        <f>IF(TableRefills3[[#This Row],[prev_refill_end]]="","",TableRefills3[[#This Row],[refill_date]]-TableRefills3[[#This Row],[prev_refill_end]])</f>
        <v>-2</v>
      </c>
      <c r="H945" s="10">
        <f>IF(TableRefills3[[#This Row],[gap_days]]="",0,IF(TableRefills3[[#This Row],[gap_days]]&gt;2,1,0))</f>
        <v>0</v>
      </c>
      <c r="I945">
        <f>_xlfn.MAXIFS(TableRefills3[discountinuation_flag], TableRefills3[patient_id], A945)</f>
        <v>0</v>
      </c>
    </row>
    <row r="946" spans="1:9" x14ac:dyDescent="0.25">
      <c r="A946" t="s">
        <v>1510</v>
      </c>
      <c r="B946" t="s">
        <v>1511</v>
      </c>
      <c r="C946" s="3">
        <v>45950</v>
      </c>
      <c r="D946">
        <v>30</v>
      </c>
      <c r="E946" s="3">
        <f t="shared" si="14"/>
        <v>45922</v>
      </c>
      <c r="F946" s="3">
        <f>IF(TableRefills3[[#This Row],[prev_refill_days]]="","",TableRefills3[[#This Row],[prev_refill_days]]+TableRefills3[[#This Row],[quantity_days]])</f>
        <v>45952</v>
      </c>
      <c r="G946">
        <f>IF(TableRefills3[[#This Row],[prev_refill_end]]="","",TableRefills3[[#This Row],[refill_date]]-TableRefills3[[#This Row],[prev_refill_end]])</f>
        <v>-2</v>
      </c>
      <c r="H946" s="10">
        <f>IF(TableRefills3[[#This Row],[gap_days]]="",0,IF(TableRefills3[[#This Row],[gap_days]]&gt;2,1,0))</f>
        <v>0</v>
      </c>
      <c r="I946">
        <f>_xlfn.MAXIFS(TableRefills3[discountinuation_flag], TableRefills3[patient_id], A946)</f>
        <v>0</v>
      </c>
    </row>
    <row r="947" spans="1:9" x14ac:dyDescent="0.25">
      <c r="A947" t="s">
        <v>1516</v>
      </c>
      <c r="B947" t="s">
        <v>1517</v>
      </c>
      <c r="C947" s="3">
        <v>45871</v>
      </c>
      <c r="D947">
        <v>28</v>
      </c>
      <c r="E947" s="3" t="str">
        <f t="shared" si="14"/>
        <v/>
      </c>
      <c r="F947" s="3" t="str">
        <f>IF(TableRefills3[[#This Row],[prev_refill_days]]="","",TableRefills3[[#This Row],[prev_refill_days]]+TableRefills3[[#This Row],[quantity_days]])</f>
        <v/>
      </c>
      <c r="G947" t="str">
        <f>IF(TableRefills3[[#This Row],[prev_refill_end]]="","",TableRefills3[[#This Row],[refill_date]]-TableRefills3[[#This Row],[prev_refill_end]])</f>
        <v/>
      </c>
      <c r="H947" s="10">
        <f>IF(TableRefills3[[#This Row],[gap_days]]="",0,IF(TableRefills3[[#This Row],[gap_days]]&gt;2,1,0))</f>
        <v>0</v>
      </c>
      <c r="I947">
        <f>_xlfn.MAXIFS(TableRefills3[discountinuation_flag], TableRefills3[patient_id], A947)</f>
        <v>1</v>
      </c>
    </row>
    <row r="948" spans="1:9" x14ac:dyDescent="0.25">
      <c r="A948" t="s">
        <v>1516</v>
      </c>
      <c r="B948" t="s">
        <v>1517</v>
      </c>
      <c r="C948" s="3">
        <v>45896</v>
      </c>
      <c r="D948">
        <v>28</v>
      </c>
      <c r="E948" s="3">
        <f t="shared" si="14"/>
        <v>45871</v>
      </c>
      <c r="F948" s="3">
        <f>IF(TableRefills3[[#This Row],[prev_refill_days]]="","",TableRefills3[[#This Row],[prev_refill_days]]+TableRefills3[[#This Row],[quantity_days]])</f>
        <v>45899</v>
      </c>
      <c r="G948">
        <f>IF(TableRefills3[[#This Row],[prev_refill_end]]="","",TableRefills3[[#This Row],[refill_date]]-TableRefills3[[#This Row],[prev_refill_end]])</f>
        <v>-3</v>
      </c>
      <c r="H948" s="10">
        <f>IF(TableRefills3[[#This Row],[gap_days]]="",0,IF(TableRefills3[[#This Row],[gap_days]]&gt;2,1,0))</f>
        <v>0</v>
      </c>
      <c r="I948">
        <f>_xlfn.MAXIFS(TableRefills3[discountinuation_flag], TableRefills3[patient_id], A948)</f>
        <v>1</v>
      </c>
    </row>
    <row r="949" spans="1:9" x14ac:dyDescent="0.25">
      <c r="A949" t="s">
        <v>1516</v>
      </c>
      <c r="B949" t="s">
        <v>1517</v>
      </c>
      <c r="C949" s="3">
        <v>45926</v>
      </c>
      <c r="D949">
        <v>28</v>
      </c>
      <c r="E949" s="3">
        <f t="shared" si="14"/>
        <v>45896</v>
      </c>
      <c r="F949" s="3">
        <f>IF(TableRefills3[[#This Row],[prev_refill_days]]="","",TableRefills3[[#This Row],[prev_refill_days]]+TableRefills3[[#This Row],[quantity_days]])</f>
        <v>45924</v>
      </c>
      <c r="G949">
        <f>IF(TableRefills3[[#This Row],[prev_refill_end]]="","",TableRefills3[[#This Row],[refill_date]]-TableRefills3[[#This Row],[prev_refill_end]])</f>
        <v>2</v>
      </c>
      <c r="H949" s="10">
        <f>IF(TableRefills3[[#This Row],[gap_days]]="",0,IF(TableRefills3[[#This Row],[gap_days]]&gt;2,1,0))</f>
        <v>0</v>
      </c>
      <c r="I949">
        <f>_xlfn.MAXIFS(TableRefills3[discountinuation_flag], TableRefills3[patient_id], A949)</f>
        <v>1</v>
      </c>
    </row>
    <row r="950" spans="1:9" x14ac:dyDescent="0.25">
      <c r="A950" t="s">
        <v>1516</v>
      </c>
      <c r="B950" t="s">
        <v>1517</v>
      </c>
      <c r="C950" s="3">
        <v>45957</v>
      </c>
      <c r="D950">
        <v>28</v>
      </c>
      <c r="E950" s="3">
        <f t="shared" si="14"/>
        <v>45926</v>
      </c>
      <c r="F950" s="3">
        <f>IF(TableRefills3[[#This Row],[prev_refill_days]]="","",TableRefills3[[#This Row],[prev_refill_days]]+TableRefills3[[#This Row],[quantity_days]])</f>
        <v>45954</v>
      </c>
      <c r="G950">
        <f>IF(TableRefills3[[#This Row],[prev_refill_end]]="","",TableRefills3[[#This Row],[refill_date]]-TableRefills3[[#This Row],[prev_refill_end]])</f>
        <v>3</v>
      </c>
      <c r="H950" s="10">
        <f>IF(TableRefills3[[#This Row],[gap_days]]="",0,IF(TableRefills3[[#This Row],[gap_days]]&gt;2,1,0))</f>
        <v>1</v>
      </c>
      <c r="I950">
        <f>_xlfn.MAXIFS(TableRefills3[discountinuation_flag], TableRefills3[patient_id], A950)</f>
        <v>1</v>
      </c>
    </row>
    <row r="951" spans="1:9" x14ac:dyDescent="0.25">
      <c r="A951" t="s">
        <v>1522</v>
      </c>
      <c r="B951" t="s">
        <v>1523</v>
      </c>
      <c r="C951" s="3">
        <v>45814</v>
      </c>
      <c r="D951">
        <v>28</v>
      </c>
      <c r="E951" s="3" t="str">
        <f t="shared" si="14"/>
        <v/>
      </c>
      <c r="F951" s="3" t="str">
        <f>IF(TableRefills3[[#This Row],[prev_refill_days]]="","",TableRefills3[[#This Row],[prev_refill_days]]+TableRefills3[[#This Row],[quantity_days]])</f>
        <v/>
      </c>
      <c r="G951" t="str">
        <f>IF(TableRefills3[[#This Row],[prev_refill_end]]="","",TableRefills3[[#This Row],[refill_date]]-TableRefills3[[#This Row],[prev_refill_end]])</f>
        <v/>
      </c>
      <c r="H951" s="10">
        <f>IF(TableRefills3[[#This Row],[gap_days]]="",0,IF(TableRefills3[[#This Row],[gap_days]]&gt;2,1,0))</f>
        <v>0</v>
      </c>
      <c r="I951">
        <f>_xlfn.MAXIFS(TableRefills3[discountinuation_flag], TableRefills3[patient_id], A951)</f>
        <v>1</v>
      </c>
    </row>
    <row r="952" spans="1:9" x14ac:dyDescent="0.25">
      <c r="A952" t="s">
        <v>1522</v>
      </c>
      <c r="B952" t="s">
        <v>1523</v>
      </c>
      <c r="C952" s="3">
        <v>45845</v>
      </c>
      <c r="D952">
        <v>28</v>
      </c>
      <c r="E952" s="3">
        <f t="shared" si="14"/>
        <v>45814</v>
      </c>
      <c r="F952" s="3">
        <f>IF(TableRefills3[[#This Row],[prev_refill_days]]="","",TableRefills3[[#This Row],[prev_refill_days]]+TableRefills3[[#This Row],[quantity_days]])</f>
        <v>45842</v>
      </c>
      <c r="G952">
        <f>IF(TableRefills3[[#This Row],[prev_refill_end]]="","",TableRefills3[[#This Row],[refill_date]]-TableRefills3[[#This Row],[prev_refill_end]])</f>
        <v>3</v>
      </c>
      <c r="H952" s="10">
        <f>IF(TableRefills3[[#This Row],[gap_days]]="",0,IF(TableRefills3[[#This Row],[gap_days]]&gt;2,1,0))</f>
        <v>1</v>
      </c>
      <c r="I952">
        <f>_xlfn.MAXIFS(TableRefills3[discountinuation_flag], TableRefills3[patient_id], A952)</f>
        <v>1</v>
      </c>
    </row>
    <row r="953" spans="1:9" x14ac:dyDescent="0.25">
      <c r="A953" t="s">
        <v>1522</v>
      </c>
      <c r="B953" t="s">
        <v>1523</v>
      </c>
      <c r="C953" s="3">
        <v>45874</v>
      </c>
      <c r="D953">
        <v>28</v>
      </c>
      <c r="E953" s="3">
        <f t="shared" si="14"/>
        <v>45845</v>
      </c>
      <c r="F953" s="3">
        <f>IF(TableRefills3[[#This Row],[prev_refill_days]]="","",TableRefills3[[#This Row],[prev_refill_days]]+TableRefills3[[#This Row],[quantity_days]])</f>
        <v>45873</v>
      </c>
      <c r="G953">
        <f>IF(TableRefills3[[#This Row],[prev_refill_end]]="","",TableRefills3[[#This Row],[refill_date]]-TableRefills3[[#This Row],[prev_refill_end]])</f>
        <v>1</v>
      </c>
      <c r="H953" s="10">
        <f>IF(TableRefills3[[#This Row],[gap_days]]="",0,IF(TableRefills3[[#This Row],[gap_days]]&gt;2,1,0))</f>
        <v>0</v>
      </c>
      <c r="I953">
        <f>_xlfn.MAXIFS(TableRefills3[discountinuation_flag], TableRefills3[patient_id], A953)</f>
        <v>1</v>
      </c>
    </row>
    <row r="954" spans="1:9" x14ac:dyDescent="0.25">
      <c r="A954" t="s">
        <v>1522</v>
      </c>
      <c r="B954" t="s">
        <v>1523</v>
      </c>
      <c r="C954" s="3">
        <v>45899</v>
      </c>
      <c r="D954">
        <v>28</v>
      </c>
      <c r="E954" s="3">
        <f t="shared" si="14"/>
        <v>45874</v>
      </c>
      <c r="F954" s="3">
        <f>IF(TableRefills3[[#This Row],[prev_refill_days]]="","",TableRefills3[[#This Row],[prev_refill_days]]+TableRefills3[[#This Row],[quantity_days]])</f>
        <v>45902</v>
      </c>
      <c r="G954">
        <f>IF(TableRefills3[[#This Row],[prev_refill_end]]="","",TableRefills3[[#This Row],[refill_date]]-TableRefills3[[#This Row],[prev_refill_end]])</f>
        <v>-3</v>
      </c>
      <c r="H954" s="10">
        <f>IF(TableRefills3[[#This Row],[gap_days]]="",0,IF(TableRefills3[[#This Row],[gap_days]]&gt;2,1,0))</f>
        <v>0</v>
      </c>
      <c r="I954">
        <f>_xlfn.MAXIFS(TableRefills3[discountinuation_flag], TableRefills3[patient_id], A954)</f>
        <v>1</v>
      </c>
    </row>
    <row r="955" spans="1:9" x14ac:dyDescent="0.25">
      <c r="A955" t="s">
        <v>1522</v>
      </c>
      <c r="B955" t="s">
        <v>1523</v>
      </c>
      <c r="C955" s="3">
        <v>45929</v>
      </c>
      <c r="D955">
        <v>28</v>
      </c>
      <c r="E955" s="3">
        <f t="shared" si="14"/>
        <v>45899</v>
      </c>
      <c r="F955" s="3">
        <f>IF(TableRefills3[[#This Row],[prev_refill_days]]="","",TableRefills3[[#This Row],[prev_refill_days]]+TableRefills3[[#This Row],[quantity_days]])</f>
        <v>45927</v>
      </c>
      <c r="G955">
        <f>IF(TableRefills3[[#This Row],[prev_refill_end]]="","",TableRefills3[[#This Row],[refill_date]]-TableRefills3[[#This Row],[prev_refill_end]])</f>
        <v>2</v>
      </c>
      <c r="H955" s="10">
        <f>IF(TableRefills3[[#This Row],[gap_days]]="",0,IF(TableRefills3[[#This Row],[gap_days]]&gt;2,1,0))</f>
        <v>0</v>
      </c>
      <c r="I955">
        <f>_xlfn.MAXIFS(TableRefills3[discountinuation_flag], TableRefills3[patient_id], A955)</f>
        <v>1</v>
      </c>
    </row>
    <row r="956" spans="1:9" x14ac:dyDescent="0.25">
      <c r="A956" t="s">
        <v>1522</v>
      </c>
      <c r="B956" t="s">
        <v>1523</v>
      </c>
      <c r="C956" s="3">
        <v>45958</v>
      </c>
      <c r="D956">
        <v>28</v>
      </c>
      <c r="E956" s="3">
        <f t="shared" si="14"/>
        <v>45929</v>
      </c>
      <c r="F956" s="3">
        <f>IF(TableRefills3[[#This Row],[prev_refill_days]]="","",TableRefills3[[#This Row],[prev_refill_days]]+TableRefills3[[#This Row],[quantity_days]])</f>
        <v>45957</v>
      </c>
      <c r="G956">
        <f>IF(TableRefills3[[#This Row],[prev_refill_end]]="","",TableRefills3[[#This Row],[refill_date]]-TableRefills3[[#This Row],[prev_refill_end]])</f>
        <v>1</v>
      </c>
      <c r="H956" s="10">
        <f>IF(TableRefills3[[#This Row],[gap_days]]="",0,IF(TableRefills3[[#This Row],[gap_days]]&gt;2,1,0))</f>
        <v>0</v>
      </c>
      <c r="I956">
        <f>_xlfn.MAXIFS(TableRefills3[discountinuation_flag], TableRefills3[patient_id], A956)</f>
        <v>1</v>
      </c>
    </row>
    <row r="957" spans="1:9" x14ac:dyDescent="0.25">
      <c r="A957" t="s">
        <v>1530</v>
      </c>
      <c r="B957" t="s">
        <v>1531</v>
      </c>
      <c r="C957" s="3">
        <v>45932</v>
      </c>
      <c r="D957">
        <v>56</v>
      </c>
      <c r="E957" s="3" t="str">
        <f t="shared" si="14"/>
        <v/>
      </c>
      <c r="F957" s="3" t="str">
        <f>IF(TableRefills3[[#This Row],[prev_refill_days]]="","",TableRefills3[[#This Row],[prev_refill_days]]+TableRefills3[[#This Row],[quantity_days]])</f>
        <v/>
      </c>
      <c r="G957" t="str">
        <f>IF(TableRefills3[[#This Row],[prev_refill_end]]="","",TableRefills3[[#This Row],[refill_date]]-TableRefills3[[#This Row],[prev_refill_end]])</f>
        <v/>
      </c>
      <c r="H957" s="10">
        <f>IF(TableRefills3[[#This Row],[gap_days]]="",0,IF(TableRefills3[[#This Row],[gap_days]]&gt;2,1,0))</f>
        <v>0</v>
      </c>
      <c r="I957">
        <f>_xlfn.MAXIFS(TableRefills3[discountinuation_flag], TableRefills3[patient_id], A957)</f>
        <v>0</v>
      </c>
    </row>
    <row r="958" spans="1:9" x14ac:dyDescent="0.25">
      <c r="A958" t="s">
        <v>1533</v>
      </c>
      <c r="B958" t="s">
        <v>1534</v>
      </c>
      <c r="C958" s="3">
        <v>45880</v>
      </c>
      <c r="D958">
        <v>30</v>
      </c>
      <c r="E958" s="3" t="str">
        <f t="shared" si="14"/>
        <v/>
      </c>
      <c r="F958" s="3" t="str">
        <f>IF(TableRefills3[[#This Row],[prev_refill_days]]="","",TableRefills3[[#This Row],[prev_refill_days]]+TableRefills3[[#This Row],[quantity_days]])</f>
        <v/>
      </c>
      <c r="G958" t="str">
        <f>IF(TableRefills3[[#This Row],[prev_refill_end]]="","",TableRefills3[[#This Row],[refill_date]]-TableRefills3[[#This Row],[prev_refill_end]])</f>
        <v/>
      </c>
      <c r="H958" s="10">
        <f>IF(TableRefills3[[#This Row],[gap_days]]="",0,IF(TableRefills3[[#This Row],[gap_days]]&gt;2,1,0))</f>
        <v>0</v>
      </c>
      <c r="I958">
        <f>_xlfn.MAXIFS(TableRefills3[discountinuation_flag], TableRefills3[patient_id], A958)</f>
        <v>0</v>
      </c>
    </row>
    <row r="959" spans="1:9" x14ac:dyDescent="0.25">
      <c r="A959" t="s">
        <v>1533</v>
      </c>
      <c r="B959" t="s">
        <v>1534</v>
      </c>
      <c r="C959" s="3">
        <v>45911</v>
      </c>
      <c r="D959">
        <v>30</v>
      </c>
      <c r="E959" s="3">
        <f t="shared" si="14"/>
        <v>45880</v>
      </c>
      <c r="F959" s="3">
        <f>IF(TableRefills3[[#This Row],[prev_refill_days]]="","",TableRefills3[[#This Row],[prev_refill_days]]+TableRefills3[[#This Row],[quantity_days]])</f>
        <v>45910</v>
      </c>
      <c r="G959">
        <f>IF(TableRefills3[[#This Row],[prev_refill_end]]="","",TableRefills3[[#This Row],[refill_date]]-TableRefills3[[#This Row],[prev_refill_end]])</f>
        <v>1</v>
      </c>
      <c r="H959" s="10">
        <f>IF(TableRefills3[[#This Row],[gap_days]]="",0,IF(TableRefills3[[#This Row],[gap_days]]&gt;2,1,0))</f>
        <v>0</v>
      </c>
      <c r="I959">
        <f>_xlfn.MAXIFS(TableRefills3[discountinuation_flag], TableRefills3[patient_id], A959)</f>
        <v>0</v>
      </c>
    </row>
    <row r="960" spans="1:9" x14ac:dyDescent="0.25">
      <c r="A960" t="s">
        <v>1533</v>
      </c>
      <c r="B960" t="s">
        <v>1534</v>
      </c>
      <c r="C960" s="3">
        <v>45941</v>
      </c>
      <c r="D960">
        <v>30</v>
      </c>
      <c r="E960" s="3">
        <f t="shared" si="14"/>
        <v>45911</v>
      </c>
      <c r="F960" s="3">
        <f>IF(TableRefills3[[#This Row],[prev_refill_days]]="","",TableRefills3[[#This Row],[prev_refill_days]]+TableRefills3[[#This Row],[quantity_days]])</f>
        <v>45941</v>
      </c>
      <c r="G960">
        <f>IF(TableRefills3[[#This Row],[prev_refill_end]]="","",TableRefills3[[#This Row],[refill_date]]-TableRefills3[[#This Row],[prev_refill_end]])</f>
        <v>0</v>
      </c>
      <c r="H960" s="10">
        <f>IF(TableRefills3[[#This Row],[gap_days]]="",0,IF(TableRefills3[[#This Row],[gap_days]]&gt;2,1,0))</f>
        <v>0</v>
      </c>
      <c r="I960">
        <f>_xlfn.MAXIFS(TableRefills3[discountinuation_flag], TableRefills3[patient_id], A960)</f>
        <v>0</v>
      </c>
    </row>
    <row r="961" spans="1:9" x14ac:dyDescent="0.25">
      <c r="A961" t="s">
        <v>1538</v>
      </c>
      <c r="B961" t="s">
        <v>1539</v>
      </c>
      <c r="C961" s="3">
        <v>45788</v>
      </c>
      <c r="D961">
        <v>30</v>
      </c>
      <c r="E961" s="3" t="str">
        <f t="shared" si="14"/>
        <v/>
      </c>
      <c r="F961" s="3" t="str">
        <f>IF(TableRefills3[[#This Row],[prev_refill_days]]="","",TableRefills3[[#This Row],[prev_refill_days]]+TableRefills3[[#This Row],[quantity_days]])</f>
        <v/>
      </c>
      <c r="G961" t="str">
        <f>IF(TableRefills3[[#This Row],[prev_refill_end]]="","",TableRefills3[[#This Row],[refill_date]]-TableRefills3[[#This Row],[prev_refill_end]])</f>
        <v/>
      </c>
      <c r="H961" s="10">
        <f>IF(TableRefills3[[#This Row],[gap_days]]="",0,IF(TableRefills3[[#This Row],[gap_days]]&gt;2,1,0))</f>
        <v>0</v>
      </c>
      <c r="I961">
        <f>_xlfn.MAXIFS(TableRefills3[discountinuation_flag], TableRefills3[patient_id], A961)</f>
        <v>0</v>
      </c>
    </row>
    <row r="962" spans="1:9" x14ac:dyDescent="0.25">
      <c r="A962" t="s">
        <v>1538</v>
      </c>
      <c r="B962" t="s">
        <v>1539</v>
      </c>
      <c r="C962" s="3">
        <v>45815</v>
      </c>
      <c r="D962">
        <v>30</v>
      </c>
      <c r="E962" s="3">
        <f t="shared" ref="E962:E1025" si="15">IF(A961=A962,C961,"")</f>
        <v>45788</v>
      </c>
      <c r="F962" s="3">
        <f>IF(TableRefills3[[#This Row],[prev_refill_days]]="","",TableRefills3[[#This Row],[prev_refill_days]]+TableRefills3[[#This Row],[quantity_days]])</f>
        <v>45818</v>
      </c>
      <c r="G962">
        <f>IF(TableRefills3[[#This Row],[prev_refill_end]]="","",TableRefills3[[#This Row],[refill_date]]-TableRefills3[[#This Row],[prev_refill_end]])</f>
        <v>-3</v>
      </c>
      <c r="H962" s="10">
        <f>IF(TableRefills3[[#This Row],[gap_days]]="",0,IF(TableRefills3[[#This Row],[gap_days]]&gt;2,1,0))</f>
        <v>0</v>
      </c>
      <c r="I962">
        <f>_xlfn.MAXIFS(TableRefills3[discountinuation_flag], TableRefills3[patient_id], A962)</f>
        <v>0</v>
      </c>
    </row>
    <row r="963" spans="1:9" x14ac:dyDescent="0.25">
      <c r="A963" t="s">
        <v>1538</v>
      </c>
      <c r="B963" t="s">
        <v>1539</v>
      </c>
      <c r="C963" s="3">
        <v>45843</v>
      </c>
      <c r="D963">
        <v>30</v>
      </c>
      <c r="E963" s="3">
        <f t="shared" si="15"/>
        <v>45815</v>
      </c>
      <c r="F963" s="3">
        <f>IF(TableRefills3[[#This Row],[prev_refill_days]]="","",TableRefills3[[#This Row],[prev_refill_days]]+TableRefills3[[#This Row],[quantity_days]])</f>
        <v>45845</v>
      </c>
      <c r="G963">
        <f>IF(TableRefills3[[#This Row],[prev_refill_end]]="","",TableRefills3[[#This Row],[refill_date]]-TableRefills3[[#This Row],[prev_refill_end]])</f>
        <v>-2</v>
      </c>
      <c r="H963" s="10">
        <f>IF(TableRefills3[[#This Row],[gap_days]]="",0,IF(TableRefills3[[#This Row],[gap_days]]&gt;2,1,0))</f>
        <v>0</v>
      </c>
      <c r="I963">
        <f>_xlfn.MAXIFS(TableRefills3[discountinuation_flag], TableRefills3[patient_id], A963)</f>
        <v>0</v>
      </c>
    </row>
    <row r="964" spans="1:9" x14ac:dyDescent="0.25">
      <c r="A964" t="s">
        <v>1538</v>
      </c>
      <c r="B964" t="s">
        <v>1539</v>
      </c>
      <c r="C964" s="3">
        <v>45871</v>
      </c>
      <c r="D964">
        <v>30</v>
      </c>
      <c r="E964" s="3">
        <f t="shared" si="15"/>
        <v>45843</v>
      </c>
      <c r="F964" s="3">
        <f>IF(TableRefills3[[#This Row],[prev_refill_days]]="","",TableRefills3[[#This Row],[prev_refill_days]]+TableRefills3[[#This Row],[quantity_days]])</f>
        <v>45873</v>
      </c>
      <c r="G964">
        <f>IF(TableRefills3[[#This Row],[prev_refill_end]]="","",TableRefills3[[#This Row],[refill_date]]-TableRefills3[[#This Row],[prev_refill_end]])</f>
        <v>-2</v>
      </c>
      <c r="H964" s="10">
        <f>IF(TableRefills3[[#This Row],[gap_days]]="",0,IF(TableRefills3[[#This Row],[gap_days]]&gt;2,1,0))</f>
        <v>0</v>
      </c>
      <c r="I964">
        <f>_xlfn.MAXIFS(TableRefills3[discountinuation_flag], TableRefills3[patient_id], A964)</f>
        <v>0</v>
      </c>
    </row>
    <row r="965" spans="1:9" x14ac:dyDescent="0.25">
      <c r="A965" t="s">
        <v>1538</v>
      </c>
      <c r="B965" t="s">
        <v>1539</v>
      </c>
      <c r="C965" s="3">
        <v>45900</v>
      </c>
      <c r="D965">
        <v>30</v>
      </c>
      <c r="E965" s="3">
        <f t="shared" si="15"/>
        <v>45871</v>
      </c>
      <c r="F965" s="3">
        <f>IF(TableRefills3[[#This Row],[prev_refill_days]]="","",TableRefills3[[#This Row],[prev_refill_days]]+TableRefills3[[#This Row],[quantity_days]])</f>
        <v>45901</v>
      </c>
      <c r="G965">
        <f>IF(TableRefills3[[#This Row],[prev_refill_end]]="","",TableRefills3[[#This Row],[refill_date]]-TableRefills3[[#This Row],[prev_refill_end]])</f>
        <v>-1</v>
      </c>
      <c r="H965" s="10">
        <f>IF(TableRefills3[[#This Row],[gap_days]]="",0,IF(TableRefills3[[#This Row],[gap_days]]&gt;2,1,0))</f>
        <v>0</v>
      </c>
      <c r="I965">
        <f>_xlfn.MAXIFS(TableRefills3[discountinuation_flag], TableRefills3[patient_id], A965)</f>
        <v>0</v>
      </c>
    </row>
    <row r="966" spans="1:9" x14ac:dyDescent="0.25">
      <c r="A966" t="s">
        <v>1538</v>
      </c>
      <c r="B966" t="s">
        <v>1539</v>
      </c>
      <c r="C966" s="3">
        <v>45929</v>
      </c>
      <c r="D966">
        <v>30</v>
      </c>
      <c r="E966" s="3">
        <f t="shared" si="15"/>
        <v>45900</v>
      </c>
      <c r="F966" s="3">
        <f>IF(TableRefills3[[#This Row],[prev_refill_days]]="","",TableRefills3[[#This Row],[prev_refill_days]]+TableRefills3[[#This Row],[quantity_days]])</f>
        <v>45930</v>
      </c>
      <c r="G966">
        <f>IF(TableRefills3[[#This Row],[prev_refill_end]]="","",TableRefills3[[#This Row],[refill_date]]-TableRefills3[[#This Row],[prev_refill_end]])</f>
        <v>-1</v>
      </c>
      <c r="H966" s="10">
        <f>IF(TableRefills3[[#This Row],[gap_days]]="",0,IF(TableRefills3[[#This Row],[gap_days]]&gt;2,1,0))</f>
        <v>0</v>
      </c>
      <c r="I966">
        <f>_xlfn.MAXIFS(TableRefills3[discountinuation_flag], TableRefills3[patient_id], A966)</f>
        <v>0</v>
      </c>
    </row>
    <row r="967" spans="1:9" x14ac:dyDescent="0.25">
      <c r="A967" t="s">
        <v>1538</v>
      </c>
      <c r="B967" t="s">
        <v>1539</v>
      </c>
      <c r="C967" s="3">
        <v>45957</v>
      </c>
      <c r="D967">
        <v>30</v>
      </c>
      <c r="E967" s="3">
        <f t="shared" si="15"/>
        <v>45929</v>
      </c>
      <c r="F967" s="3">
        <f>IF(TableRefills3[[#This Row],[prev_refill_days]]="","",TableRefills3[[#This Row],[prev_refill_days]]+TableRefills3[[#This Row],[quantity_days]])</f>
        <v>45959</v>
      </c>
      <c r="G967">
        <f>IF(TableRefills3[[#This Row],[prev_refill_end]]="","",TableRefills3[[#This Row],[refill_date]]-TableRefills3[[#This Row],[prev_refill_end]])</f>
        <v>-2</v>
      </c>
      <c r="H967" s="10">
        <f>IF(TableRefills3[[#This Row],[gap_days]]="",0,IF(TableRefills3[[#This Row],[gap_days]]&gt;2,1,0))</f>
        <v>0</v>
      </c>
      <c r="I967">
        <f>_xlfn.MAXIFS(TableRefills3[discountinuation_flag], TableRefills3[patient_id], A967)</f>
        <v>0</v>
      </c>
    </row>
    <row r="968" spans="1:9" x14ac:dyDescent="0.25">
      <c r="A968" t="s">
        <v>1547</v>
      </c>
      <c r="B968" t="s">
        <v>1548</v>
      </c>
      <c r="C968" s="3">
        <v>45787</v>
      </c>
      <c r="D968">
        <v>28</v>
      </c>
      <c r="E968" s="3" t="str">
        <f t="shared" si="15"/>
        <v/>
      </c>
      <c r="F968" s="3" t="str">
        <f>IF(TableRefills3[[#This Row],[prev_refill_days]]="","",TableRefills3[[#This Row],[prev_refill_days]]+TableRefills3[[#This Row],[quantity_days]])</f>
        <v/>
      </c>
      <c r="G968" t="str">
        <f>IF(TableRefills3[[#This Row],[prev_refill_end]]="","",TableRefills3[[#This Row],[refill_date]]-TableRefills3[[#This Row],[prev_refill_end]])</f>
        <v/>
      </c>
      <c r="H968" s="10">
        <f>IF(TableRefills3[[#This Row],[gap_days]]="",0,IF(TableRefills3[[#This Row],[gap_days]]&gt;2,1,0))</f>
        <v>0</v>
      </c>
      <c r="I968">
        <f>_xlfn.MAXIFS(TableRefills3[discountinuation_flag], TableRefills3[patient_id], A968)</f>
        <v>1</v>
      </c>
    </row>
    <row r="969" spans="1:9" x14ac:dyDescent="0.25">
      <c r="A969" t="s">
        <v>1547</v>
      </c>
      <c r="B969" t="s">
        <v>1548</v>
      </c>
      <c r="C969" s="3">
        <v>45816</v>
      </c>
      <c r="D969">
        <v>28</v>
      </c>
      <c r="E969" s="3">
        <f t="shared" si="15"/>
        <v>45787</v>
      </c>
      <c r="F969" s="3">
        <f>IF(TableRefills3[[#This Row],[prev_refill_days]]="","",TableRefills3[[#This Row],[prev_refill_days]]+TableRefills3[[#This Row],[quantity_days]])</f>
        <v>45815</v>
      </c>
      <c r="G969">
        <f>IF(TableRefills3[[#This Row],[prev_refill_end]]="","",TableRefills3[[#This Row],[refill_date]]-TableRefills3[[#This Row],[prev_refill_end]])</f>
        <v>1</v>
      </c>
      <c r="H969" s="10">
        <f>IF(TableRefills3[[#This Row],[gap_days]]="",0,IF(TableRefills3[[#This Row],[gap_days]]&gt;2,1,0))</f>
        <v>0</v>
      </c>
      <c r="I969">
        <f>_xlfn.MAXIFS(TableRefills3[discountinuation_flag], TableRefills3[patient_id], A969)</f>
        <v>1</v>
      </c>
    </row>
    <row r="970" spans="1:9" x14ac:dyDescent="0.25">
      <c r="A970" t="s">
        <v>1547</v>
      </c>
      <c r="B970" t="s">
        <v>1548</v>
      </c>
      <c r="C970" s="3">
        <v>45845</v>
      </c>
      <c r="D970">
        <v>28</v>
      </c>
      <c r="E970" s="3">
        <f t="shared" si="15"/>
        <v>45816</v>
      </c>
      <c r="F970" s="3">
        <f>IF(TableRefills3[[#This Row],[prev_refill_days]]="","",TableRefills3[[#This Row],[prev_refill_days]]+TableRefills3[[#This Row],[quantity_days]])</f>
        <v>45844</v>
      </c>
      <c r="G970">
        <f>IF(TableRefills3[[#This Row],[prev_refill_end]]="","",TableRefills3[[#This Row],[refill_date]]-TableRefills3[[#This Row],[prev_refill_end]])</f>
        <v>1</v>
      </c>
      <c r="H970" s="10">
        <f>IF(TableRefills3[[#This Row],[gap_days]]="",0,IF(TableRefills3[[#This Row],[gap_days]]&gt;2,1,0))</f>
        <v>0</v>
      </c>
      <c r="I970">
        <f>_xlfn.MAXIFS(TableRefills3[discountinuation_flag], TableRefills3[patient_id], A970)</f>
        <v>1</v>
      </c>
    </row>
    <row r="971" spans="1:9" x14ac:dyDescent="0.25">
      <c r="A971" t="s">
        <v>1547</v>
      </c>
      <c r="B971" t="s">
        <v>1548</v>
      </c>
      <c r="C971" s="3">
        <v>45876</v>
      </c>
      <c r="D971">
        <v>28</v>
      </c>
      <c r="E971" s="3">
        <f t="shared" si="15"/>
        <v>45845</v>
      </c>
      <c r="F971" s="3">
        <f>IF(TableRefills3[[#This Row],[prev_refill_days]]="","",TableRefills3[[#This Row],[prev_refill_days]]+TableRefills3[[#This Row],[quantity_days]])</f>
        <v>45873</v>
      </c>
      <c r="G971">
        <f>IF(TableRefills3[[#This Row],[prev_refill_end]]="","",TableRefills3[[#This Row],[refill_date]]-TableRefills3[[#This Row],[prev_refill_end]])</f>
        <v>3</v>
      </c>
      <c r="H971" s="10">
        <f>IF(TableRefills3[[#This Row],[gap_days]]="",0,IF(TableRefills3[[#This Row],[gap_days]]&gt;2,1,0))</f>
        <v>1</v>
      </c>
      <c r="I971">
        <f>_xlfn.MAXIFS(TableRefills3[discountinuation_flag], TableRefills3[patient_id], A971)</f>
        <v>1</v>
      </c>
    </row>
    <row r="972" spans="1:9" x14ac:dyDescent="0.25">
      <c r="A972" t="s">
        <v>1547</v>
      </c>
      <c r="B972" t="s">
        <v>1548</v>
      </c>
      <c r="C972" s="3">
        <v>45901</v>
      </c>
      <c r="D972">
        <v>28</v>
      </c>
      <c r="E972" s="3">
        <f t="shared" si="15"/>
        <v>45876</v>
      </c>
      <c r="F972" s="3">
        <f>IF(TableRefills3[[#This Row],[prev_refill_days]]="","",TableRefills3[[#This Row],[prev_refill_days]]+TableRefills3[[#This Row],[quantity_days]])</f>
        <v>45904</v>
      </c>
      <c r="G972">
        <f>IF(TableRefills3[[#This Row],[prev_refill_end]]="","",TableRefills3[[#This Row],[refill_date]]-TableRefills3[[#This Row],[prev_refill_end]])</f>
        <v>-3</v>
      </c>
      <c r="H972" s="10">
        <f>IF(TableRefills3[[#This Row],[gap_days]]="",0,IF(TableRefills3[[#This Row],[gap_days]]&gt;2,1,0))</f>
        <v>0</v>
      </c>
      <c r="I972">
        <f>_xlfn.MAXIFS(TableRefills3[discountinuation_flag], TableRefills3[patient_id], A972)</f>
        <v>1</v>
      </c>
    </row>
    <row r="973" spans="1:9" x14ac:dyDescent="0.25">
      <c r="A973" t="s">
        <v>1547</v>
      </c>
      <c r="B973" t="s">
        <v>1548</v>
      </c>
      <c r="C973" s="3">
        <v>45931</v>
      </c>
      <c r="D973">
        <v>28</v>
      </c>
      <c r="E973" s="3">
        <f t="shared" si="15"/>
        <v>45901</v>
      </c>
      <c r="F973" s="3">
        <f>IF(TableRefills3[[#This Row],[prev_refill_days]]="","",TableRefills3[[#This Row],[prev_refill_days]]+TableRefills3[[#This Row],[quantity_days]])</f>
        <v>45929</v>
      </c>
      <c r="G973">
        <f>IF(TableRefills3[[#This Row],[prev_refill_end]]="","",TableRefills3[[#This Row],[refill_date]]-TableRefills3[[#This Row],[prev_refill_end]])</f>
        <v>2</v>
      </c>
      <c r="H973" s="10">
        <f>IF(TableRefills3[[#This Row],[gap_days]]="",0,IF(TableRefills3[[#This Row],[gap_days]]&gt;2,1,0))</f>
        <v>0</v>
      </c>
      <c r="I973">
        <f>_xlfn.MAXIFS(TableRefills3[discountinuation_flag], TableRefills3[patient_id], A973)</f>
        <v>1</v>
      </c>
    </row>
    <row r="974" spans="1:9" x14ac:dyDescent="0.25">
      <c r="A974" t="s">
        <v>1547</v>
      </c>
      <c r="B974" t="s">
        <v>1548</v>
      </c>
      <c r="C974" s="3">
        <v>45959</v>
      </c>
      <c r="D974">
        <v>28</v>
      </c>
      <c r="E974" s="3">
        <f t="shared" si="15"/>
        <v>45931</v>
      </c>
      <c r="F974" s="3">
        <f>IF(TableRefills3[[#This Row],[prev_refill_days]]="","",TableRefills3[[#This Row],[prev_refill_days]]+TableRefills3[[#This Row],[quantity_days]])</f>
        <v>45959</v>
      </c>
      <c r="G974">
        <f>IF(TableRefills3[[#This Row],[prev_refill_end]]="","",TableRefills3[[#This Row],[refill_date]]-TableRefills3[[#This Row],[prev_refill_end]])</f>
        <v>0</v>
      </c>
      <c r="H974" s="10">
        <f>IF(TableRefills3[[#This Row],[gap_days]]="",0,IF(TableRefills3[[#This Row],[gap_days]]&gt;2,1,0))</f>
        <v>0</v>
      </c>
      <c r="I974">
        <f>_xlfn.MAXIFS(TableRefills3[discountinuation_flag], TableRefills3[patient_id], A974)</f>
        <v>1</v>
      </c>
    </row>
    <row r="975" spans="1:9" x14ac:dyDescent="0.25">
      <c r="A975" t="s">
        <v>1556</v>
      </c>
      <c r="B975" t="s">
        <v>1557</v>
      </c>
      <c r="C975" s="3">
        <v>45960</v>
      </c>
      <c r="D975">
        <v>30</v>
      </c>
      <c r="E975" s="3" t="str">
        <f t="shared" si="15"/>
        <v/>
      </c>
      <c r="F975" s="3" t="str">
        <f>IF(TableRefills3[[#This Row],[prev_refill_days]]="","",TableRefills3[[#This Row],[prev_refill_days]]+TableRefills3[[#This Row],[quantity_days]])</f>
        <v/>
      </c>
      <c r="G975" t="str">
        <f>IF(TableRefills3[[#This Row],[prev_refill_end]]="","",TableRefills3[[#This Row],[refill_date]]-TableRefills3[[#This Row],[prev_refill_end]])</f>
        <v/>
      </c>
      <c r="H975" s="10">
        <f>IF(TableRefills3[[#This Row],[gap_days]]="",0,IF(TableRefills3[[#This Row],[gap_days]]&gt;2,1,0))</f>
        <v>0</v>
      </c>
      <c r="I975">
        <f>_xlfn.MAXIFS(TableRefills3[discountinuation_flag], TableRefills3[patient_id], A975)</f>
        <v>0</v>
      </c>
    </row>
    <row r="976" spans="1:9" x14ac:dyDescent="0.25">
      <c r="A976" t="s">
        <v>1559</v>
      </c>
      <c r="B976" t="s">
        <v>1560</v>
      </c>
      <c r="C976" s="3">
        <v>45899</v>
      </c>
      <c r="D976">
        <v>30</v>
      </c>
      <c r="E976" s="3" t="str">
        <f t="shared" si="15"/>
        <v/>
      </c>
      <c r="F976" s="3" t="str">
        <f>IF(TableRefills3[[#This Row],[prev_refill_days]]="","",TableRefills3[[#This Row],[prev_refill_days]]+TableRefills3[[#This Row],[quantity_days]])</f>
        <v/>
      </c>
      <c r="G976" t="str">
        <f>IF(TableRefills3[[#This Row],[prev_refill_end]]="","",TableRefills3[[#This Row],[refill_date]]-TableRefills3[[#This Row],[prev_refill_end]])</f>
        <v/>
      </c>
      <c r="H976" s="10">
        <f>IF(TableRefills3[[#This Row],[gap_days]]="",0,IF(TableRefills3[[#This Row],[gap_days]]&gt;2,1,0))</f>
        <v>0</v>
      </c>
      <c r="I976">
        <f>_xlfn.MAXIFS(TableRefills3[discountinuation_flag], TableRefills3[patient_id], A976)</f>
        <v>0</v>
      </c>
    </row>
    <row r="977" spans="1:9" x14ac:dyDescent="0.25">
      <c r="A977" t="s">
        <v>1562</v>
      </c>
      <c r="B977" t="s">
        <v>1563</v>
      </c>
      <c r="C977" s="3">
        <v>45894</v>
      </c>
      <c r="D977">
        <v>30</v>
      </c>
      <c r="E977" s="3" t="str">
        <f t="shared" si="15"/>
        <v/>
      </c>
      <c r="F977" s="3" t="str">
        <f>IF(TableRefills3[[#This Row],[prev_refill_days]]="","",TableRefills3[[#This Row],[prev_refill_days]]+TableRefills3[[#This Row],[quantity_days]])</f>
        <v/>
      </c>
      <c r="G977" t="str">
        <f>IF(TableRefills3[[#This Row],[prev_refill_end]]="","",TableRefills3[[#This Row],[refill_date]]-TableRefills3[[#This Row],[prev_refill_end]])</f>
        <v/>
      </c>
      <c r="H977" s="10">
        <f>IF(TableRefills3[[#This Row],[gap_days]]="",0,IF(TableRefills3[[#This Row],[gap_days]]&gt;2,1,0))</f>
        <v>0</v>
      </c>
      <c r="I977">
        <f>_xlfn.MAXIFS(TableRefills3[discountinuation_flag], TableRefills3[patient_id], A977)</f>
        <v>1</v>
      </c>
    </row>
    <row r="978" spans="1:9" x14ac:dyDescent="0.25">
      <c r="A978" t="s">
        <v>1562</v>
      </c>
      <c r="B978" t="s">
        <v>1563</v>
      </c>
      <c r="C978" s="3">
        <v>45923</v>
      </c>
      <c r="D978">
        <v>30</v>
      </c>
      <c r="E978" s="3">
        <f t="shared" si="15"/>
        <v>45894</v>
      </c>
      <c r="F978" s="3">
        <f>IF(TableRefills3[[#This Row],[prev_refill_days]]="","",TableRefills3[[#This Row],[prev_refill_days]]+TableRefills3[[#This Row],[quantity_days]])</f>
        <v>45924</v>
      </c>
      <c r="G978">
        <f>IF(TableRefills3[[#This Row],[prev_refill_end]]="","",TableRefills3[[#This Row],[refill_date]]-TableRefills3[[#This Row],[prev_refill_end]])</f>
        <v>-1</v>
      </c>
      <c r="H978" s="10">
        <f>IF(TableRefills3[[#This Row],[gap_days]]="",0,IF(TableRefills3[[#This Row],[gap_days]]&gt;2,1,0))</f>
        <v>0</v>
      </c>
      <c r="I978">
        <f>_xlfn.MAXIFS(TableRefills3[discountinuation_flag], TableRefills3[patient_id], A978)</f>
        <v>1</v>
      </c>
    </row>
    <row r="979" spans="1:9" x14ac:dyDescent="0.25">
      <c r="A979" t="s">
        <v>1562</v>
      </c>
      <c r="B979" t="s">
        <v>1563</v>
      </c>
      <c r="C979" s="3">
        <v>45956</v>
      </c>
      <c r="D979">
        <v>30</v>
      </c>
      <c r="E979" s="3">
        <f t="shared" si="15"/>
        <v>45923</v>
      </c>
      <c r="F979" s="3">
        <f>IF(TableRefills3[[#This Row],[prev_refill_days]]="","",TableRefills3[[#This Row],[prev_refill_days]]+TableRefills3[[#This Row],[quantity_days]])</f>
        <v>45953</v>
      </c>
      <c r="G979">
        <f>IF(TableRefills3[[#This Row],[prev_refill_end]]="","",TableRefills3[[#This Row],[refill_date]]-TableRefills3[[#This Row],[prev_refill_end]])</f>
        <v>3</v>
      </c>
      <c r="H979" s="10">
        <f>IF(TableRefills3[[#This Row],[gap_days]]="",0,IF(TableRefills3[[#This Row],[gap_days]]&gt;2,1,0))</f>
        <v>1</v>
      </c>
      <c r="I979">
        <f>_xlfn.MAXIFS(TableRefills3[discountinuation_flag], TableRefills3[patient_id], A979)</f>
        <v>1</v>
      </c>
    </row>
    <row r="980" spans="1:9" x14ac:dyDescent="0.25">
      <c r="A980" t="s">
        <v>1567</v>
      </c>
      <c r="B980" t="s">
        <v>1568</v>
      </c>
      <c r="C980" s="3">
        <v>45933</v>
      </c>
      <c r="D980">
        <v>30</v>
      </c>
      <c r="E980" s="3" t="str">
        <f t="shared" si="15"/>
        <v/>
      </c>
      <c r="F980" s="3" t="str">
        <f>IF(TableRefills3[[#This Row],[prev_refill_days]]="","",TableRefills3[[#This Row],[prev_refill_days]]+TableRefills3[[#This Row],[quantity_days]])</f>
        <v/>
      </c>
      <c r="G980" t="str">
        <f>IF(TableRefills3[[#This Row],[prev_refill_end]]="","",TableRefills3[[#This Row],[refill_date]]-TableRefills3[[#This Row],[prev_refill_end]])</f>
        <v/>
      </c>
      <c r="H980" s="10">
        <f>IF(TableRefills3[[#This Row],[gap_days]]="",0,IF(TableRefills3[[#This Row],[gap_days]]&gt;2,1,0))</f>
        <v>0</v>
      </c>
      <c r="I980">
        <f>_xlfn.MAXIFS(TableRefills3[discountinuation_flag], TableRefills3[patient_id], A980)</f>
        <v>0</v>
      </c>
    </row>
    <row r="981" spans="1:9" x14ac:dyDescent="0.25">
      <c r="A981" t="s">
        <v>1570</v>
      </c>
      <c r="B981" t="s">
        <v>1571</v>
      </c>
      <c r="C981" s="3">
        <v>45813</v>
      </c>
      <c r="D981">
        <v>28</v>
      </c>
      <c r="E981" s="3" t="str">
        <f t="shared" si="15"/>
        <v/>
      </c>
      <c r="F981" s="3" t="str">
        <f>IF(TableRefills3[[#This Row],[prev_refill_days]]="","",TableRefills3[[#This Row],[prev_refill_days]]+TableRefills3[[#This Row],[quantity_days]])</f>
        <v/>
      </c>
      <c r="G981" t="str">
        <f>IF(TableRefills3[[#This Row],[prev_refill_end]]="","",TableRefills3[[#This Row],[refill_date]]-TableRefills3[[#This Row],[prev_refill_end]])</f>
        <v/>
      </c>
      <c r="H981" s="10">
        <f>IF(TableRefills3[[#This Row],[gap_days]]="",0,IF(TableRefills3[[#This Row],[gap_days]]&gt;2,1,0))</f>
        <v>0</v>
      </c>
      <c r="I981">
        <f>_xlfn.MAXIFS(TableRefills3[discountinuation_flag], TableRefills3[patient_id], A981)</f>
        <v>1</v>
      </c>
    </row>
    <row r="982" spans="1:9" x14ac:dyDescent="0.25">
      <c r="A982" t="s">
        <v>1570</v>
      </c>
      <c r="B982" t="s">
        <v>1571</v>
      </c>
      <c r="C982" s="3">
        <v>45840</v>
      </c>
      <c r="D982">
        <v>28</v>
      </c>
      <c r="E982" s="3">
        <f t="shared" si="15"/>
        <v>45813</v>
      </c>
      <c r="F982" s="3">
        <f>IF(TableRefills3[[#This Row],[prev_refill_days]]="","",TableRefills3[[#This Row],[prev_refill_days]]+TableRefills3[[#This Row],[quantity_days]])</f>
        <v>45841</v>
      </c>
      <c r="G982">
        <f>IF(TableRefills3[[#This Row],[prev_refill_end]]="","",TableRefills3[[#This Row],[refill_date]]-TableRefills3[[#This Row],[prev_refill_end]])</f>
        <v>-1</v>
      </c>
      <c r="H982" s="10">
        <f>IF(TableRefills3[[#This Row],[gap_days]]="",0,IF(TableRefills3[[#This Row],[gap_days]]&gt;2,1,0))</f>
        <v>0</v>
      </c>
      <c r="I982">
        <f>_xlfn.MAXIFS(TableRefills3[discountinuation_flag], TableRefills3[patient_id], A982)</f>
        <v>1</v>
      </c>
    </row>
    <row r="983" spans="1:9" x14ac:dyDescent="0.25">
      <c r="A983" t="s">
        <v>1570</v>
      </c>
      <c r="B983" t="s">
        <v>1571</v>
      </c>
      <c r="C983" s="3">
        <v>45871</v>
      </c>
      <c r="D983">
        <v>28</v>
      </c>
      <c r="E983" s="3">
        <f t="shared" si="15"/>
        <v>45840</v>
      </c>
      <c r="F983" s="3">
        <f>IF(TableRefills3[[#This Row],[prev_refill_days]]="","",TableRefills3[[#This Row],[prev_refill_days]]+TableRefills3[[#This Row],[quantity_days]])</f>
        <v>45868</v>
      </c>
      <c r="G983">
        <f>IF(TableRefills3[[#This Row],[prev_refill_end]]="","",TableRefills3[[#This Row],[refill_date]]-TableRefills3[[#This Row],[prev_refill_end]])</f>
        <v>3</v>
      </c>
      <c r="H983" s="10">
        <f>IF(TableRefills3[[#This Row],[gap_days]]="",0,IF(TableRefills3[[#This Row],[gap_days]]&gt;2,1,0))</f>
        <v>1</v>
      </c>
      <c r="I983">
        <f>_xlfn.MAXIFS(TableRefills3[discountinuation_flag], TableRefills3[patient_id], A983)</f>
        <v>1</v>
      </c>
    </row>
    <row r="984" spans="1:9" x14ac:dyDescent="0.25">
      <c r="A984" t="s">
        <v>1575</v>
      </c>
      <c r="B984" t="s">
        <v>1576</v>
      </c>
      <c r="C984" s="3">
        <v>45934</v>
      </c>
      <c r="D984">
        <v>28</v>
      </c>
      <c r="E984" s="3" t="str">
        <f t="shared" si="15"/>
        <v/>
      </c>
      <c r="F984" s="3" t="str">
        <f>IF(TableRefills3[[#This Row],[prev_refill_days]]="","",TableRefills3[[#This Row],[prev_refill_days]]+TableRefills3[[#This Row],[quantity_days]])</f>
        <v/>
      </c>
      <c r="G984" t="str">
        <f>IF(TableRefills3[[#This Row],[prev_refill_end]]="","",TableRefills3[[#This Row],[refill_date]]-TableRefills3[[#This Row],[prev_refill_end]])</f>
        <v/>
      </c>
      <c r="H984" s="10">
        <f>IF(TableRefills3[[#This Row],[gap_days]]="",0,IF(TableRefills3[[#This Row],[gap_days]]&gt;2,1,0))</f>
        <v>0</v>
      </c>
      <c r="I984">
        <f>_xlfn.MAXIFS(TableRefills3[discountinuation_flag], TableRefills3[patient_id], A984)</f>
        <v>0</v>
      </c>
    </row>
    <row r="985" spans="1:9" x14ac:dyDescent="0.25">
      <c r="A985" t="s">
        <v>1578</v>
      </c>
      <c r="B985" t="s">
        <v>1579</v>
      </c>
      <c r="C985" s="3">
        <v>45819</v>
      </c>
      <c r="D985">
        <v>28</v>
      </c>
      <c r="E985" s="3" t="str">
        <f t="shared" si="15"/>
        <v/>
      </c>
      <c r="F985" s="3" t="str">
        <f>IF(TableRefills3[[#This Row],[prev_refill_days]]="","",TableRefills3[[#This Row],[prev_refill_days]]+TableRefills3[[#This Row],[quantity_days]])</f>
        <v/>
      </c>
      <c r="G985" t="str">
        <f>IF(TableRefills3[[#This Row],[prev_refill_end]]="","",TableRefills3[[#This Row],[refill_date]]-TableRefills3[[#This Row],[prev_refill_end]])</f>
        <v/>
      </c>
      <c r="H985" s="10">
        <f>IF(TableRefills3[[#This Row],[gap_days]]="",0,IF(TableRefills3[[#This Row],[gap_days]]&gt;2,1,0))</f>
        <v>0</v>
      </c>
      <c r="I985">
        <f>_xlfn.MAXIFS(TableRefills3[discountinuation_flag], TableRefills3[patient_id], A985)</f>
        <v>0</v>
      </c>
    </row>
    <row r="986" spans="1:9" x14ac:dyDescent="0.25">
      <c r="A986" t="s">
        <v>1578</v>
      </c>
      <c r="B986" t="s">
        <v>1579</v>
      </c>
      <c r="C986" s="3">
        <v>45847</v>
      </c>
      <c r="D986">
        <v>28</v>
      </c>
      <c r="E986" s="3">
        <f t="shared" si="15"/>
        <v>45819</v>
      </c>
      <c r="F986" s="3">
        <f>IF(TableRefills3[[#This Row],[prev_refill_days]]="","",TableRefills3[[#This Row],[prev_refill_days]]+TableRefills3[[#This Row],[quantity_days]])</f>
        <v>45847</v>
      </c>
      <c r="G986">
        <f>IF(TableRefills3[[#This Row],[prev_refill_end]]="","",TableRefills3[[#This Row],[refill_date]]-TableRefills3[[#This Row],[prev_refill_end]])</f>
        <v>0</v>
      </c>
      <c r="H986" s="10">
        <f>IF(TableRefills3[[#This Row],[gap_days]]="",0,IF(TableRefills3[[#This Row],[gap_days]]&gt;2,1,0))</f>
        <v>0</v>
      </c>
      <c r="I986">
        <f>_xlfn.MAXIFS(TableRefills3[discountinuation_flag], TableRefills3[patient_id], A986)</f>
        <v>0</v>
      </c>
    </row>
    <row r="987" spans="1:9" x14ac:dyDescent="0.25">
      <c r="A987" t="s">
        <v>1582</v>
      </c>
      <c r="B987" t="s">
        <v>1583</v>
      </c>
      <c r="C987" s="3">
        <v>45935</v>
      </c>
      <c r="D987">
        <v>28</v>
      </c>
      <c r="E987" s="3" t="str">
        <f t="shared" si="15"/>
        <v/>
      </c>
      <c r="F987" s="3" t="str">
        <f>IF(TableRefills3[[#This Row],[prev_refill_days]]="","",TableRefills3[[#This Row],[prev_refill_days]]+TableRefills3[[#This Row],[quantity_days]])</f>
        <v/>
      </c>
      <c r="G987" t="str">
        <f>IF(TableRefills3[[#This Row],[prev_refill_end]]="","",TableRefills3[[#This Row],[refill_date]]-TableRefills3[[#This Row],[prev_refill_end]])</f>
        <v/>
      </c>
      <c r="H987" s="10">
        <f>IF(TableRefills3[[#This Row],[gap_days]]="",0,IF(TableRefills3[[#This Row],[gap_days]]&gt;2,1,0))</f>
        <v>0</v>
      </c>
      <c r="I987">
        <f>_xlfn.MAXIFS(TableRefills3[discountinuation_flag], TableRefills3[patient_id], A987)</f>
        <v>0</v>
      </c>
    </row>
    <row r="988" spans="1:9" x14ac:dyDescent="0.25">
      <c r="A988" t="s">
        <v>1585</v>
      </c>
      <c r="B988" t="s">
        <v>1586</v>
      </c>
      <c r="C988" s="3">
        <v>45854</v>
      </c>
      <c r="D988">
        <v>21</v>
      </c>
      <c r="E988" s="3" t="str">
        <f t="shared" si="15"/>
        <v/>
      </c>
      <c r="F988" s="3" t="str">
        <f>IF(TableRefills3[[#This Row],[prev_refill_days]]="","",TableRefills3[[#This Row],[prev_refill_days]]+TableRefills3[[#This Row],[quantity_days]])</f>
        <v/>
      </c>
      <c r="G988" t="str">
        <f>IF(TableRefills3[[#This Row],[prev_refill_end]]="","",TableRefills3[[#This Row],[refill_date]]-TableRefills3[[#This Row],[prev_refill_end]])</f>
        <v/>
      </c>
      <c r="H988" s="10">
        <f>IF(TableRefills3[[#This Row],[gap_days]]="",0,IF(TableRefills3[[#This Row],[gap_days]]&gt;2,1,0))</f>
        <v>0</v>
      </c>
      <c r="I988">
        <f>_xlfn.MAXIFS(TableRefills3[discountinuation_flag], TableRefills3[patient_id], A988)</f>
        <v>0</v>
      </c>
    </row>
    <row r="989" spans="1:9" x14ac:dyDescent="0.25">
      <c r="A989" t="s">
        <v>1585</v>
      </c>
      <c r="B989" t="s">
        <v>1586</v>
      </c>
      <c r="C989" s="3">
        <v>45876</v>
      </c>
      <c r="D989">
        <v>21</v>
      </c>
      <c r="E989" s="3">
        <f t="shared" si="15"/>
        <v>45854</v>
      </c>
      <c r="F989" s="3">
        <f>IF(TableRefills3[[#This Row],[prev_refill_days]]="","",TableRefills3[[#This Row],[prev_refill_days]]+TableRefills3[[#This Row],[quantity_days]])</f>
        <v>45875</v>
      </c>
      <c r="G989">
        <f>IF(TableRefills3[[#This Row],[prev_refill_end]]="","",TableRefills3[[#This Row],[refill_date]]-TableRefills3[[#This Row],[prev_refill_end]])</f>
        <v>1</v>
      </c>
      <c r="H989" s="10">
        <f>IF(TableRefills3[[#This Row],[gap_days]]="",0,IF(TableRefills3[[#This Row],[gap_days]]&gt;2,1,0))</f>
        <v>0</v>
      </c>
      <c r="I989">
        <f>_xlfn.MAXIFS(TableRefills3[discountinuation_flag], TableRefills3[patient_id], A989)</f>
        <v>0</v>
      </c>
    </row>
    <row r="990" spans="1:9" x14ac:dyDescent="0.25">
      <c r="A990" t="s">
        <v>1589</v>
      </c>
      <c r="B990" t="s">
        <v>1590</v>
      </c>
      <c r="C990" s="3">
        <v>45864</v>
      </c>
      <c r="D990">
        <v>28</v>
      </c>
      <c r="E990" s="3" t="str">
        <f t="shared" si="15"/>
        <v/>
      </c>
      <c r="F990" s="3" t="str">
        <f>IF(TableRefills3[[#This Row],[prev_refill_days]]="","",TableRefills3[[#This Row],[prev_refill_days]]+TableRefills3[[#This Row],[quantity_days]])</f>
        <v/>
      </c>
      <c r="G990" t="str">
        <f>IF(TableRefills3[[#This Row],[prev_refill_end]]="","",TableRefills3[[#This Row],[refill_date]]-TableRefills3[[#This Row],[prev_refill_end]])</f>
        <v/>
      </c>
      <c r="H990" s="10">
        <f>IF(TableRefills3[[#This Row],[gap_days]]="",0,IF(TableRefills3[[#This Row],[gap_days]]&gt;2,1,0))</f>
        <v>0</v>
      </c>
      <c r="I990">
        <f>_xlfn.MAXIFS(TableRefills3[discountinuation_flag], TableRefills3[patient_id], A990)</f>
        <v>1</v>
      </c>
    </row>
    <row r="991" spans="1:9" x14ac:dyDescent="0.25">
      <c r="A991" t="s">
        <v>1589</v>
      </c>
      <c r="B991" t="s">
        <v>1590</v>
      </c>
      <c r="C991" s="3">
        <v>45895</v>
      </c>
      <c r="D991">
        <v>28</v>
      </c>
      <c r="E991" s="3">
        <f t="shared" si="15"/>
        <v>45864</v>
      </c>
      <c r="F991" s="3">
        <f>IF(TableRefills3[[#This Row],[prev_refill_days]]="","",TableRefills3[[#This Row],[prev_refill_days]]+TableRefills3[[#This Row],[quantity_days]])</f>
        <v>45892</v>
      </c>
      <c r="G991">
        <f>IF(TableRefills3[[#This Row],[prev_refill_end]]="","",TableRefills3[[#This Row],[refill_date]]-TableRefills3[[#This Row],[prev_refill_end]])</f>
        <v>3</v>
      </c>
      <c r="H991" s="10">
        <f>IF(TableRefills3[[#This Row],[gap_days]]="",0,IF(TableRefills3[[#This Row],[gap_days]]&gt;2,1,0))</f>
        <v>1</v>
      </c>
      <c r="I991">
        <f>_xlfn.MAXIFS(TableRefills3[discountinuation_flag], TableRefills3[patient_id], A991)</f>
        <v>1</v>
      </c>
    </row>
    <row r="992" spans="1:9" x14ac:dyDescent="0.25">
      <c r="A992" t="s">
        <v>1589</v>
      </c>
      <c r="B992" t="s">
        <v>1590</v>
      </c>
      <c r="C992" s="3">
        <v>45924</v>
      </c>
      <c r="D992">
        <v>28</v>
      </c>
      <c r="E992" s="3">
        <f t="shared" si="15"/>
        <v>45895</v>
      </c>
      <c r="F992" s="3">
        <f>IF(TableRefills3[[#This Row],[prev_refill_days]]="","",TableRefills3[[#This Row],[prev_refill_days]]+TableRefills3[[#This Row],[quantity_days]])</f>
        <v>45923</v>
      </c>
      <c r="G992">
        <f>IF(TableRefills3[[#This Row],[prev_refill_end]]="","",TableRefills3[[#This Row],[refill_date]]-TableRefills3[[#This Row],[prev_refill_end]])</f>
        <v>1</v>
      </c>
      <c r="H992" s="10">
        <f>IF(TableRefills3[[#This Row],[gap_days]]="",0,IF(TableRefills3[[#This Row],[gap_days]]&gt;2,1,0))</f>
        <v>0</v>
      </c>
      <c r="I992">
        <f>_xlfn.MAXIFS(TableRefills3[discountinuation_flag], TableRefills3[patient_id], A992)</f>
        <v>1</v>
      </c>
    </row>
    <row r="993" spans="1:9" x14ac:dyDescent="0.25">
      <c r="A993" t="s">
        <v>1589</v>
      </c>
      <c r="B993" t="s">
        <v>1590</v>
      </c>
      <c r="C993" s="3">
        <v>45954</v>
      </c>
      <c r="D993">
        <v>28</v>
      </c>
      <c r="E993" s="3">
        <f t="shared" si="15"/>
        <v>45924</v>
      </c>
      <c r="F993" s="3">
        <f>IF(TableRefills3[[#This Row],[prev_refill_days]]="","",TableRefills3[[#This Row],[prev_refill_days]]+TableRefills3[[#This Row],[quantity_days]])</f>
        <v>45952</v>
      </c>
      <c r="G993">
        <f>IF(TableRefills3[[#This Row],[prev_refill_end]]="","",TableRefills3[[#This Row],[refill_date]]-TableRefills3[[#This Row],[prev_refill_end]])</f>
        <v>2</v>
      </c>
      <c r="H993" s="10">
        <f>IF(TableRefills3[[#This Row],[gap_days]]="",0,IF(TableRefills3[[#This Row],[gap_days]]&gt;2,1,0))</f>
        <v>0</v>
      </c>
      <c r="I993">
        <f>_xlfn.MAXIFS(TableRefills3[discountinuation_flag], TableRefills3[patient_id], A993)</f>
        <v>1</v>
      </c>
    </row>
    <row r="994" spans="1:9" x14ac:dyDescent="0.25">
      <c r="A994" t="s">
        <v>1595</v>
      </c>
      <c r="B994" t="s">
        <v>1596</v>
      </c>
      <c r="C994" s="3">
        <v>45908</v>
      </c>
      <c r="D994">
        <v>21</v>
      </c>
      <c r="E994" s="3" t="str">
        <f t="shared" si="15"/>
        <v/>
      </c>
      <c r="F994" s="3" t="str">
        <f>IF(TableRefills3[[#This Row],[prev_refill_days]]="","",TableRefills3[[#This Row],[prev_refill_days]]+TableRefills3[[#This Row],[quantity_days]])</f>
        <v/>
      </c>
      <c r="G994" t="str">
        <f>IF(TableRefills3[[#This Row],[prev_refill_end]]="","",TableRefills3[[#This Row],[refill_date]]-TableRefills3[[#This Row],[prev_refill_end]])</f>
        <v/>
      </c>
      <c r="H994" s="10">
        <f>IF(TableRefills3[[#This Row],[gap_days]]="",0,IF(TableRefills3[[#This Row],[gap_days]]&gt;2,1,0))</f>
        <v>0</v>
      </c>
      <c r="I994">
        <f>_xlfn.MAXIFS(TableRefills3[discountinuation_flag], TableRefills3[patient_id], A994)</f>
        <v>0</v>
      </c>
    </row>
    <row r="995" spans="1:9" x14ac:dyDescent="0.25">
      <c r="A995" t="s">
        <v>1595</v>
      </c>
      <c r="B995" t="s">
        <v>1596</v>
      </c>
      <c r="C995" s="3">
        <v>45931</v>
      </c>
      <c r="D995">
        <v>21</v>
      </c>
      <c r="E995" s="3">
        <f t="shared" si="15"/>
        <v>45908</v>
      </c>
      <c r="F995" s="3">
        <f>IF(TableRefills3[[#This Row],[prev_refill_days]]="","",TableRefills3[[#This Row],[prev_refill_days]]+TableRefills3[[#This Row],[quantity_days]])</f>
        <v>45929</v>
      </c>
      <c r="G995">
        <f>IF(TableRefills3[[#This Row],[prev_refill_end]]="","",TableRefills3[[#This Row],[refill_date]]-TableRefills3[[#This Row],[prev_refill_end]])</f>
        <v>2</v>
      </c>
      <c r="H995" s="10">
        <f>IF(TableRefills3[[#This Row],[gap_days]]="",0,IF(TableRefills3[[#This Row],[gap_days]]&gt;2,1,0))</f>
        <v>0</v>
      </c>
      <c r="I995">
        <f>_xlfn.MAXIFS(TableRefills3[discountinuation_flag], TableRefills3[patient_id], A995)</f>
        <v>0</v>
      </c>
    </row>
    <row r="996" spans="1:9" x14ac:dyDescent="0.25">
      <c r="A996" t="s">
        <v>1595</v>
      </c>
      <c r="B996" t="s">
        <v>1596</v>
      </c>
      <c r="C996" s="3">
        <v>45950</v>
      </c>
      <c r="D996">
        <v>21</v>
      </c>
      <c r="E996" s="3">
        <f t="shared" si="15"/>
        <v>45931</v>
      </c>
      <c r="F996" s="3">
        <f>IF(TableRefills3[[#This Row],[prev_refill_days]]="","",TableRefills3[[#This Row],[prev_refill_days]]+TableRefills3[[#This Row],[quantity_days]])</f>
        <v>45952</v>
      </c>
      <c r="G996">
        <f>IF(TableRefills3[[#This Row],[prev_refill_end]]="","",TableRefills3[[#This Row],[refill_date]]-TableRefills3[[#This Row],[prev_refill_end]])</f>
        <v>-2</v>
      </c>
      <c r="H996" s="10">
        <f>IF(TableRefills3[[#This Row],[gap_days]]="",0,IF(TableRefills3[[#This Row],[gap_days]]&gt;2,1,0))</f>
        <v>0</v>
      </c>
      <c r="I996">
        <f>_xlfn.MAXIFS(TableRefills3[discountinuation_flag], TableRefills3[patient_id], A996)</f>
        <v>0</v>
      </c>
    </row>
    <row r="997" spans="1:9" x14ac:dyDescent="0.25">
      <c r="A997" t="s">
        <v>1600</v>
      </c>
      <c r="B997" t="s">
        <v>1601</v>
      </c>
      <c r="C997" s="3">
        <v>45903</v>
      </c>
      <c r="D997">
        <v>14</v>
      </c>
      <c r="E997" s="3" t="str">
        <f t="shared" si="15"/>
        <v/>
      </c>
      <c r="F997" s="3" t="str">
        <f>IF(TableRefills3[[#This Row],[prev_refill_days]]="","",TableRefills3[[#This Row],[prev_refill_days]]+TableRefills3[[#This Row],[quantity_days]])</f>
        <v/>
      </c>
      <c r="G997" t="str">
        <f>IF(TableRefills3[[#This Row],[prev_refill_end]]="","",TableRefills3[[#This Row],[refill_date]]-TableRefills3[[#This Row],[prev_refill_end]])</f>
        <v/>
      </c>
      <c r="H997" s="10">
        <f>IF(TableRefills3[[#This Row],[gap_days]]="",0,IF(TableRefills3[[#This Row],[gap_days]]&gt;2,1,0))</f>
        <v>0</v>
      </c>
      <c r="I997">
        <f>_xlfn.MAXIFS(TableRefills3[discountinuation_flag], TableRefills3[patient_id], A997)</f>
        <v>1</v>
      </c>
    </row>
    <row r="998" spans="1:9" x14ac:dyDescent="0.25">
      <c r="A998" t="s">
        <v>1600</v>
      </c>
      <c r="B998" t="s">
        <v>1601</v>
      </c>
      <c r="C998" s="3">
        <v>45920</v>
      </c>
      <c r="D998">
        <v>14</v>
      </c>
      <c r="E998" s="3">
        <f t="shared" si="15"/>
        <v>45903</v>
      </c>
      <c r="F998" s="3">
        <f>IF(TableRefills3[[#This Row],[prev_refill_days]]="","",TableRefills3[[#This Row],[prev_refill_days]]+TableRefills3[[#This Row],[quantity_days]])</f>
        <v>45917</v>
      </c>
      <c r="G998">
        <f>IF(TableRefills3[[#This Row],[prev_refill_end]]="","",TableRefills3[[#This Row],[refill_date]]-TableRefills3[[#This Row],[prev_refill_end]])</f>
        <v>3</v>
      </c>
      <c r="H998" s="10">
        <f>IF(TableRefills3[[#This Row],[gap_days]]="",0,IF(TableRefills3[[#This Row],[gap_days]]&gt;2,1,0))</f>
        <v>1</v>
      </c>
      <c r="I998">
        <f>_xlfn.MAXIFS(TableRefills3[discountinuation_flag], TableRefills3[patient_id], A998)</f>
        <v>1</v>
      </c>
    </row>
    <row r="999" spans="1:9" x14ac:dyDescent="0.25">
      <c r="A999" t="s">
        <v>1600</v>
      </c>
      <c r="B999" t="s">
        <v>1601</v>
      </c>
      <c r="C999" s="3">
        <v>45932</v>
      </c>
      <c r="D999">
        <v>14</v>
      </c>
      <c r="E999" s="3">
        <f t="shared" si="15"/>
        <v>45920</v>
      </c>
      <c r="F999" s="3">
        <f>IF(TableRefills3[[#This Row],[prev_refill_days]]="","",TableRefills3[[#This Row],[prev_refill_days]]+TableRefills3[[#This Row],[quantity_days]])</f>
        <v>45934</v>
      </c>
      <c r="G999">
        <f>IF(TableRefills3[[#This Row],[prev_refill_end]]="","",TableRefills3[[#This Row],[refill_date]]-TableRefills3[[#This Row],[prev_refill_end]])</f>
        <v>-2</v>
      </c>
      <c r="H999" s="10">
        <f>IF(TableRefills3[[#This Row],[gap_days]]="",0,IF(TableRefills3[[#This Row],[gap_days]]&gt;2,1,0))</f>
        <v>0</v>
      </c>
      <c r="I999">
        <f>_xlfn.MAXIFS(TableRefills3[discountinuation_flag], TableRefills3[patient_id], A999)</f>
        <v>1</v>
      </c>
    </row>
    <row r="1000" spans="1:9" x14ac:dyDescent="0.25">
      <c r="A1000" t="s">
        <v>1600</v>
      </c>
      <c r="B1000" t="s">
        <v>1601</v>
      </c>
      <c r="C1000" s="3">
        <v>45949</v>
      </c>
      <c r="D1000">
        <v>14</v>
      </c>
      <c r="E1000" s="3">
        <f t="shared" si="15"/>
        <v>45932</v>
      </c>
      <c r="F1000" s="3">
        <f>IF(TableRefills3[[#This Row],[prev_refill_days]]="","",TableRefills3[[#This Row],[prev_refill_days]]+TableRefills3[[#This Row],[quantity_days]])</f>
        <v>45946</v>
      </c>
      <c r="G1000">
        <f>IF(TableRefills3[[#This Row],[prev_refill_end]]="","",TableRefills3[[#This Row],[refill_date]]-TableRefills3[[#This Row],[prev_refill_end]])</f>
        <v>3</v>
      </c>
      <c r="H1000" s="10">
        <f>IF(TableRefills3[[#This Row],[gap_days]]="",0,IF(TableRefills3[[#This Row],[gap_days]]&gt;2,1,0))</f>
        <v>1</v>
      </c>
      <c r="I1000">
        <f>_xlfn.MAXIFS(TableRefills3[discountinuation_flag], TableRefills3[patient_id], A1000)</f>
        <v>1</v>
      </c>
    </row>
    <row r="1001" spans="1:9" x14ac:dyDescent="0.25">
      <c r="A1001" t="s">
        <v>1606</v>
      </c>
      <c r="B1001" t="s">
        <v>1607</v>
      </c>
      <c r="C1001" s="3">
        <v>45922</v>
      </c>
      <c r="D1001">
        <v>30</v>
      </c>
      <c r="E1001" s="3" t="str">
        <f t="shared" si="15"/>
        <v/>
      </c>
      <c r="F1001" s="3" t="str">
        <f>IF(TableRefills3[[#This Row],[prev_refill_days]]="","",TableRefills3[[#This Row],[prev_refill_days]]+TableRefills3[[#This Row],[quantity_days]])</f>
        <v/>
      </c>
      <c r="G1001" t="str">
        <f>IF(TableRefills3[[#This Row],[prev_refill_end]]="","",TableRefills3[[#This Row],[refill_date]]-TableRefills3[[#This Row],[prev_refill_end]])</f>
        <v/>
      </c>
      <c r="H1001" s="10">
        <f>IF(TableRefills3[[#This Row],[gap_days]]="",0,IF(TableRefills3[[#This Row],[gap_days]]&gt;2,1,0))</f>
        <v>0</v>
      </c>
      <c r="I1001">
        <f>_xlfn.MAXIFS(TableRefills3[discountinuation_flag], TableRefills3[patient_id], A1001)</f>
        <v>0</v>
      </c>
    </row>
    <row r="1002" spans="1:9" x14ac:dyDescent="0.25">
      <c r="A1002" t="s">
        <v>1606</v>
      </c>
      <c r="B1002" t="s">
        <v>1607</v>
      </c>
      <c r="C1002" s="3">
        <v>45952</v>
      </c>
      <c r="D1002">
        <v>30</v>
      </c>
      <c r="E1002" s="3">
        <f t="shared" si="15"/>
        <v>45922</v>
      </c>
      <c r="F1002" s="3">
        <f>IF(TableRefills3[[#This Row],[prev_refill_days]]="","",TableRefills3[[#This Row],[prev_refill_days]]+TableRefills3[[#This Row],[quantity_days]])</f>
        <v>45952</v>
      </c>
      <c r="G1002">
        <f>IF(TableRefills3[[#This Row],[prev_refill_end]]="","",TableRefills3[[#This Row],[refill_date]]-TableRefills3[[#This Row],[prev_refill_end]])</f>
        <v>0</v>
      </c>
      <c r="H1002" s="10">
        <f>IF(TableRefills3[[#This Row],[gap_days]]="",0,IF(TableRefills3[[#This Row],[gap_days]]&gt;2,1,0))</f>
        <v>0</v>
      </c>
      <c r="I1002">
        <f>_xlfn.MAXIFS(TableRefills3[discountinuation_flag], TableRefills3[patient_id], A1002)</f>
        <v>0</v>
      </c>
    </row>
    <row r="1003" spans="1:9" x14ac:dyDescent="0.25">
      <c r="A1003" t="s">
        <v>1610</v>
      </c>
      <c r="B1003" t="s">
        <v>1611</v>
      </c>
      <c r="C1003" s="3">
        <v>45899</v>
      </c>
      <c r="D1003">
        <v>28</v>
      </c>
      <c r="E1003" s="3" t="str">
        <f t="shared" si="15"/>
        <v/>
      </c>
      <c r="F1003" s="3" t="str">
        <f>IF(TableRefills3[[#This Row],[prev_refill_days]]="","",TableRefills3[[#This Row],[prev_refill_days]]+TableRefills3[[#This Row],[quantity_days]])</f>
        <v/>
      </c>
      <c r="G1003" t="str">
        <f>IF(TableRefills3[[#This Row],[prev_refill_end]]="","",TableRefills3[[#This Row],[refill_date]]-TableRefills3[[#This Row],[prev_refill_end]])</f>
        <v/>
      </c>
      <c r="H1003" s="10">
        <f>IF(TableRefills3[[#This Row],[gap_days]]="",0,IF(TableRefills3[[#This Row],[gap_days]]&gt;2,1,0))</f>
        <v>0</v>
      </c>
      <c r="I1003">
        <f>_xlfn.MAXIFS(TableRefills3[discountinuation_flag], TableRefills3[patient_id], A1003)</f>
        <v>0</v>
      </c>
    </row>
    <row r="1004" spans="1:9" x14ac:dyDescent="0.25">
      <c r="A1004" t="s">
        <v>1610</v>
      </c>
      <c r="B1004" t="s">
        <v>1611</v>
      </c>
      <c r="C1004" s="3">
        <v>45924</v>
      </c>
      <c r="D1004">
        <v>28</v>
      </c>
      <c r="E1004" s="3">
        <f t="shared" si="15"/>
        <v>45899</v>
      </c>
      <c r="F1004" s="3">
        <f>IF(TableRefills3[[#This Row],[prev_refill_days]]="","",TableRefills3[[#This Row],[prev_refill_days]]+TableRefills3[[#This Row],[quantity_days]])</f>
        <v>45927</v>
      </c>
      <c r="G1004">
        <f>IF(TableRefills3[[#This Row],[prev_refill_end]]="","",TableRefills3[[#This Row],[refill_date]]-TableRefills3[[#This Row],[prev_refill_end]])</f>
        <v>-3</v>
      </c>
      <c r="H1004" s="10">
        <f>IF(TableRefills3[[#This Row],[gap_days]]="",0,IF(TableRefills3[[#This Row],[gap_days]]&gt;2,1,0))</f>
        <v>0</v>
      </c>
      <c r="I1004">
        <f>_xlfn.MAXIFS(TableRefills3[discountinuation_flag], TableRefills3[patient_id], A1004)</f>
        <v>0</v>
      </c>
    </row>
    <row r="1005" spans="1:9" x14ac:dyDescent="0.25">
      <c r="A1005" t="s">
        <v>1610</v>
      </c>
      <c r="B1005" t="s">
        <v>1611</v>
      </c>
      <c r="C1005" s="3">
        <v>45954</v>
      </c>
      <c r="D1005">
        <v>28</v>
      </c>
      <c r="E1005" s="3">
        <f t="shared" si="15"/>
        <v>45924</v>
      </c>
      <c r="F1005" s="3">
        <f>IF(TableRefills3[[#This Row],[prev_refill_days]]="","",TableRefills3[[#This Row],[prev_refill_days]]+TableRefills3[[#This Row],[quantity_days]])</f>
        <v>45952</v>
      </c>
      <c r="G1005">
        <f>IF(TableRefills3[[#This Row],[prev_refill_end]]="","",TableRefills3[[#This Row],[refill_date]]-TableRefills3[[#This Row],[prev_refill_end]])</f>
        <v>2</v>
      </c>
      <c r="H1005" s="10">
        <f>IF(TableRefills3[[#This Row],[gap_days]]="",0,IF(TableRefills3[[#This Row],[gap_days]]&gt;2,1,0))</f>
        <v>0</v>
      </c>
      <c r="I1005">
        <f>_xlfn.MAXIFS(TableRefills3[discountinuation_flag], TableRefills3[patient_id], A1005)</f>
        <v>0</v>
      </c>
    </row>
    <row r="1006" spans="1:9" x14ac:dyDescent="0.25">
      <c r="A1006" t="s">
        <v>1615</v>
      </c>
      <c r="B1006" t="s">
        <v>1616</v>
      </c>
      <c r="C1006" s="3">
        <v>45782</v>
      </c>
      <c r="D1006">
        <v>21</v>
      </c>
      <c r="E1006" s="3" t="str">
        <f t="shared" si="15"/>
        <v/>
      </c>
      <c r="F1006" s="3" t="str">
        <f>IF(TableRefills3[[#This Row],[prev_refill_days]]="","",TableRefills3[[#This Row],[prev_refill_days]]+TableRefills3[[#This Row],[quantity_days]])</f>
        <v/>
      </c>
      <c r="G1006" t="str">
        <f>IF(TableRefills3[[#This Row],[prev_refill_end]]="","",TableRefills3[[#This Row],[refill_date]]-TableRefills3[[#This Row],[prev_refill_end]])</f>
        <v/>
      </c>
      <c r="H1006" s="10">
        <f>IF(TableRefills3[[#This Row],[gap_days]]="",0,IF(TableRefills3[[#This Row],[gap_days]]&gt;2,1,0))</f>
        <v>0</v>
      </c>
      <c r="I1006">
        <f>_xlfn.MAXIFS(TableRefills3[discountinuation_flag], TableRefills3[patient_id], A1006)</f>
        <v>1</v>
      </c>
    </row>
    <row r="1007" spans="1:9" x14ac:dyDescent="0.25">
      <c r="A1007" t="s">
        <v>1615</v>
      </c>
      <c r="B1007" t="s">
        <v>1616</v>
      </c>
      <c r="C1007" s="3">
        <v>45805</v>
      </c>
      <c r="D1007">
        <v>21</v>
      </c>
      <c r="E1007" s="3">
        <f t="shared" si="15"/>
        <v>45782</v>
      </c>
      <c r="F1007" s="3">
        <f>IF(TableRefills3[[#This Row],[prev_refill_days]]="","",TableRefills3[[#This Row],[prev_refill_days]]+TableRefills3[[#This Row],[quantity_days]])</f>
        <v>45803</v>
      </c>
      <c r="G1007">
        <f>IF(TableRefills3[[#This Row],[prev_refill_end]]="","",TableRefills3[[#This Row],[refill_date]]-TableRefills3[[#This Row],[prev_refill_end]])</f>
        <v>2</v>
      </c>
      <c r="H1007" s="10">
        <f>IF(TableRefills3[[#This Row],[gap_days]]="",0,IF(TableRefills3[[#This Row],[gap_days]]&gt;2,1,0))</f>
        <v>0</v>
      </c>
      <c r="I1007">
        <f>_xlfn.MAXIFS(TableRefills3[discountinuation_flag], TableRefills3[patient_id], A1007)</f>
        <v>1</v>
      </c>
    </row>
    <row r="1008" spans="1:9" x14ac:dyDescent="0.25">
      <c r="A1008" t="s">
        <v>1615</v>
      </c>
      <c r="B1008" t="s">
        <v>1616</v>
      </c>
      <c r="C1008" s="3">
        <v>45823</v>
      </c>
      <c r="D1008">
        <v>21</v>
      </c>
      <c r="E1008" s="3">
        <f t="shared" si="15"/>
        <v>45805</v>
      </c>
      <c r="F1008" s="3">
        <f>IF(TableRefills3[[#This Row],[prev_refill_days]]="","",TableRefills3[[#This Row],[prev_refill_days]]+TableRefills3[[#This Row],[quantity_days]])</f>
        <v>45826</v>
      </c>
      <c r="G1008">
        <f>IF(TableRefills3[[#This Row],[prev_refill_end]]="","",TableRefills3[[#This Row],[refill_date]]-TableRefills3[[#This Row],[prev_refill_end]])</f>
        <v>-3</v>
      </c>
      <c r="H1008" s="10">
        <f>IF(TableRefills3[[#This Row],[gap_days]]="",0,IF(TableRefills3[[#This Row],[gap_days]]&gt;2,1,0))</f>
        <v>0</v>
      </c>
      <c r="I1008">
        <f>_xlfn.MAXIFS(TableRefills3[discountinuation_flag], TableRefills3[patient_id], A1008)</f>
        <v>1</v>
      </c>
    </row>
    <row r="1009" spans="1:9" x14ac:dyDescent="0.25">
      <c r="A1009" t="s">
        <v>1615</v>
      </c>
      <c r="B1009" t="s">
        <v>1616</v>
      </c>
      <c r="C1009" s="3">
        <v>45841</v>
      </c>
      <c r="D1009">
        <v>21</v>
      </c>
      <c r="E1009" s="3">
        <f t="shared" si="15"/>
        <v>45823</v>
      </c>
      <c r="F1009" s="3">
        <f>IF(TableRefills3[[#This Row],[prev_refill_days]]="","",TableRefills3[[#This Row],[prev_refill_days]]+TableRefills3[[#This Row],[quantity_days]])</f>
        <v>45844</v>
      </c>
      <c r="G1009">
        <f>IF(TableRefills3[[#This Row],[prev_refill_end]]="","",TableRefills3[[#This Row],[refill_date]]-TableRefills3[[#This Row],[prev_refill_end]])</f>
        <v>-3</v>
      </c>
      <c r="H1009" s="10">
        <f>IF(TableRefills3[[#This Row],[gap_days]]="",0,IF(TableRefills3[[#This Row],[gap_days]]&gt;2,1,0))</f>
        <v>0</v>
      </c>
      <c r="I1009">
        <f>_xlfn.MAXIFS(TableRefills3[discountinuation_flag], TableRefills3[patient_id], A1009)</f>
        <v>1</v>
      </c>
    </row>
    <row r="1010" spans="1:9" x14ac:dyDescent="0.25">
      <c r="A1010" t="s">
        <v>1615</v>
      </c>
      <c r="B1010" t="s">
        <v>1616</v>
      </c>
      <c r="C1010" s="3">
        <v>45860</v>
      </c>
      <c r="D1010">
        <v>21</v>
      </c>
      <c r="E1010" s="3">
        <f t="shared" si="15"/>
        <v>45841</v>
      </c>
      <c r="F1010" s="3">
        <f>IF(TableRefills3[[#This Row],[prev_refill_days]]="","",TableRefills3[[#This Row],[prev_refill_days]]+TableRefills3[[#This Row],[quantity_days]])</f>
        <v>45862</v>
      </c>
      <c r="G1010">
        <f>IF(TableRefills3[[#This Row],[prev_refill_end]]="","",TableRefills3[[#This Row],[refill_date]]-TableRefills3[[#This Row],[prev_refill_end]])</f>
        <v>-2</v>
      </c>
      <c r="H1010" s="10">
        <f>IF(TableRefills3[[#This Row],[gap_days]]="",0,IF(TableRefills3[[#This Row],[gap_days]]&gt;2,1,0))</f>
        <v>0</v>
      </c>
      <c r="I1010">
        <f>_xlfn.MAXIFS(TableRefills3[discountinuation_flag], TableRefills3[patient_id], A1010)</f>
        <v>1</v>
      </c>
    </row>
    <row r="1011" spans="1:9" x14ac:dyDescent="0.25">
      <c r="A1011" t="s">
        <v>1615</v>
      </c>
      <c r="B1011" t="s">
        <v>1616</v>
      </c>
      <c r="C1011" s="3">
        <v>45880</v>
      </c>
      <c r="D1011">
        <v>21</v>
      </c>
      <c r="E1011" s="3">
        <f t="shared" si="15"/>
        <v>45860</v>
      </c>
      <c r="F1011" s="3">
        <f>IF(TableRefills3[[#This Row],[prev_refill_days]]="","",TableRefills3[[#This Row],[prev_refill_days]]+TableRefills3[[#This Row],[quantity_days]])</f>
        <v>45881</v>
      </c>
      <c r="G1011">
        <f>IF(TableRefills3[[#This Row],[prev_refill_end]]="","",TableRefills3[[#This Row],[refill_date]]-TableRefills3[[#This Row],[prev_refill_end]])</f>
        <v>-1</v>
      </c>
      <c r="H1011" s="10">
        <f>IF(TableRefills3[[#This Row],[gap_days]]="",0,IF(TableRefills3[[#This Row],[gap_days]]&gt;2,1,0))</f>
        <v>0</v>
      </c>
      <c r="I1011">
        <f>_xlfn.MAXIFS(TableRefills3[discountinuation_flag], TableRefills3[patient_id], A1011)</f>
        <v>1</v>
      </c>
    </row>
    <row r="1012" spans="1:9" x14ac:dyDescent="0.25">
      <c r="A1012" t="s">
        <v>1615</v>
      </c>
      <c r="B1012" t="s">
        <v>1616</v>
      </c>
      <c r="C1012" s="3">
        <v>45898</v>
      </c>
      <c r="D1012">
        <v>21</v>
      </c>
      <c r="E1012" s="3">
        <f t="shared" si="15"/>
        <v>45880</v>
      </c>
      <c r="F1012" s="3">
        <f>IF(TableRefills3[[#This Row],[prev_refill_days]]="","",TableRefills3[[#This Row],[prev_refill_days]]+TableRefills3[[#This Row],[quantity_days]])</f>
        <v>45901</v>
      </c>
      <c r="G1012">
        <f>IF(TableRefills3[[#This Row],[prev_refill_end]]="","",TableRefills3[[#This Row],[refill_date]]-TableRefills3[[#This Row],[prev_refill_end]])</f>
        <v>-3</v>
      </c>
      <c r="H1012" s="10">
        <f>IF(TableRefills3[[#This Row],[gap_days]]="",0,IF(TableRefills3[[#This Row],[gap_days]]&gt;2,1,0))</f>
        <v>0</v>
      </c>
      <c r="I1012">
        <f>_xlfn.MAXIFS(TableRefills3[discountinuation_flag], TableRefills3[patient_id], A1012)</f>
        <v>1</v>
      </c>
    </row>
    <row r="1013" spans="1:9" x14ac:dyDescent="0.25">
      <c r="A1013" t="s">
        <v>1615</v>
      </c>
      <c r="B1013" t="s">
        <v>1616</v>
      </c>
      <c r="C1013" s="3">
        <v>45922</v>
      </c>
      <c r="D1013">
        <v>21</v>
      </c>
      <c r="E1013" s="3">
        <f t="shared" si="15"/>
        <v>45898</v>
      </c>
      <c r="F1013" s="3">
        <f>IF(TableRefills3[[#This Row],[prev_refill_days]]="","",TableRefills3[[#This Row],[prev_refill_days]]+TableRefills3[[#This Row],[quantity_days]])</f>
        <v>45919</v>
      </c>
      <c r="G1013">
        <f>IF(TableRefills3[[#This Row],[prev_refill_end]]="","",TableRefills3[[#This Row],[refill_date]]-TableRefills3[[#This Row],[prev_refill_end]])</f>
        <v>3</v>
      </c>
      <c r="H1013" s="10">
        <f>IF(TableRefills3[[#This Row],[gap_days]]="",0,IF(TableRefills3[[#This Row],[gap_days]]&gt;2,1,0))</f>
        <v>1</v>
      </c>
      <c r="I1013">
        <f>_xlfn.MAXIFS(TableRefills3[discountinuation_flag], TableRefills3[patient_id], A1013)</f>
        <v>1</v>
      </c>
    </row>
    <row r="1014" spans="1:9" x14ac:dyDescent="0.25">
      <c r="A1014" t="s">
        <v>1615</v>
      </c>
      <c r="B1014" t="s">
        <v>1616</v>
      </c>
      <c r="C1014" s="3">
        <v>45942</v>
      </c>
      <c r="D1014">
        <v>21</v>
      </c>
      <c r="E1014" s="3">
        <f t="shared" si="15"/>
        <v>45922</v>
      </c>
      <c r="F1014" s="3">
        <f>IF(TableRefills3[[#This Row],[prev_refill_days]]="","",TableRefills3[[#This Row],[prev_refill_days]]+TableRefills3[[#This Row],[quantity_days]])</f>
        <v>45943</v>
      </c>
      <c r="G1014">
        <f>IF(TableRefills3[[#This Row],[prev_refill_end]]="","",TableRefills3[[#This Row],[refill_date]]-TableRefills3[[#This Row],[prev_refill_end]])</f>
        <v>-1</v>
      </c>
      <c r="H1014" s="10">
        <f>IF(TableRefills3[[#This Row],[gap_days]]="",0,IF(TableRefills3[[#This Row],[gap_days]]&gt;2,1,0))</f>
        <v>0</v>
      </c>
      <c r="I1014">
        <f>_xlfn.MAXIFS(TableRefills3[discountinuation_flag], TableRefills3[patient_id], A1014)</f>
        <v>1</v>
      </c>
    </row>
    <row r="1015" spans="1:9" x14ac:dyDescent="0.25">
      <c r="A1015" t="s">
        <v>1626</v>
      </c>
      <c r="B1015" t="s">
        <v>1627</v>
      </c>
      <c r="C1015" s="3">
        <v>45862</v>
      </c>
      <c r="D1015">
        <v>21</v>
      </c>
      <c r="E1015" s="3" t="str">
        <f t="shared" si="15"/>
        <v/>
      </c>
      <c r="F1015" s="3" t="str">
        <f>IF(TableRefills3[[#This Row],[prev_refill_days]]="","",TableRefills3[[#This Row],[prev_refill_days]]+TableRefills3[[#This Row],[quantity_days]])</f>
        <v/>
      </c>
      <c r="G1015" t="str">
        <f>IF(TableRefills3[[#This Row],[prev_refill_end]]="","",TableRefills3[[#This Row],[refill_date]]-TableRefills3[[#This Row],[prev_refill_end]])</f>
        <v/>
      </c>
      <c r="H1015" s="10">
        <f>IF(TableRefills3[[#This Row],[gap_days]]="",0,IF(TableRefills3[[#This Row],[gap_days]]&gt;2,1,0))</f>
        <v>0</v>
      </c>
      <c r="I1015">
        <f>_xlfn.MAXIFS(TableRefills3[discountinuation_flag], TableRefills3[patient_id], A1015)</f>
        <v>0</v>
      </c>
    </row>
    <row r="1016" spans="1:9" x14ac:dyDescent="0.25">
      <c r="A1016" t="s">
        <v>1626</v>
      </c>
      <c r="B1016" t="s">
        <v>1627</v>
      </c>
      <c r="C1016" s="3">
        <v>45883</v>
      </c>
      <c r="D1016">
        <v>21</v>
      </c>
      <c r="E1016" s="3">
        <f t="shared" si="15"/>
        <v>45862</v>
      </c>
      <c r="F1016" s="3">
        <f>IF(TableRefills3[[#This Row],[prev_refill_days]]="","",TableRefills3[[#This Row],[prev_refill_days]]+TableRefills3[[#This Row],[quantity_days]])</f>
        <v>45883</v>
      </c>
      <c r="G1016">
        <f>IF(TableRefills3[[#This Row],[prev_refill_end]]="","",TableRefills3[[#This Row],[refill_date]]-TableRefills3[[#This Row],[prev_refill_end]])</f>
        <v>0</v>
      </c>
      <c r="H1016" s="10">
        <f>IF(TableRefills3[[#This Row],[gap_days]]="",0,IF(TableRefills3[[#This Row],[gap_days]]&gt;2,1,0))</f>
        <v>0</v>
      </c>
      <c r="I1016">
        <f>_xlfn.MAXIFS(TableRefills3[discountinuation_flag], TableRefills3[patient_id], A1016)</f>
        <v>0</v>
      </c>
    </row>
    <row r="1017" spans="1:9" x14ac:dyDescent="0.25">
      <c r="A1017" t="s">
        <v>1630</v>
      </c>
      <c r="B1017" t="s">
        <v>1631</v>
      </c>
      <c r="C1017" s="3">
        <v>45806</v>
      </c>
      <c r="D1017">
        <v>30</v>
      </c>
      <c r="E1017" s="3" t="str">
        <f t="shared" si="15"/>
        <v/>
      </c>
      <c r="F1017" s="3" t="str">
        <f>IF(TableRefills3[[#This Row],[prev_refill_days]]="","",TableRefills3[[#This Row],[prev_refill_days]]+TableRefills3[[#This Row],[quantity_days]])</f>
        <v/>
      </c>
      <c r="G1017" t="str">
        <f>IF(TableRefills3[[#This Row],[prev_refill_end]]="","",TableRefills3[[#This Row],[refill_date]]-TableRefills3[[#This Row],[prev_refill_end]])</f>
        <v/>
      </c>
      <c r="H1017" s="10">
        <f>IF(TableRefills3[[#This Row],[gap_days]]="",0,IF(TableRefills3[[#This Row],[gap_days]]&gt;2,1,0))</f>
        <v>0</v>
      </c>
      <c r="I1017">
        <f>_xlfn.MAXIFS(TableRefills3[discountinuation_flag], TableRefills3[patient_id], A1017)</f>
        <v>0</v>
      </c>
    </row>
    <row r="1018" spans="1:9" x14ac:dyDescent="0.25">
      <c r="A1018" t="s">
        <v>1630</v>
      </c>
      <c r="B1018" t="s">
        <v>1631</v>
      </c>
      <c r="C1018" s="3">
        <v>45836</v>
      </c>
      <c r="D1018">
        <v>30</v>
      </c>
      <c r="E1018" s="3">
        <f t="shared" si="15"/>
        <v>45806</v>
      </c>
      <c r="F1018" s="3">
        <f>IF(TableRefills3[[#This Row],[prev_refill_days]]="","",TableRefills3[[#This Row],[prev_refill_days]]+TableRefills3[[#This Row],[quantity_days]])</f>
        <v>45836</v>
      </c>
      <c r="G1018">
        <f>IF(TableRefills3[[#This Row],[prev_refill_end]]="","",TableRefills3[[#This Row],[refill_date]]-TableRefills3[[#This Row],[prev_refill_end]])</f>
        <v>0</v>
      </c>
      <c r="H1018" s="10">
        <f>IF(TableRefills3[[#This Row],[gap_days]]="",0,IF(TableRefills3[[#This Row],[gap_days]]&gt;2,1,0))</f>
        <v>0</v>
      </c>
      <c r="I1018">
        <f>_xlfn.MAXIFS(TableRefills3[discountinuation_flag], TableRefills3[patient_id], A1018)</f>
        <v>0</v>
      </c>
    </row>
    <row r="1019" spans="1:9" x14ac:dyDescent="0.25">
      <c r="A1019" t="s">
        <v>1630</v>
      </c>
      <c r="B1019" t="s">
        <v>1631</v>
      </c>
      <c r="C1019" s="3">
        <v>45863</v>
      </c>
      <c r="D1019">
        <v>30</v>
      </c>
      <c r="E1019" s="3">
        <f t="shared" si="15"/>
        <v>45836</v>
      </c>
      <c r="F1019" s="3">
        <f>IF(TableRefills3[[#This Row],[prev_refill_days]]="","",TableRefills3[[#This Row],[prev_refill_days]]+TableRefills3[[#This Row],[quantity_days]])</f>
        <v>45866</v>
      </c>
      <c r="G1019">
        <f>IF(TableRefills3[[#This Row],[prev_refill_end]]="","",TableRefills3[[#This Row],[refill_date]]-TableRefills3[[#This Row],[prev_refill_end]])</f>
        <v>-3</v>
      </c>
      <c r="H1019" s="10">
        <f>IF(TableRefills3[[#This Row],[gap_days]]="",0,IF(TableRefills3[[#This Row],[gap_days]]&gt;2,1,0))</f>
        <v>0</v>
      </c>
      <c r="I1019">
        <f>_xlfn.MAXIFS(TableRefills3[discountinuation_flag], TableRefills3[patient_id], A1019)</f>
        <v>0</v>
      </c>
    </row>
    <row r="1020" spans="1:9" x14ac:dyDescent="0.25">
      <c r="A1020" t="s">
        <v>1630</v>
      </c>
      <c r="B1020" t="s">
        <v>1631</v>
      </c>
      <c r="C1020" s="3">
        <v>45890</v>
      </c>
      <c r="D1020">
        <v>30</v>
      </c>
      <c r="E1020" s="3">
        <f t="shared" si="15"/>
        <v>45863</v>
      </c>
      <c r="F1020" s="3">
        <f>IF(TableRefills3[[#This Row],[prev_refill_days]]="","",TableRefills3[[#This Row],[prev_refill_days]]+TableRefills3[[#This Row],[quantity_days]])</f>
        <v>45893</v>
      </c>
      <c r="G1020">
        <f>IF(TableRefills3[[#This Row],[prev_refill_end]]="","",TableRefills3[[#This Row],[refill_date]]-TableRefills3[[#This Row],[prev_refill_end]])</f>
        <v>-3</v>
      </c>
      <c r="H1020" s="10">
        <f>IF(TableRefills3[[#This Row],[gap_days]]="",0,IF(TableRefills3[[#This Row],[gap_days]]&gt;2,1,0))</f>
        <v>0</v>
      </c>
      <c r="I1020">
        <f>_xlfn.MAXIFS(TableRefills3[discountinuation_flag], TableRefills3[patient_id], A1020)</f>
        <v>0</v>
      </c>
    </row>
    <row r="1021" spans="1:9" x14ac:dyDescent="0.25">
      <c r="A1021" t="s">
        <v>1630</v>
      </c>
      <c r="B1021" t="s">
        <v>1631</v>
      </c>
      <c r="C1021" s="3">
        <v>45922</v>
      </c>
      <c r="D1021">
        <v>30</v>
      </c>
      <c r="E1021" s="3">
        <f t="shared" si="15"/>
        <v>45890</v>
      </c>
      <c r="F1021" s="3">
        <f>IF(TableRefills3[[#This Row],[prev_refill_days]]="","",TableRefills3[[#This Row],[prev_refill_days]]+TableRefills3[[#This Row],[quantity_days]])</f>
        <v>45920</v>
      </c>
      <c r="G1021">
        <f>IF(TableRefills3[[#This Row],[prev_refill_end]]="","",TableRefills3[[#This Row],[refill_date]]-TableRefills3[[#This Row],[prev_refill_end]])</f>
        <v>2</v>
      </c>
      <c r="H1021" s="10">
        <f>IF(TableRefills3[[#This Row],[gap_days]]="",0,IF(TableRefills3[[#This Row],[gap_days]]&gt;2,1,0))</f>
        <v>0</v>
      </c>
      <c r="I1021">
        <f>_xlfn.MAXIFS(TableRefills3[discountinuation_flag], TableRefills3[patient_id], A1021)</f>
        <v>0</v>
      </c>
    </row>
    <row r="1022" spans="1:9" x14ac:dyDescent="0.25">
      <c r="A1022" t="s">
        <v>1630</v>
      </c>
      <c r="B1022" t="s">
        <v>1631</v>
      </c>
      <c r="C1022" s="3">
        <v>45949</v>
      </c>
      <c r="D1022">
        <v>30</v>
      </c>
      <c r="E1022" s="3">
        <f t="shared" si="15"/>
        <v>45922</v>
      </c>
      <c r="F1022" s="3">
        <f>IF(TableRefills3[[#This Row],[prev_refill_days]]="","",TableRefills3[[#This Row],[prev_refill_days]]+TableRefills3[[#This Row],[quantity_days]])</f>
        <v>45952</v>
      </c>
      <c r="G1022">
        <f>IF(TableRefills3[[#This Row],[prev_refill_end]]="","",TableRefills3[[#This Row],[refill_date]]-TableRefills3[[#This Row],[prev_refill_end]])</f>
        <v>-3</v>
      </c>
      <c r="H1022" s="10">
        <f>IF(TableRefills3[[#This Row],[gap_days]]="",0,IF(TableRefills3[[#This Row],[gap_days]]&gt;2,1,0))</f>
        <v>0</v>
      </c>
      <c r="I1022">
        <f>_xlfn.MAXIFS(TableRefills3[discountinuation_flag], TableRefills3[patient_id], A1022)</f>
        <v>0</v>
      </c>
    </row>
    <row r="1023" spans="1:9" x14ac:dyDescent="0.25">
      <c r="A1023" t="s">
        <v>1638</v>
      </c>
      <c r="B1023" t="s">
        <v>1639</v>
      </c>
      <c r="C1023" s="3">
        <v>45927</v>
      </c>
      <c r="D1023">
        <v>28</v>
      </c>
      <c r="E1023" s="3" t="str">
        <f t="shared" si="15"/>
        <v/>
      </c>
      <c r="F1023" s="3" t="str">
        <f>IF(TableRefills3[[#This Row],[prev_refill_days]]="","",TableRefills3[[#This Row],[prev_refill_days]]+TableRefills3[[#This Row],[quantity_days]])</f>
        <v/>
      </c>
      <c r="G1023" t="str">
        <f>IF(TableRefills3[[#This Row],[prev_refill_end]]="","",TableRefills3[[#This Row],[refill_date]]-TableRefills3[[#This Row],[prev_refill_end]])</f>
        <v/>
      </c>
      <c r="H1023" s="10">
        <f>IF(TableRefills3[[#This Row],[gap_days]]="",0,IF(TableRefills3[[#This Row],[gap_days]]&gt;2,1,0))</f>
        <v>0</v>
      </c>
      <c r="I1023">
        <f>_xlfn.MAXIFS(TableRefills3[discountinuation_flag], TableRefills3[patient_id], A1023)</f>
        <v>0</v>
      </c>
    </row>
    <row r="1024" spans="1:9" x14ac:dyDescent="0.25">
      <c r="A1024" t="s">
        <v>1638</v>
      </c>
      <c r="B1024" t="s">
        <v>1639</v>
      </c>
      <c r="C1024" s="3">
        <v>45952</v>
      </c>
      <c r="D1024">
        <v>28</v>
      </c>
      <c r="E1024" s="3">
        <f t="shared" si="15"/>
        <v>45927</v>
      </c>
      <c r="F1024" s="3">
        <f>IF(TableRefills3[[#This Row],[prev_refill_days]]="","",TableRefills3[[#This Row],[prev_refill_days]]+TableRefills3[[#This Row],[quantity_days]])</f>
        <v>45955</v>
      </c>
      <c r="G1024">
        <f>IF(TableRefills3[[#This Row],[prev_refill_end]]="","",TableRefills3[[#This Row],[refill_date]]-TableRefills3[[#This Row],[prev_refill_end]])</f>
        <v>-3</v>
      </c>
      <c r="H1024" s="10">
        <f>IF(TableRefills3[[#This Row],[gap_days]]="",0,IF(TableRefills3[[#This Row],[gap_days]]&gt;2,1,0))</f>
        <v>0</v>
      </c>
      <c r="I1024">
        <f>_xlfn.MAXIFS(TableRefills3[discountinuation_flag], TableRefills3[patient_id], A1024)</f>
        <v>0</v>
      </c>
    </row>
    <row r="1025" spans="1:9" x14ac:dyDescent="0.25">
      <c r="A1025" t="s">
        <v>1642</v>
      </c>
      <c r="B1025" t="s">
        <v>1643</v>
      </c>
      <c r="C1025" s="3">
        <v>45954</v>
      </c>
      <c r="D1025">
        <v>28</v>
      </c>
      <c r="E1025" s="3" t="str">
        <f t="shared" si="15"/>
        <v/>
      </c>
      <c r="F1025" s="3" t="str">
        <f>IF(TableRefills3[[#This Row],[prev_refill_days]]="","",TableRefills3[[#This Row],[prev_refill_days]]+TableRefills3[[#This Row],[quantity_days]])</f>
        <v/>
      </c>
      <c r="G1025" t="str">
        <f>IF(TableRefills3[[#This Row],[prev_refill_end]]="","",TableRefills3[[#This Row],[refill_date]]-TableRefills3[[#This Row],[prev_refill_end]])</f>
        <v/>
      </c>
      <c r="H1025" s="10">
        <f>IF(TableRefills3[[#This Row],[gap_days]]="",0,IF(TableRefills3[[#This Row],[gap_days]]&gt;2,1,0))</f>
        <v>0</v>
      </c>
      <c r="I1025">
        <f>_xlfn.MAXIFS(TableRefills3[discountinuation_flag], TableRefills3[patient_id], A1025)</f>
        <v>0</v>
      </c>
    </row>
    <row r="1026" spans="1:9" x14ac:dyDescent="0.25">
      <c r="A1026" t="s">
        <v>1645</v>
      </c>
      <c r="B1026" t="s">
        <v>1646</v>
      </c>
      <c r="C1026" s="3">
        <v>45784</v>
      </c>
      <c r="D1026">
        <v>28</v>
      </c>
      <c r="E1026" s="3" t="str">
        <f t="shared" ref="E1026:E1089" si="16">IF(A1025=A1026,C1025,"")</f>
        <v/>
      </c>
      <c r="F1026" s="3" t="str">
        <f>IF(TableRefills3[[#This Row],[prev_refill_days]]="","",TableRefills3[[#This Row],[prev_refill_days]]+TableRefills3[[#This Row],[quantity_days]])</f>
        <v/>
      </c>
      <c r="G1026" t="str">
        <f>IF(TableRefills3[[#This Row],[prev_refill_end]]="","",TableRefills3[[#This Row],[refill_date]]-TableRefills3[[#This Row],[prev_refill_end]])</f>
        <v/>
      </c>
      <c r="H1026" s="10">
        <f>IF(TableRefills3[[#This Row],[gap_days]]="",0,IF(TableRefills3[[#This Row],[gap_days]]&gt;2,1,0))</f>
        <v>0</v>
      </c>
      <c r="I1026">
        <f>_xlfn.MAXIFS(TableRefills3[discountinuation_flag], TableRefills3[patient_id], A1026)</f>
        <v>0</v>
      </c>
    </row>
    <row r="1027" spans="1:9" x14ac:dyDescent="0.25">
      <c r="A1027" t="s">
        <v>1645</v>
      </c>
      <c r="B1027" t="s">
        <v>1646</v>
      </c>
      <c r="C1027" s="3">
        <v>45813</v>
      </c>
      <c r="D1027">
        <v>28</v>
      </c>
      <c r="E1027" s="3">
        <f t="shared" si="16"/>
        <v>45784</v>
      </c>
      <c r="F1027" s="3">
        <f>IF(TableRefills3[[#This Row],[prev_refill_days]]="","",TableRefills3[[#This Row],[prev_refill_days]]+TableRefills3[[#This Row],[quantity_days]])</f>
        <v>45812</v>
      </c>
      <c r="G1027">
        <f>IF(TableRefills3[[#This Row],[prev_refill_end]]="","",TableRefills3[[#This Row],[refill_date]]-TableRefills3[[#This Row],[prev_refill_end]])</f>
        <v>1</v>
      </c>
      <c r="H1027" s="10">
        <f>IF(TableRefills3[[#This Row],[gap_days]]="",0,IF(TableRefills3[[#This Row],[gap_days]]&gt;2,1,0))</f>
        <v>0</v>
      </c>
      <c r="I1027">
        <f>_xlfn.MAXIFS(TableRefills3[discountinuation_flag], TableRefills3[patient_id], A1027)</f>
        <v>0</v>
      </c>
    </row>
    <row r="1028" spans="1:9" x14ac:dyDescent="0.25">
      <c r="A1028" t="s">
        <v>1645</v>
      </c>
      <c r="B1028" t="s">
        <v>1646</v>
      </c>
      <c r="C1028" s="3">
        <v>45840</v>
      </c>
      <c r="D1028">
        <v>28</v>
      </c>
      <c r="E1028" s="3">
        <f t="shared" si="16"/>
        <v>45813</v>
      </c>
      <c r="F1028" s="3">
        <f>IF(TableRefills3[[#This Row],[prev_refill_days]]="","",TableRefills3[[#This Row],[prev_refill_days]]+TableRefills3[[#This Row],[quantity_days]])</f>
        <v>45841</v>
      </c>
      <c r="G1028">
        <f>IF(TableRefills3[[#This Row],[prev_refill_end]]="","",TableRefills3[[#This Row],[refill_date]]-TableRefills3[[#This Row],[prev_refill_end]])</f>
        <v>-1</v>
      </c>
      <c r="H1028" s="10">
        <f>IF(TableRefills3[[#This Row],[gap_days]]="",0,IF(TableRefills3[[#This Row],[gap_days]]&gt;2,1,0))</f>
        <v>0</v>
      </c>
      <c r="I1028">
        <f>_xlfn.MAXIFS(TableRefills3[discountinuation_flag], TableRefills3[patient_id], A1028)</f>
        <v>0</v>
      </c>
    </row>
    <row r="1029" spans="1:9" x14ac:dyDescent="0.25">
      <c r="A1029" t="s">
        <v>1645</v>
      </c>
      <c r="B1029" t="s">
        <v>1646</v>
      </c>
      <c r="C1029" s="3">
        <v>45870</v>
      </c>
      <c r="D1029">
        <v>28</v>
      </c>
      <c r="E1029" s="3">
        <f t="shared" si="16"/>
        <v>45840</v>
      </c>
      <c r="F1029" s="3">
        <f>IF(TableRefills3[[#This Row],[prev_refill_days]]="","",TableRefills3[[#This Row],[prev_refill_days]]+TableRefills3[[#This Row],[quantity_days]])</f>
        <v>45868</v>
      </c>
      <c r="G1029">
        <f>IF(TableRefills3[[#This Row],[prev_refill_end]]="","",TableRefills3[[#This Row],[refill_date]]-TableRefills3[[#This Row],[prev_refill_end]])</f>
        <v>2</v>
      </c>
      <c r="H1029" s="10">
        <f>IF(TableRefills3[[#This Row],[gap_days]]="",0,IF(TableRefills3[[#This Row],[gap_days]]&gt;2,1,0))</f>
        <v>0</v>
      </c>
      <c r="I1029">
        <f>_xlfn.MAXIFS(TableRefills3[discountinuation_flag], TableRefills3[patient_id], A1029)</f>
        <v>0</v>
      </c>
    </row>
    <row r="1030" spans="1:9" x14ac:dyDescent="0.25">
      <c r="A1030" t="s">
        <v>1645</v>
      </c>
      <c r="B1030" t="s">
        <v>1646</v>
      </c>
      <c r="C1030" s="3">
        <v>45899</v>
      </c>
      <c r="D1030">
        <v>28</v>
      </c>
      <c r="E1030" s="3">
        <f t="shared" si="16"/>
        <v>45870</v>
      </c>
      <c r="F1030" s="3">
        <f>IF(TableRefills3[[#This Row],[prev_refill_days]]="","",TableRefills3[[#This Row],[prev_refill_days]]+TableRefills3[[#This Row],[quantity_days]])</f>
        <v>45898</v>
      </c>
      <c r="G1030">
        <f>IF(TableRefills3[[#This Row],[prev_refill_end]]="","",TableRefills3[[#This Row],[refill_date]]-TableRefills3[[#This Row],[prev_refill_end]])</f>
        <v>1</v>
      </c>
      <c r="H1030" s="10">
        <f>IF(TableRefills3[[#This Row],[gap_days]]="",0,IF(TableRefills3[[#This Row],[gap_days]]&gt;2,1,0))</f>
        <v>0</v>
      </c>
      <c r="I1030">
        <f>_xlfn.MAXIFS(TableRefills3[discountinuation_flag], TableRefills3[patient_id], A1030)</f>
        <v>0</v>
      </c>
    </row>
    <row r="1031" spans="1:9" x14ac:dyDescent="0.25">
      <c r="A1031" t="s">
        <v>1645</v>
      </c>
      <c r="B1031" t="s">
        <v>1646</v>
      </c>
      <c r="C1031" s="3">
        <v>45926</v>
      </c>
      <c r="D1031">
        <v>28</v>
      </c>
      <c r="E1031" s="3">
        <f t="shared" si="16"/>
        <v>45899</v>
      </c>
      <c r="F1031" s="3">
        <f>IF(TableRefills3[[#This Row],[prev_refill_days]]="","",TableRefills3[[#This Row],[prev_refill_days]]+TableRefills3[[#This Row],[quantity_days]])</f>
        <v>45927</v>
      </c>
      <c r="G1031">
        <f>IF(TableRefills3[[#This Row],[prev_refill_end]]="","",TableRefills3[[#This Row],[refill_date]]-TableRefills3[[#This Row],[prev_refill_end]])</f>
        <v>-1</v>
      </c>
      <c r="H1031" s="10">
        <f>IF(TableRefills3[[#This Row],[gap_days]]="",0,IF(TableRefills3[[#This Row],[gap_days]]&gt;2,1,0))</f>
        <v>0</v>
      </c>
      <c r="I1031">
        <f>_xlfn.MAXIFS(TableRefills3[discountinuation_flag], TableRefills3[patient_id], A1031)</f>
        <v>0</v>
      </c>
    </row>
    <row r="1032" spans="1:9" x14ac:dyDescent="0.25">
      <c r="A1032" t="s">
        <v>1645</v>
      </c>
      <c r="B1032" t="s">
        <v>1646</v>
      </c>
      <c r="C1032" s="3">
        <v>45954</v>
      </c>
      <c r="D1032">
        <v>28</v>
      </c>
      <c r="E1032" s="3">
        <f t="shared" si="16"/>
        <v>45926</v>
      </c>
      <c r="F1032" s="3">
        <f>IF(TableRefills3[[#This Row],[prev_refill_days]]="","",TableRefills3[[#This Row],[prev_refill_days]]+TableRefills3[[#This Row],[quantity_days]])</f>
        <v>45954</v>
      </c>
      <c r="G1032">
        <f>IF(TableRefills3[[#This Row],[prev_refill_end]]="","",TableRefills3[[#This Row],[refill_date]]-TableRefills3[[#This Row],[prev_refill_end]])</f>
        <v>0</v>
      </c>
      <c r="H1032" s="10">
        <f>IF(TableRefills3[[#This Row],[gap_days]]="",0,IF(TableRefills3[[#This Row],[gap_days]]&gt;2,1,0))</f>
        <v>0</v>
      </c>
      <c r="I1032">
        <f>_xlfn.MAXIFS(TableRefills3[discountinuation_flag], TableRefills3[patient_id], A1032)</f>
        <v>0</v>
      </c>
    </row>
    <row r="1033" spans="1:9" x14ac:dyDescent="0.25">
      <c r="A1033" t="s">
        <v>1654</v>
      </c>
      <c r="B1033" t="s">
        <v>1655</v>
      </c>
      <c r="C1033" s="3">
        <v>45899</v>
      </c>
      <c r="D1033">
        <v>28</v>
      </c>
      <c r="E1033" s="3" t="str">
        <f t="shared" si="16"/>
        <v/>
      </c>
      <c r="F1033" s="3" t="str">
        <f>IF(TableRefills3[[#This Row],[prev_refill_days]]="","",TableRefills3[[#This Row],[prev_refill_days]]+TableRefills3[[#This Row],[quantity_days]])</f>
        <v/>
      </c>
      <c r="G1033" t="str">
        <f>IF(TableRefills3[[#This Row],[prev_refill_end]]="","",TableRefills3[[#This Row],[refill_date]]-TableRefills3[[#This Row],[prev_refill_end]])</f>
        <v/>
      </c>
      <c r="H1033" s="10">
        <f>IF(TableRefills3[[#This Row],[gap_days]]="",0,IF(TableRefills3[[#This Row],[gap_days]]&gt;2,1,0))</f>
        <v>0</v>
      </c>
      <c r="I1033">
        <f>_xlfn.MAXIFS(TableRefills3[discountinuation_flag], TableRefills3[patient_id], A1033)</f>
        <v>0</v>
      </c>
    </row>
    <row r="1034" spans="1:9" x14ac:dyDescent="0.25">
      <c r="A1034" t="s">
        <v>1654</v>
      </c>
      <c r="B1034" t="s">
        <v>1655</v>
      </c>
      <c r="C1034" s="3">
        <v>45929</v>
      </c>
      <c r="D1034">
        <v>28</v>
      </c>
      <c r="E1034" s="3">
        <f t="shared" si="16"/>
        <v>45899</v>
      </c>
      <c r="F1034" s="3">
        <f>IF(TableRefills3[[#This Row],[prev_refill_days]]="","",TableRefills3[[#This Row],[prev_refill_days]]+TableRefills3[[#This Row],[quantity_days]])</f>
        <v>45927</v>
      </c>
      <c r="G1034">
        <f>IF(TableRefills3[[#This Row],[prev_refill_end]]="","",TableRefills3[[#This Row],[refill_date]]-TableRefills3[[#This Row],[prev_refill_end]])</f>
        <v>2</v>
      </c>
      <c r="H1034" s="10">
        <f>IF(TableRefills3[[#This Row],[gap_days]]="",0,IF(TableRefills3[[#This Row],[gap_days]]&gt;2,1,0))</f>
        <v>0</v>
      </c>
      <c r="I1034">
        <f>_xlfn.MAXIFS(TableRefills3[discountinuation_flag], TableRefills3[patient_id], A1034)</f>
        <v>0</v>
      </c>
    </row>
    <row r="1035" spans="1:9" x14ac:dyDescent="0.25">
      <c r="A1035" t="s">
        <v>1654</v>
      </c>
      <c r="B1035" t="s">
        <v>1655</v>
      </c>
      <c r="C1035" s="3">
        <v>45957</v>
      </c>
      <c r="D1035">
        <v>28</v>
      </c>
      <c r="E1035" s="3">
        <f t="shared" si="16"/>
        <v>45929</v>
      </c>
      <c r="F1035" s="3">
        <f>IF(TableRefills3[[#This Row],[prev_refill_days]]="","",TableRefills3[[#This Row],[prev_refill_days]]+TableRefills3[[#This Row],[quantity_days]])</f>
        <v>45957</v>
      </c>
      <c r="G1035">
        <f>IF(TableRefills3[[#This Row],[prev_refill_end]]="","",TableRefills3[[#This Row],[refill_date]]-TableRefills3[[#This Row],[prev_refill_end]])</f>
        <v>0</v>
      </c>
      <c r="H1035" s="10">
        <f>IF(TableRefills3[[#This Row],[gap_days]]="",0,IF(TableRefills3[[#This Row],[gap_days]]&gt;2,1,0))</f>
        <v>0</v>
      </c>
      <c r="I1035">
        <f>_xlfn.MAXIFS(TableRefills3[discountinuation_flag], TableRefills3[patient_id], A1035)</f>
        <v>0</v>
      </c>
    </row>
    <row r="1036" spans="1:9" x14ac:dyDescent="0.25">
      <c r="A1036" t="s">
        <v>1659</v>
      </c>
      <c r="B1036" t="s">
        <v>1660</v>
      </c>
      <c r="C1036" s="3">
        <v>45945</v>
      </c>
      <c r="D1036">
        <v>21</v>
      </c>
      <c r="E1036" s="3" t="str">
        <f t="shared" si="16"/>
        <v/>
      </c>
      <c r="F1036" s="3" t="str">
        <f>IF(TableRefills3[[#This Row],[prev_refill_days]]="","",TableRefills3[[#This Row],[prev_refill_days]]+TableRefills3[[#This Row],[quantity_days]])</f>
        <v/>
      </c>
      <c r="G1036" t="str">
        <f>IF(TableRefills3[[#This Row],[prev_refill_end]]="","",TableRefills3[[#This Row],[refill_date]]-TableRefills3[[#This Row],[prev_refill_end]])</f>
        <v/>
      </c>
      <c r="H1036" s="10">
        <f>IF(TableRefills3[[#This Row],[gap_days]]="",0,IF(TableRefills3[[#This Row],[gap_days]]&gt;2,1,0))</f>
        <v>0</v>
      </c>
      <c r="I1036">
        <f>_xlfn.MAXIFS(TableRefills3[discountinuation_flag], TableRefills3[patient_id], A1036)</f>
        <v>0</v>
      </c>
    </row>
    <row r="1037" spans="1:9" x14ac:dyDescent="0.25">
      <c r="A1037" t="s">
        <v>1662</v>
      </c>
      <c r="B1037" t="s">
        <v>1663</v>
      </c>
      <c r="C1037" s="3">
        <v>45926</v>
      </c>
      <c r="D1037">
        <v>30</v>
      </c>
      <c r="E1037" s="3" t="str">
        <f t="shared" si="16"/>
        <v/>
      </c>
      <c r="F1037" s="3" t="str">
        <f>IF(TableRefills3[[#This Row],[prev_refill_days]]="","",TableRefills3[[#This Row],[prev_refill_days]]+TableRefills3[[#This Row],[quantity_days]])</f>
        <v/>
      </c>
      <c r="G1037" t="str">
        <f>IF(TableRefills3[[#This Row],[prev_refill_end]]="","",TableRefills3[[#This Row],[refill_date]]-TableRefills3[[#This Row],[prev_refill_end]])</f>
        <v/>
      </c>
      <c r="H1037" s="10">
        <f>IF(TableRefills3[[#This Row],[gap_days]]="",0,IF(TableRefills3[[#This Row],[gap_days]]&gt;2,1,0))</f>
        <v>0</v>
      </c>
      <c r="I1037">
        <f>_xlfn.MAXIFS(TableRefills3[discountinuation_flag], TableRefills3[patient_id], A1037)</f>
        <v>0</v>
      </c>
    </row>
    <row r="1038" spans="1:9" x14ac:dyDescent="0.25">
      <c r="A1038" t="s">
        <v>1662</v>
      </c>
      <c r="B1038" t="s">
        <v>1663</v>
      </c>
      <c r="C1038" s="3">
        <v>45956</v>
      </c>
      <c r="D1038">
        <v>30</v>
      </c>
      <c r="E1038" s="3">
        <f t="shared" si="16"/>
        <v>45926</v>
      </c>
      <c r="F1038" s="3">
        <f>IF(TableRefills3[[#This Row],[prev_refill_days]]="","",TableRefills3[[#This Row],[prev_refill_days]]+TableRefills3[[#This Row],[quantity_days]])</f>
        <v>45956</v>
      </c>
      <c r="G1038">
        <f>IF(TableRefills3[[#This Row],[prev_refill_end]]="","",TableRefills3[[#This Row],[refill_date]]-TableRefills3[[#This Row],[prev_refill_end]])</f>
        <v>0</v>
      </c>
      <c r="H1038" s="10">
        <f>IF(TableRefills3[[#This Row],[gap_days]]="",0,IF(TableRefills3[[#This Row],[gap_days]]&gt;2,1,0))</f>
        <v>0</v>
      </c>
      <c r="I1038">
        <f>_xlfn.MAXIFS(TableRefills3[discountinuation_flag], TableRefills3[patient_id], A1038)</f>
        <v>0</v>
      </c>
    </row>
    <row r="1039" spans="1:9" x14ac:dyDescent="0.25">
      <c r="A1039" t="s">
        <v>1666</v>
      </c>
      <c r="B1039" t="s">
        <v>1667</v>
      </c>
      <c r="C1039" s="3">
        <v>45836</v>
      </c>
      <c r="D1039">
        <v>28</v>
      </c>
      <c r="E1039" s="3" t="str">
        <f t="shared" si="16"/>
        <v/>
      </c>
      <c r="F1039" s="3" t="str">
        <f>IF(TableRefills3[[#This Row],[prev_refill_days]]="","",TableRefills3[[#This Row],[prev_refill_days]]+TableRefills3[[#This Row],[quantity_days]])</f>
        <v/>
      </c>
      <c r="G1039" t="str">
        <f>IF(TableRefills3[[#This Row],[prev_refill_end]]="","",TableRefills3[[#This Row],[refill_date]]-TableRefills3[[#This Row],[prev_refill_end]])</f>
        <v/>
      </c>
      <c r="H1039" s="10">
        <f>IF(TableRefills3[[#This Row],[gap_days]]="",0,IF(TableRefills3[[#This Row],[gap_days]]&gt;2,1,0))</f>
        <v>0</v>
      </c>
      <c r="I1039">
        <f>_xlfn.MAXIFS(TableRefills3[discountinuation_flag], TableRefills3[patient_id], A1039)</f>
        <v>0</v>
      </c>
    </row>
    <row r="1040" spans="1:9" x14ac:dyDescent="0.25">
      <c r="A1040" t="s">
        <v>1666</v>
      </c>
      <c r="B1040" t="s">
        <v>1667</v>
      </c>
      <c r="C1040" s="3">
        <v>45863</v>
      </c>
      <c r="D1040">
        <v>28</v>
      </c>
      <c r="E1040" s="3">
        <f t="shared" si="16"/>
        <v>45836</v>
      </c>
      <c r="F1040" s="3">
        <f>IF(TableRefills3[[#This Row],[prev_refill_days]]="","",TableRefills3[[#This Row],[prev_refill_days]]+TableRefills3[[#This Row],[quantity_days]])</f>
        <v>45864</v>
      </c>
      <c r="G1040">
        <f>IF(TableRefills3[[#This Row],[prev_refill_end]]="","",TableRefills3[[#This Row],[refill_date]]-TableRefills3[[#This Row],[prev_refill_end]])</f>
        <v>-1</v>
      </c>
      <c r="H1040" s="10">
        <f>IF(TableRefills3[[#This Row],[gap_days]]="",0,IF(TableRefills3[[#This Row],[gap_days]]&gt;2,1,0))</f>
        <v>0</v>
      </c>
      <c r="I1040">
        <f>_xlfn.MAXIFS(TableRefills3[discountinuation_flag], TableRefills3[patient_id], A1040)</f>
        <v>0</v>
      </c>
    </row>
    <row r="1041" spans="1:9" x14ac:dyDescent="0.25">
      <c r="A1041" t="s">
        <v>1670</v>
      </c>
      <c r="B1041" t="s">
        <v>1671</v>
      </c>
      <c r="C1041" s="3">
        <v>45791</v>
      </c>
      <c r="D1041">
        <v>28</v>
      </c>
      <c r="E1041" s="3" t="str">
        <f t="shared" si="16"/>
        <v/>
      </c>
      <c r="F1041" s="3" t="str">
        <f>IF(TableRefills3[[#This Row],[prev_refill_days]]="","",TableRefills3[[#This Row],[prev_refill_days]]+TableRefills3[[#This Row],[quantity_days]])</f>
        <v/>
      </c>
      <c r="G1041" t="str">
        <f>IF(TableRefills3[[#This Row],[prev_refill_end]]="","",TableRefills3[[#This Row],[refill_date]]-TableRefills3[[#This Row],[prev_refill_end]])</f>
        <v/>
      </c>
      <c r="H1041" s="10">
        <f>IF(TableRefills3[[#This Row],[gap_days]]="",0,IF(TableRefills3[[#This Row],[gap_days]]&gt;2,1,0))</f>
        <v>0</v>
      </c>
      <c r="I1041">
        <f>_xlfn.MAXIFS(TableRefills3[discountinuation_flag], TableRefills3[patient_id], A1041)</f>
        <v>1</v>
      </c>
    </row>
    <row r="1042" spans="1:9" x14ac:dyDescent="0.25">
      <c r="A1042" t="s">
        <v>1670</v>
      </c>
      <c r="B1042" t="s">
        <v>1671</v>
      </c>
      <c r="C1042" s="3">
        <v>45822</v>
      </c>
      <c r="D1042">
        <v>28</v>
      </c>
      <c r="E1042" s="3">
        <f t="shared" si="16"/>
        <v>45791</v>
      </c>
      <c r="F1042" s="3">
        <f>IF(TableRefills3[[#This Row],[prev_refill_days]]="","",TableRefills3[[#This Row],[prev_refill_days]]+TableRefills3[[#This Row],[quantity_days]])</f>
        <v>45819</v>
      </c>
      <c r="G1042">
        <f>IF(TableRefills3[[#This Row],[prev_refill_end]]="","",TableRefills3[[#This Row],[refill_date]]-TableRefills3[[#This Row],[prev_refill_end]])</f>
        <v>3</v>
      </c>
      <c r="H1042" s="10">
        <f>IF(TableRefills3[[#This Row],[gap_days]]="",0,IF(TableRefills3[[#This Row],[gap_days]]&gt;2,1,0))</f>
        <v>1</v>
      </c>
      <c r="I1042">
        <f>_xlfn.MAXIFS(TableRefills3[discountinuation_flag], TableRefills3[patient_id], A1042)</f>
        <v>1</v>
      </c>
    </row>
    <row r="1043" spans="1:9" x14ac:dyDescent="0.25">
      <c r="A1043" t="s">
        <v>1670</v>
      </c>
      <c r="B1043" t="s">
        <v>1671</v>
      </c>
      <c r="C1043" s="3">
        <v>45852</v>
      </c>
      <c r="D1043">
        <v>28</v>
      </c>
      <c r="E1043" s="3">
        <f t="shared" si="16"/>
        <v>45822</v>
      </c>
      <c r="F1043" s="3">
        <f>IF(TableRefills3[[#This Row],[prev_refill_days]]="","",TableRefills3[[#This Row],[prev_refill_days]]+TableRefills3[[#This Row],[quantity_days]])</f>
        <v>45850</v>
      </c>
      <c r="G1043">
        <f>IF(TableRefills3[[#This Row],[prev_refill_end]]="","",TableRefills3[[#This Row],[refill_date]]-TableRefills3[[#This Row],[prev_refill_end]])</f>
        <v>2</v>
      </c>
      <c r="H1043" s="10">
        <f>IF(TableRefills3[[#This Row],[gap_days]]="",0,IF(TableRefills3[[#This Row],[gap_days]]&gt;2,1,0))</f>
        <v>0</v>
      </c>
      <c r="I1043">
        <f>_xlfn.MAXIFS(TableRefills3[discountinuation_flag], TableRefills3[patient_id], A1043)</f>
        <v>1</v>
      </c>
    </row>
    <row r="1044" spans="1:9" x14ac:dyDescent="0.25">
      <c r="A1044" t="s">
        <v>1675</v>
      </c>
      <c r="B1044" t="s">
        <v>1676</v>
      </c>
      <c r="C1044" s="3">
        <v>45900</v>
      </c>
      <c r="D1044">
        <v>28</v>
      </c>
      <c r="E1044" s="3" t="str">
        <f t="shared" si="16"/>
        <v/>
      </c>
      <c r="F1044" s="3" t="str">
        <f>IF(TableRefills3[[#This Row],[prev_refill_days]]="","",TableRefills3[[#This Row],[prev_refill_days]]+TableRefills3[[#This Row],[quantity_days]])</f>
        <v/>
      </c>
      <c r="G1044" t="str">
        <f>IF(TableRefills3[[#This Row],[prev_refill_end]]="","",TableRefills3[[#This Row],[refill_date]]-TableRefills3[[#This Row],[prev_refill_end]])</f>
        <v/>
      </c>
      <c r="H1044" s="10">
        <f>IF(TableRefills3[[#This Row],[gap_days]]="",0,IF(TableRefills3[[#This Row],[gap_days]]&gt;2,1,0))</f>
        <v>0</v>
      </c>
      <c r="I1044">
        <f>_xlfn.MAXIFS(TableRefills3[discountinuation_flag], TableRefills3[patient_id], A1044)</f>
        <v>0</v>
      </c>
    </row>
    <row r="1045" spans="1:9" x14ac:dyDescent="0.25">
      <c r="A1045" t="s">
        <v>1675</v>
      </c>
      <c r="B1045" t="s">
        <v>1676</v>
      </c>
      <c r="C1045" s="3">
        <v>45926</v>
      </c>
      <c r="D1045">
        <v>28</v>
      </c>
      <c r="E1045" s="3">
        <f t="shared" si="16"/>
        <v>45900</v>
      </c>
      <c r="F1045" s="3">
        <f>IF(TableRefills3[[#This Row],[prev_refill_days]]="","",TableRefills3[[#This Row],[prev_refill_days]]+TableRefills3[[#This Row],[quantity_days]])</f>
        <v>45928</v>
      </c>
      <c r="G1045">
        <f>IF(TableRefills3[[#This Row],[prev_refill_end]]="","",TableRefills3[[#This Row],[refill_date]]-TableRefills3[[#This Row],[prev_refill_end]])</f>
        <v>-2</v>
      </c>
      <c r="H1045" s="10">
        <f>IF(TableRefills3[[#This Row],[gap_days]]="",0,IF(TableRefills3[[#This Row],[gap_days]]&gt;2,1,0))</f>
        <v>0</v>
      </c>
      <c r="I1045">
        <f>_xlfn.MAXIFS(TableRefills3[discountinuation_flag], TableRefills3[patient_id], A1045)</f>
        <v>0</v>
      </c>
    </row>
    <row r="1046" spans="1:9" x14ac:dyDescent="0.25">
      <c r="A1046" t="s">
        <v>1679</v>
      </c>
      <c r="B1046" t="s">
        <v>1680</v>
      </c>
      <c r="C1046" s="3">
        <v>45912</v>
      </c>
      <c r="D1046">
        <v>21</v>
      </c>
      <c r="E1046" s="3" t="str">
        <f t="shared" si="16"/>
        <v/>
      </c>
      <c r="F1046" s="3" t="str">
        <f>IF(TableRefills3[[#This Row],[prev_refill_days]]="","",TableRefills3[[#This Row],[prev_refill_days]]+TableRefills3[[#This Row],[quantity_days]])</f>
        <v/>
      </c>
      <c r="G1046" t="str">
        <f>IF(TableRefills3[[#This Row],[prev_refill_end]]="","",TableRefills3[[#This Row],[refill_date]]-TableRefills3[[#This Row],[prev_refill_end]])</f>
        <v/>
      </c>
      <c r="H1046" s="10">
        <f>IF(TableRefills3[[#This Row],[gap_days]]="",0,IF(TableRefills3[[#This Row],[gap_days]]&gt;2,1,0))</f>
        <v>0</v>
      </c>
      <c r="I1046">
        <f>_xlfn.MAXIFS(TableRefills3[discountinuation_flag], TableRefills3[patient_id], A1046)</f>
        <v>0</v>
      </c>
    </row>
    <row r="1047" spans="1:9" x14ac:dyDescent="0.25">
      <c r="A1047" t="s">
        <v>1679</v>
      </c>
      <c r="B1047" t="s">
        <v>1680</v>
      </c>
      <c r="C1047" s="3">
        <v>45934</v>
      </c>
      <c r="D1047">
        <v>21</v>
      </c>
      <c r="E1047" s="3">
        <f t="shared" si="16"/>
        <v>45912</v>
      </c>
      <c r="F1047" s="3">
        <f>IF(TableRefills3[[#This Row],[prev_refill_days]]="","",TableRefills3[[#This Row],[prev_refill_days]]+TableRefills3[[#This Row],[quantity_days]])</f>
        <v>45933</v>
      </c>
      <c r="G1047">
        <f>IF(TableRefills3[[#This Row],[prev_refill_end]]="","",TableRefills3[[#This Row],[refill_date]]-TableRefills3[[#This Row],[prev_refill_end]])</f>
        <v>1</v>
      </c>
      <c r="H1047" s="10">
        <f>IF(TableRefills3[[#This Row],[gap_days]]="",0,IF(TableRefills3[[#This Row],[gap_days]]&gt;2,1,0))</f>
        <v>0</v>
      </c>
      <c r="I1047">
        <f>_xlfn.MAXIFS(TableRefills3[discountinuation_flag], TableRefills3[patient_id], A1047)</f>
        <v>0</v>
      </c>
    </row>
    <row r="1048" spans="1:9" x14ac:dyDescent="0.25">
      <c r="A1048" t="s">
        <v>1679</v>
      </c>
      <c r="B1048" t="s">
        <v>1680</v>
      </c>
      <c r="C1048" s="3">
        <v>45955</v>
      </c>
      <c r="D1048">
        <v>21</v>
      </c>
      <c r="E1048" s="3">
        <f t="shared" si="16"/>
        <v>45934</v>
      </c>
      <c r="F1048" s="3">
        <f>IF(TableRefills3[[#This Row],[prev_refill_days]]="","",TableRefills3[[#This Row],[prev_refill_days]]+TableRefills3[[#This Row],[quantity_days]])</f>
        <v>45955</v>
      </c>
      <c r="G1048">
        <f>IF(TableRefills3[[#This Row],[prev_refill_end]]="","",TableRefills3[[#This Row],[refill_date]]-TableRefills3[[#This Row],[prev_refill_end]])</f>
        <v>0</v>
      </c>
      <c r="H1048" s="10">
        <f>IF(TableRefills3[[#This Row],[gap_days]]="",0,IF(TableRefills3[[#This Row],[gap_days]]&gt;2,1,0))</f>
        <v>0</v>
      </c>
      <c r="I1048">
        <f>_xlfn.MAXIFS(TableRefills3[discountinuation_flag], TableRefills3[patient_id], A1048)</f>
        <v>0</v>
      </c>
    </row>
    <row r="1049" spans="1:9" x14ac:dyDescent="0.25">
      <c r="A1049" t="s">
        <v>1684</v>
      </c>
      <c r="B1049" t="s">
        <v>1685</v>
      </c>
      <c r="C1049" s="3">
        <v>45936</v>
      </c>
      <c r="D1049">
        <v>21</v>
      </c>
      <c r="E1049" s="3" t="str">
        <f t="shared" si="16"/>
        <v/>
      </c>
      <c r="F1049" s="3" t="str">
        <f>IF(TableRefills3[[#This Row],[prev_refill_days]]="","",TableRefills3[[#This Row],[prev_refill_days]]+TableRefills3[[#This Row],[quantity_days]])</f>
        <v/>
      </c>
      <c r="G1049" t="str">
        <f>IF(TableRefills3[[#This Row],[prev_refill_end]]="","",TableRefills3[[#This Row],[refill_date]]-TableRefills3[[#This Row],[prev_refill_end]])</f>
        <v/>
      </c>
      <c r="H1049" s="10">
        <f>IF(TableRefills3[[#This Row],[gap_days]]="",0,IF(TableRefills3[[#This Row],[gap_days]]&gt;2,1,0))</f>
        <v>0</v>
      </c>
      <c r="I1049">
        <f>_xlfn.MAXIFS(TableRefills3[discountinuation_flag], TableRefills3[patient_id], A1049)</f>
        <v>0</v>
      </c>
    </row>
    <row r="1050" spans="1:9" x14ac:dyDescent="0.25">
      <c r="A1050" t="s">
        <v>1684</v>
      </c>
      <c r="B1050" t="s">
        <v>1685</v>
      </c>
      <c r="C1050" s="3">
        <v>45954</v>
      </c>
      <c r="D1050">
        <v>21</v>
      </c>
      <c r="E1050" s="3">
        <f t="shared" si="16"/>
        <v>45936</v>
      </c>
      <c r="F1050" s="3">
        <f>IF(TableRefills3[[#This Row],[prev_refill_days]]="","",TableRefills3[[#This Row],[prev_refill_days]]+TableRefills3[[#This Row],[quantity_days]])</f>
        <v>45957</v>
      </c>
      <c r="G1050">
        <f>IF(TableRefills3[[#This Row],[prev_refill_end]]="","",TableRefills3[[#This Row],[refill_date]]-TableRefills3[[#This Row],[prev_refill_end]])</f>
        <v>-3</v>
      </c>
      <c r="H1050" s="10">
        <f>IF(TableRefills3[[#This Row],[gap_days]]="",0,IF(TableRefills3[[#This Row],[gap_days]]&gt;2,1,0))</f>
        <v>0</v>
      </c>
      <c r="I1050">
        <f>_xlfn.MAXIFS(TableRefills3[discountinuation_flag], TableRefills3[patient_id], A1050)</f>
        <v>0</v>
      </c>
    </row>
    <row r="1051" spans="1:9" x14ac:dyDescent="0.25">
      <c r="A1051" t="s">
        <v>1688</v>
      </c>
      <c r="B1051" t="s">
        <v>1689</v>
      </c>
      <c r="C1051" s="3">
        <v>45875</v>
      </c>
      <c r="D1051">
        <v>56</v>
      </c>
      <c r="E1051" s="3" t="str">
        <f t="shared" si="16"/>
        <v/>
      </c>
      <c r="F1051" s="3" t="str">
        <f>IF(TableRefills3[[#This Row],[prev_refill_days]]="","",TableRefills3[[#This Row],[prev_refill_days]]+TableRefills3[[#This Row],[quantity_days]])</f>
        <v/>
      </c>
      <c r="G1051" t="str">
        <f>IF(TableRefills3[[#This Row],[prev_refill_end]]="","",TableRefills3[[#This Row],[refill_date]]-TableRefills3[[#This Row],[prev_refill_end]])</f>
        <v/>
      </c>
      <c r="H1051" s="10">
        <f>IF(TableRefills3[[#This Row],[gap_days]]="",0,IF(TableRefills3[[#This Row],[gap_days]]&gt;2,1,0))</f>
        <v>0</v>
      </c>
      <c r="I1051">
        <f>_xlfn.MAXIFS(TableRefills3[discountinuation_flag], TableRefills3[patient_id], A1051)</f>
        <v>0</v>
      </c>
    </row>
    <row r="1052" spans="1:9" x14ac:dyDescent="0.25">
      <c r="A1052" t="s">
        <v>1688</v>
      </c>
      <c r="B1052" t="s">
        <v>1689</v>
      </c>
      <c r="C1052" s="3">
        <v>45933</v>
      </c>
      <c r="D1052">
        <v>56</v>
      </c>
      <c r="E1052" s="3">
        <f t="shared" si="16"/>
        <v>45875</v>
      </c>
      <c r="F1052" s="3">
        <f>IF(TableRefills3[[#This Row],[prev_refill_days]]="","",TableRefills3[[#This Row],[prev_refill_days]]+TableRefills3[[#This Row],[quantity_days]])</f>
        <v>45931</v>
      </c>
      <c r="G1052">
        <f>IF(TableRefills3[[#This Row],[prev_refill_end]]="","",TableRefills3[[#This Row],[refill_date]]-TableRefills3[[#This Row],[prev_refill_end]])</f>
        <v>2</v>
      </c>
      <c r="H1052" s="10">
        <f>IF(TableRefills3[[#This Row],[gap_days]]="",0,IF(TableRefills3[[#This Row],[gap_days]]&gt;2,1,0))</f>
        <v>0</v>
      </c>
      <c r="I1052">
        <f>_xlfn.MAXIFS(TableRefills3[discountinuation_flag], TableRefills3[patient_id], A1052)</f>
        <v>0</v>
      </c>
    </row>
    <row r="1053" spans="1:9" x14ac:dyDescent="0.25">
      <c r="A1053" t="s">
        <v>1692</v>
      </c>
      <c r="B1053" t="s">
        <v>1693</v>
      </c>
      <c r="C1053" s="3">
        <v>45952</v>
      </c>
      <c r="D1053">
        <v>56</v>
      </c>
      <c r="E1053" s="3" t="str">
        <f t="shared" si="16"/>
        <v/>
      </c>
      <c r="F1053" s="3" t="str">
        <f>IF(TableRefills3[[#This Row],[prev_refill_days]]="","",TableRefills3[[#This Row],[prev_refill_days]]+TableRefills3[[#This Row],[quantity_days]])</f>
        <v/>
      </c>
      <c r="G1053" t="str">
        <f>IF(TableRefills3[[#This Row],[prev_refill_end]]="","",TableRefills3[[#This Row],[refill_date]]-TableRefills3[[#This Row],[prev_refill_end]])</f>
        <v/>
      </c>
      <c r="H1053" s="10">
        <f>IF(TableRefills3[[#This Row],[gap_days]]="",0,IF(TableRefills3[[#This Row],[gap_days]]&gt;2,1,0))</f>
        <v>0</v>
      </c>
      <c r="I1053">
        <f>_xlfn.MAXIFS(TableRefills3[discountinuation_flag], TableRefills3[patient_id], A1053)</f>
        <v>0</v>
      </c>
    </row>
    <row r="1054" spans="1:9" x14ac:dyDescent="0.25">
      <c r="A1054" t="s">
        <v>1695</v>
      </c>
      <c r="B1054" t="s">
        <v>1696</v>
      </c>
      <c r="C1054" s="3">
        <v>45786</v>
      </c>
      <c r="D1054">
        <v>28</v>
      </c>
      <c r="E1054" s="3" t="str">
        <f t="shared" si="16"/>
        <v/>
      </c>
      <c r="F1054" s="3" t="str">
        <f>IF(TableRefills3[[#This Row],[prev_refill_days]]="","",TableRefills3[[#This Row],[prev_refill_days]]+TableRefills3[[#This Row],[quantity_days]])</f>
        <v/>
      </c>
      <c r="G1054" t="str">
        <f>IF(TableRefills3[[#This Row],[prev_refill_end]]="","",TableRefills3[[#This Row],[refill_date]]-TableRefills3[[#This Row],[prev_refill_end]])</f>
        <v/>
      </c>
      <c r="H1054" s="10">
        <f>IF(TableRefills3[[#This Row],[gap_days]]="",0,IF(TableRefills3[[#This Row],[gap_days]]&gt;2,1,0))</f>
        <v>0</v>
      </c>
      <c r="I1054">
        <f>_xlfn.MAXIFS(TableRefills3[discountinuation_flag], TableRefills3[patient_id], A1054)</f>
        <v>1</v>
      </c>
    </row>
    <row r="1055" spans="1:9" x14ac:dyDescent="0.25">
      <c r="A1055" t="s">
        <v>1695</v>
      </c>
      <c r="B1055" t="s">
        <v>1696</v>
      </c>
      <c r="C1055" s="3">
        <v>45816</v>
      </c>
      <c r="D1055">
        <v>28</v>
      </c>
      <c r="E1055" s="3">
        <f t="shared" si="16"/>
        <v>45786</v>
      </c>
      <c r="F1055" s="3">
        <f>IF(TableRefills3[[#This Row],[prev_refill_days]]="","",TableRefills3[[#This Row],[prev_refill_days]]+TableRefills3[[#This Row],[quantity_days]])</f>
        <v>45814</v>
      </c>
      <c r="G1055">
        <f>IF(TableRefills3[[#This Row],[prev_refill_end]]="","",TableRefills3[[#This Row],[refill_date]]-TableRefills3[[#This Row],[prev_refill_end]])</f>
        <v>2</v>
      </c>
      <c r="H1055" s="10">
        <f>IF(TableRefills3[[#This Row],[gap_days]]="",0,IF(TableRefills3[[#This Row],[gap_days]]&gt;2,1,0))</f>
        <v>0</v>
      </c>
      <c r="I1055">
        <f>_xlfn.MAXIFS(TableRefills3[discountinuation_flag], TableRefills3[patient_id], A1055)</f>
        <v>1</v>
      </c>
    </row>
    <row r="1056" spans="1:9" x14ac:dyDescent="0.25">
      <c r="A1056" t="s">
        <v>1695</v>
      </c>
      <c r="B1056" t="s">
        <v>1696</v>
      </c>
      <c r="C1056" s="3">
        <v>45845</v>
      </c>
      <c r="D1056">
        <v>28</v>
      </c>
      <c r="E1056" s="3">
        <f t="shared" si="16"/>
        <v>45816</v>
      </c>
      <c r="F1056" s="3">
        <f>IF(TableRefills3[[#This Row],[prev_refill_days]]="","",TableRefills3[[#This Row],[prev_refill_days]]+TableRefills3[[#This Row],[quantity_days]])</f>
        <v>45844</v>
      </c>
      <c r="G1056">
        <f>IF(TableRefills3[[#This Row],[prev_refill_end]]="","",TableRefills3[[#This Row],[refill_date]]-TableRefills3[[#This Row],[prev_refill_end]])</f>
        <v>1</v>
      </c>
      <c r="H1056" s="10">
        <f>IF(TableRefills3[[#This Row],[gap_days]]="",0,IF(TableRefills3[[#This Row],[gap_days]]&gt;2,1,0))</f>
        <v>0</v>
      </c>
      <c r="I1056">
        <f>_xlfn.MAXIFS(TableRefills3[discountinuation_flag], TableRefills3[patient_id], A1056)</f>
        <v>1</v>
      </c>
    </row>
    <row r="1057" spans="1:9" x14ac:dyDescent="0.25">
      <c r="A1057" t="s">
        <v>1695</v>
      </c>
      <c r="B1057" t="s">
        <v>1696</v>
      </c>
      <c r="C1057" s="3">
        <v>45871</v>
      </c>
      <c r="D1057">
        <v>28</v>
      </c>
      <c r="E1057" s="3">
        <f t="shared" si="16"/>
        <v>45845</v>
      </c>
      <c r="F1057" s="3">
        <f>IF(TableRefills3[[#This Row],[prev_refill_days]]="","",TableRefills3[[#This Row],[prev_refill_days]]+TableRefills3[[#This Row],[quantity_days]])</f>
        <v>45873</v>
      </c>
      <c r="G1057">
        <f>IF(TableRefills3[[#This Row],[prev_refill_end]]="","",TableRefills3[[#This Row],[refill_date]]-TableRefills3[[#This Row],[prev_refill_end]])</f>
        <v>-2</v>
      </c>
      <c r="H1057" s="10">
        <f>IF(TableRefills3[[#This Row],[gap_days]]="",0,IF(TableRefills3[[#This Row],[gap_days]]&gt;2,1,0))</f>
        <v>0</v>
      </c>
      <c r="I1057">
        <f>_xlfn.MAXIFS(TableRefills3[discountinuation_flag], TableRefills3[patient_id], A1057)</f>
        <v>1</v>
      </c>
    </row>
    <row r="1058" spans="1:9" x14ac:dyDescent="0.25">
      <c r="A1058" t="s">
        <v>1695</v>
      </c>
      <c r="B1058" t="s">
        <v>1696</v>
      </c>
      <c r="C1058" s="3">
        <v>45897</v>
      </c>
      <c r="D1058">
        <v>28</v>
      </c>
      <c r="E1058" s="3">
        <f t="shared" si="16"/>
        <v>45871</v>
      </c>
      <c r="F1058" s="3">
        <f>IF(TableRefills3[[#This Row],[prev_refill_days]]="","",TableRefills3[[#This Row],[prev_refill_days]]+TableRefills3[[#This Row],[quantity_days]])</f>
        <v>45899</v>
      </c>
      <c r="G1058">
        <f>IF(TableRefills3[[#This Row],[prev_refill_end]]="","",TableRefills3[[#This Row],[refill_date]]-TableRefills3[[#This Row],[prev_refill_end]])</f>
        <v>-2</v>
      </c>
      <c r="H1058" s="10">
        <f>IF(TableRefills3[[#This Row],[gap_days]]="",0,IF(TableRefills3[[#This Row],[gap_days]]&gt;2,1,0))</f>
        <v>0</v>
      </c>
      <c r="I1058">
        <f>_xlfn.MAXIFS(TableRefills3[discountinuation_flag], TableRefills3[patient_id], A1058)</f>
        <v>1</v>
      </c>
    </row>
    <row r="1059" spans="1:9" x14ac:dyDescent="0.25">
      <c r="A1059" t="s">
        <v>1695</v>
      </c>
      <c r="B1059" t="s">
        <v>1696</v>
      </c>
      <c r="C1059" s="3">
        <v>45928</v>
      </c>
      <c r="D1059">
        <v>28</v>
      </c>
      <c r="E1059" s="3">
        <f t="shared" si="16"/>
        <v>45897</v>
      </c>
      <c r="F1059" s="3">
        <f>IF(TableRefills3[[#This Row],[prev_refill_days]]="","",TableRefills3[[#This Row],[prev_refill_days]]+TableRefills3[[#This Row],[quantity_days]])</f>
        <v>45925</v>
      </c>
      <c r="G1059">
        <f>IF(TableRefills3[[#This Row],[prev_refill_end]]="","",TableRefills3[[#This Row],[refill_date]]-TableRefills3[[#This Row],[prev_refill_end]])</f>
        <v>3</v>
      </c>
      <c r="H1059" s="10">
        <f>IF(TableRefills3[[#This Row],[gap_days]]="",0,IF(TableRefills3[[#This Row],[gap_days]]&gt;2,1,0))</f>
        <v>1</v>
      </c>
      <c r="I1059">
        <f>_xlfn.MAXIFS(TableRefills3[discountinuation_flag], TableRefills3[patient_id], A1059)</f>
        <v>1</v>
      </c>
    </row>
    <row r="1060" spans="1:9" x14ac:dyDescent="0.25">
      <c r="A1060" t="s">
        <v>1695</v>
      </c>
      <c r="B1060" t="s">
        <v>1696</v>
      </c>
      <c r="C1060" s="3">
        <v>45954</v>
      </c>
      <c r="D1060">
        <v>28</v>
      </c>
      <c r="E1060" s="3">
        <f t="shared" si="16"/>
        <v>45928</v>
      </c>
      <c r="F1060" s="3">
        <f>IF(TableRefills3[[#This Row],[prev_refill_days]]="","",TableRefills3[[#This Row],[prev_refill_days]]+TableRefills3[[#This Row],[quantity_days]])</f>
        <v>45956</v>
      </c>
      <c r="G1060">
        <f>IF(TableRefills3[[#This Row],[prev_refill_end]]="","",TableRefills3[[#This Row],[refill_date]]-TableRefills3[[#This Row],[prev_refill_end]])</f>
        <v>-2</v>
      </c>
      <c r="H1060" s="10">
        <f>IF(TableRefills3[[#This Row],[gap_days]]="",0,IF(TableRefills3[[#This Row],[gap_days]]&gt;2,1,0))</f>
        <v>0</v>
      </c>
      <c r="I1060">
        <f>_xlfn.MAXIFS(TableRefills3[discountinuation_flag], TableRefills3[patient_id], A1060)</f>
        <v>1</v>
      </c>
    </row>
    <row r="1061" spans="1:9" x14ac:dyDescent="0.25">
      <c r="A1061" t="s">
        <v>1704</v>
      </c>
      <c r="B1061" t="s">
        <v>1705</v>
      </c>
      <c r="C1061" s="3">
        <v>45957</v>
      </c>
      <c r="D1061">
        <v>28</v>
      </c>
      <c r="E1061" s="3" t="str">
        <f t="shared" si="16"/>
        <v/>
      </c>
      <c r="F1061" s="3" t="str">
        <f>IF(TableRefills3[[#This Row],[prev_refill_days]]="","",TableRefills3[[#This Row],[prev_refill_days]]+TableRefills3[[#This Row],[quantity_days]])</f>
        <v/>
      </c>
      <c r="G1061" t="str">
        <f>IF(TableRefills3[[#This Row],[prev_refill_end]]="","",TableRefills3[[#This Row],[refill_date]]-TableRefills3[[#This Row],[prev_refill_end]])</f>
        <v/>
      </c>
      <c r="H1061" s="10">
        <f>IF(TableRefills3[[#This Row],[gap_days]]="",0,IF(TableRefills3[[#This Row],[gap_days]]&gt;2,1,0))</f>
        <v>0</v>
      </c>
      <c r="I1061">
        <f>_xlfn.MAXIFS(TableRefills3[discountinuation_flag], TableRefills3[patient_id], A1061)</f>
        <v>0</v>
      </c>
    </row>
    <row r="1062" spans="1:9" x14ac:dyDescent="0.25">
      <c r="A1062" t="s">
        <v>1707</v>
      </c>
      <c r="B1062" t="s">
        <v>1708</v>
      </c>
      <c r="C1062" s="3">
        <v>45826</v>
      </c>
      <c r="D1062">
        <v>28</v>
      </c>
      <c r="E1062" s="3" t="str">
        <f t="shared" si="16"/>
        <v/>
      </c>
      <c r="F1062" s="3" t="str">
        <f>IF(TableRefills3[[#This Row],[prev_refill_days]]="","",TableRefills3[[#This Row],[prev_refill_days]]+TableRefills3[[#This Row],[quantity_days]])</f>
        <v/>
      </c>
      <c r="G1062" t="str">
        <f>IF(TableRefills3[[#This Row],[prev_refill_end]]="","",TableRefills3[[#This Row],[refill_date]]-TableRefills3[[#This Row],[prev_refill_end]])</f>
        <v/>
      </c>
      <c r="H1062" s="10">
        <f>IF(TableRefills3[[#This Row],[gap_days]]="",0,IF(TableRefills3[[#This Row],[gap_days]]&gt;2,1,0))</f>
        <v>0</v>
      </c>
      <c r="I1062">
        <f>_xlfn.MAXIFS(TableRefills3[discountinuation_flag], TableRefills3[patient_id], A1062)</f>
        <v>1</v>
      </c>
    </row>
    <row r="1063" spans="1:9" x14ac:dyDescent="0.25">
      <c r="A1063" t="s">
        <v>1707</v>
      </c>
      <c r="B1063" t="s">
        <v>1708</v>
      </c>
      <c r="C1063" s="3">
        <v>45857</v>
      </c>
      <c r="D1063">
        <v>28</v>
      </c>
      <c r="E1063" s="3">
        <f t="shared" si="16"/>
        <v>45826</v>
      </c>
      <c r="F1063" s="3">
        <f>IF(TableRefills3[[#This Row],[prev_refill_days]]="","",TableRefills3[[#This Row],[prev_refill_days]]+TableRefills3[[#This Row],[quantity_days]])</f>
        <v>45854</v>
      </c>
      <c r="G1063">
        <f>IF(TableRefills3[[#This Row],[prev_refill_end]]="","",TableRefills3[[#This Row],[refill_date]]-TableRefills3[[#This Row],[prev_refill_end]])</f>
        <v>3</v>
      </c>
      <c r="H1063" s="10">
        <f>IF(TableRefills3[[#This Row],[gap_days]]="",0,IF(TableRefills3[[#This Row],[gap_days]]&gt;2,1,0))</f>
        <v>1</v>
      </c>
      <c r="I1063">
        <f>_xlfn.MAXIFS(TableRefills3[discountinuation_flag], TableRefills3[patient_id], A1063)</f>
        <v>1</v>
      </c>
    </row>
    <row r="1064" spans="1:9" x14ac:dyDescent="0.25">
      <c r="A1064" t="s">
        <v>1707</v>
      </c>
      <c r="B1064" t="s">
        <v>1708</v>
      </c>
      <c r="C1064" s="3">
        <v>45888</v>
      </c>
      <c r="D1064">
        <v>28</v>
      </c>
      <c r="E1064" s="3">
        <f t="shared" si="16"/>
        <v>45857</v>
      </c>
      <c r="F1064" s="3">
        <f>IF(TableRefills3[[#This Row],[prev_refill_days]]="","",TableRefills3[[#This Row],[prev_refill_days]]+TableRefills3[[#This Row],[quantity_days]])</f>
        <v>45885</v>
      </c>
      <c r="G1064">
        <f>IF(TableRefills3[[#This Row],[prev_refill_end]]="","",TableRefills3[[#This Row],[refill_date]]-TableRefills3[[#This Row],[prev_refill_end]])</f>
        <v>3</v>
      </c>
      <c r="H1064" s="10">
        <f>IF(TableRefills3[[#This Row],[gap_days]]="",0,IF(TableRefills3[[#This Row],[gap_days]]&gt;2,1,0))</f>
        <v>1</v>
      </c>
      <c r="I1064">
        <f>_xlfn.MAXIFS(TableRefills3[discountinuation_flag], TableRefills3[patient_id], A1064)</f>
        <v>1</v>
      </c>
    </row>
    <row r="1065" spans="1:9" x14ac:dyDescent="0.25">
      <c r="A1065" t="s">
        <v>1707</v>
      </c>
      <c r="B1065" t="s">
        <v>1708</v>
      </c>
      <c r="C1065" s="3">
        <v>45917</v>
      </c>
      <c r="D1065">
        <v>28</v>
      </c>
      <c r="E1065" s="3">
        <f t="shared" si="16"/>
        <v>45888</v>
      </c>
      <c r="F1065" s="3">
        <f>IF(TableRefills3[[#This Row],[prev_refill_days]]="","",TableRefills3[[#This Row],[prev_refill_days]]+TableRefills3[[#This Row],[quantity_days]])</f>
        <v>45916</v>
      </c>
      <c r="G1065">
        <f>IF(TableRefills3[[#This Row],[prev_refill_end]]="","",TableRefills3[[#This Row],[refill_date]]-TableRefills3[[#This Row],[prev_refill_end]])</f>
        <v>1</v>
      </c>
      <c r="H1065" s="10">
        <f>IF(TableRefills3[[#This Row],[gap_days]]="",0,IF(TableRefills3[[#This Row],[gap_days]]&gt;2,1,0))</f>
        <v>0</v>
      </c>
      <c r="I1065">
        <f>_xlfn.MAXIFS(TableRefills3[discountinuation_flag], TableRefills3[patient_id], A1065)</f>
        <v>1</v>
      </c>
    </row>
    <row r="1066" spans="1:9" x14ac:dyDescent="0.25">
      <c r="A1066" t="s">
        <v>1707</v>
      </c>
      <c r="B1066" t="s">
        <v>1708</v>
      </c>
      <c r="C1066" s="3">
        <v>45947</v>
      </c>
      <c r="D1066">
        <v>28</v>
      </c>
      <c r="E1066" s="3">
        <f t="shared" si="16"/>
        <v>45917</v>
      </c>
      <c r="F1066" s="3">
        <f>IF(TableRefills3[[#This Row],[prev_refill_days]]="","",TableRefills3[[#This Row],[prev_refill_days]]+TableRefills3[[#This Row],[quantity_days]])</f>
        <v>45945</v>
      </c>
      <c r="G1066">
        <f>IF(TableRefills3[[#This Row],[prev_refill_end]]="","",TableRefills3[[#This Row],[refill_date]]-TableRefills3[[#This Row],[prev_refill_end]])</f>
        <v>2</v>
      </c>
      <c r="H1066" s="10">
        <f>IF(TableRefills3[[#This Row],[gap_days]]="",0,IF(TableRefills3[[#This Row],[gap_days]]&gt;2,1,0))</f>
        <v>0</v>
      </c>
      <c r="I1066">
        <f>_xlfn.MAXIFS(TableRefills3[discountinuation_flag], TableRefills3[patient_id], A1066)</f>
        <v>1</v>
      </c>
    </row>
    <row r="1067" spans="1:9" x14ac:dyDescent="0.25">
      <c r="A1067" t="s">
        <v>1714</v>
      </c>
      <c r="B1067" t="s">
        <v>1715</v>
      </c>
      <c r="C1067" s="3">
        <v>45890</v>
      </c>
      <c r="D1067">
        <v>30</v>
      </c>
      <c r="E1067" s="3" t="str">
        <f t="shared" si="16"/>
        <v/>
      </c>
      <c r="F1067" s="3" t="str">
        <f>IF(TableRefills3[[#This Row],[prev_refill_days]]="","",TableRefills3[[#This Row],[prev_refill_days]]+TableRefills3[[#This Row],[quantity_days]])</f>
        <v/>
      </c>
      <c r="G1067" t="str">
        <f>IF(TableRefills3[[#This Row],[prev_refill_end]]="","",TableRefills3[[#This Row],[refill_date]]-TableRefills3[[#This Row],[prev_refill_end]])</f>
        <v/>
      </c>
      <c r="H1067" s="10">
        <f>IF(TableRefills3[[#This Row],[gap_days]]="",0,IF(TableRefills3[[#This Row],[gap_days]]&gt;2,1,0))</f>
        <v>0</v>
      </c>
      <c r="I1067">
        <f>_xlfn.MAXIFS(TableRefills3[discountinuation_flag], TableRefills3[patient_id], A1067)</f>
        <v>0</v>
      </c>
    </row>
    <row r="1068" spans="1:9" x14ac:dyDescent="0.25">
      <c r="A1068" t="s">
        <v>1714</v>
      </c>
      <c r="B1068" t="s">
        <v>1715</v>
      </c>
      <c r="C1068" s="3">
        <v>45922</v>
      </c>
      <c r="D1068">
        <v>30</v>
      </c>
      <c r="E1068" s="3">
        <f t="shared" si="16"/>
        <v>45890</v>
      </c>
      <c r="F1068" s="3">
        <f>IF(TableRefills3[[#This Row],[prev_refill_days]]="","",TableRefills3[[#This Row],[prev_refill_days]]+TableRefills3[[#This Row],[quantity_days]])</f>
        <v>45920</v>
      </c>
      <c r="G1068">
        <f>IF(TableRefills3[[#This Row],[prev_refill_end]]="","",TableRefills3[[#This Row],[refill_date]]-TableRefills3[[#This Row],[prev_refill_end]])</f>
        <v>2</v>
      </c>
      <c r="H1068" s="10">
        <f>IF(TableRefills3[[#This Row],[gap_days]]="",0,IF(TableRefills3[[#This Row],[gap_days]]&gt;2,1,0))</f>
        <v>0</v>
      </c>
      <c r="I1068">
        <f>_xlfn.MAXIFS(TableRefills3[discountinuation_flag], TableRefills3[patient_id], A1068)</f>
        <v>0</v>
      </c>
    </row>
    <row r="1069" spans="1:9" x14ac:dyDescent="0.25">
      <c r="A1069" t="s">
        <v>1714</v>
      </c>
      <c r="B1069" t="s">
        <v>1715</v>
      </c>
      <c r="C1069" s="3">
        <v>45951</v>
      </c>
      <c r="D1069">
        <v>30</v>
      </c>
      <c r="E1069" s="3">
        <f t="shared" si="16"/>
        <v>45922</v>
      </c>
      <c r="F1069" s="3">
        <f>IF(TableRefills3[[#This Row],[prev_refill_days]]="","",TableRefills3[[#This Row],[prev_refill_days]]+TableRefills3[[#This Row],[quantity_days]])</f>
        <v>45952</v>
      </c>
      <c r="G1069">
        <f>IF(TableRefills3[[#This Row],[prev_refill_end]]="","",TableRefills3[[#This Row],[refill_date]]-TableRefills3[[#This Row],[prev_refill_end]])</f>
        <v>-1</v>
      </c>
      <c r="H1069" s="10">
        <f>IF(TableRefills3[[#This Row],[gap_days]]="",0,IF(TableRefills3[[#This Row],[gap_days]]&gt;2,1,0))</f>
        <v>0</v>
      </c>
      <c r="I1069">
        <f>_xlfn.MAXIFS(TableRefills3[discountinuation_flag], TableRefills3[patient_id], A1069)</f>
        <v>0</v>
      </c>
    </row>
    <row r="1070" spans="1:9" x14ac:dyDescent="0.25">
      <c r="A1070" t="s">
        <v>1719</v>
      </c>
      <c r="B1070" t="s">
        <v>1720</v>
      </c>
      <c r="C1070" s="3">
        <v>45885</v>
      </c>
      <c r="D1070">
        <v>30</v>
      </c>
      <c r="E1070" s="3" t="str">
        <f t="shared" si="16"/>
        <v/>
      </c>
      <c r="F1070" s="3" t="str">
        <f>IF(TableRefills3[[#This Row],[prev_refill_days]]="","",TableRefills3[[#This Row],[prev_refill_days]]+TableRefills3[[#This Row],[quantity_days]])</f>
        <v/>
      </c>
      <c r="G1070" t="str">
        <f>IF(TableRefills3[[#This Row],[prev_refill_end]]="","",TableRefills3[[#This Row],[refill_date]]-TableRefills3[[#This Row],[prev_refill_end]])</f>
        <v/>
      </c>
      <c r="H1070" s="10">
        <f>IF(TableRefills3[[#This Row],[gap_days]]="",0,IF(TableRefills3[[#This Row],[gap_days]]&gt;2,1,0))</f>
        <v>0</v>
      </c>
      <c r="I1070">
        <f>_xlfn.MAXIFS(TableRefills3[discountinuation_flag], TableRefills3[patient_id], A1070)</f>
        <v>0</v>
      </c>
    </row>
    <row r="1071" spans="1:9" x14ac:dyDescent="0.25">
      <c r="A1071" t="s">
        <v>1719</v>
      </c>
      <c r="B1071" t="s">
        <v>1720</v>
      </c>
      <c r="C1071" s="3">
        <v>45916</v>
      </c>
      <c r="D1071">
        <v>30</v>
      </c>
      <c r="E1071" s="3">
        <f t="shared" si="16"/>
        <v>45885</v>
      </c>
      <c r="F1071" s="3">
        <f>IF(TableRefills3[[#This Row],[prev_refill_days]]="","",TableRefills3[[#This Row],[prev_refill_days]]+TableRefills3[[#This Row],[quantity_days]])</f>
        <v>45915</v>
      </c>
      <c r="G1071">
        <f>IF(TableRefills3[[#This Row],[prev_refill_end]]="","",TableRefills3[[#This Row],[refill_date]]-TableRefills3[[#This Row],[prev_refill_end]])</f>
        <v>1</v>
      </c>
      <c r="H1071" s="10">
        <f>IF(TableRefills3[[#This Row],[gap_days]]="",0,IF(TableRefills3[[#This Row],[gap_days]]&gt;2,1,0))</f>
        <v>0</v>
      </c>
      <c r="I1071">
        <f>_xlfn.MAXIFS(TableRefills3[discountinuation_flag], TableRefills3[patient_id], A1071)</f>
        <v>0</v>
      </c>
    </row>
    <row r="1072" spans="1:9" x14ac:dyDescent="0.25">
      <c r="A1072" t="s">
        <v>1719</v>
      </c>
      <c r="B1072" t="s">
        <v>1720</v>
      </c>
      <c r="C1072" s="3">
        <v>45945</v>
      </c>
      <c r="D1072">
        <v>30</v>
      </c>
      <c r="E1072" s="3">
        <f t="shared" si="16"/>
        <v>45916</v>
      </c>
      <c r="F1072" s="3">
        <f>IF(TableRefills3[[#This Row],[prev_refill_days]]="","",TableRefills3[[#This Row],[prev_refill_days]]+TableRefills3[[#This Row],[quantity_days]])</f>
        <v>45946</v>
      </c>
      <c r="G1072">
        <f>IF(TableRefills3[[#This Row],[prev_refill_end]]="","",TableRefills3[[#This Row],[refill_date]]-TableRefills3[[#This Row],[prev_refill_end]])</f>
        <v>-1</v>
      </c>
      <c r="H1072" s="10">
        <f>IF(TableRefills3[[#This Row],[gap_days]]="",0,IF(TableRefills3[[#This Row],[gap_days]]&gt;2,1,0))</f>
        <v>0</v>
      </c>
      <c r="I1072">
        <f>_xlfn.MAXIFS(TableRefills3[discountinuation_flag], TableRefills3[patient_id], A1072)</f>
        <v>0</v>
      </c>
    </row>
    <row r="1073" spans="1:9" x14ac:dyDescent="0.25">
      <c r="A1073" t="s">
        <v>1724</v>
      </c>
      <c r="B1073" t="s">
        <v>1725</v>
      </c>
      <c r="C1073" s="3">
        <v>45883</v>
      </c>
      <c r="D1073">
        <v>28</v>
      </c>
      <c r="E1073" s="3" t="str">
        <f t="shared" si="16"/>
        <v/>
      </c>
      <c r="F1073" s="3" t="str">
        <f>IF(TableRefills3[[#This Row],[prev_refill_days]]="","",TableRefills3[[#This Row],[prev_refill_days]]+TableRefills3[[#This Row],[quantity_days]])</f>
        <v/>
      </c>
      <c r="G1073" t="str">
        <f>IF(TableRefills3[[#This Row],[prev_refill_end]]="","",TableRefills3[[#This Row],[refill_date]]-TableRefills3[[#This Row],[prev_refill_end]])</f>
        <v/>
      </c>
      <c r="H1073" s="10">
        <f>IF(TableRefills3[[#This Row],[gap_days]]="",0,IF(TableRefills3[[#This Row],[gap_days]]&gt;2,1,0))</f>
        <v>0</v>
      </c>
      <c r="I1073">
        <f>_xlfn.MAXIFS(TableRefills3[discountinuation_flag], TableRefills3[patient_id], A1073)</f>
        <v>0</v>
      </c>
    </row>
    <row r="1074" spans="1:9" x14ac:dyDescent="0.25">
      <c r="A1074" t="s">
        <v>1724</v>
      </c>
      <c r="B1074" t="s">
        <v>1725</v>
      </c>
      <c r="C1074" s="3">
        <v>45913</v>
      </c>
      <c r="D1074">
        <v>28</v>
      </c>
      <c r="E1074" s="3">
        <f t="shared" si="16"/>
        <v>45883</v>
      </c>
      <c r="F1074" s="3">
        <f>IF(TableRefills3[[#This Row],[prev_refill_days]]="","",TableRefills3[[#This Row],[prev_refill_days]]+TableRefills3[[#This Row],[quantity_days]])</f>
        <v>45911</v>
      </c>
      <c r="G1074">
        <f>IF(TableRefills3[[#This Row],[prev_refill_end]]="","",TableRefills3[[#This Row],[refill_date]]-TableRefills3[[#This Row],[prev_refill_end]])</f>
        <v>2</v>
      </c>
      <c r="H1074" s="10">
        <f>IF(TableRefills3[[#This Row],[gap_days]]="",0,IF(TableRefills3[[#This Row],[gap_days]]&gt;2,1,0))</f>
        <v>0</v>
      </c>
      <c r="I1074">
        <f>_xlfn.MAXIFS(TableRefills3[discountinuation_flag], TableRefills3[patient_id], A1074)</f>
        <v>0</v>
      </c>
    </row>
    <row r="1075" spans="1:9" x14ac:dyDescent="0.25">
      <c r="A1075" t="s">
        <v>1724</v>
      </c>
      <c r="B1075" t="s">
        <v>1725</v>
      </c>
      <c r="C1075" s="3">
        <v>45938</v>
      </c>
      <c r="D1075">
        <v>28</v>
      </c>
      <c r="E1075" s="3">
        <f t="shared" si="16"/>
        <v>45913</v>
      </c>
      <c r="F1075" s="3">
        <f>IF(TableRefills3[[#This Row],[prev_refill_days]]="","",TableRefills3[[#This Row],[prev_refill_days]]+TableRefills3[[#This Row],[quantity_days]])</f>
        <v>45941</v>
      </c>
      <c r="G1075">
        <f>IF(TableRefills3[[#This Row],[prev_refill_end]]="","",TableRefills3[[#This Row],[refill_date]]-TableRefills3[[#This Row],[prev_refill_end]])</f>
        <v>-3</v>
      </c>
      <c r="H1075" s="10">
        <f>IF(TableRefills3[[#This Row],[gap_days]]="",0,IF(TableRefills3[[#This Row],[gap_days]]&gt;2,1,0))</f>
        <v>0</v>
      </c>
      <c r="I1075">
        <f>_xlfn.MAXIFS(TableRefills3[discountinuation_flag], TableRefills3[patient_id], A1075)</f>
        <v>0</v>
      </c>
    </row>
    <row r="1076" spans="1:9" x14ac:dyDescent="0.25">
      <c r="A1076" t="s">
        <v>1729</v>
      </c>
      <c r="B1076" t="s">
        <v>1730</v>
      </c>
      <c r="C1076" s="3">
        <v>45830</v>
      </c>
      <c r="D1076">
        <v>30</v>
      </c>
      <c r="E1076" s="3" t="str">
        <f t="shared" si="16"/>
        <v/>
      </c>
      <c r="F1076" s="3" t="str">
        <f>IF(TableRefills3[[#This Row],[prev_refill_days]]="","",TableRefills3[[#This Row],[prev_refill_days]]+TableRefills3[[#This Row],[quantity_days]])</f>
        <v/>
      </c>
      <c r="G1076" t="str">
        <f>IF(TableRefills3[[#This Row],[prev_refill_end]]="","",TableRefills3[[#This Row],[refill_date]]-TableRefills3[[#This Row],[prev_refill_end]])</f>
        <v/>
      </c>
      <c r="H1076" s="10">
        <f>IF(TableRefills3[[#This Row],[gap_days]]="",0,IF(TableRefills3[[#This Row],[gap_days]]&gt;2,1,0))</f>
        <v>0</v>
      </c>
      <c r="I1076">
        <f>_xlfn.MAXIFS(TableRefills3[discountinuation_flag], TableRefills3[patient_id], A1076)</f>
        <v>0</v>
      </c>
    </row>
    <row r="1077" spans="1:9" x14ac:dyDescent="0.25">
      <c r="A1077" t="s">
        <v>1729</v>
      </c>
      <c r="B1077" t="s">
        <v>1730</v>
      </c>
      <c r="C1077" s="3">
        <v>45858</v>
      </c>
      <c r="D1077">
        <v>30</v>
      </c>
      <c r="E1077" s="3">
        <f t="shared" si="16"/>
        <v>45830</v>
      </c>
      <c r="F1077" s="3">
        <f>IF(TableRefills3[[#This Row],[prev_refill_days]]="","",TableRefills3[[#This Row],[prev_refill_days]]+TableRefills3[[#This Row],[quantity_days]])</f>
        <v>45860</v>
      </c>
      <c r="G1077">
        <f>IF(TableRefills3[[#This Row],[prev_refill_end]]="","",TableRefills3[[#This Row],[refill_date]]-TableRefills3[[#This Row],[prev_refill_end]])</f>
        <v>-2</v>
      </c>
      <c r="H1077" s="10">
        <f>IF(TableRefills3[[#This Row],[gap_days]]="",0,IF(TableRefills3[[#This Row],[gap_days]]&gt;2,1,0))</f>
        <v>0</v>
      </c>
      <c r="I1077">
        <f>_xlfn.MAXIFS(TableRefills3[discountinuation_flag], TableRefills3[patient_id], A1077)</f>
        <v>0</v>
      </c>
    </row>
    <row r="1078" spans="1:9" x14ac:dyDescent="0.25">
      <c r="A1078" t="s">
        <v>1729</v>
      </c>
      <c r="B1078" t="s">
        <v>1730</v>
      </c>
      <c r="C1078" s="3">
        <v>45888</v>
      </c>
      <c r="D1078">
        <v>30</v>
      </c>
      <c r="E1078" s="3">
        <f t="shared" si="16"/>
        <v>45858</v>
      </c>
      <c r="F1078" s="3">
        <f>IF(TableRefills3[[#This Row],[prev_refill_days]]="","",TableRefills3[[#This Row],[prev_refill_days]]+TableRefills3[[#This Row],[quantity_days]])</f>
        <v>45888</v>
      </c>
      <c r="G1078">
        <f>IF(TableRefills3[[#This Row],[prev_refill_end]]="","",TableRefills3[[#This Row],[refill_date]]-TableRefills3[[#This Row],[prev_refill_end]])</f>
        <v>0</v>
      </c>
      <c r="H1078" s="10">
        <f>IF(TableRefills3[[#This Row],[gap_days]]="",0,IF(TableRefills3[[#This Row],[gap_days]]&gt;2,1,0))</f>
        <v>0</v>
      </c>
      <c r="I1078">
        <f>_xlfn.MAXIFS(TableRefills3[discountinuation_flag], TableRefills3[patient_id], A1078)</f>
        <v>0</v>
      </c>
    </row>
    <row r="1079" spans="1:9" x14ac:dyDescent="0.25">
      <c r="A1079" t="s">
        <v>1729</v>
      </c>
      <c r="B1079" t="s">
        <v>1730</v>
      </c>
      <c r="C1079" s="3">
        <v>45917</v>
      </c>
      <c r="D1079">
        <v>30</v>
      </c>
      <c r="E1079" s="3">
        <f t="shared" si="16"/>
        <v>45888</v>
      </c>
      <c r="F1079" s="3">
        <f>IF(TableRefills3[[#This Row],[prev_refill_days]]="","",TableRefills3[[#This Row],[prev_refill_days]]+TableRefills3[[#This Row],[quantity_days]])</f>
        <v>45918</v>
      </c>
      <c r="G1079">
        <f>IF(TableRefills3[[#This Row],[prev_refill_end]]="","",TableRefills3[[#This Row],[refill_date]]-TableRefills3[[#This Row],[prev_refill_end]])</f>
        <v>-1</v>
      </c>
      <c r="H1079" s="10">
        <f>IF(TableRefills3[[#This Row],[gap_days]]="",0,IF(TableRefills3[[#This Row],[gap_days]]&gt;2,1,0))</f>
        <v>0</v>
      </c>
      <c r="I1079">
        <f>_xlfn.MAXIFS(TableRefills3[discountinuation_flag], TableRefills3[patient_id], A1079)</f>
        <v>0</v>
      </c>
    </row>
    <row r="1080" spans="1:9" x14ac:dyDescent="0.25">
      <c r="A1080" t="s">
        <v>1729</v>
      </c>
      <c r="B1080" t="s">
        <v>1730</v>
      </c>
      <c r="C1080" s="3">
        <v>45949</v>
      </c>
      <c r="D1080">
        <v>30</v>
      </c>
      <c r="E1080" s="3">
        <f t="shared" si="16"/>
        <v>45917</v>
      </c>
      <c r="F1080" s="3">
        <f>IF(TableRefills3[[#This Row],[prev_refill_days]]="","",TableRefills3[[#This Row],[prev_refill_days]]+TableRefills3[[#This Row],[quantity_days]])</f>
        <v>45947</v>
      </c>
      <c r="G1080">
        <f>IF(TableRefills3[[#This Row],[prev_refill_end]]="","",TableRefills3[[#This Row],[refill_date]]-TableRefills3[[#This Row],[prev_refill_end]])</f>
        <v>2</v>
      </c>
      <c r="H1080" s="10">
        <f>IF(TableRefills3[[#This Row],[gap_days]]="",0,IF(TableRefills3[[#This Row],[gap_days]]&gt;2,1,0))</f>
        <v>0</v>
      </c>
      <c r="I1080">
        <f>_xlfn.MAXIFS(TableRefills3[discountinuation_flag], TableRefills3[patient_id], A1080)</f>
        <v>0</v>
      </c>
    </row>
    <row r="1081" spans="1:9" x14ac:dyDescent="0.25">
      <c r="A1081" t="s">
        <v>1736</v>
      </c>
      <c r="B1081" t="s">
        <v>1737</v>
      </c>
      <c r="C1081" s="3">
        <v>45906</v>
      </c>
      <c r="D1081">
        <v>28</v>
      </c>
      <c r="E1081" s="3" t="str">
        <f t="shared" si="16"/>
        <v/>
      </c>
      <c r="F1081" s="3" t="str">
        <f>IF(TableRefills3[[#This Row],[prev_refill_days]]="","",TableRefills3[[#This Row],[prev_refill_days]]+TableRefills3[[#This Row],[quantity_days]])</f>
        <v/>
      </c>
      <c r="G1081" t="str">
        <f>IF(TableRefills3[[#This Row],[prev_refill_end]]="","",TableRefills3[[#This Row],[refill_date]]-TableRefills3[[#This Row],[prev_refill_end]])</f>
        <v/>
      </c>
      <c r="H1081" s="10">
        <f>IF(TableRefills3[[#This Row],[gap_days]]="",0,IF(TableRefills3[[#This Row],[gap_days]]&gt;2,1,0))</f>
        <v>0</v>
      </c>
      <c r="I1081">
        <f>_xlfn.MAXIFS(TableRefills3[discountinuation_flag], TableRefills3[patient_id], A1081)</f>
        <v>0</v>
      </c>
    </row>
    <row r="1082" spans="1:9" x14ac:dyDescent="0.25">
      <c r="A1082" t="s">
        <v>1736</v>
      </c>
      <c r="B1082" t="s">
        <v>1737</v>
      </c>
      <c r="C1082" s="3">
        <v>45932</v>
      </c>
      <c r="D1082">
        <v>28</v>
      </c>
      <c r="E1082" s="3">
        <f t="shared" si="16"/>
        <v>45906</v>
      </c>
      <c r="F1082" s="3">
        <f>IF(TableRefills3[[#This Row],[prev_refill_days]]="","",TableRefills3[[#This Row],[prev_refill_days]]+TableRefills3[[#This Row],[quantity_days]])</f>
        <v>45934</v>
      </c>
      <c r="G1082">
        <f>IF(TableRefills3[[#This Row],[prev_refill_end]]="","",TableRefills3[[#This Row],[refill_date]]-TableRefills3[[#This Row],[prev_refill_end]])</f>
        <v>-2</v>
      </c>
      <c r="H1082" s="10">
        <f>IF(TableRefills3[[#This Row],[gap_days]]="",0,IF(TableRefills3[[#This Row],[gap_days]]&gt;2,1,0))</f>
        <v>0</v>
      </c>
      <c r="I1082">
        <f>_xlfn.MAXIFS(TableRefills3[discountinuation_flag], TableRefills3[patient_id], A1082)</f>
        <v>0</v>
      </c>
    </row>
    <row r="1083" spans="1:9" x14ac:dyDescent="0.25">
      <c r="A1083" t="s">
        <v>1736</v>
      </c>
      <c r="B1083" t="s">
        <v>1737</v>
      </c>
      <c r="C1083" s="3">
        <v>45961</v>
      </c>
      <c r="D1083">
        <v>28</v>
      </c>
      <c r="E1083" s="3">
        <f t="shared" si="16"/>
        <v>45932</v>
      </c>
      <c r="F1083" s="3">
        <f>IF(TableRefills3[[#This Row],[prev_refill_days]]="","",TableRefills3[[#This Row],[prev_refill_days]]+TableRefills3[[#This Row],[quantity_days]])</f>
        <v>45960</v>
      </c>
      <c r="G1083">
        <f>IF(TableRefills3[[#This Row],[prev_refill_end]]="","",TableRefills3[[#This Row],[refill_date]]-TableRefills3[[#This Row],[prev_refill_end]])</f>
        <v>1</v>
      </c>
      <c r="H1083" s="10">
        <f>IF(TableRefills3[[#This Row],[gap_days]]="",0,IF(TableRefills3[[#This Row],[gap_days]]&gt;2,1,0))</f>
        <v>0</v>
      </c>
      <c r="I1083">
        <f>_xlfn.MAXIFS(TableRefills3[discountinuation_flag], TableRefills3[patient_id], A1083)</f>
        <v>0</v>
      </c>
    </row>
    <row r="1084" spans="1:9" x14ac:dyDescent="0.25">
      <c r="A1084" t="s">
        <v>1741</v>
      </c>
      <c r="B1084" t="s">
        <v>1742</v>
      </c>
      <c r="C1084" s="3">
        <v>45934</v>
      </c>
      <c r="D1084">
        <v>28</v>
      </c>
      <c r="E1084" s="3" t="str">
        <f t="shared" si="16"/>
        <v/>
      </c>
      <c r="F1084" s="3" t="str">
        <f>IF(TableRefills3[[#This Row],[prev_refill_days]]="","",TableRefills3[[#This Row],[prev_refill_days]]+TableRefills3[[#This Row],[quantity_days]])</f>
        <v/>
      </c>
      <c r="G1084" t="str">
        <f>IF(TableRefills3[[#This Row],[prev_refill_end]]="","",TableRefills3[[#This Row],[refill_date]]-TableRefills3[[#This Row],[prev_refill_end]])</f>
        <v/>
      </c>
      <c r="H1084" s="10">
        <f>IF(TableRefills3[[#This Row],[gap_days]]="",0,IF(TableRefills3[[#This Row],[gap_days]]&gt;2,1,0))</f>
        <v>0</v>
      </c>
      <c r="I1084">
        <f>_xlfn.MAXIFS(TableRefills3[discountinuation_flag], TableRefills3[patient_id], A1084)</f>
        <v>0</v>
      </c>
    </row>
    <row r="1085" spans="1:9" x14ac:dyDescent="0.25">
      <c r="A1085" t="s">
        <v>1741</v>
      </c>
      <c r="B1085" t="s">
        <v>1742</v>
      </c>
      <c r="C1085" s="3">
        <v>45960</v>
      </c>
      <c r="D1085">
        <v>28</v>
      </c>
      <c r="E1085" s="3">
        <f t="shared" si="16"/>
        <v>45934</v>
      </c>
      <c r="F1085" s="3">
        <f>IF(TableRefills3[[#This Row],[prev_refill_days]]="","",TableRefills3[[#This Row],[prev_refill_days]]+TableRefills3[[#This Row],[quantity_days]])</f>
        <v>45962</v>
      </c>
      <c r="G1085">
        <f>IF(TableRefills3[[#This Row],[prev_refill_end]]="","",TableRefills3[[#This Row],[refill_date]]-TableRefills3[[#This Row],[prev_refill_end]])</f>
        <v>-2</v>
      </c>
      <c r="H1085" s="10">
        <f>IF(TableRefills3[[#This Row],[gap_days]]="",0,IF(TableRefills3[[#This Row],[gap_days]]&gt;2,1,0))</f>
        <v>0</v>
      </c>
      <c r="I1085">
        <f>_xlfn.MAXIFS(TableRefills3[discountinuation_flag], TableRefills3[patient_id], A1085)</f>
        <v>0</v>
      </c>
    </row>
    <row r="1086" spans="1:9" x14ac:dyDescent="0.25">
      <c r="A1086" t="s">
        <v>1745</v>
      </c>
      <c r="B1086" t="s">
        <v>1746</v>
      </c>
      <c r="C1086" s="3">
        <v>45793</v>
      </c>
      <c r="D1086">
        <v>30</v>
      </c>
      <c r="E1086" s="3" t="str">
        <f t="shared" si="16"/>
        <v/>
      </c>
      <c r="F1086" s="3" t="str">
        <f>IF(TableRefills3[[#This Row],[prev_refill_days]]="","",TableRefills3[[#This Row],[prev_refill_days]]+TableRefills3[[#This Row],[quantity_days]])</f>
        <v/>
      </c>
      <c r="G1086" t="str">
        <f>IF(TableRefills3[[#This Row],[prev_refill_end]]="","",TableRefills3[[#This Row],[refill_date]]-TableRefills3[[#This Row],[prev_refill_end]])</f>
        <v/>
      </c>
      <c r="H1086" s="10">
        <f>IF(TableRefills3[[#This Row],[gap_days]]="",0,IF(TableRefills3[[#This Row],[gap_days]]&gt;2,1,0))</f>
        <v>0</v>
      </c>
      <c r="I1086">
        <f>_xlfn.MAXIFS(TableRefills3[discountinuation_flag], TableRefills3[patient_id], A1086)</f>
        <v>1</v>
      </c>
    </row>
    <row r="1087" spans="1:9" x14ac:dyDescent="0.25">
      <c r="A1087" t="s">
        <v>1745</v>
      </c>
      <c r="B1087" t="s">
        <v>1746</v>
      </c>
      <c r="C1087" s="3">
        <v>45826</v>
      </c>
      <c r="D1087">
        <v>30</v>
      </c>
      <c r="E1087" s="3">
        <f t="shared" si="16"/>
        <v>45793</v>
      </c>
      <c r="F1087" s="3">
        <f>IF(TableRefills3[[#This Row],[prev_refill_days]]="","",TableRefills3[[#This Row],[prev_refill_days]]+TableRefills3[[#This Row],[quantity_days]])</f>
        <v>45823</v>
      </c>
      <c r="G1087">
        <f>IF(TableRefills3[[#This Row],[prev_refill_end]]="","",TableRefills3[[#This Row],[refill_date]]-TableRefills3[[#This Row],[prev_refill_end]])</f>
        <v>3</v>
      </c>
      <c r="H1087" s="10">
        <f>IF(TableRefills3[[#This Row],[gap_days]]="",0,IF(TableRefills3[[#This Row],[gap_days]]&gt;2,1,0))</f>
        <v>1</v>
      </c>
      <c r="I1087">
        <f>_xlfn.MAXIFS(TableRefills3[discountinuation_flag], TableRefills3[patient_id], A1087)</f>
        <v>1</v>
      </c>
    </row>
    <row r="1088" spans="1:9" x14ac:dyDescent="0.25">
      <c r="A1088" t="s">
        <v>1745</v>
      </c>
      <c r="B1088" t="s">
        <v>1746</v>
      </c>
      <c r="C1088" s="3">
        <v>45858</v>
      </c>
      <c r="D1088">
        <v>30</v>
      </c>
      <c r="E1088" s="3">
        <f t="shared" si="16"/>
        <v>45826</v>
      </c>
      <c r="F1088" s="3">
        <f>IF(TableRefills3[[#This Row],[prev_refill_days]]="","",TableRefills3[[#This Row],[prev_refill_days]]+TableRefills3[[#This Row],[quantity_days]])</f>
        <v>45856</v>
      </c>
      <c r="G1088">
        <f>IF(TableRefills3[[#This Row],[prev_refill_end]]="","",TableRefills3[[#This Row],[refill_date]]-TableRefills3[[#This Row],[prev_refill_end]])</f>
        <v>2</v>
      </c>
      <c r="H1088" s="10">
        <f>IF(TableRefills3[[#This Row],[gap_days]]="",0,IF(TableRefills3[[#This Row],[gap_days]]&gt;2,1,0))</f>
        <v>0</v>
      </c>
      <c r="I1088">
        <f>_xlfn.MAXIFS(TableRefills3[discountinuation_flag], TableRefills3[patient_id], A1088)</f>
        <v>1</v>
      </c>
    </row>
    <row r="1089" spans="1:9" x14ac:dyDescent="0.25">
      <c r="A1089" t="s">
        <v>1745</v>
      </c>
      <c r="B1089" t="s">
        <v>1746</v>
      </c>
      <c r="C1089" s="3">
        <v>45890</v>
      </c>
      <c r="D1089">
        <v>30</v>
      </c>
      <c r="E1089" s="3">
        <f t="shared" si="16"/>
        <v>45858</v>
      </c>
      <c r="F1089" s="3">
        <f>IF(TableRefills3[[#This Row],[prev_refill_days]]="","",TableRefills3[[#This Row],[prev_refill_days]]+TableRefills3[[#This Row],[quantity_days]])</f>
        <v>45888</v>
      </c>
      <c r="G1089">
        <f>IF(TableRefills3[[#This Row],[prev_refill_end]]="","",TableRefills3[[#This Row],[refill_date]]-TableRefills3[[#This Row],[prev_refill_end]])</f>
        <v>2</v>
      </c>
      <c r="H1089" s="10">
        <f>IF(TableRefills3[[#This Row],[gap_days]]="",0,IF(TableRefills3[[#This Row],[gap_days]]&gt;2,1,0))</f>
        <v>0</v>
      </c>
      <c r="I1089">
        <f>_xlfn.MAXIFS(TableRefills3[discountinuation_flag], TableRefills3[patient_id], A1089)</f>
        <v>1</v>
      </c>
    </row>
    <row r="1090" spans="1:9" x14ac:dyDescent="0.25">
      <c r="A1090" t="s">
        <v>1745</v>
      </c>
      <c r="B1090" t="s">
        <v>1746</v>
      </c>
      <c r="C1090" s="3">
        <v>45919</v>
      </c>
      <c r="D1090">
        <v>30</v>
      </c>
      <c r="E1090" s="3">
        <f t="shared" ref="E1090:E1153" si="17">IF(A1089=A1090,C1089,"")</f>
        <v>45890</v>
      </c>
      <c r="F1090" s="3">
        <f>IF(TableRefills3[[#This Row],[prev_refill_days]]="","",TableRefills3[[#This Row],[prev_refill_days]]+TableRefills3[[#This Row],[quantity_days]])</f>
        <v>45920</v>
      </c>
      <c r="G1090">
        <f>IF(TableRefills3[[#This Row],[prev_refill_end]]="","",TableRefills3[[#This Row],[refill_date]]-TableRefills3[[#This Row],[prev_refill_end]])</f>
        <v>-1</v>
      </c>
      <c r="H1090" s="10">
        <f>IF(TableRefills3[[#This Row],[gap_days]]="",0,IF(TableRefills3[[#This Row],[gap_days]]&gt;2,1,0))</f>
        <v>0</v>
      </c>
      <c r="I1090">
        <f>_xlfn.MAXIFS(TableRefills3[discountinuation_flag], TableRefills3[patient_id], A1090)</f>
        <v>1</v>
      </c>
    </row>
    <row r="1091" spans="1:9" x14ac:dyDescent="0.25">
      <c r="A1091" t="s">
        <v>1745</v>
      </c>
      <c r="B1091" t="s">
        <v>1746</v>
      </c>
      <c r="C1091" s="3">
        <v>45948</v>
      </c>
      <c r="D1091">
        <v>30</v>
      </c>
      <c r="E1091" s="3">
        <f t="shared" si="17"/>
        <v>45919</v>
      </c>
      <c r="F1091" s="3">
        <f>IF(TableRefills3[[#This Row],[prev_refill_days]]="","",TableRefills3[[#This Row],[prev_refill_days]]+TableRefills3[[#This Row],[quantity_days]])</f>
        <v>45949</v>
      </c>
      <c r="G1091">
        <f>IF(TableRefills3[[#This Row],[prev_refill_end]]="","",TableRefills3[[#This Row],[refill_date]]-TableRefills3[[#This Row],[prev_refill_end]])</f>
        <v>-1</v>
      </c>
      <c r="H1091" s="10">
        <f>IF(TableRefills3[[#This Row],[gap_days]]="",0,IF(TableRefills3[[#This Row],[gap_days]]&gt;2,1,0))</f>
        <v>0</v>
      </c>
      <c r="I1091">
        <f>_xlfn.MAXIFS(TableRefills3[discountinuation_flag], TableRefills3[patient_id], A1091)</f>
        <v>1</v>
      </c>
    </row>
    <row r="1092" spans="1:9" x14ac:dyDescent="0.25">
      <c r="A1092" t="s">
        <v>1753</v>
      </c>
      <c r="B1092" t="s">
        <v>1754</v>
      </c>
      <c r="C1092" s="3">
        <v>45813</v>
      </c>
      <c r="D1092">
        <v>28</v>
      </c>
      <c r="E1092" s="3" t="str">
        <f t="shared" si="17"/>
        <v/>
      </c>
      <c r="F1092" s="3" t="str">
        <f>IF(TableRefills3[[#This Row],[prev_refill_days]]="","",TableRefills3[[#This Row],[prev_refill_days]]+TableRefills3[[#This Row],[quantity_days]])</f>
        <v/>
      </c>
      <c r="G1092" t="str">
        <f>IF(TableRefills3[[#This Row],[prev_refill_end]]="","",TableRefills3[[#This Row],[refill_date]]-TableRefills3[[#This Row],[prev_refill_end]])</f>
        <v/>
      </c>
      <c r="H1092" s="10">
        <f>IF(TableRefills3[[#This Row],[gap_days]]="",0,IF(TableRefills3[[#This Row],[gap_days]]&gt;2,1,0))</f>
        <v>0</v>
      </c>
      <c r="I1092">
        <f>_xlfn.MAXIFS(TableRefills3[discountinuation_flag], TableRefills3[patient_id], A1092)</f>
        <v>0</v>
      </c>
    </row>
    <row r="1093" spans="1:9" x14ac:dyDescent="0.25">
      <c r="A1093" t="s">
        <v>1753</v>
      </c>
      <c r="B1093" t="s">
        <v>1754</v>
      </c>
      <c r="C1093" s="3">
        <v>45841</v>
      </c>
      <c r="D1093">
        <v>28</v>
      </c>
      <c r="E1093" s="3">
        <f t="shared" si="17"/>
        <v>45813</v>
      </c>
      <c r="F1093" s="3">
        <f>IF(TableRefills3[[#This Row],[prev_refill_days]]="","",TableRefills3[[#This Row],[prev_refill_days]]+TableRefills3[[#This Row],[quantity_days]])</f>
        <v>45841</v>
      </c>
      <c r="G1093">
        <f>IF(TableRefills3[[#This Row],[prev_refill_end]]="","",TableRefills3[[#This Row],[refill_date]]-TableRefills3[[#This Row],[prev_refill_end]])</f>
        <v>0</v>
      </c>
      <c r="H1093" s="10">
        <f>IF(TableRefills3[[#This Row],[gap_days]]="",0,IF(TableRefills3[[#This Row],[gap_days]]&gt;2,1,0))</f>
        <v>0</v>
      </c>
      <c r="I1093">
        <f>_xlfn.MAXIFS(TableRefills3[discountinuation_flag], TableRefills3[patient_id], A1093)</f>
        <v>0</v>
      </c>
    </row>
    <row r="1094" spans="1:9" x14ac:dyDescent="0.25">
      <c r="A1094" t="s">
        <v>1757</v>
      </c>
      <c r="B1094" t="s">
        <v>1758</v>
      </c>
      <c r="C1094" s="3">
        <v>45831</v>
      </c>
      <c r="D1094">
        <v>28</v>
      </c>
      <c r="E1094" s="3" t="str">
        <f t="shared" si="17"/>
        <v/>
      </c>
      <c r="F1094" s="3" t="str">
        <f>IF(TableRefills3[[#This Row],[prev_refill_days]]="","",TableRefills3[[#This Row],[prev_refill_days]]+TableRefills3[[#This Row],[quantity_days]])</f>
        <v/>
      </c>
      <c r="G1094" t="str">
        <f>IF(TableRefills3[[#This Row],[prev_refill_end]]="","",TableRefills3[[#This Row],[refill_date]]-TableRefills3[[#This Row],[prev_refill_end]])</f>
        <v/>
      </c>
      <c r="H1094" s="10">
        <f>IF(TableRefills3[[#This Row],[gap_days]]="",0,IF(TableRefills3[[#This Row],[gap_days]]&gt;2,1,0))</f>
        <v>0</v>
      </c>
      <c r="I1094">
        <f>_xlfn.MAXIFS(TableRefills3[discountinuation_flag], TableRefills3[patient_id], A1094)</f>
        <v>1</v>
      </c>
    </row>
    <row r="1095" spans="1:9" x14ac:dyDescent="0.25">
      <c r="A1095" t="s">
        <v>1757</v>
      </c>
      <c r="B1095" t="s">
        <v>1758</v>
      </c>
      <c r="C1095" s="3">
        <v>45862</v>
      </c>
      <c r="D1095">
        <v>28</v>
      </c>
      <c r="E1095" s="3">
        <f t="shared" si="17"/>
        <v>45831</v>
      </c>
      <c r="F1095" s="3">
        <f>IF(TableRefills3[[#This Row],[prev_refill_days]]="","",TableRefills3[[#This Row],[prev_refill_days]]+TableRefills3[[#This Row],[quantity_days]])</f>
        <v>45859</v>
      </c>
      <c r="G1095">
        <f>IF(TableRefills3[[#This Row],[prev_refill_end]]="","",TableRefills3[[#This Row],[refill_date]]-TableRefills3[[#This Row],[prev_refill_end]])</f>
        <v>3</v>
      </c>
      <c r="H1095" s="10">
        <f>IF(TableRefills3[[#This Row],[gap_days]]="",0,IF(TableRefills3[[#This Row],[gap_days]]&gt;2,1,0))</f>
        <v>1</v>
      </c>
      <c r="I1095">
        <f>_xlfn.MAXIFS(TableRefills3[discountinuation_flag], TableRefills3[patient_id], A1095)</f>
        <v>1</v>
      </c>
    </row>
    <row r="1096" spans="1:9" x14ac:dyDescent="0.25">
      <c r="A1096" t="s">
        <v>1757</v>
      </c>
      <c r="B1096" t="s">
        <v>1758</v>
      </c>
      <c r="C1096" s="3">
        <v>45890</v>
      </c>
      <c r="D1096">
        <v>28</v>
      </c>
      <c r="E1096" s="3">
        <f t="shared" si="17"/>
        <v>45862</v>
      </c>
      <c r="F1096" s="3">
        <f>IF(TableRefills3[[#This Row],[prev_refill_days]]="","",TableRefills3[[#This Row],[prev_refill_days]]+TableRefills3[[#This Row],[quantity_days]])</f>
        <v>45890</v>
      </c>
      <c r="G1096">
        <f>IF(TableRefills3[[#This Row],[prev_refill_end]]="","",TableRefills3[[#This Row],[refill_date]]-TableRefills3[[#This Row],[prev_refill_end]])</f>
        <v>0</v>
      </c>
      <c r="H1096" s="10">
        <f>IF(TableRefills3[[#This Row],[gap_days]]="",0,IF(TableRefills3[[#This Row],[gap_days]]&gt;2,1,0))</f>
        <v>0</v>
      </c>
      <c r="I1096">
        <f>_xlfn.MAXIFS(TableRefills3[discountinuation_flag], TableRefills3[patient_id], A1096)</f>
        <v>1</v>
      </c>
    </row>
    <row r="1097" spans="1:9" x14ac:dyDescent="0.25">
      <c r="A1097" t="s">
        <v>1757</v>
      </c>
      <c r="B1097" t="s">
        <v>1758</v>
      </c>
      <c r="C1097" s="3">
        <v>45915</v>
      </c>
      <c r="D1097">
        <v>28</v>
      </c>
      <c r="E1097" s="3">
        <f t="shared" si="17"/>
        <v>45890</v>
      </c>
      <c r="F1097" s="3">
        <f>IF(TableRefills3[[#This Row],[prev_refill_days]]="","",TableRefills3[[#This Row],[prev_refill_days]]+TableRefills3[[#This Row],[quantity_days]])</f>
        <v>45918</v>
      </c>
      <c r="G1097">
        <f>IF(TableRefills3[[#This Row],[prev_refill_end]]="","",TableRefills3[[#This Row],[refill_date]]-TableRefills3[[#This Row],[prev_refill_end]])</f>
        <v>-3</v>
      </c>
      <c r="H1097" s="10">
        <f>IF(TableRefills3[[#This Row],[gap_days]]="",0,IF(TableRefills3[[#This Row],[gap_days]]&gt;2,1,0))</f>
        <v>0</v>
      </c>
      <c r="I1097">
        <f>_xlfn.MAXIFS(TableRefills3[discountinuation_flag], TableRefills3[patient_id], A1097)</f>
        <v>1</v>
      </c>
    </row>
    <row r="1098" spans="1:9" x14ac:dyDescent="0.25">
      <c r="A1098" t="s">
        <v>1757</v>
      </c>
      <c r="B1098" t="s">
        <v>1758</v>
      </c>
      <c r="C1098" s="3">
        <v>45945</v>
      </c>
      <c r="D1098">
        <v>28</v>
      </c>
      <c r="E1098" s="3">
        <f t="shared" si="17"/>
        <v>45915</v>
      </c>
      <c r="F1098" s="3">
        <f>IF(TableRefills3[[#This Row],[prev_refill_days]]="","",TableRefills3[[#This Row],[prev_refill_days]]+TableRefills3[[#This Row],[quantity_days]])</f>
        <v>45943</v>
      </c>
      <c r="G1098">
        <f>IF(TableRefills3[[#This Row],[prev_refill_end]]="","",TableRefills3[[#This Row],[refill_date]]-TableRefills3[[#This Row],[prev_refill_end]])</f>
        <v>2</v>
      </c>
      <c r="H1098" s="10">
        <f>IF(TableRefills3[[#This Row],[gap_days]]="",0,IF(TableRefills3[[#This Row],[gap_days]]&gt;2,1,0))</f>
        <v>0</v>
      </c>
      <c r="I1098">
        <f>_xlfn.MAXIFS(TableRefills3[discountinuation_flag], TableRefills3[patient_id], A1098)</f>
        <v>1</v>
      </c>
    </row>
    <row r="1099" spans="1:9" x14ac:dyDescent="0.25">
      <c r="A1099" t="s">
        <v>1764</v>
      </c>
      <c r="B1099" t="s">
        <v>1765</v>
      </c>
      <c r="C1099" s="3">
        <v>45861</v>
      </c>
      <c r="D1099">
        <v>28</v>
      </c>
      <c r="E1099" s="3" t="str">
        <f t="shared" si="17"/>
        <v/>
      </c>
      <c r="F1099" s="3" t="str">
        <f>IF(TableRefills3[[#This Row],[prev_refill_days]]="","",TableRefills3[[#This Row],[prev_refill_days]]+TableRefills3[[#This Row],[quantity_days]])</f>
        <v/>
      </c>
      <c r="G1099" t="str">
        <f>IF(TableRefills3[[#This Row],[prev_refill_end]]="","",TableRefills3[[#This Row],[refill_date]]-TableRefills3[[#This Row],[prev_refill_end]])</f>
        <v/>
      </c>
      <c r="H1099" s="10">
        <f>IF(TableRefills3[[#This Row],[gap_days]]="",0,IF(TableRefills3[[#This Row],[gap_days]]&gt;2,1,0))</f>
        <v>0</v>
      </c>
      <c r="I1099">
        <f>_xlfn.MAXIFS(TableRefills3[discountinuation_flag], TableRefills3[patient_id], A1099)</f>
        <v>1</v>
      </c>
    </row>
    <row r="1100" spans="1:9" x14ac:dyDescent="0.25">
      <c r="A1100" t="s">
        <v>1764</v>
      </c>
      <c r="B1100" t="s">
        <v>1765</v>
      </c>
      <c r="C1100" s="3">
        <v>45888</v>
      </c>
      <c r="D1100">
        <v>28</v>
      </c>
      <c r="E1100" s="3">
        <f t="shared" si="17"/>
        <v>45861</v>
      </c>
      <c r="F1100" s="3">
        <f>IF(TableRefills3[[#This Row],[prev_refill_days]]="","",TableRefills3[[#This Row],[prev_refill_days]]+TableRefills3[[#This Row],[quantity_days]])</f>
        <v>45889</v>
      </c>
      <c r="G1100">
        <f>IF(TableRefills3[[#This Row],[prev_refill_end]]="","",TableRefills3[[#This Row],[refill_date]]-TableRefills3[[#This Row],[prev_refill_end]])</f>
        <v>-1</v>
      </c>
      <c r="H1100" s="10">
        <f>IF(TableRefills3[[#This Row],[gap_days]]="",0,IF(TableRefills3[[#This Row],[gap_days]]&gt;2,1,0))</f>
        <v>0</v>
      </c>
      <c r="I1100">
        <f>_xlfn.MAXIFS(TableRefills3[discountinuation_flag], TableRefills3[patient_id], A1100)</f>
        <v>1</v>
      </c>
    </row>
    <row r="1101" spans="1:9" x14ac:dyDescent="0.25">
      <c r="A1101" t="s">
        <v>1764</v>
      </c>
      <c r="B1101" t="s">
        <v>1765</v>
      </c>
      <c r="C1101" s="3">
        <v>45919</v>
      </c>
      <c r="D1101">
        <v>28</v>
      </c>
      <c r="E1101" s="3">
        <f t="shared" si="17"/>
        <v>45888</v>
      </c>
      <c r="F1101" s="3">
        <f>IF(TableRefills3[[#This Row],[prev_refill_days]]="","",TableRefills3[[#This Row],[prev_refill_days]]+TableRefills3[[#This Row],[quantity_days]])</f>
        <v>45916</v>
      </c>
      <c r="G1101">
        <f>IF(TableRefills3[[#This Row],[prev_refill_end]]="","",TableRefills3[[#This Row],[refill_date]]-TableRefills3[[#This Row],[prev_refill_end]])</f>
        <v>3</v>
      </c>
      <c r="H1101" s="10">
        <f>IF(TableRefills3[[#This Row],[gap_days]]="",0,IF(TableRefills3[[#This Row],[gap_days]]&gt;2,1,0))</f>
        <v>1</v>
      </c>
      <c r="I1101">
        <f>_xlfn.MAXIFS(TableRefills3[discountinuation_flag], TableRefills3[patient_id], A1101)</f>
        <v>1</v>
      </c>
    </row>
    <row r="1102" spans="1:9" x14ac:dyDescent="0.25">
      <c r="A1102" t="s">
        <v>1764</v>
      </c>
      <c r="B1102" t="s">
        <v>1765</v>
      </c>
      <c r="C1102" s="3">
        <v>45948</v>
      </c>
      <c r="D1102">
        <v>28</v>
      </c>
      <c r="E1102" s="3">
        <f t="shared" si="17"/>
        <v>45919</v>
      </c>
      <c r="F1102" s="3">
        <f>IF(TableRefills3[[#This Row],[prev_refill_days]]="","",TableRefills3[[#This Row],[prev_refill_days]]+TableRefills3[[#This Row],[quantity_days]])</f>
        <v>45947</v>
      </c>
      <c r="G1102">
        <f>IF(TableRefills3[[#This Row],[prev_refill_end]]="","",TableRefills3[[#This Row],[refill_date]]-TableRefills3[[#This Row],[prev_refill_end]])</f>
        <v>1</v>
      </c>
      <c r="H1102" s="10">
        <f>IF(TableRefills3[[#This Row],[gap_days]]="",0,IF(TableRefills3[[#This Row],[gap_days]]&gt;2,1,0))</f>
        <v>0</v>
      </c>
      <c r="I1102">
        <f>_xlfn.MAXIFS(TableRefills3[discountinuation_flag], TableRefills3[patient_id], A1102)</f>
        <v>1</v>
      </c>
    </row>
    <row r="1103" spans="1:9" x14ac:dyDescent="0.25">
      <c r="A1103" t="s">
        <v>1770</v>
      </c>
      <c r="B1103" t="s">
        <v>1771</v>
      </c>
      <c r="C1103" s="3">
        <v>45900</v>
      </c>
      <c r="D1103">
        <v>28</v>
      </c>
      <c r="E1103" s="3" t="str">
        <f t="shared" si="17"/>
        <v/>
      </c>
      <c r="F1103" s="3" t="str">
        <f>IF(TableRefills3[[#This Row],[prev_refill_days]]="","",TableRefills3[[#This Row],[prev_refill_days]]+TableRefills3[[#This Row],[quantity_days]])</f>
        <v/>
      </c>
      <c r="G1103" t="str">
        <f>IF(TableRefills3[[#This Row],[prev_refill_end]]="","",TableRefills3[[#This Row],[refill_date]]-TableRefills3[[#This Row],[prev_refill_end]])</f>
        <v/>
      </c>
      <c r="H1103" s="10">
        <f>IF(TableRefills3[[#This Row],[gap_days]]="",0,IF(TableRefills3[[#This Row],[gap_days]]&gt;2,1,0))</f>
        <v>0</v>
      </c>
      <c r="I1103">
        <f>_xlfn.MAXIFS(TableRefills3[discountinuation_flag], TableRefills3[patient_id], A1103)</f>
        <v>0</v>
      </c>
    </row>
    <row r="1104" spans="1:9" x14ac:dyDescent="0.25">
      <c r="A1104" t="s">
        <v>1770</v>
      </c>
      <c r="B1104" t="s">
        <v>1771</v>
      </c>
      <c r="C1104" s="3">
        <v>45930</v>
      </c>
      <c r="D1104">
        <v>28</v>
      </c>
      <c r="E1104" s="3">
        <f t="shared" si="17"/>
        <v>45900</v>
      </c>
      <c r="F1104" s="3">
        <f>IF(TableRefills3[[#This Row],[prev_refill_days]]="","",TableRefills3[[#This Row],[prev_refill_days]]+TableRefills3[[#This Row],[quantity_days]])</f>
        <v>45928</v>
      </c>
      <c r="G1104">
        <f>IF(TableRefills3[[#This Row],[prev_refill_end]]="","",TableRefills3[[#This Row],[refill_date]]-TableRefills3[[#This Row],[prev_refill_end]])</f>
        <v>2</v>
      </c>
      <c r="H1104" s="10">
        <f>IF(TableRefills3[[#This Row],[gap_days]]="",0,IF(TableRefills3[[#This Row],[gap_days]]&gt;2,1,0))</f>
        <v>0</v>
      </c>
      <c r="I1104">
        <f>_xlfn.MAXIFS(TableRefills3[discountinuation_flag], TableRefills3[patient_id], A1104)</f>
        <v>0</v>
      </c>
    </row>
    <row r="1105" spans="1:9" x14ac:dyDescent="0.25">
      <c r="A1105" t="s">
        <v>1770</v>
      </c>
      <c r="B1105" t="s">
        <v>1771</v>
      </c>
      <c r="C1105" s="3">
        <v>45960</v>
      </c>
      <c r="D1105">
        <v>28</v>
      </c>
      <c r="E1105" s="3">
        <f t="shared" si="17"/>
        <v>45930</v>
      </c>
      <c r="F1105" s="3">
        <f>IF(TableRefills3[[#This Row],[prev_refill_days]]="","",TableRefills3[[#This Row],[prev_refill_days]]+TableRefills3[[#This Row],[quantity_days]])</f>
        <v>45958</v>
      </c>
      <c r="G1105">
        <f>IF(TableRefills3[[#This Row],[prev_refill_end]]="","",TableRefills3[[#This Row],[refill_date]]-TableRefills3[[#This Row],[prev_refill_end]])</f>
        <v>2</v>
      </c>
      <c r="H1105" s="10">
        <f>IF(TableRefills3[[#This Row],[gap_days]]="",0,IF(TableRefills3[[#This Row],[gap_days]]&gt;2,1,0))</f>
        <v>0</v>
      </c>
      <c r="I1105">
        <f>_xlfn.MAXIFS(TableRefills3[discountinuation_flag], TableRefills3[patient_id], A1105)</f>
        <v>0</v>
      </c>
    </row>
    <row r="1106" spans="1:9" x14ac:dyDescent="0.25">
      <c r="A1106" t="s">
        <v>1775</v>
      </c>
      <c r="B1106" t="s">
        <v>1776</v>
      </c>
      <c r="C1106" s="3">
        <v>45874</v>
      </c>
      <c r="D1106">
        <v>14</v>
      </c>
      <c r="E1106" s="3" t="str">
        <f t="shared" si="17"/>
        <v/>
      </c>
      <c r="F1106" s="3" t="str">
        <f>IF(TableRefills3[[#This Row],[prev_refill_days]]="","",TableRefills3[[#This Row],[prev_refill_days]]+TableRefills3[[#This Row],[quantity_days]])</f>
        <v/>
      </c>
      <c r="G1106" t="str">
        <f>IF(TableRefills3[[#This Row],[prev_refill_end]]="","",TableRefills3[[#This Row],[refill_date]]-TableRefills3[[#This Row],[prev_refill_end]])</f>
        <v/>
      </c>
      <c r="H1106" s="10">
        <f>IF(TableRefills3[[#This Row],[gap_days]]="",0,IF(TableRefills3[[#This Row],[gap_days]]&gt;2,1,0))</f>
        <v>0</v>
      </c>
      <c r="I1106">
        <f>_xlfn.MAXIFS(TableRefills3[discountinuation_flag], TableRefills3[patient_id], A1106)</f>
        <v>0</v>
      </c>
    </row>
    <row r="1107" spans="1:9" x14ac:dyDescent="0.25">
      <c r="A1107" t="s">
        <v>1775</v>
      </c>
      <c r="B1107" t="s">
        <v>1776</v>
      </c>
      <c r="C1107" s="3">
        <v>45889</v>
      </c>
      <c r="D1107">
        <v>14</v>
      </c>
      <c r="E1107" s="3">
        <f t="shared" si="17"/>
        <v>45874</v>
      </c>
      <c r="F1107" s="3">
        <f>IF(TableRefills3[[#This Row],[prev_refill_days]]="","",TableRefills3[[#This Row],[prev_refill_days]]+TableRefills3[[#This Row],[quantity_days]])</f>
        <v>45888</v>
      </c>
      <c r="G1107">
        <f>IF(TableRefills3[[#This Row],[prev_refill_end]]="","",TableRefills3[[#This Row],[refill_date]]-TableRefills3[[#This Row],[prev_refill_end]])</f>
        <v>1</v>
      </c>
      <c r="H1107" s="10">
        <f>IF(TableRefills3[[#This Row],[gap_days]]="",0,IF(TableRefills3[[#This Row],[gap_days]]&gt;2,1,0))</f>
        <v>0</v>
      </c>
      <c r="I1107">
        <f>_xlfn.MAXIFS(TableRefills3[discountinuation_flag], TableRefills3[patient_id], A1107)</f>
        <v>0</v>
      </c>
    </row>
    <row r="1108" spans="1:9" x14ac:dyDescent="0.25">
      <c r="A1108" t="s">
        <v>1775</v>
      </c>
      <c r="B1108" t="s">
        <v>1776</v>
      </c>
      <c r="C1108" s="3">
        <v>45900</v>
      </c>
      <c r="D1108">
        <v>14</v>
      </c>
      <c r="E1108" s="3">
        <f t="shared" si="17"/>
        <v>45889</v>
      </c>
      <c r="F1108" s="3">
        <f>IF(TableRefills3[[#This Row],[prev_refill_days]]="","",TableRefills3[[#This Row],[prev_refill_days]]+TableRefills3[[#This Row],[quantity_days]])</f>
        <v>45903</v>
      </c>
      <c r="G1108">
        <f>IF(TableRefills3[[#This Row],[prev_refill_end]]="","",TableRefills3[[#This Row],[refill_date]]-TableRefills3[[#This Row],[prev_refill_end]])</f>
        <v>-3</v>
      </c>
      <c r="H1108" s="10">
        <f>IF(TableRefills3[[#This Row],[gap_days]]="",0,IF(TableRefills3[[#This Row],[gap_days]]&gt;2,1,0))</f>
        <v>0</v>
      </c>
      <c r="I1108">
        <f>_xlfn.MAXIFS(TableRefills3[discountinuation_flag], TableRefills3[patient_id], A1108)</f>
        <v>0</v>
      </c>
    </row>
    <row r="1109" spans="1:9" x14ac:dyDescent="0.25">
      <c r="A1109" t="s">
        <v>1775</v>
      </c>
      <c r="B1109" t="s">
        <v>1776</v>
      </c>
      <c r="C1109" s="3">
        <v>45915</v>
      </c>
      <c r="D1109">
        <v>14</v>
      </c>
      <c r="E1109" s="3">
        <f t="shared" si="17"/>
        <v>45900</v>
      </c>
      <c r="F1109" s="3">
        <f>IF(TableRefills3[[#This Row],[prev_refill_days]]="","",TableRefills3[[#This Row],[prev_refill_days]]+TableRefills3[[#This Row],[quantity_days]])</f>
        <v>45914</v>
      </c>
      <c r="G1109">
        <f>IF(TableRefills3[[#This Row],[prev_refill_end]]="","",TableRefills3[[#This Row],[refill_date]]-TableRefills3[[#This Row],[prev_refill_end]])</f>
        <v>1</v>
      </c>
      <c r="H1109" s="10">
        <f>IF(TableRefills3[[#This Row],[gap_days]]="",0,IF(TableRefills3[[#This Row],[gap_days]]&gt;2,1,0))</f>
        <v>0</v>
      </c>
      <c r="I1109">
        <f>_xlfn.MAXIFS(TableRefills3[discountinuation_flag], TableRefills3[patient_id], A1109)</f>
        <v>0</v>
      </c>
    </row>
    <row r="1110" spans="1:9" x14ac:dyDescent="0.25">
      <c r="A1110" t="s">
        <v>1775</v>
      </c>
      <c r="B1110" t="s">
        <v>1776</v>
      </c>
      <c r="C1110" s="3">
        <v>45929</v>
      </c>
      <c r="D1110">
        <v>14</v>
      </c>
      <c r="E1110" s="3">
        <f t="shared" si="17"/>
        <v>45915</v>
      </c>
      <c r="F1110" s="3">
        <f>IF(TableRefills3[[#This Row],[prev_refill_days]]="","",TableRefills3[[#This Row],[prev_refill_days]]+TableRefills3[[#This Row],[quantity_days]])</f>
        <v>45929</v>
      </c>
      <c r="G1110">
        <f>IF(TableRefills3[[#This Row],[prev_refill_end]]="","",TableRefills3[[#This Row],[refill_date]]-TableRefills3[[#This Row],[prev_refill_end]])</f>
        <v>0</v>
      </c>
      <c r="H1110" s="10">
        <f>IF(TableRefills3[[#This Row],[gap_days]]="",0,IF(TableRefills3[[#This Row],[gap_days]]&gt;2,1,0))</f>
        <v>0</v>
      </c>
      <c r="I1110">
        <f>_xlfn.MAXIFS(TableRefills3[discountinuation_flag], TableRefills3[patient_id], A1110)</f>
        <v>0</v>
      </c>
    </row>
    <row r="1111" spans="1:9" x14ac:dyDescent="0.25">
      <c r="A1111" t="s">
        <v>1775</v>
      </c>
      <c r="B1111" t="s">
        <v>1776</v>
      </c>
      <c r="C1111" s="3">
        <v>45944</v>
      </c>
      <c r="D1111">
        <v>14</v>
      </c>
      <c r="E1111" s="3">
        <f t="shared" si="17"/>
        <v>45929</v>
      </c>
      <c r="F1111" s="3">
        <f>IF(TableRefills3[[#This Row],[prev_refill_days]]="","",TableRefills3[[#This Row],[prev_refill_days]]+TableRefills3[[#This Row],[quantity_days]])</f>
        <v>45943</v>
      </c>
      <c r="G1111">
        <f>IF(TableRefills3[[#This Row],[prev_refill_end]]="","",TableRefills3[[#This Row],[refill_date]]-TableRefills3[[#This Row],[prev_refill_end]])</f>
        <v>1</v>
      </c>
      <c r="H1111" s="10">
        <f>IF(TableRefills3[[#This Row],[gap_days]]="",0,IF(TableRefills3[[#This Row],[gap_days]]&gt;2,1,0))</f>
        <v>0</v>
      </c>
      <c r="I1111">
        <f>_xlfn.MAXIFS(TableRefills3[discountinuation_flag], TableRefills3[patient_id], A1111)</f>
        <v>0</v>
      </c>
    </row>
    <row r="1112" spans="1:9" x14ac:dyDescent="0.25">
      <c r="A1112" t="s">
        <v>1775</v>
      </c>
      <c r="B1112" t="s">
        <v>1776</v>
      </c>
      <c r="C1112" s="3">
        <v>45955</v>
      </c>
      <c r="D1112">
        <v>14</v>
      </c>
      <c r="E1112" s="3">
        <f t="shared" si="17"/>
        <v>45944</v>
      </c>
      <c r="F1112" s="3">
        <f>IF(TableRefills3[[#This Row],[prev_refill_days]]="","",TableRefills3[[#This Row],[prev_refill_days]]+TableRefills3[[#This Row],[quantity_days]])</f>
        <v>45958</v>
      </c>
      <c r="G1112">
        <f>IF(TableRefills3[[#This Row],[prev_refill_end]]="","",TableRefills3[[#This Row],[refill_date]]-TableRefills3[[#This Row],[prev_refill_end]])</f>
        <v>-3</v>
      </c>
      <c r="H1112" s="10">
        <f>IF(TableRefills3[[#This Row],[gap_days]]="",0,IF(TableRefills3[[#This Row],[gap_days]]&gt;2,1,0))</f>
        <v>0</v>
      </c>
      <c r="I1112">
        <f>_xlfn.MAXIFS(TableRefills3[discountinuation_flag], TableRefills3[patient_id], A1112)</f>
        <v>0</v>
      </c>
    </row>
    <row r="1113" spans="1:9" x14ac:dyDescent="0.25">
      <c r="A1113" t="s">
        <v>1784</v>
      </c>
      <c r="B1113" t="s">
        <v>1785</v>
      </c>
      <c r="C1113" s="3">
        <v>45822</v>
      </c>
      <c r="D1113">
        <v>30</v>
      </c>
      <c r="E1113" s="3" t="str">
        <f t="shared" si="17"/>
        <v/>
      </c>
      <c r="F1113" s="3" t="str">
        <f>IF(TableRefills3[[#This Row],[prev_refill_days]]="","",TableRefills3[[#This Row],[prev_refill_days]]+TableRefills3[[#This Row],[quantity_days]])</f>
        <v/>
      </c>
      <c r="G1113" t="str">
        <f>IF(TableRefills3[[#This Row],[prev_refill_end]]="","",TableRefills3[[#This Row],[refill_date]]-TableRefills3[[#This Row],[prev_refill_end]])</f>
        <v/>
      </c>
      <c r="H1113" s="10">
        <f>IF(TableRefills3[[#This Row],[gap_days]]="",0,IF(TableRefills3[[#This Row],[gap_days]]&gt;2,1,0))</f>
        <v>0</v>
      </c>
      <c r="I1113">
        <f>_xlfn.MAXIFS(TableRefills3[discountinuation_flag], TableRefills3[patient_id], A1113)</f>
        <v>0</v>
      </c>
    </row>
    <row r="1114" spans="1:9" x14ac:dyDescent="0.25">
      <c r="A1114" t="s">
        <v>1784</v>
      </c>
      <c r="B1114" t="s">
        <v>1785</v>
      </c>
      <c r="C1114" s="3">
        <v>45853</v>
      </c>
      <c r="D1114">
        <v>30</v>
      </c>
      <c r="E1114" s="3">
        <f t="shared" si="17"/>
        <v>45822</v>
      </c>
      <c r="F1114" s="3">
        <f>IF(TableRefills3[[#This Row],[prev_refill_days]]="","",TableRefills3[[#This Row],[prev_refill_days]]+TableRefills3[[#This Row],[quantity_days]])</f>
        <v>45852</v>
      </c>
      <c r="G1114">
        <f>IF(TableRefills3[[#This Row],[prev_refill_end]]="","",TableRefills3[[#This Row],[refill_date]]-TableRefills3[[#This Row],[prev_refill_end]])</f>
        <v>1</v>
      </c>
      <c r="H1114" s="10">
        <f>IF(TableRefills3[[#This Row],[gap_days]]="",0,IF(TableRefills3[[#This Row],[gap_days]]&gt;2,1,0))</f>
        <v>0</v>
      </c>
      <c r="I1114">
        <f>_xlfn.MAXIFS(TableRefills3[discountinuation_flag], TableRefills3[patient_id], A1114)</f>
        <v>0</v>
      </c>
    </row>
    <row r="1115" spans="1:9" x14ac:dyDescent="0.25">
      <c r="A1115" t="s">
        <v>1784</v>
      </c>
      <c r="B1115" t="s">
        <v>1785</v>
      </c>
      <c r="C1115" s="3">
        <v>45885</v>
      </c>
      <c r="D1115">
        <v>30</v>
      </c>
      <c r="E1115" s="3">
        <f t="shared" si="17"/>
        <v>45853</v>
      </c>
      <c r="F1115" s="3">
        <f>IF(TableRefills3[[#This Row],[prev_refill_days]]="","",TableRefills3[[#This Row],[prev_refill_days]]+TableRefills3[[#This Row],[quantity_days]])</f>
        <v>45883</v>
      </c>
      <c r="G1115">
        <f>IF(TableRefills3[[#This Row],[prev_refill_end]]="","",TableRefills3[[#This Row],[refill_date]]-TableRefills3[[#This Row],[prev_refill_end]])</f>
        <v>2</v>
      </c>
      <c r="H1115" s="10">
        <f>IF(TableRefills3[[#This Row],[gap_days]]="",0,IF(TableRefills3[[#This Row],[gap_days]]&gt;2,1,0))</f>
        <v>0</v>
      </c>
      <c r="I1115">
        <f>_xlfn.MAXIFS(TableRefills3[discountinuation_flag], TableRefills3[patient_id], A1115)</f>
        <v>0</v>
      </c>
    </row>
    <row r="1116" spans="1:9" x14ac:dyDescent="0.25">
      <c r="A1116" t="s">
        <v>1784</v>
      </c>
      <c r="B1116" t="s">
        <v>1785</v>
      </c>
      <c r="C1116" s="3">
        <v>45913</v>
      </c>
      <c r="D1116">
        <v>30</v>
      </c>
      <c r="E1116" s="3">
        <f t="shared" si="17"/>
        <v>45885</v>
      </c>
      <c r="F1116" s="3">
        <f>IF(TableRefills3[[#This Row],[prev_refill_days]]="","",TableRefills3[[#This Row],[prev_refill_days]]+TableRefills3[[#This Row],[quantity_days]])</f>
        <v>45915</v>
      </c>
      <c r="G1116">
        <f>IF(TableRefills3[[#This Row],[prev_refill_end]]="","",TableRefills3[[#This Row],[refill_date]]-TableRefills3[[#This Row],[prev_refill_end]])</f>
        <v>-2</v>
      </c>
      <c r="H1116" s="10">
        <f>IF(TableRefills3[[#This Row],[gap_days]]="",0,IF(TableRefills3[[#This Row],[gap_days]]&gt;2,1,0))</f>
        <v>0</v>
      </c>
      <c r="I1116">
        <f>_xlfn.MAXIFS(TableRefills3[discountinuation_flag], TableRefills3[patient_id], A1116)</f>
        <v>0</v>
      </c>
    </row>
    <row r="1117" spans="1:9" x14ac:dyDescent="0.25">
      <c r="A1117" t="s">
        <v>1784</v>
      </c>
      <c r="B1117" t="s">
        <v>1785</v>
      </c>
      <c r="C1117" s="3">
        <v>45943</v>
      </c>
      <c r="D1117">
        <v>30</v>
      </c>
      <c r="E1117" s="3">
        <f t="shared" si="17"/>
        <v>45913</v>
      </c>
      <c r="F1117" s="3">
        <f>IF(TableRefills3[[#This Row],[prev_refill_days]]="","",TableRefills3[[#This Row],[prev_refill_days]]+TableRefills3[[#This Row],[quantity_days]])</f>
        <v>45943</v>
      </c>
      <c r="G1117">
        <f>IF(TableRefills3[[#This Row],[prev_refill_end]]="","",TableRefills3[[#This Row],[refill_date]]-TableRefills3[[#This Row],[prev_refill_end]])</f>
        <v>0</v>
      </c>
      <c r="H1117" s="10">
        <f>IF(TableRefills3[[#This Row],[gap_days]]="",0,IF(TableRefills3[[#This Row],[gap_days]]&gt;2,1,0))</f>
        <v>0</v>
      </c>
      <c r="I1117">
        <f>_xlfn.MAXIFS(TableRefills3[discountinuation_flag], TableRefills3[patient_id], A1117)</f>
        <v>0</v>
      </c>
    </row>
    <row r="1118" spans="1:9" x14ac:dyDescent="0.25">
      <c r="A1118" t="s">
        <v>1791</v>
      </c>
      <c r="B1118" t="s">
        <v>1792</v>
      </c>
      <c r="C1118" s="3">
        <v>45914</v>
      </c>
      <c r="D1118">
        <v>28</v>
      </c>
      <c r="E1118" s="3" t="str">
        <f t="shared" si="17"/>
        <v/>
      </c>
      <c r="F1118" s="3" t="str">
        <f>IF(TableRefills3[[#This Row],[prev_refill_days]]="","",TableRefills3[[#This Row],[prev_refill_days]]+TableRefills3[[#This Row],[quantity_days]])</f>
        <v/>
      </c>
      <c r="G1118" t="str">
        <f>IF(TableRefills3[[#This Row],[prev_refill_end]]="","",TableRefills3[[#This Row],[refill_date]]-TableRefills3[[#This Row],[prev_refill_end]])</f>
        <v/>
      </c>
      <c r="H1118" s="10">
        <f>IF(TableRefills3[[#This Row],[gap_days]]="",0,IF(TableRefills3[[#This Row],[gap_days]]&gt;2,1,0))</f>
        <v>0</v>
      </c>
      <c r="I1118">
        <f>_xlfn.MAXIFS(TableRefills3[discountinuation_flag], TableRefills3[patient_id], A1118)</f>
        <v>0</v>
      </c>
    </row>
    <row r="1119" spans="1:9" x14ac:dyDescent="0.25">
      <c r="A1119" t="s">
        <v>1791</v>
      </c>
      <c r="B1119" t="s">
        <v>1792</v>
      </c>
      <c r="C1119" s="3">
        <v>45944</v>
      </c>
      <c r="D1119">
        <v>28</v>
      </c>
      <c r="E1119" s="3">
        <f t="shared" si="17"/>
        <v>45914</v>
      </c>
      <c r="F1119" s="3">
        <f>IF(TableRefills3[[#This Row],[prev_refill_days]]="","",TableRefills3[[#This Row],[prev_refill_days]]+TableRefills3[[#This Row],[quantity_days]])</f>
        <v>45942</v>
      </c>
      <c r="G1119">
        <f>IF(TableRefills3[[#This Row],[prev_refill_end]]="","",TableRefills3[[#This Row],[refill_date]]-TableRefills3[[#This Row],[prev_refill_end]])</f>
        <v>2</v>
      </c>
      <c r="H1119" s="10">
        <f>IF(TableRefills3[[#This Row],[gap_days]]="",0,IF(TableRefills3[[#This Row],[gap_days]]&gt;2,1,0))</f>
        <v>0</v>
      </c>
      <c r="I1119">
        <f>_xlfn.MAXIFS(TableRefills3[discountinuation_flag], TableRefills3[patient_id], A1119)</f>
        <v>0</v>
      </c>
    </row>
    <row r="1120" spans="1:9" x14ac:dyDescent="0.25">
      <c r="A1120" t="s">
        <v>1795</v>
      </c>
      <c r="B1120" t="s">
        <v>1796</v>
      </c>
      <c r="C1120" s="3">
        <v>45917</v>
      </c>
      <c r="D1120">
        <v>28</v>
      </c>
      <c r="E1120" s="3" t="str">
        <f t="shared" si="17"/>
        <v/>
      </c>
      <c r="F1120" s="3" t="str">
        <f>IF(TableRefills3[[#This Row],[prev_refill_days]]="","",TableRefills3[[#This Row],[prev_refill_days]]+TableRefills3[[#This Row],[quantity_days]])</f>
        <v/>
      </c>
      <c r="G1120" t="str">
        <f>IF(TableRefills3[[#This Row],[prev_refill_end]]="","",TableRefills3[[#This Row],[refill_date]]-TableRefills3[[#This Row],[prev_refill_end]])</f>
        <v/>
      </c>
      <c r="H1120" s="10">
        <f>IF(TableRefills3[[#This Row],[gap_days]]="",0,IF(TableRefills3[[#This Row],[gap_days]]&gt;2,1,0))</f>
        <v>0</v>
      </c>
      <c r="I1120">
        <f>_xlfn.MAXIFS(TableRefills3[discountinuation_flag], TableRefills3[patient_id], A1120)</f>
        <v>0</v>
      </c>
    </row>
    <row r="1121" spans="1:9" x14ac:dyDescent="0.25">
      <c r="A1121" t="s">
        <v>1795</v>
      </c>
      <c r="B1121" t="s">
        <v>1796</v>
      </c>
      <c r="C1121" s="3">
        <v>45946</v>
      </c>
      <c r="D1121">
        <v>28</v>
      </c>
      <c r="E1121" s="3">
        <f t="shared" si="17"/>
        <v>45917</v>
      </c>
      <c r="F1121" s="3">
        <f>IF(TableRefills3[[#This Row],[prev_refill_days]]="","",TableRefills3[[#This Row],[prev_refill_days]]+TableRefills3[[#This Row],[quantity_days]])</f>
        <v>45945</v>
      </c>
      <c r="G1121">
        <f>IF(TableRefills3[[#This Row],[prev_refill_end]]="","",TableRefills3[[#This Row],[refill_date]]-TableRefills3[[#This Row],[prev_refill_end]])</f>
        <v>1</v>
      </c>
      <c r="H1121" s="10">
        <f>IF(TableRefills3[[#This Row],[gap_days]]="",0,IF(TableRefills3[[#This Row],[gap_days]]&gt;2,1,0))</f>
        <v>0</v>
      </c>
      <c r="I1121">
        <f>_xlfn.MAXIFS(TableRefills3[discountinuation_flag], TableRefills3[patient_id], A1121)</f>
        <v>0</v>
      </c>
    </row>
    <row r="1122" spans="1:9" x14ac:dyDescent="0.25">
      <c r="A1122" t="s">
        <v>1799</v>
      </c>
      <c r="B1122" t="s">
        <v>1800</v>
      </c>
      <c r="C1122" s="3">
        <v>45951</v>
      </c>
      <c r="D1122">
        <v>28</v>
      </c>
      <c r="E1122" s="3" t="str">
        <f t="shared" si="17"/>
        <v/>
      </c>
      <c r="F1122" s="3" t="str">
        <f>IF(TableRefills3[[#This Row],[prev_refill_days]]="","",TableRefills3[[#This Row],[prev_refill_days]]+TableRefills3[[#This Row],[quantity_days]])</f>
        <v/>
      </c>
      <c r="G1122" t="str">
        <f>IF(TableRefills3[[#This Row],[prev_refill_end]]="","",TableRefills3[[#This Row],[refill_date]]-TableRefills3[[#This Row],[prev_refill_end]])</f>
        <v/>
      </c>
      <c r="H1122" s="10">
        <f>IF(TableRefills3[[#This Row],[gap_days]]="",0,IF(TableRefills3[[#This Row],[gap_days]]&gt;2,1,0))</f>
        <v>0</v>
      </c>
      <c r="I1122">
        <f>_xlfn.MAXIFS(TableRefills3[discountinuation_flag], TableRefills3[patient_id], A1122)</f>
        <v>0</v>
      </c>
    </row>
    <row r="1123" spans="1:9" x14ac:dyDescent="0.25">
      <c r="A1123" t="s">
        <v>1802</v>
      </c>
      <c r="B1123" t="s">
        <v>1803</v>
      </c>
      <c r="C1123" s="3">
        <v>45952</v>
      </c>
      <c r="D1123">
        <v>21</v>
      </c>
      <c r="E1123" s="3" t="str">
        <f t="shared" si="17"/>
        <v/>
      </c>
      <c r="F1123" s="3" t="str">
        <f>IF(TableRefills3[[#This Row],[prev_refill_days]]="","",TableRefills3[[#This Row],[prev_refill_days]]+TableRefills3[[#This Row],[quantity_days]])</f>
        <v/>
      </c>
      <c r="G1123" t="str">
        <f>IF(TableRefills3[[#This Row],[prev_refill_end]]="","",TableRefills3[[#This Row],[refill_date]]-TableRefills3[[#This Row],[prev_refill_end]])</f>
        <v/>
      </c>
      <c r="H1123" s="10">
        <f>IF(TableRefills3[[#This Row],[gap_days]]="",0,IF(TableRefills3[[#This Row],[gap_days]]&gt;2,1,0))</f>
        <v>0</v>
      </c>
      <c r="I1123">
        <f>_xlfn.MAXIFS(TableRefills3[discountinuation_flag], TableRefills3[patient_id], A1123)</f>
        <v>0</v>
      </c>
    </row>
    <row r="1124" spans="1:9" x14ac:dyDescent="0.25">
      <c r="A1124" t="s">
        <v>1805</v>
      </c>
      <c r="B1124" t="s">
        <v>1806</v>
      </c>
      <c r="C1124" s="3">
        <v>45955</v>
      </c>
      <c r="D1124">
        <v>28</v>
      </c>
      <c r="E1124" s="3" t="str">
        <f t="shared" si="17"/>
        <v/>
      </c>
      <c r="F1124" s="3" t="str">
        <f>IF(TableRefills3[[#This Row],[prev_refill_days]]="","",TableRefills3[[#This Row],[prev_refill_days]]+TableRefills3[[#This Row],[quantity_days]])</f>
        <v/>
      </c>
      <c r="G1124" t="str">
        <f>IF(TableRefills3[[#This Row],[prev_refill_end]]="","",TableRefills3[[#This Row],[refill_date]]-TableRefills3[[#This Row],[prev_refill_end]])</f>
        <v/>
      </c>
      <c r="H1124" s="10">
        <f>IF(TableRefills3[[#This Row],[gap_days]]="",0,IF(TableRefills3[[#This Row],[gap_days]]&gt;2,1,0))</f>
        <v>0</v>
      </c>
      <c r="I1124">
        <f>_xlfn.MAXIFS(TableRefills3[discountinuation_flag], TableRefills3[patient_id], A1124)</f>
        <v>0</v>
      </c>
    </row>
    <row r="1125" spans="1:9" x14ac:dyDescent="0.25">
      <c r="A1125" t="s">
        <v>1808</v>
      </c>
      <c r="B1125" t="s">
        <v>1809</v>
      </c>
      <c r="C1125" s="3">
        <v>45934</v>
      </c>
      <c r="D1125">
        <v>30</v>
      </c>
      <c r="E1125" s="3" t="str">
        <f t="shared" si="17"/>
        <v/>
      </c>
      <c r="F1125" s="3" t="str">
        <f>IF(TableRefills3[[#This Row],[prev_refill_days]]="","",TableRefills3[[#This Row],[prev_refill_days]]+TableRefills3[[#This Row],[quantity_days]])</f>
        <v/>
      </c>
      <c r="G1125" t="str">
        <f>IF(TableRefills3[[#This Row],[prev_refill_end]]="","",TableRefills3[[#This Row],[refill_date]]-TableRefills3[[#This Row],[prev_refill_end]])</f>
        <v/>
      </c>
      <c r="H1125" s="10">
        <f>IF(TableRefills3[[#This Row],[gap_days]]="",0,IF(TableRefills3[[#This Row],[gap_days]]&gt;2,1,0))</f>
        <v>0</v>
      </c>
      <c r="I1125">
        <f>_xlfn.MAXIFS(TableRefills3[discountinuation_flag], TableRefills3[patient_id], A1125)</f>
        <v>0</v>
      </c>
    </row>
    <row r="1126" spans="1:9" x14ac:dyDescent="0.25">
      <c r="A1126" t="s">
        <v>1811</v>
      </c>
      <c r="B1126" t="s">
        <v>1812</v>
      </c>
      <c r="C1126" s="3">
        <v>45827</v>
      </c>
      <c r="D1126">
        <v>28</v>
      </c>
      <c r="E1126" s="3" t="str">
        <f t="shared" si="17"/>
        <v/>
      </c>
      <c r="F1126" s="3" t="str">
        <f>IF(TableRefills3[[#This Row],[prev_refill_days]]="","",TableRefills3[[#This Row],[prev_refill_days]]+TableRefills3[[#This Row],[quantity_days]])</f>
        <v/>
      </c>
      <c r="G1126" t="str">
        <f>IF(TableRefills3[[#This Row],[prev_refill_end]]="","",TableRefills3[[#This Row],[refill_date]]-TableRefills3[[#This Row],[prev_refill_end]])</f>
        <v/>
      </c>
      <c r="H1126" s="10">
        <f>IF(TableRefills3[[#This Row],[gap_days]]="",0,IF(TableRefills3[[#This Row],[gap_days]]&gt;2,1,0))</f>
        <v>0</v>
      </c>
      <c r="I1126">
        <f>_xlfn.MAXIFS(TableRefills3[discountinuation_flag], TableRefills3[patient_id], A1126)</f>
        <v>1</v>
      </c>
    </row>
    <row r="1127" spans="1:9" x14ac:dyDescent="0.25">
      <c r="A1127" t="s">
        <v>1811</v>
      </c>
      <c r="B1127" t="s">
        <v>1812</v>
      </c>
      <c r="C1127" s="3">
        <v>45857</v>
      </c>
      <c r="D1127">
        <v>28</v>
      </c>
      <c r="E1127" s="3">
        <f t="shared" si="17"/>
        <v>45827</v>
      </c>
      <c r="F1127" s="3">
        <f>IF(TableRefills3[[#This Row],[prev_refill_days]]="","",TableRefills3[[#This Row],[prev_refill_days]]+TableRefills3[[#This Row],[quantity_days]])</f>
        <v>45855</v>
      </c>
      <c r="G1127">
        <f>IF(TableRefills3[[#This Row],[prev_refill_end]]="","",TableRefills3[[#This Row],[refill_date]]-TableRefills3[[#This Row],[prev_refill_end]])</f>
        <v>2</v>
      </c>
      <c r="H1127" s="10">
        <f>IF(TableRefills3[[#This Row],[gap_days]]="",0,IF(TableRefills3[[#This Row],[gap_days]]&gt;2,1,0))</f>
        <v>0</v>
      </c>
      <c r="I1127">
        <f>_xlfn.MAXIFS(TableRefills3[discountinuation_flag], TableRefills3[patient_id], A1127)</f>
        <v>1</v>
      </c>
    </row>
    <row r="1128" spans="1:9" x14ac:dyDescent="0.25">
      <c r="A1128" t="s">
        <v>1811</v>
      </c>
      <c r="B1128" t="s">
        <v>1812</v>
      </c>
      <c r="C1128" s="3">
        <v>45888</v>
      </c>
      <c r="D1128">
        <v>28</v>
      </c>
      <c r="E1128" s="3">
        <f t="shared" si="17"/>
        <v>45857</v>
      </c>
      <c r="F1128" s="3">
        <f>IF(TableRefills3[[#This Row],[prev_refill_days]]="","",TableRefills3[[#This Row],[prev_refill_days]]+TableRefills3[[#This Row],[quantity_days]])</f>
        <v>45885</v>
      </c>
      <c r="G1128">
        <f>IF(TableRefills3[[#This Row],[prev_refill_end]]="","",TableRefills3[[#This Row],[refill_date]]-TableRefills3[[#This Row],[prev_refill_end]])</f>
        <v>3</v>
      </c>
      <c r="H1128" s="10">
        <f>IF(TableRefills3[[#This Row],[gap_days]]="",0,IF(TableRefills3[[#This Row],[gap_days]]&gt;2,1,0))</f>
        <v>1</v>
      </c>
      <c r="I1128">
        <f>_xlfn.MAXIFS(TableRefills3[discountinuation_flag], TableRefills3[patient_id], A1128)</f>
        <v>1</v>
      </c>
    </row>
    <row r="1129" spans="1:9" x14ac:dyDescent="0.25">
      <c r="A1129" t="s">
        <v>1811</v>
      </c>
      <c r="B1129" t="s">
        <v>1812</v>
      </c>
      <c r="C1129" s="3">
        <v>45914</v>
      </c>
      <c r="D1129">
        <v>28</v>
      </c>
      <c r="E1129" s="3">
        <f t="shared" si="17"/>
        <v>45888</v>
      </c>
      <c r="F1129" s="3">
        <f>IF(TableRefills3[[#This Row],[prev_refill_days]]="","",TableRefills3[[#This Row],[prev_refill_days]]+TableRefills3[[#This Row],[quantity_days]])</f>
        <v>45916</v>
      </c>
      <c r="G1129">
        <f>IF(TableRefills3[[#This Row],[prev_refill_end]]="","",TableRefills3[[#This Row],[refill_date]]-TableRefills3[[#This Row],[prev_refill_end]])</f>
        <v>-2</v>
      </c>
      <c r="H1129" s="10">
        <f>IF(TableRefills3[[#This Row],[gap_days]]="",0,IF(TableRefills3[[#This Row],[gap_days]]&gt;2,1,0))</f>
        <v>0</v>
      </c>
      <c r="I1129">
        <f>_xlfn.MAXIFS(TableRefills3[discountinuation_flag], TableRefills3[patient_id], A1129)</f>
        <v>1</v>
      </c>
    </row>
    <row r="1130" spans="1:9" x14ac:dyDescent="0.25">
      <c r="A1130" t="s">
        <v>1811</v>
      </c>
      <c r="B1130" t="s">
        <v>1812</v>
      </c>
      <c r="C1130" s="3">
        <v>45940</v>
      </c>
      <c r="D1130">
        <v>28</v>
      </c>
      <c r="E1130" s="3">
        <f t="shared" si="17"/>
        <v>45914</v>
      </c>
      <c r="F1130" s="3">
        <f>IF(TableRefills3[[#This Row],[prev_refill_days]]="","",TableRefills3[[#This Row],[prev_refill_days]]+TableRefills3[[#This Row],[quantity_days]])</f>
        <v>45942</v>
      </c>
      <c r="G1130">
        <f>IF(TableRefills3[[#This Row],[prev_refill_end]]="","",TableRefills3[[#This Row],[refill_date]]-TableRefills3[[#This Row],[prev_refill_end]])</f>
        <v>-2</v>
      </c>
      <c r="H1130" s="10">
        <f>IF(TableRefills3[[#This Row],[gap_days]]="",0,IF(TableRefills3[[#This Row],[gap_days]]&gt;2,1,0))</f>
        <v>0</v>
      </c>
      <c r="I1130">
        <f>_xlfn.MAXIFS(TableRefills3[discountinuation_flag], TableRefills3[patient_id], A1130)</f>
        <v>1</v>
      </c>
    </row>
    <row r="1131" spans="1:9" x14ac:dyDescent="0.25">
      <c r="A1131" t="s">
        <v>1818</v>
      </c>
      <c r="B1131" t="s">
        <v>1819</v>
      </c>
      <c r="C1131" s="3">
        <v>45849</v>
      </c>
      <c r="D1131">
        <v>30</v>
      </c>
      <c r="E1131" s="3" t="str">
        <f t="shared" si="17"/>
        <v/>
      </c>
      <c r="F1131" s="3" t="str">
        <f>IF(TableRefills3[[#This Row],[prev_refill_days]]="","",TableRefills3[[#This Row],[prev_refill_days]]+TableRefills3[[#This Row],[quantity_days]])</f>
        <v/>
      </c>
      <c r="G1131" t="str">
        <f>IF(TableRefills3[[#This Row],[prev_refill_end]]="","",TableRefills3[[#This Row],[refill_date]]-TableRefills3[[#This Row],[prev_refill_end]])</f>
        <v/>
      </c>
      <c r="H1131" s="10">
        <f>IF(TableRefills3[[#This Row],[gap_days]]="",0,IF(TableRefills3[[#This Row],[gap_days]]&gt;2,1,0))</f>
        <v>0</v>
      </c>
      <c r="I1131">
        <f>_xlfn.MAXIFS(TableRefills3[discountinuation_flag], TableRefills3[patient_id], A1131)</f>
        <v>1</v>
      </c>
    </row>
    <row r="1132" spans="1:9" x14ac:dyDescent="0.25">
      <c r="A1132" t="s">
        <v>1818</v>
      </c>
      <c r="B1132" t="s">
        <v>1819</v>
      </c>
      <c r="C1132" s="3">
        <v>45880</v>
      </c>
      <c r="D1132">
        <v>30</v>
      </c>
      <c r="E1132" s="3">
        <f t="shared" si="17"/>
        <v>45849</v>
      </c>
      <c r="F1132" s="3">
        <f>IF(TableRefills3[[#This Row],[prev_refill_days]]="","",TableRefills3[[#This Row],[prev_refill_days]]+TableRefills3[[#This Row],[quantity_days]])</f>
        <v>45879</v>
      </c>
      <c r="G1132">
        <f>IF(TableRefills3[[#This Row],[prev_refill_end]]="","",TableRefills3[[#This Row],[refill_date]]-TableRefills3[[#This Row],[prev_refill_end]])</f>
        <v>1</v>
      </c>
      <c r="H1132" s="10">
        <f>IF(TableRefills3[[#This Row],[gap_days]]="",0,IF(TableRefills3[[#This Row],[gap_days]]&gt;2,1,0))</f>
        <v>0</v>
      </c>
      <c r="I1132">
        <f>_xlfn.MAXIFS(TableRefills3[discountinuation_flag], TableRefills3[patient_id], A1132)</f>
        <v>1</v>
      </c>
    </row>
    <row r="1133" spans="1:9" x14ac:dyDescent="0.25">
      <c r="A1133" t="s">
        <v>1818</v>
      </c>
      <c r="B1133" t="s">
        <v>1819</v>
      </c>
      <c r="C1133" s="3">
        <v>45913</v>
      </c>
      <c r="D1133">
        <v>30</v>
      </c>
      <c r="E1133" s="3">
        <f t="shared" si="17"/>
        <v>45880</v>
      </c>
      <c r="F1133" s="3">
        <f>IF(TableRefills3[[#This Row],[prev_refill_days]]="","",TableRefills3[[#This Row],[prev_refill_days]]+TableRefills3[[#This Row],[quantity_days]])</f>
        <v>45910</v>
      </c>
      <c r="G1133">
        <f>IF(TableRefills3[[#This Row],[prev_refill_end]]="","",TableRefills3[[#This Row],[refill_date]]-TableRefills3[[#This Row],[prev_refill_end]])</f>
        <v>3</v>
      </c>
      <c r="H1133" s="10">
        <f>IF(TableRefills3[[#This Row],[gap_days]]="",0,IF(TableRefills3[[#This Row],[gap_days]]&gt;2,1,0))</f>
        <v>1</v>
      </c>
      <c r="I1133">
        <f>_xlfn.MAXIFS(TableRefills3[discountinuation_flag], TableRefills3[patient_id], A1133)</f>
        <v>1</v>
      </c>
    </row>
    <row r="1134" spans="1:9" x14ac:dyDescent="0.25">
      <c r="A1134" t="s">
        <v>1818</v>
      </c>
      <c r="B1134" t="s">
        <v>1819</v>
      </c>
      <c r="C1134" s="3">
        <v>45945</v>
      </c>
      <c r="D1134">
        <v>30</v>
      </c>
      <c r="E1134" s="3">
        <f t="shared" si="17"/>
        <v>45913</v>
      </c>
      <c r="F1134" s="3">
        <f>IF(TableRefills3[[#This Row],[prev_refill_days]]="","",TableRefills3[[#This Row],[prev_refill_days]]+TableRefills3[[#This Row],[quantity_days]])</f>
        <v>45943</v>
      </c>
      <c r="G1134">
        <f>IF(TableRefills3[[#This Row],[prev_refill_end]]="","",TableRefills3[[#This Row],[refill_date]]-TableRefills3[[#This Row],[prev_refill_end]])</f>
        <v>2</v>
      </c>
      <c r="H1134" s="10">
        <f>IF(TableRefills3[[#This Row],[gap_days]]="",0,IF(TableRefills3[[#This Row],[gap_days]]&gt;2,1,0))</f>
        <v>0</v>
      </c>
      <c r="I1134">
        <f>_xlfn.MAXIFS(TableRefills3[discountinuation_flag], TableRefills3[patient_id], A1134)</f>
        <v>1</v>
      </c>
    </row>
    <row r="1135" spans="1:9" x14ac:dyDescent="0.25">
      <c r="A1135" t="s">
        <v>1824</v>
      </c>
      <c r="B1135" t="s">
        <v>1825</v>
      </c>
      <c r="C1135" s="3">
        <v>45854</v>
      </c>
      <c r="D1135">
        <v>30</v>
      </c>
      <c r="E1135" s="3" t="str">
        <f t="shared" si="17"/>
        <v/>
      </c>
      <c r="F1135" s="3" t="str">
        <f>IF(TableRefills3[[#This Row],[prev_refill_days]]="","",TableRefills3[[#This Row],[prev_refill_days]]+TableRefills3[[#This Row],[quantity_days]])</f>
        <v/>
      </c>
      <c r="G1135" t="str">
        <f>IF(TableRefills3[[#This Row],[prev_refill_end]]="","",TableRefills3[[#This Row],[refill_date]]-TableRefills3[[#This Row],[prev_refill_end]])</f>
        <v/>
      </c>
      <c r="H1135" s="10">
        <f>IF(TableRefills3[[#This Row],[gap_days]]="",0,IF(TableRefills3[[#This Row],[gap_days]]&gt;2,1,0))</f>
        <v>0</v>
      </c>
      <c r="I1135">
        <f>_xlfn.MAXIFS(TableRefills3[discountinuation_flag], TableRefills3[patient_id], A1135)</f>
        <v>0</v>
      </c>
    </row>
    <row r="1136" spans="1:9" x14ac:dyDescent="0.25">
      <c r="A1136" t="s">
        <v>1824</v>
      </c>
      <c r="B1136" t="s">
        <v>1825</v>
      </c>
      <c r="C1136" s="3">
        <v>45881</v>
      </c>
      <c r="D1136">
        <v>30</v>
      </c>
      <c r="E1136" s="3">
        <f t="shared" si="17"/>
        <v>45854</v>
      </c>
      <c r="F1136" s="3">
        <f>IF(TableRefills3[[#This Row],[prev_refill_days]]="","",TableRefills3[[#This Row],[prev_refill_days]]+TableRefills3[[#This Row],[quantity_days]])</f>
        <v>45884</v>
      </c>
      <c r="G1136">
        <f>IF(TableRefills3[[#This Row],[prev_refill_end]]="","",TableRefills3[[#This Row],[refill_date]]-TableRefills3[[#This Row],[prev_refill_end]])</f>
        <v>-3</v>
      </c>
      <c r="H1136" s="10">
        <f>IF(TableRefills3[[#This Row],[gap_days]]="",0,IF(TableRefills3[[#This Row],[gap_days]]&gt;2,1,0))</f>
        <v>0</v>
      </c>
      <c r="I1136">
        <f>_xlfn.MAXIFS(TableRefills3[discountinuation_flag], TableRefills3[patient_id], A1136)</f>
        <v>0</v>
      </c>
    </row>
    <row r="1137" spans="1:9" x14ac:dyDescent="0.25">
      <c r="A1137" t="s">
        <v>1828</v>
      </c>
      <c r="B1137" t="s">
        <v>1829</v>
      </c>
      <c r="C1137" s="3">
        <v>45854</v>
      </c>
      <c r="D1137">
        <v>28</v>
      </c>
      <c r="E1137" s="3" t="str">
        <f t="shared" si="17"/>
        <v/>
      </c>
      <c r="F1137" s="3" t="str">
        <f>IF(TableRefills3[[#This Row],[prev_refill_days]]="","",TableRefills3[[#This Row],[prev_refill_days]]+TableRefills3[[#This Row],[quantity_days]])</f>
        <v/>
      </c>
      <c r="G1137" t="str">
        <f>IF(TableRefills3[[#This Row],[prev_refill_end]]="","",TableRefills3[[#This Row],[refill_date]]-TableRefills3[[#This Row],[prev_refill_end]])</f>
        <v/>
      </c>
      <c r="H1137" s="10">
        <f>IF(TableRefills3[[#This Row],[gap_days]]="",0,IF(TableRefills3[[#This Row],[gap_days]]&gt;2,1,0))</f>
        <v>0</v>
      </c>
      <c r="I1137">
        <f>_xlfn.MAXIFS(TableRefills3[discountinuation_flag], TableRefills3[patient_id], A1137)</f>
        <v>0</v>
      </c>
    </row>
    <row r="1138" spans="1:9" x14ac:dyDescent="0.25">
      <c r="A1138" t="s">
        <v>1831</v>
      </c>
      <c r="B1138" t="s">
        <v>1832</v>
      </c>
      <c r="C1138" s="3">
        <v>45851</v>
      </c>
      <c r="D1138">
        <v>28</v>
      </c>
      <c r="E1138" s="3" t="str">
        <f t="shared" si="17"/>
        <v/>
      </c>
      <c r="F1138" s="3" t="str">
        <f>IF(TableRefills3[[#This Row],[prev_refill_days]]="","",TableRefills3[[#This Row],[prev_refill_days]]+TableRefills3[[#This Row],[quantity_days]])</f>
        <v/>
      </c>
      <c r="G1138" t="str">
        <f>IF(TableRefills3[[#This Row],[prev_refill_end]]="","",TableRefills3[[#This Row],[refill_date]]-TableRefills3[[#This Row],[prev_refill_end]])</f>
        <v/>
      </c>
      <c r="H1138" s="10">
        <f>IF(TableRefills3[[#This Row],[gap_days]]="",0,IF(TableRefills3[[#This Row],[gap_days]]&gt;2,1,0))</f>
        <v>0</v>
      </c>
      <c r="I1138">
        <f>_xlfn.MAXIFS(TableRefills3[discountinuation_flag], TableRefills3[patient_id], A1138)</f>
        <v>1</v>
      </c>
    </row>
    <row r="1139" spans="1:9" x14ac:dyDescent="0.25">
      <c r="A1139" t="s">
        <v>1831</v>
      </c>
      <c r="B1139" t="s">
        <v>1832</v>
      </c>
      <c r="C1139" s="3">
        <v>45878</v>
      </c>
      <c r="D1139">
        <v>28</v>
      </c>
      <c r="E1139" s="3">
        <f t="shared" si="17"/>
        <v>45851</v>
      </c>
      <c r="F1139" s="3">
        <f>IF(TableRefills3[[#This Row],[prev_refill_days]]="","",TableRefills3[[#This Row],[prev_refill_days]]+TableRefills3[[#This Row],[quantity_days]])</f>
        <v>45879</v>
      </c>
      <c r="G1139">
        <f>IF(TableRefills3[[#This Row],[prev_refill_end]]="","",TableRefills3[[#This Row],[refill_date]]-TableRefills3[[#This Row],[prev_refill_end]])</f>
        <v>-1</v>
      </c>
      <c r="H1139" s="10">
        <f>IF(TableRefills3[[#This Row],[gap_days]]="",0,IF(TableRefills3[[#This Row],[gap_days]]&gt;2,1,0))</f>
        <v>0</v>
      </c>
      <c r="I1139">
        <f>_xlfn.MAXIFS(TableRefills3[discountinuation_flag], TableRefills3[patient_id], A1139)</f>
        <v>1</v>
      </c>
    </row>
    <row r="1140" spans="1:9" x14ac:dyDescent="0.25">
      <c r="A1140" t="s">
        <v>1831</v>
      </c>
      <c r="B1140" t="s">
        <v>1832</v>
      </c>
      <c r="C1140" s="3">
        <v>45903</v>
      </c>
      <c r="D1140">
        <v>28</v>
      </c>
      <c r="E1140" s="3">
        <f t="shared" si="17"/>
        <v>45878</v>
      </c>
      <c r="F1140" s="3">
        <f>IF(TableRefills3[[#This Row],[prev_refill_days]]="","",TableRefills3[[#This Row],[prev_refill_days]]+TableRefills3[[#This Row],[quantity_days]])</f>
        <v>45906</v>
      </c>
      <c r="G1140">
        <f>IF(TableRefills3[[#This Row],[prev_refill_end]]="","",TableRefills3[[#This Row],[refill_date]]-TableRefills3[[#This Row],[prev_refill_end]])</f>
        <v>-3</v>
      </c>
      <c r="H1140" s="10">
        <f>IF(TableRefills3[[#This Row],[gap_days]]="",0,IF(TableRefills3[[#This Row],[gap_days]]&gt;2,1,0))</f>
        <v>0</v>
      </c>
      <c r="I1140">
        <f>_xlfn.MAXIFS(TableRefills3[discountinuation_flag], TableRefills3[patient_id], A1140)</f>
        <v>1</v>
      </c>
    </row>
    <row r="1141" spans="1:9" x14ac:dyDescent="0.25">
      <c r="A1141" t="s">
        <v>1831</v>
      </c>
      <c r="B1141" t="s">
        <v>1832</v>
      </c>
      <c r="C1141" s="3">
        <v>45929</v>
      </c>
      <c r="D1141">
        <v>28</v>
      </c>
      <c r="E1141" s="3">
        <f t="shared" si="17"/>
        <v>45903</v>
      </c>
      <c r="F1141" s="3">
        <f>IF(TableRefills3[[#This Row],[prev_refill_days]]="","",TableRefills3[[#This Row],[prev_refill_days]]+TableRefills3[[#This Row],[quantity_days]])</f>
        <v>45931</v>
      </c>
      <c r="G1141">
        <f>IF(TableRefills3[[#This Row],[prev_refill_end]]="","",TableRefills3[[#This Row],[refill_date]]-TableRefills3[[#This Row],[prev_refill_end]])</f>
        <v>-2</v>
      </c>
      <c r="H1141" s="10">
        <f>IF(TableRefills3[[#This Row],[gap_days]]="",0,IF(TableRefills3[[#This Row],[gap_days]]&gt;2,1,0))</f>
        <v>0</v>
      </c>
      <c r="I1141">
        <f>_xlfn.MAXIFS(TableRefills3[discountinuation_flag], TableRefills3[patient_id], A1141)</f>
        <v>1</v>
      </c>
    </row>
    <row r="1142" spans="1:9" x14ac:dyDescent="0.25">
      <c r="A1142" t="s">
        <v>1831</v>
      </c>
      <c r="B1142" t="s">
        <v>1832</v>
      </c>
      <c r="C1142" s="3">
        <v>45960</v>
      </c>
      <c r="D1142">
        <v>28</v>
      </c>
      <c r="E1142" s="3">
        <f t="shared" si="17"/>
        <v>45929</v>
      </c>
      <c r="F1142" s="3">
        <f>IF(TableRefills3[[#This Row],[prev_refill_days]]="","",TableRefills3[[#This Row],[prev_refill_days]]+TableRefills3[[#This Row],[quantity_days]])</f>
        <v>45957</v>
      </c>
      <c r="G1142">
        <f>IF(TableRefills3[[#This Row],[prev_refill_end]]="","",TableRefills3[[#This Row],[refill_date]]-TableRefills3[[#This Row],[prev_refill_end]])</f>
        <v>3</v>
      </c>
      <c r="H1142" s="10">
        <f>IF(TableRefills3[[#This Row],[gap_days]]="",0,IF(TableRefills3[[#This Row],[gap_days]]&gt;2,1,0))</f>
        <v>1</v>
      </c>
      <c r="I1142">
        <f>_xlfn.MAXIFS(TableRefills3[discountinuation_flag], TableRefills3[patient_id], A1142)</f>
        <v>1</v>
      </c>
    </row>
    <row r="1143" spans="1:9" x14ac:dyDescent="0.25">
      <c r="A1143" t="s">
        <v>1838</v>
      </c>
      <c r="B1143" t="s">
        <v>1839</v>
      </c>
      <c r="C1143" s="3">
        <v>45831</v>
      </c>
      <c r="D1143">
        <v>28</v>
      </c>
      <c r="E1143" s="3" t="str">
        <f t="shared" si="17"/>
        <v/>
      </c>
      <c r="F1143" s="3" t="str">
        <f>IF(TableRefills3[[#This Row],[prev_refill_days]]="","",TableRefills3[[#This Row],[prev_refill_days]]+TableRefills3[[#This Row],[quantity_days]])</f>
        <v/>
      </c>
      <c r="G1143" t="str">
        <f>IF(TableRefills3[[#This Row],[prev_refill_end]]="","",TableRefills3[[#This Row],[refill_date]]-TableRefills3[[#This Row],[prev_refill_end]])</f>
        <v/>
      </c>
      <c r="H1143" s="10">
        <f>IF(TableRefills3[[#This Row],[gap_days]]="",0,IF(TableRefills3[[#This Row],[gap_days]]&gt;2,1,0))</f>
        <v>0</v>
      </c>
      <c r="I1143">
        <f>_xlfn.MAXIFS(TableRefills3[discountinuation_flag], TableRefills3[patient_id], A1143)</f>
        <v>0</v>
      </c>
    </row>
    <row r="1144" spans="1:9" x14ac:dyDescent="0.25">
      <c r="A1144" t="s">
        <v>1838</v>
      </c>
      <c r="B1144" t="s">
        <v>1839</v>
      </c>
      <c r="C1144" s="3">
        <v>45856</v>
      </c>
      <c r="D1144">
        <v>28</v>
      </c>
      <c r="E1144" s="3">
        <f t="shared" si="17"/>
        <v>45831</v>
      </c>
      <c r="F1144" s="3">
        <f>IF(TableRefills3[[#This Row],[prev_refill_days]]="","",TableRefills3[[#This Row],[prev_refill_days]]+TableRefills3[[#This Row],[quantity_days]])</f>
        <v>45859</v>
      </c>
      <c r="G1144">
        <f>IF(TableRefills3[[#This Row],[prev_refill_end]]="","",TableRefills3[[#This Row],[refill_date]]-TableRefills3[[#This Row],[prev_refill_end]])</f>
        <v>-3</v>
      </c>
      <c r="H1144" s="10">
        <f>IF(TableRefills3[[#This Row],[gap_days]]="",0,IF(TableRefills3[[#This Row],[gap_days]]&gt;2,1,0))</f>
        <v>0</v>
      </c>
      <c r="I1144">
        <f>_xlfn.MAXIFS(TableRefills3[discountinuation_flag], TableRefills3[patient_id], A1144)</f>
        <v>0</v>
      </c>
    </row>
    <row r="1145" spans="1:9" x14ac:dyDescent="0.25">
      <c r="A1145" t="s">
        <v>1838</v>
      </c>
      <c r="B1145" t="s">
        <v>1839</v>
      </c>
      <c r="C1145" s="3">
        <v>45883</v>
      </c>
      <c r="D1145">
        <v>28</v>
      </c>
      <c r="E1145" s="3">
        <f t="shared" si="17"/>
        <v>45856</v>
      </c>
      <c r="F1145" s="3">
        <f>IF(TableRefills3[[#This Row],[prev_refill_days]]="","",TableRefills3[[#This Row],[prev_refill_days]]+TableRefills3[[#This Row],[quantity_days]])</f>
        <v>45884</v>
      </c>
      <c r="G1145">
        <f>IF(TableRefills3[[#This Row],[prev_refill_end]]="","",TableRefills3[[#This Row],[refill_date]]-TableRefills3[[#This Row],[prev_refill_end]])</f>
        <v>-1</v>
      </c>
      <c r="H1145" s="10">
        <f>IF(TableRefills3[[#This Row],[gap_days]]="",0,IF(TableRefills3[[#This Row],[gap_days]]&gt;2,1,0))</f>
        <v>0</v>
      </c>
      <c r="I1145">
        <f>_xlfn.MAXIFS(TableRefills3[discountinuation_flag], TableRefills3[patient_id], A1145)</f>
        <v>0</v>
      </c>
    </row>
    <row r="1146" spans="1:9" x14ac:dyDescent="0.25">
      <c r="A1146" t="s">
        <v>1843</v>
      </c>
      <c r="B1146" t="s">
        <v>1844</v>
      </c>
      <c r="C1146" s="3">
        <v>45958</v>
      </c>
      <c r="D1146">
        <v>56</v>
      </c>
      <c r="E1146" s="3" t="str">
        <f t="shared" si="17"/>
        <v/>
      </c>
      <c r="F1146" s="3" t="str">
        <f>IF(TableRefills3[[#This Row],[prev_refill_days]]="","",TableRefills3[[#This Row],[prev_refill_days]]+TableRefills3[[#This Row],[quantity_days]])</f>
        <v/>
      </c>
      <c r="G1146" t="str">
        <f>IF(TableRefills3[[#This Row],[prev_refill_end]]="","",TableRefills3[[#This Row],[refill_date]]-TableRefills3[[#This Row],[prev_refill_end]])</f>
        <v/>
      </c>
      <c r="H1146" s="10">
        <f>IF(TableRefills3[[#This Row],[gap_days]]="",0,IF(TableRefills3[[#This Row],[gap_days]]&gt;2,1,0))</f>
        <v>0</v>
      </c>
      <c r="I1146">
        <f>_xlfn.MAXIFS(TableRefills3[discountinuation_flag], TableRefills3[patient_id], A1146)</f>
        <v>0</v>
      </c>
    </row>
    <row r="1147" spans="1:9" x14ac:dyDescent="0.25">
      <c r="A1147" t="s">
        <v>1846</v>
      </c>
      <c r="B1147" t="s">
        <v>1847</v>
      </c>
      <c r="C1147" s="3">
        <v>45859</v>
      </c>
      <c r="D1147">
        <v>30</v>
      </c>
      <c r="E1147" s="3" t="str">
        <f t="shared" si="17"/>
        <v/>
      </c>
      <c r="F1147" s="3" t="str">
        <f>IF(TableRefills3[[#This Row],[prev_refill_days]]="","",TableRefills3[[#This Row],[prev_refill_days]]+TableRefills3[[#This Row],[quantity_days]])</f>
        <v/>
      </c>
      <c r="G1147" t="str">
        <f>IF(TableRefills3[[#This Row],[prev_refill_end]]="","",TableRefills3[[#This Row],[refill_date]]-TableRefills3[[#This Row],[prev_refill_end]])</f>
        <v/>
      </c>
      <c r="H1147" s="10">
        <f>IF(TableRefills3[[#This Row],[gap_days]]="",0,IF(TableRefills3[[#This Row],[gap_days]]&gt;2,1,0))</f>
        <v>0</v>
      </c>
      <c r="I1147">
        <f>_xlfn.MAXIFS(TableRefills3[discountinuation_flag], TableRefills3[patient_id], A1147)</f>
        <v>1</v>
      </c>
    </row>
    <row r="1148" spans="1:9" x14ac:dyDescent="0.25">
      <c r="A1148" t="s">
        <v>1846</v>
      </c>
      <c r="B1148" t="s">
        <v>1847</v>
      </c>
      <c r="C1148" s="3">
        <v>45892</v>
      </c>
      <c r="D1148">
        <v>30</v>
      </c>
      <c r="E1148" s="3">
        <f t="shared" si="17"/>
        <v>45859</v>
      </c>
      <c r="F1148" s="3">
        <f>IF(TableRefills3[[#This Row],[prev_refill_days]]="","",TableRefills3[[#This Row],[prev_refill_days]]+TableRefills3[[#This Row],[quantity_days]])</f>
        <v>45889</v>
      </c>
      <c r="G1148">
        <f>IF(TableRefills3[[#This Row],[prev_refill_end]]="","",TableRefills3[[#This Row],[refill_date]]-TableRefills3[[#This Row],[prev_refill_end]])</f>
        <v>3</v>
      </c>
      <c r="H1148" s="10">
        <f>IF(TableRefills3[[#This Row],[gap_days]]="",0,IF(TableRefills3[[#This Row],[gap_days]]&gt;2,1,0))</f>
        <v>1</v>
      </c>
      <c r="I1148">
        <f>_xlfn.MAXIFS(TableRefills3[discountinuation_flag], TableRefills3[patient_id], A1148)</f>
        <v>1</v>
      </c>
    </row>
    <row r="1149" spans="1:9" x14ac:dyDescent="0.25">
      <c r="A1149" t="s">
        <v>1846</v>
      </c>
      <c r="B1149" t="s">
        <v>1847</v>
      </c>
      <c r="C1149" s="3">
        <v>45921</v>
      </c>
      <c r="D1149">
        <v>30</v>
      </c>
      <c r="E1149" s="3">
        <f t="shared" si="17"/>
        <v>45892</v>
      </c>
      <c r="F1149" s="3">
        <f>IF(TableRefills3[[#This Row],[prev_refill_days]]="","",TableRefills3[[#This Row],[prev_refill_days]]+TableRefills3[[#This Row],[quantity_days]])</f>
        <v>45922</v>
      </c>
      <c r="G1149">
        <f>IF(TableRefills3[[#This Row],[prev_refill_end]]="","",TableRefills3[[#This Row],[refill_date]]-TableRefills3[[#This Row],[prev_refill_end]])</f>
        <v>-1</v>
      </c>
      <c r="H1149" s="10">
        <f>IF(TableRefills3[[#This Row],[gap_days]]="",0,IF(TableRefills3[[#This Row],[gap_days]]&gt;2,1,0))</f>
        <v>0</v>
      </c>
      <c r="I1149">
        <f>_xlfn.MAXIFS(TableRefills3[discountinuation_flag], TableRefills3[patient_id], A1149)</f>
        <v>1</v>
      </c>
    </row>
    <row r="1150" spans="1:9" x14ac:dyDescent="0.25">
      <c r="A1150" t="s">
        <v>1846</v>
      </c>
      <c r="B1150" t="s">
        <v>1847</v>
      </c>
      <c r="C1150" s="3">
        <v>45952</v>
      </c>
      <c r="D1150">
        <v>30</v>
      </c>
      <c r="E1150" s="3">
        <f t="shared" si="17"/>
        <v>45921</v>
      </c>
      <c r="F1150" s="3">
        <f>IF(TableRefills3[[#This Row],[prev_refill_days]]="","",TableRefills3[[#This Row],[prev_refill_days]]+TableRefills3[[#This Row],[quantity_days]])</f>
        <v>45951</v>
      </c>
      <c r="G1150">
        <f>IF(TableRefills3[[#This Row],[prev_refill_end]]="","",TableRefills3[[#This Row],[refill_date]]-TableRefills3[[#This Row],[prev_refill_end]])</f>
        <v>1</v>
      </c>
      <c r="H1150" s="10">
        <f>IF(TableRefills3[[#This Row],[gap_days]]="",0,IF(TableRefills3[[#This Row],[gap_days]]&gt;2,1,0))</f>
        <v>0</v>
      </c>
      <c r="I1150">
        <f>_xlfn.MAXIFS(TableRefills3[discountinuation_flag], TableRefills3[patient_id], A1150)</f>
        <v>1</v>
      </c>
    </row>
    <row r="1151" spans="1:9" x14ac:dyDescent="0.25">
      <c r="A1151" t="s">
        <v>1852</v>
      </c>
      <c r="B1151" t="s">
        <v>1853</v>
      </c>
      <c r="C1151" s="3">
        <v>45867</v>
      </c>
      <c r="D1151">
        <v>21</v>
      </c>
      <c r="E1151" s="3" t="str">
        <f t="shared" si="17"/>
        <v/>
      </c>
      <c r="F1151" s="3" t="str">
        <f>IF(TableRefills3[[#This Row],[prev_refill_days]]="","",TableRefills3[[#This Row],[prev_refill_days]]+TableRefills3[[#This Row],[quantity_days]])</f>
        <v/>
      </c>
      <c r="G1151" t="str">
        <f>IF(TableRefills3[[#This Row],[prev_refill_end]]="","",TableRefills3[[#This Row],[refill_date]]-TableRefills3[[#This Row],[prev_refill_end]])</f>
        <v/>
      </c>
      <c r="H1151" s="10">
        <f>IF(TableRefills3[[#This Row],[gap_days]]="",0,IF(TableRefills3[[#This Row],[gap_days]]&gt;2,1,0))</f>
        <v>0</v>
      </c>
      <c r="I1151">
        <f>_xlfn.MAXIFS(TableRefills3[discountinuation_flag], TableRefills3[patient_id], A1151)</f>
        <v>0</v>
      </c>
    </row>
    <row r="1152" spans="1:9" x14ac:dyDescent="0.25">
      <c r="A1152" t="s">
        <v>1852</v>
      </c>
      <c r="B1152" t="s">
        <v>1853</v>
      </c>
      <c r="C1152" s="3">
        <v>45888</v>
      </c>
      <c r="D1152">
        <v>21</v>
      </c>
      <c r="E1152" s="3">
        <f t="shared" si="17"/>
        <v>45867</v>
      </c>
      <c r="F1152" s="3">
        <f>IF(TableRefills3[[#This Row],[prev_refill_days]]="","",TableRefills3[[#This Row],[prev_refill_days]]+TableRefills3[[#This Row],[quantity_days]])</f>
        <v>45888</v>
      </c>
      <c r="G1152">
        <f>IF(TableRefills3[[#This Row],[prev_refill_end]]="","",TableRefills3[[#This Row],[refill_date]]-TableRefills3[[#This Row],[prev_refill_end]])</f>
        <v>0</v>
      </c>
      <c r="H1152" s="10">
        <f>IF(TableRefills3[[#This Row],[gap_days]]="",0,IF(TableRefills3[[#This Row],[gap_days]]&gt;2,1,0))</f>
        <v>0</v>
      </c>
      <c r="I1152">
        <f>_xlfn.MAXIFS(TableRefills3[discountinuation_flag], TableRefills3[patient_id], A1152)</f>
        <v>0</v>
      </c>
    </row>
    <row r="1153" spans="1:9" x14ac:dyDescent="0.25">
      <c r="A1153" t="s">
        <v>1852</v>
      </c>
      <c r="B1153" t="s">
        <v>1853</v>
      </c>
      <c r="C1153" s="3">
        <v>45911</v>
      </c>
      <c r="D1153">
        <v>21</v>
      </c>
      <c r="E1153" s="3">
        <f t="shared" si="17"/>
        <v>45888</v>
      </c>
      <c r="F1153" s="3">
        <f>IF(TableRefills3[[#This Row],[prev_refill_days]]="","",TableRefills3[[#This Row],[prev_refill_days]]+TableRefills3[[#This Row],[quantity_days]])</f>
        <v>45909</v>
      </c>
      <c r="G1153">
        <f>IF(TableRefills3[[#This Row],[prev_refill_end]]="","",TableRefills3[[#This Row],[refill_date]]-TableRefills3[[#This Row],[prev_refill_end]])</f>
        <v>2</v>
      </c>
      <c r="H1153" s="10">
        <f>IF(TableRefills3[[#This Row],[gap_days]]="",0,IF(TableRefills3[[#This Row],[gap_days]]&gt;2,1,0))</f>
        <v>0</v>
      </c>
      <c r="I1153">
        <f>_xlfn.MAXIFS(TableRefills3[discountinuation_flag], TableRefills3[patient_id], A1153)</f>
        <v>0</v>
      </c>
    </row>
    <row r="1154" spans="1:9" x14ac:dyDescent="0.25">
      <c r="A1154" t="s">
        <v>1857</v>
      </c>
      <c r="B1154" t="s">
        <v>1858</v>
      </c>
      <c r="C1154" s="3">
        <v>45848</v>
      </c>
      <c r="D1154">
        <v>28</v>
      </c>
      <c r="E1154" s="3" t="str">
        <f t="shared" ref="E1154:E1217" si="18">IF(A1153=A1154,C1153,"")</f>
        <v/>
      </c>
      <c r="F1154" s="3" t="str">
        <f>IF(TableRefills3[[#This Row],[prev_refill_days]]="","",TableRefills3[[#This Row],[prev_refill_days]]+TableRefills3[[#This Row],[quantity_days]])</f>
        <v/>
      </c>
      <c r="G1154" t="str">
        <f>IF(TableRefills3[[#This Row],[prev_refill_end]]="","",TableRefills3[[#This Row],[refill_date]]-TableRefills3[[#This Row],[prev_refill_end]])</f>
        <v/>
      </c>
      <c r="H1154" s="10">
        <f>IF(TableRefills3[[#This Row],[gap_days]]="",0,IF(TableRefills3[[#This Row],[gap_days]]&gt;2,1,0))</f>
        <v>0</v>
      </c>
      <c r="I1154">
        <f>_xlfn.MAXIFS(TableRefills3[discountinuation_flag], TableRefills3[patient_id], A1154)</f>
        <v>1</v>
      </c>
    </row>
    <row r="1155" spans="1:9" x14ac:dyDescent="0.25">
      <c r="A1155" t="s">
        <v>1857</v>
      </c>
      <c r="B1155" t="s">
        <v>1858</v>
      </c>
      <c r="C1155" s="3">
        <v>45875</v>
      </c>
      <c r="D1155">
        <v>28</v>
      </c>
      <c r="E1155" s="3">
        <f t="shared" si="18"/>
        <v>45848</v>
      </c>
      <c r="F1155" s="3">
        <f>IF(TableRefills3[[#This Row],[prev_refill_days]]="","",TableRefills3[[#This Row],[prev_refill_days]]+TableRefills3[[#This Row],[quantity_days]])</f>
        <v>45876</v>
      </c>
      <c r="G1155">
        <f>IF(TableRefills3[[#This Row],[prev_refill_end]]="","",TableRefills3[[#This Row],[refill_date]]-TableRefills3[[#This Row],[prev_refill_end]])</f>
        <v>-1</v>
      </c>
      <c r="H1155" s="10">
        <f>IF(TableRefills3[[#This Row],[gap_days]]="",0,IF(TableRefills3[[#This Row],[gap_days]]&gt;2,1,0))</f>
        <v>0</v>
      </c>
      <c r="I1155">
        <f>_xlfn.MAXIFS(TableRefills3[discountinuation_flag], TableRefills3[patient_id], A1155)</f>
        <v>1</v>
      </c>
    </row>
    <row r="1156" spans="1:9" x14ac:dyDescent="0.25">
      <c r="A1156" t="s">
        <v>1857</v>
      </c>
      <c r="B1156" t="s">
        <v>1858</v>
      </c>
      <c r="C1156" s="3">
        <v>45901</v>
      </c>
      <c r="D1156">
        <v>28</v>
      </c>
      <c r="E1156" s="3">
        <f t="shared" si="18"/>
        <v>45875</v>
      </c>
      <c r="F1156" s="3">
        <f>IF(TableRefills3[[#This Row],[prev_refill_days]]="","",TableRefills3[[#This Row],[prev_refill_days]]+TableRefills3[[#This Row],[quantity_days]])</f>
        <v>45903</v>
      </c>
      <c r="G1156">
        <f>IF(TableRefills3[[#This Row],[prev_refill_end]]="","",TableRefills3[[#This Row],[refill_date]]-TableRefills3[[#This Row],[prev_refill_end]])</f>
        <v>-2</v>
      </c>
      <c r="H1156" s="10">
        <f>IF(TableRefills3[[#This Row],[gap_days]]="",0,IF(TableRefills3[[#This Row],[gap_days]]&gt;2,1,0))</f>
        <v>0</v>
      </c>
      <c r="I1156">
        <f>_xlfn.MAXIFS(TableRefills3[discountinuation_flag], TableRefills3[patient_id], A1156)</f>
        <v>1</v>
      </c>
    </row>
    <row r="1157" spans="1:9" x14ac:dyDescent="0.25">
      <c r="A1157" t="s">
        <v>1857</v>
      </c>
      <c r="B1157" t="s">
        <v>1858</v>
      </c>
      <c r="C1157" s="3">
        <v>45929</v>
      </c>
      <c r="D1157">
        <v>28</v>
      </c>
      <c r="E1157" s="3">
        <f t="shared" si="18"/>
        <v>45901</v>
      </c>
      <c r="F1157" s="3">
        <f>IF(TableRefills3[[#This Row],[prev_refill_days]]="","",TableRefills3[[#This Row],[prev_refill_days]]+TableRefills3[[#This Row],[quantity_days]])</f>
        <v>45929</v>
      </c>
      <c r="G1157">
        <f>IF(TableRefills3[[#This Row],[prev_refill_end]]="","",TableRefills3[[#This Row],[refill_date]]-TableRefills3[[#This Row],[prev_refill_end]])</f>
        <v>0</v>
      </c>
      <c r="H1157" s="10">
        <f>IF(TableRefills3[[#This Row],[gap_days]]="",0,IF(TableRefills3[[#This Row],[gap_days]]&gt;2,1,0))</f>
        <v>0</v>
      </c>
      <c r="I1157">
        <f>_xlfn.MAXIFS(TableRefills3[discountinuation_flag], TableRefills3[patient_id], A1157)</f>
        <v>1</v>
      </c>
    </row>
    <row r="1158" spans="1:9" x14ac:dyDescent="0.25">
      <c r="A1158" t="s">
        <v>1857</v>
      </c>
      <c r="B1158" t="s">
        <v>1858</v>
      </c>
      <c r="C1158" s="3">
        <v>45960</v>
      </c>
      <c r="D1158">
        <v>28</v>
      </c>
      <c r="E1158" s="3">
        <f t="shared" si="18"/>
        <v>45929</v>
      </c>
      <c r="F1158" s="3">
        <f>IF(TableRefills3[[#This Row],[prev_refill_days]]="","",TableRefills3[[#This Row],[prev_refill_days]]+TableRefills3[[#This Row],[quantity_days]])</f>
        <v>45957</v>
      </c>
      <c r="G1158">
        <f>IF(TableRefills3[[#This Row],[prev_refill_end]]="","",TableRefills3[[#This Row],[refill_date]]-TableRefills3[[#This Row],[prev_refill_end]])</f>
        <v>3</v>
      </c>
      <c r="H1158" s="10">
        <f>IF(TableRefills3[[#This Row],[gap_days]]="",0,IF(TableRefills3[[#This Row],[gap_days]]&gt;2,1,0))</f>
        <v>1</v>
      </c>
      <c r="I1158">
        <f>_xlfn.MAXIFS(TableRefills3[discountinuation_flag], TableRefills3[patient_id], A1158)</f>
        <v>1</v>
      </c>
    </row>
    <row r="1159" spans="1:9" x14ac:dyDescent="0.25">
      <c r="A1159" t="s">
        <v>1864</v>
      </c>
      <c r="B1159" t="s">
        <v>1865</v>
      </c>
      <c r="C1159" s="3">
        <v>45809</v>
      </c>
      <c r="D1159">
        <v>28</v>
      </c>
      <c r="E1159" s="3" t="str">
        <f t="shared" si="18"/>
        <v/>
      </c>
      <c r="F1159" s="3" t="str">
        <f>IF(TableRefills3[[#This Row],[prev_refill_days]]="","",TableRefills3[[#This Row],[prev_refill_days]]+TableRefills3[[#This Row],[quantity_days]])</f>
        <v/>
      </c>
      <c r="G1159" t="str">
        <f>IF(TableRefills3[[#This Row],[prev_refill_end]]="","",TableRefills3[[#This Row],[refill_date]]-TableRefills3[[#This Row],[prev_refill_end]])</f>
        <v/>
      </c>
      <c r="H1159" s="10">
        <f>IF(TableRefills3[[#This Row],[gap_days]]="",0,IF(TableRefills3[[#This Row],[gap_days]]&gt;2,1,0))</f>
        <v>0</v>
      </c>
      <c r="I1159">
        <f>_xlfn.MAXIFS(TableRefills3[discountinuation_flag], TableRefills3[patient_id], A1159)</f>
        <v>1</v>
      </c>
    </row>
    <row r="1160" spans="1:9" x14ac:dyDescent="0.25">
      <c r="A1160" t="s">
        <v>1864</v>
      </c>
      <c r="B1160" t="s">
        <v>1865</v>
      </c>
      <c r="C1160" s="3">
        <v>45840</v>
      </c>
      <c r="D1160">
        <v>28</v>
      </c>
      <c r="E1160" s="3">
        <f t="shared" si="18"/>
        <v>45809</v>
      </c>
      <c r="F1160" s="3">
        <f>IF(TableRefills3[[#This Row],[prev_refill_days]]="","",TableRefills3[[#This Row],[prev_refill_days]]+TableRefills3[[#This Row],[quantity_days]])</f>
        <v>45837</v>
      </c>
      <c r="G1160">
        <f>IF(TableRefills3[[#This Row],[prev_refill_end]]="","",TableRefills3[[#This Row],[refill_date]]-TableRefills3[[#This Row],[prev_refill_end]])</f>
        <v>3</v>
      </c>
      <c r="H1160" s="10">
        <f>IF(TableRefills3[[#This Row],[gap_days]]="",0,IF(TableRefills3[[#This Row],[gap_days]]&gt;2,1,0))</f>
        <v>1</v>
      </c>
      <c r="I1160">
        <f>_xlfn.MAXIFS(TableRefills3[discountinuation_flag], TableRefills3[patient_id], A1160)</f>
        <v>1</v>
      </c>
    </row>
    <row r="1161" spans="1:9" x14ac:dyDescent="0.25">
      <c r="A1161" t="s">
        <v>1864</v>
      </c>
      <c r="B1161" t="s">
        <v>1865</v>
      </c>
      <c r="C1161" s="3">
        <v>45869</v>
      </c>
      <c r="D1161">
        <v>28</v>
      </c>
      <c r="E1161" s="3">
        <f t="shared" si="18"/>
        <v>45840</v>
      </c>
      <c r="F1161" s="3">
        <f>IF(TableRefills3[[#This Row],[prev_refill_days]]="","",TableRefills3[[#This Row],[prev_refill_days]]+TableRefills3[[#This Row],[quantity_days]])</f>
        <v>45868</v>
      </c>
      <c r="G1161">
        <f>IF(TableRefills3[[#This Row],[prev_refill_end]]="","",TableRefills3[[#This Row],[refill_date]]-TableRefills3[[#This Row],[prev_refill_end]])</f>
        <v>1</v>
      </c>
      <c r="H1161" s="10">
        <f>IF(TableRefills3[[#This Row],[gap_days]]="",0,IF(TableRefills3[[#This Row],[gap_days]]&gt;2,1,0))</f>
        <v>0</v>
      </c>
      <c r="I1161">
        <f>_xlfn.MAXIFS(TableRefills3[discountinuation_flag], TableRefills3[patient_id], A1161)</f>
        <v>1</v>
      </c>
    </row>
    <row r="1162" spans="1:9" x14ac:dyDescent="0.25">
      <c r="A1162" t="s">
        <v>1864</v>
      </c>
      <c r="B1162" t="s">
        <v>1865</v>
      </c>
      <c r="C1162" s="3">
        <v>45898</v>
      </c>
      <c r="D1162">
        <v>28</v>
      </c>
      <c r="E1162" s="3">
        <f t="shared" si="18"/>
        <v>45869</v>
      </c>
      <c r="F1162" s="3">
        <f>IF(TableRefills3[[#This Row],[prev_refill_days]]="","",TableRefills3[[#This Row],[prev_refill_days]]+TableRefills3[[#This Row],[quantity_days]])</f>
        <v>45897</v>
      </c>
      <c r="G1162">
        <f>IF(TableRefills3[[#This Row],[prev_refill_end]]="","",TableRefills3[[#This Row],[refill_date]]-TableRefills3[[#This Row],[prev_refill_end]])</f>
        <v>1</v>
      </c>
      <c r="H1162" s="10">
        <f>IF(TableRefills3[[#This Row],[gap_days]]="",0,IF(TableRefills3[[#This Row],[gap_days]]&gt;2,1,0))</f>
        <v>0</v>
      </c>
      <c r="I1162">
        <f>_xlfn.MAXIFS(TableRefills3[discountinuation_flag], TableRefills3[patient_id], A1162)</f>
        <v>1</v>
      </c>
    </row>
    <row r="1163" spans="1:9" x14ac:dyDescent="0.25">
      <c r="A1163" t="s">
        <v>1864</v>
      </c>
      <c r="B1163" t="s">
        <v>1865</v>
      </c>
      <c r="C1163" s="3">
        <v>45924</v>
      </c>
      <c r="D1163">
        <v>28</v>
      </c>
      <c r="E1163" s="3">
        <f t="shared" si="18"/>
        <v>45898</v>
      </c>
      <c r="F1163" s="3">
        <f>IF(TableRefills3[[#This Row],[prev_refill_days]]="","",TableRefills3[[#This Row],[prev_refill_days]]+TableRefills3[[#This Row],[quantity_days]])</f>
        <v>45926</v>
      </c>
      <c r="G1163">
        <f>IF(TableRefills3[[#This Row],[prev_refill_end]]="","",TableRefills3[[#This Row],[refill_date]]-TableRefills3[[#This Row],[prev_refill_end]])</f>
        <v>-2</v>
      </c>
      <c r="H1163" s="10">
        <f>IF(TableRefills3[[#This Row],[gap_days]]="",0,IF(TableRefills3[[#This Row],[gap_days]]&gt;2,1,0))</f>
        <v>0</v>
      </c>
      <c r="I1163">
        <f>_xlfn.MAXIFS(TableRefills3[discountinuation_flag], TableRefills3[patient_id], A1163)</f>
        <v>1</v>
      </c>
    </row>
    <row r="1164" spans="1:9" x14ac:dyDescent="0.25">
      <c r="A1164" t="s">
        <v>1864</v>
      </c>
      <c r="B1164" t="s">
        <v>1865</v>
      </c>
      <c r="C1164" s="3">
        <v>45950</v>
      </c>
      <c r="D1164">
        <v>28</v>
      </c>
      <c r="E1164" s="3">
        <f t="shared" si="18"/>
        <v>45924</v>
      </c>
      <c r="F1164" s="3">
        <f>IF(TableRefills3[[#This Row],[prev_refill_days]]="","",TableRefills3[[#This Row],[prev_refill_days]]+TableRefills3[[#This Row],[quantity_days]])</f>
        <v>45952</v>
      </c>
      <c r="G1164">
        <f>IF(TableRefills3[[#This Row],[prev_refill_end]]="","",TableRefills3[[#This Row],[refill_date]]-TableRefills3[[#This Row],[prev_refill_end]])</f>
        <v>-2</v>
      </c>
      <c r="H1164" s="10">
        <f>IF(TableRefills3[[#This Row],[gap_days]]="",0,IF(TableRefills3[[#This Row],[gap_days]]&gt;2,1,0))</f>
        <v>0</v>
      </c>
      <c r="I1164">
        <f>_xlfn.MAXIFS(TableRefills3[discountinuation_flag], TableRefills3[patient_id], A1164)</f>
        <v>1</v>
      </c>
    </row>
    <row r="1165" spans="1:9" x14ac:dyDescent="0.25">
      <c r="A1165" t="s">
        <v>1872</v>
      </c>
      <c r="B1165" t="s">
        <v>1873</v>
      </c>
      <c r="C1165" s="3">
        <v>45951</v>
      </c>
      <c r="D1165">
        <v>28</v>
      </c>
      <c r="E1165" s="3" t="str">
        <f t="shared" si="18"/>
        <v/>
      </c>
      <c r="F1165" s="3" t="str">
        <f>IF(TableRefills3[[#This Row],[prev_refill_days]]="","",TableRefills3[[#This Row],[prev_refill_days]]+TableRefills3[[#This Row],[quantity_days]])</f>
        <v/>
      </c>
      <c r="G1165" t="str">
        <f>IF(TableRefills3[[#This Row],[prev_refill_end]]="","",TableRefills3[[#This Row],[refill_date]]-TableRefills3[[#This Row],[prev_refill_end]])</f>
        <v/>
      </c>
      <c r="H1165" s="10">
        <f>IF(TableRefills3[[#This Row],[gap_days]]="",0,IF(TableRefills3[[#This Row],[gap_days]]&gt;2,1,0))</f>
        <v>0</v>
      </c>
      <c r="I1165">
        <f>_xlfn.MAXIFS(TableRefills3[discountinuation_flag], TableRefills3[patient_id], A1165)</f>
        <v>0</v>
      </c>
    </row>
    <row r="1166" spans="1:9" x14ac:dyDescent="0.25">
      <c r="A1166" t="s">
        <v>1875</v>
      </c>
      <c r="B1166" t="s">
        <v>1876</v>
      </c>
      <c r="C1166" s="3">
        <v>45875</v>
      </c>
      <c r="D1166">
        <v>28</v>
      </c>
      <c r="E1166" s="3" t="str">
        <f t="shared" si="18"/>
        <v/>
      </c>
      <c r="F1166" s="3" t="str">
        <f>IF(TableRefills3[[#This Row],[prev_refill_days]]="","",TableRefills3[[#This Row],[prev_refill_days]]+TableRefills3[[#This Row],[quantity_days]])</f>
        <v/>
      </c>
      <c r="G1166" t="str">
        <f>IF(TableRefills3[[#This Row],[prev_refill_end]]="","",TableRefills3[[#This Row],[refill_date]]-TableRefills3[[#This Row],[prev_refill_end]])</f>
        <v/>
      </c>
      <c r="H1166" s="10">
        <f>IF(TableRefills3[[#This Row],[gap_days]]="",0,IF(TableRefills3[[#This Row],[gap_days]]&gt;2,1,0))</f>
        <v>0</v>
      </c>
      <c r="I1166">
        <f>_xlfn.MAXIFS(TableRefills3[discountinuation_flag], TableRefills3[patient_id], A1166)</f>
        <v>0</v>
      </c>
    </row>
    <row r="1167" spans="1:9" x14ac:dyDescent="0.25">
      <c r="A1167" t="s">
        <v>1878</v>
      </c>
      <c r="B1167" t="s">
        <v>1879</v>
      </c>
      <c r="C1167" s="3">
        <v>45866</v>
      </c>
      <c r="D1167">
        <v>30</v>
      </c>
      <c r="E1167" s="3" t="str">
        <f t="shared" si="18"/>
        <v/>
      </c>
      <c r="F1167" s="3" t="str">
        <f>IF(TableRefills3[[#This Row],[prev_refill_days]]="","",TableRefills3[[#This Row],[prev_refill_days]]+TableRefills3[[#This Row],[quantity_days]])</f>
        <v/>
      </c>
      <c r="G1167" t="str">
        <f>IF(TableRefills3[[#This Row],[prev_refill_end]]="","",TableRefills3[[#This Row],[refill_date]]-TableRefills3[[#This Row],[prev_refill_end]])</f>
        <v/>
      </c>
      <c r="H1167" s="10">
        <f>IF(TableRefills3[[#This Row],[gap_days]]="",0,IF(TableRefills3[[#This Row],[gap_days]]&gt;2,1,0))</f>
        <v>0</v>
      </c>
      <c r="I1167">
        <f>_xlfn.MAXIFS(TableRefills3[discountinuation_flag], TableRefills3[patient_id], A1167)</f>
        <v>1</v>
      </c>
    </row>
    <row r="1168" spans="1:9" x14ac:dyDescent="0.25">
      <c r="A1168" t="s">
        <v>1878</v>
      </c>
      <c r="B1168" t="s">
        <v>1879</v>
      </c>
      <c r="C1168" s="3">
        <v>45894</v>
      </c>
      <c r="D1168">
        <v>30</v>
      </c>
      <c r="E1168" s="3">
        <f t="shared" si="18"/>
        <v>45866</v>
      </c>
      <c r="F1168" s="3">
        <f>IF(TableRefills3[[#This Row],[prev_refill_days]]="","",TableRefills3[[#This Row],[prev_refill_days]]+TableRefills3[[#This Row],[quantity_days]])</f>
        <v>45896</v>
      </c>
      <c r="G1168">
        <f>IF(TableRefills3[[#This Row],[prev_refill_end]]="","",TableRefills3[[#This Row],[refill_date]]-TableRefills3[[#This Row],[prev_refill_end]])</f>
        <v>-2</v>
      </c>
      <c r="H1168" s="10">
        <f>IF(TableRefills3[[#This Row],[gap_days]]="",0,IF(TableRefills3[[#This Row],[gap_days]]&gt;2,1,0))</f>
        <v>0</v>
      </c>
      <c r="I1168">
        <f>_xlfn.MAXIFS(TableRefills3[discountinuation_flag], TableRefills3[patient_id], A1168)</f>
        <v>1</v>
      </c>
    </row>
    <row r="1169" spans="1:9" x14ac:dyDescent="0.25">
      <c r="A1169" t="s">
        <v>1878</v>
      </c>
      <c r="B1169" t="s">
        <v>1879</v>
      </c>
      <c r="C1169" s="3">
        <v>45925</v>
      </c>
      <c r="D1169">
        <v>30</v>
      </c>
      <c r="E1169" s="3">
        <f t="shared" si="18"/>
        <v>45894</v>
      </c>
      <c r="F1169" s="3">
        <f>IF(TableRefills3[[#This Row],[prev_refill_days]]="","",TableRefills3[[#This Row],[prev_refill_days]]+TableRefills3[[#This Row],[quantity_days]])</f>
        <v>45924</v>
      </c>
      <c r="G1169">
        <f>IF(TableRefills3[[#This Row],[prev_refill_end]]="","",TableRefills3[[#This Row],[refill_date]]-TableRefills3[[#This Row],[prev_refill_end]])</f>
        <v>1</v>
      </c>
      <c r="H1169" s="10">
        <f>IF(TableRefills3[[#This Row],[gap_days]]="",0,IF(TableRefills3[[#This Row],[gap_days]]&gt;2,1,0))</f>
        <v>0</v>
      </c>
      <c r="I1169">
        <f>_xlfn.MAXIFS(TableRefills3[discountinuation_flag], TableRefills3[patient_id], A1169)</f>
        <v>1</v>
      </c>
    </row>
    <row r="1170" spans="1:9" x14ac:dyDescent="0.25">
      <c r="A1170" t="s">
        <v>1878</v>
      </c>
      <c r="B1170" t="s">
        <v>1879</v>
      </c>
      <c r="C1170" s="3">
        <v>45958</v>
      </c>
      <c r="D1170">
        <v>30</v>
      </c>
      <c r="E1170" s="3">
        <f t="shared" si="18"/>
        <v>45925</v>
      </c>
      <c r="F1170" s="3">
        <f>IF(TableRefills3[[#This Row],[prev_refill_days]]="","",TableRefills3[[#This Row],[prev_refill_days]]+TableRefills3[[#This Row],[quantity_days]])</f>
        <v>45955</v>
      </c>
      <c r="G1170">
        <f>IF(TableRefills3[[#This Row],[prev_refill_end]]="","",TableRefills3[[#This Row],[refill_date]]-TableRefills3[[#This Row],[prev_refill_end]])</f>
        <v>3</v>
      </c>
      <c r="H1170" s="10">
        <f>IF(TableRefills3[[#This Row],[gap_days]]="",0,IF(TableRefills3[[#This Row],[gap_days]]&gt;2,1,0))</f>
        <v>1</v>
      </c>
      <c r="I1170">
        <f>_xlfn.MAXIFS(TableRefills3[discountinuation_flag], TableRefills3[patient_id], A1170)</f>
        <v>1</v>
      </c>
    </row>
    <row r="1171" spans="1:9" x14ac:dyDescent="0.25">
      <c r="A1171" t="s">
        <v>1884</v>
      </c>
      <c r="B1171" t="s">
        <v>1885</v>
      </c>
      <c r="C1171" s="3">
        <v>45815</v>
      </c>
      <c r="D1171">
        <v>21</v>
      </c>
      <c r="E1171" s="3" t="str">
        <f t="shared" si="18"/>
        <v/>
      </c>
      <c r="F1171" s="3" t="str">
        <f>IF(TableRefills3[[#This Row],[prev_refill_days]]="","",TableRefills3[[#This Row],[prev_refill_days]]+TableRefills3[[#This Row],[quantity_days]])</f>
        <v/>
      </c>
      <c r="G1171" t="str">
        <f>IF(TableRefills3[[#This Row],[prev_refill_end]]="","",TableRefills3[[#This Row],[refill_date]]-TableRefills3[[#This Row],[prev_refill_end]])</f>
        <v/>
      </c>
      <c r="H1171" s="10">
        <f>IF(TableRefills3[[#This Row],[gap_days]]="",0,IF(TableRefills3[[#This Row],[gap_days]]&gt;2,1,0))</f>
        <v>0</v>
      </c>
      <c r="I1171">
        <f>_xlfn.MAXIFS(TableRefills3[discountinuation_flag], TableRefills3[patient_id], A1171)</f>
        <v>0</v>
      </c>
    </row>
    <row r="1172" spans="1:9" x14ac:dyDescent="0.25">
      <c r="A1172" t="s">
        <v>1884</v>
      </c>
      <c r="B1172" t="s">
        <v>1885</v>
      </c>
      <c r="C1172" s="3">
        <v>45836</v>
      </c>
      <c r="D1172">
        <v>21</v>
      </c>
      <c r="E1172" s="3">
        <f t="shared" si="18"/>
        <v>45815</v>
      </c>
      <c r="F1172" s="3">
        <f>IF(TableRefills3[[#This Row],[prev_refill_days]]="","",TableRefills3[[#This Row],[prev_refill_days]]+TableRefills3[[#This Row],[quantity_days]])</f>
        <v>45836</v>
      </c>
      <c r="G1172">
        <f>IF(TableRefills3[[#This Row],[prev_refill_end]]="","",TableRefills3[[#This Row],[refill_date]]-TableRefills3[[#This Row],[prev_refill_end]])</f>
        <v>0</v>
      </c>
      <c r="H1172" s="10">
        <f>IF(TableRefills3[[#This Row],[gap_days]]="",0,IF(TableRefills3[[#This Row],[gap_days]]&gt;2,1,0))</f>
        <v>0</v>
      </c>
      <c r="I1172">
        <f>_xlfn.MAXIFS(TableRefills3[discountinuation_flag], TableRefills3[patient_id], A1172)</f>
        <v>0</v>
      </c>
    </row>
    <row r="1173" spans="1:9" x14ac:dyDescent="0.25">
      <c r="A1173" t="s">
        <v>1884</v>
      </c>
      <c r="B1173" t="s">
        <v>1885</v>
      </c>
      <c r="C1173" s="3">
        <v>45856</v>
      </c>
      <c r="D1173">
        <v>21</v>
      </c>
      <c r="E1173" s="3">
        <f t="shared" si="18"/>
        <v>45836</v>
      </c>
      <c r="F1173" s="3">
        <f>IF(TableRefills3[[#This Row],[prev_refill_days]]="","",TableRefills3[[#This Row],[prev_refill_days]]+TableRefills3[[#This Row],[quantity_days]])</f>
        <v>45857</v>
      </c>
      <c r="G1173">
        <f>IF(TableRefills3[[#This Row],[prev_refill_end]]="","",TableRefills3[[#This Row],[refill_date]]-TableRefills3[[#This Row],[prev_refill_end]])</f>
        <v>-1</v>
      </c>
      <c r="H1173" s="10">
        <f>IF(TableRefills3[[#This Row],[gap_days]]="",0,IF(TableRefills3[[#This Row],[gap_days]]&gt;2,1,0))</f>
        <v>0</v>
      </c>
      <c r="I1173">
        <f>_xlfn.MAXIFS(TableRefills3[discountinuation_flag], TableRefills3[patient_id], A1173)</f>
        <v>0</v>
      </c>
    </row>
    <row r="1174" spans="1:9" x14ac:dyDescent="0.25">
      <c r="A1174" t="s">
        <v>1884</v>
      </c>
      <c r="B1174" t="s">
        <v>1885</v>
      </c>
      <c r="C1174" s="3">
        <v>45874</v>
      </c>
      <c r="D1174">
        <v>21</v>
      </c>
      <c r="E1174" s="3">
        <f t="shared" si="18"/>
        <v>45856</v>
      </c>
      <c r="F1174" s="3">
        <f>IF(TableRefills3[[#This Row],[prev_refill_days]]="","",TableRefills3[[#This Row],[prev_refill_days]]+TableRefills3[[#This Row],[quantity_days]])</f>
        <v>45877</v>
      </c>
      <c r="G1174">
        <f>IF(TableRefills3[[#This Row],[prev_refill_end]]="","",TableRefills3[[#This Row],[refill_date]]-TableRefills3[[#This Row],[prev_refill_end]])</f>
        <v>-3</v>
      </c>
      <c r="H1174" s="10">
        <f>IF(TableRefills3[[#This Row],[gap_days]]="",0,IF(TableRefills3[[#This Row],[gap_days]]&gt;2,1,0))</f>
        <v>0</v>
      </c>
      <c r="I1174">
        <f>_xlfn.MAXIFS(TableRefills3[discountinuation_flag], TableRefills3[patient_id], A1174)</f>
        <v>0</v>
      </c>
    </row>
    <row r="1175" spans="1:9" x14ac:dyDescent="0.25">
      <c r="A1175" t="s">
        <v>1884</v>
      </c>
      <c r="B1175" t="s">
        <v>1885</v>
      </c>
      <c r="C1175" s="3">
        <v>45897</v>
      </c>
      <c r="D1175">
        <v>21</v>
      </c>
      <c r="E1175" s="3">
        <f t="shared" si="18"/>
        <v>45874</v>
      </c>
      <c r="F1175" s="3">
        <f>IF(TableRefills3[[#This Row],[prev_refill_days]]="","",TableRefills3[[#This Row],[prev_refill_days]]+TableRefills3[[#This Row],[quantity_days]])</f>
        <v>45895</v>
      </c>
      <c r="G1175">
        <f>IF(TableRefills3[[#This Row],[prev_refill_end]]="","",TableRefills3[[#This Row],[refill_date]]-TableRefills3[[#This Row],[prev_refill_end]])</f>
        <v>2</v>
      </c>
      <c r="H1175" s="10">
        <f>IF(TableRefills3[[#This Row],[gap_days]]="",0,IF(TableRefills3[[#This Row],[gap_days]]&gt;2,1,0))</f>
        <v>0</v>
      </c>
      <c r="I1175">
        <f>_xlfn.MAXIFS(TableRefills3[discountinuation_flag], TableRefills3[patient_id], A1175)</f>
        <v>0</v>
      </c>
    </row>
    <row r="1176" spans="1:9" x14ac:dyDescent="0.25">
      <c r="A1176" t="s">
        <v>1884</v>
      </c>
      <c r="B1176" t="s">
        <v>1885</v>
      </c>
      <c r="C1176" s="3">
        <v>45918</v>
      </c>
      <c r="D1176">
        <v>21</v>
      </c>
      <c r="E1176" s="3">
        <f t="shared" si="18"/>
        <v>45897</v>
      </c>
      <c r="F1176" s="3">
        <f>IF(TableRefills3[[#This Row],[prev_refill_days]]="","",TableRefills3[[#This Row],[prev_refill_days]]+TableRefills3[[#This Row],[quantity_days]])</f>
        <v>45918</v>
      </c>
      <c r="G1176">
        <f>IF(TableRefills3[[#This Row],[prev_refill_end]]="","",TableRefills3[[#This Row],[refill_date]]-TableRefills3[[#This Row],[prev_refill_end]])</f>
        <v>0</v>
      </c>
      <c r="H1176" s="10">
        <f>IF(TableRefills3[[#This Row],[gap_days]]="",0,IF(TableRefills3[[#This Row],[gap_days]]&gt;2,1,0))</f>
        <v>0</v>
      </c>
      <c r="I1176">
        <f>_xlfn.MAXIFS(TableRefills3[discountinuation_flag], TableRefills3[patient_id], A1176)</f>
        <v>0</v>
      </c>
    </row>
    <row r="1177" spans="1:9" x14ac:dyDescent="0.25">
      <c r="A1177" t="s">
        <v>1884</v>
      </c>
      <c r="B1177" t="s">
        <v>1885</v>
      </c>
      <c r="C1177" s="3">
        <v>45940</v>
      </c>
      <c r="D1177">
        <v>21</v>
      </c>
      <c r="E1177" s="3">
        <f t="shared" si="18"/>
        <v>45918</v>
      </c>
      <c r="F1177" s="3">
        <f>IF(TableRefills3[[#This Row],[prev_refill_days]]="","",TableRefills3[[#This Row],[prev_refill_days]]+TableRefills3[[#This Row],[quantity_days]])</f>
        <v>45939</v>
      </c>
      <c r="G1177">
        <f>IF(TableRefills3[[#This Row],[prev_refill_end]]="","",TableRefills3[[#This Row],[refill_date]]-TableRefills3[[#This Row],[prev_refill_end]])</f>
        <v>1</v>
      </c>
      <c r="H1177" s="10">
        <f>IF(TableRefills3[[#This Row],[gap_days]]="",0,IF(TableRefills3[[#This Row],[gap_days]]&gt;2,1,0))</f>
        <v>0</v>
      </c>
      <c r="I1177">
        <f>_xlfn.MAXIFS(TableRefills3[discountinuation_flag], TableRefills3[patient_id], A1177)</f>
        <v>0</v>
      </c>
    </row>
    <row r="1178" spans="1:9" x14ac:dyDescent="0.25">
      <c r="A1178" t="s">
        <v>1893</v>
      </c>
      <c r="B1178" t="s">
        <v>1894</v>
      </c>
      <c r="C1178" s="3">
        <v>45788</v>
      </c>
      <c r="D1178">
        <v>28</v>
      </c>
      <c r="E1178" s="3" t="str">
        <f t="shared" si="18"/>
        <v/>
      </c>
      <c r="F1178" s="3" t="str">
        <f>IF(TableRefills3[[#This Row],[prev_refill_days]]="","",TableRefills3[[#This Row],[prev_refill_days]]+TableRefills3[[#This Row],[quantity_days]])</f>
        <v/>
      </c>
      <c r="G1178" t="str">
        <f>IF(TableRefills3[[#This Row],[prev_refill_end]]="","",TableRefills3[[#This Row],[refill_date]]-TableRefills3[[#This Row],[prev_refill_end]])</f>
        <v/>
      </c>
      <c r="H1178" s="10">
        <f>IF(TableRefills3[[#This Row],[gap_days]]="",0,IF(TableRefills3[[#This Row],[gap_days]]&gt;2,1,0))</f>
        <v>0</v>
      </c>
      <c r="I1178">
        <f>_xlfn.MAXIFS(TableRefills3[discountinuation_flag], TableRefills3[patient_id], A1178)</f>
        <v>0</v>
      </c>
    </row>
    <row r="1179" spans="1:9" x14ac:dyDescent="0.25">
      <c r="A1179" t="s">
        <v>1893</v>
      </c>
      <c r="B1179" t="s">
        <v>1894</v>
      </c>
      <c r="C1179" s="3">
        <v>45816</v>
      </c>
      <c r="D1179">
        <v>28</v>
      </c>
      <c r="E1179" s="3">
        <f t="shared" si="18"/>
        <v>45788</v>
      </c>
      <c r="F1179" s="3">
        <f>IF(TableRefills3[[#This Row],[prev_refill_days]]="","",TableRefills3[[#This Row],[prev_refill_days]]+TableRefills3[[#This Row],[quantity_days]])</f>
        <v>45816</v>
      </c>
      <c r="G1179">
        <f>IF(TableRefills3[[#This Row],[prev_refill_end]]="","",TableRefills3[[#This Row],[refill_date]]-TableRefills3[[#This Row],[prev_refill_end]])</f>
        <v>0</v>
      </c>
      <c r="H1179" s="10">
        <f>IF(TableRefills3[[#This Row],[gap_days]]="",0,IF(TableRefills3[[#This Row],[gap_days]]&gt;2,1,0))</f>
        <v>0</v>
      </c>
      <c r="I1179">
        <f>_xlfn.MAXIFS(TableRefills3[discountinuation_flag], TableRefills3[patient_id], A1179)</f>
        <v>0</v>
      </c>
    </row>
    <row r="1180" spans="1:9" x14ac:dyDescent="0.25">
      <c r="A1180" t="s">
        <v>1893</v>
      </c>
      <c r="B1180" t="s">
        <v>1894</v>
      </c>
      <c r="C1180" s="3">
        <v>45842</v>
      </c>
      <c r="D1180">
        <v>28</v>
      </c>
      <c r="E1180" s="3">
        <f t="shared" si="18"/>
        <v>45816</v>
      </c>
      <c r="F1180" s="3">
        <f>IF(TableRefills3[[#This Row],[prev_refill_days]]="","",TableRefills3[[#This Row],[prev_refill_days]]+TableRefills3[[#This Row],[quantity_days]])</f>
        <v>45844</v>
      </c>
      <c r="G1180">
        <f>IF(TableRefills3[[#This Row],[prev_refill_end]]="","",TableRefills3[[#This Row],[refill_date]]-TableRefills3[[#This Row],[prev_refill_end]])</f>
        <v>-2</v>
      </c>
      <c r="H1180" s="10">
        <f>IF(TableRefills3[[#This Row],[gap_days]]="",0,IF(TableRefills3[[#This Row],[gap_days]]&gt;2,1,0))</f>
        <v>0</v>
      </c>
      <c r="I1180">
        <f>_xlfn.MAXIFS(TableRefills3[discountinuation_flag], TableRefills3[patient_id], A1180)</f>
        <v>0</v>
      </c>
    </row>
    <row r="1181" spans="1:9" x14ac:dyDescent="0.25">
      <c r="A1181" t="s">
        <v>1893</v>
      </c>
      <c r="B1181" t="s">
        <v>1894</v>
      </c>
      <c r="C1181" s="3">
        <v>45868</v>
      </c>
      <c r="D1181">
        <v>28</v>
      </c>
      <c r="E1181" s="3">
        <f t="shared" si="18"/>
        <v>45842</v>
      </c>
      <c r="F1181" s="3">
        <f>IF(TableRefills3[[#This Row],[prev_refill_days]]="","",TableRefills3[[#This Row],[prev_refill_days]]+TableRefills3[[#This Row],[quantity_days]])</f>
        <v>45870</v>
      </c>
      <c r="G1181">
        <f>IF(TableRefills3[[#This Row],[prev_refill_end]]="","",TableRefills3[[#This Row],[refill_date]]-TableRefills3[[#This Row],[prev_refill_end]])</f>
        <v>-2</v>
      </c>
      <c r="H1181" s="10">
        <f>IF(TableRefills3[[#This Row],[gap_days]]="",0,IF(TableRefills3[[#This Row],[gap_days]]&gt;2,1,0))</f>
        <v>0</v>
      </c>
      <c r="I1181">
        <f>_xlfn.MAXIFS(TableRefills3[discountinuation_flag], TableRefills3[patient_id], A1181)</f>
        <v>0</v>
      </c>
    </row>
    <row r="1182" spans="1:9" x14ac:dyDescent="0.25">
      <c r="A1182" t="s">
        <v>1893</v>
      </c>
      <c r="B1182" t="s">
        <v>1894</v>
      </c>
      <c r="C1182" s="3">
        <v>45897</v>
      </c>
      <c r="D1182">
        <v>28</v>
      </c>
      <c r="E1182" s="3">
        <f t="shared" si="18"/>
        <v>45868</v>
      </c>
      <c r="F1182" s="3">
        <f>IF(TableRefills3[[#This Row],[prev_refill_days]]="","",TableRefills3[[#This Row],[prev_refill_days]]+TableRefills3[[#This Row],[quantity_days]])</f>
        <v>45896</v>
      </c>
      <c r="G1182">
        <f>IF(TableRefills3[[#This Row],[prev_refill_end]]="","",TableRefills3[[#This Row],[refill_date]]-TableRefills3[[#This Row],[prev_refill_end]])</f>
        <v>1</v>
      </c>
      <c r="H1182" s="10">
        <f>IF(TableRefills3[[#This Row],[gap_days]]="",0,IF(TableRefills3[[#This Row],[gap_days]]&gt;2,1,0))</f>
        <v>0</v>
      </c>
      <c r="I1182">
        <f>_xlfn.MAXIFS(TableRefills3[discountinuation_flag], TableRefills3[patient_id], A1182)</f>
        <v>0</v>
      </c>
    </row>
    <row r="1183" spans="1:9" x14ac:dyDescent="0.25">
      <c r="A1183" t="s">
        <v>1893</v>
      </c>
      <c r="B1183" t="s">
        <v>1894</v>
      </c>
      <c r="C1183" s="3">
        <v>45923</v>
      </c>
      <c r="D1183">
        <v>28</v>
      </c>
      <c r="E1183" s="3">
        <f t="shared" si="18"/>
        <v>45897</v>
      </c>
      <c r="F1183" s="3">
        <f>IF(TableRefills3[[#This Row],[prev_refill_days]]="","",TableRefills3[[#This Row],[prev_refill_days]]+TableRefills3[[#This Row],[quantity_days]])</f>
        <v>45925</v>
      </c>
      <c r="G1183">
        <f>IF(TableRefills3[[#This Row],[prev_refill_end]]="","",TableRefills3[[#This Row],[refill_date]]-TableRefills3[[#This Row],[prev_refill_end]])</f>
        <v>-2</v>
      </c>
      <c r="H1183" s="10">
        <f>IF(TableRefills3[[#This Row],[gap_days]]="",0,IF(TableRefills3[[#This Row],[gap_days]]&gt;2,1,0))</f>
        <v>0</v>
      </c>
      <c r="I1183">
        <f>_xlfn.MAXIFS(TableRefills3[discountinuation_flag], TableRefills3[patient_id], A1183)</f>
        <v>0</v>
      </c>
    </row>
    <row r="1184" spans="1:9" x14ac:dyDescent="0.25">
      <c r="A1184" t="s">
        <v>1893</v>
      </c>
      <c r="B1184" t="s">
        <v>1894</v>
      </c>
      <c r="C1184" s="3">
        <v>45952</v>
      </c>
      <c r="D1184">
        <v>28</v>
      </c>
      <c r="E1184" s="3">
        <f t="shared" si="18"/>
        <v>45923</v>
      </c>
      <c r="F1184" s="3">
        <f>IF(TableRefills3[[#This Row],[prev_refill_days]]="","",TableRefills3[[#This Row],[prev_refill_days]]+TableRefills3[[#This Row],[quantity_days]])</f>
        <v>45951</v>
      </c>
      <c r="G1184">
        <f>IF(TableRefills3[[#This Row],[prev_refill_end]]="","",TableRefills3[[#This Row],[refill_date]]-TableRefills3[[#This Row],[prev_refill_end]])</f>
        <v>1</v>
      </c>
      <c r="H1184" s="10">
        <f>IF(TableRefills3[[#This Row],[gap_days]]="",0,IF(TableRefills3[[#This Row],[gap_days]]&gt;2,1,0))</f>
        <v>0</v>
      </c>
      <c r="I1184">
        <f>_xlfn.MAXIFS(TableRefills3[discountinuation_flag], TableRefills3[patient_id], A1184)</f>
        <v>0</v>
      </c>
    </row>
    <row r="1185" spans="1:9" x14ac:dyDescent="0.25">
      <c r="A1185" t="s">
        <v>1902</v>
      </c>
      <c r="B1185" t="s">
        <v>1903</v>
      </c>
      <c r="C1185" s="3">
        <v>45960</v>
      </c>
      <c r="D1185">
        <v>30</v>
      </c>
      <c r="E1185" s="3" t="str">
        <f t="shared" si="18"/>
        <v/>
      </c>
      <c r="F1185" s="3" t="str">
        <f>IF(TableRefills3[[#This Row],[prev_refill_days]]="","",TableRefills3[[#This Row],[prev_refill_days]]+TableRefills3[[#This Row],[quantity_days]])</f>
        <v/>
      </c>
      <c r="G1185" t="str">
        <f>IF(TableRefills3[[#This Row],[prev_refill_end]]="","",TableRefills3[[#This Row],[refill_date]]-TableRefills3[[#This Row],[prev_refill_end]])</f>
        <v/>
      </c>
      <c r="H1185" s="10">
        <f>IF(TableRefills3[[#This Row],[gap_days]]="",0,IF(TableRefills3[[#This Row],[gap_days]]&gt;2,1,0))</f>
        <v>0</v>
      </c>
      <c r="I1185">
        <f>_xlfn.MAXIFS(TableRefills3[discountinuation_flag], TableRefills3[patient_id], A1185)</f>
        <v>0</v>
      </c>
    </row>
    <row r="1186" spans="1:9" x14ac:dyDescent="0.25">
      <c r="A1186" t="s">
        <v>1905</v>
      </c>
      <c r="B1186" t="s">
        <v>1906</v>
      </c>
      <c r="C1186" s="3">
        <v>45866</v>
      </c>
      <c r="D1186">
        <v>14</v>
      </c>
      <c r="E1186" s="3" t="str">
        <f t="shared" si="18"/>
        <v/>
      </c>
      <c r="F1186" s="3" t="str">
        <f>IF(TableRefills3[[#This Row],[prev_refill_days]]="","",TableRefills3[[#This Row],[prev_refill_days]]+TableRefills3[[#This Row],[quantity_days]])</f>
        <v/>
      </c>
      <c r="G1186" t="str">
        <f>IF(TableRefills3[[#This Row],[prev_refill_end]]="","",TableRefills3[[#This Row],[refill_date]]-TableRefills3[[#This Row],[prev_refill_end]])</f>
        <v/>
      </c>
      <c r="H1186" s="10">
        <f>IF(TableRefills3[[#This Row],[gap_days]]="",0,IF(TableRefills3[[#This Row],[gap_days]]&gt;2,1,0))</f>
        <v>0</v>
      </c>
      <c r="I1186">
        <f>_xlfn.MAXIFS(TableRefills3[discountinuation_flag], TableRefills3[patient_id], A1186)</f>
        <v>0</v>
      </c>
    </row>
    <row r="1187" spans="1:9" x14ac:dyDescent="0.25">
      <c r="A1187" t="s">
        <v>1905</v>
      </c>
      <c r="B1187" t="s">
        <v>1906</v>
      </c>
      <c r="C1187" s="3">
        <v>45879</v>
      </c>
      <c r="D1187">
        <v>14</v>
      </c>
      <c r="E1187" s="3">
        <f t="shared" si="18"/>
        <v>45866</v>
      </c>
      <c r="F1187" s="3">
        <f>IF(TableRefills3[[#This Row],[prev_refill_days]]="","",TableRefills3[[#This Row],[prev_refill_days]]+TableRefills3[[#This Row],[quantity_days]])</f>
        <v>45880</v>
      </c>
      <c r="G1187">
        <f>IF(TableRefills3[[#This Row],[prev_refill_end]]="","",TableRefills3[[#This Row],[refill_date]]-TableRefills3[[#This Row],[prev_refill_end]])</f>
        <v>-1</v>
      </c>
      <c r="H1187" s="10">
        <f>IF(TableRefills3[[#This Row],[gap_days]]="",0,IF(TableRefills3[[#This Row],[gap_days]]&gt;2,1,0))</f>
        <v>0</v>
      </c>
      <c r="I1187">
        <f>_xlfn.MAXIFS(TableRefills3[discountinuation_flag], TableRefills3[patient_id], A1187)</f>
        <v>0</v>
      </c>
    </row>
    <row r="1188" spans="1:9" x14ac:dyDescent="0.25">
      <c r="A1188" t="s">
        <v>1905</v>
      </c>
      <c r="B1188" t="s">
        <v>1906</v>
      </c>
      <c r="C1188" s="3">
        <v>45891</v>
      </c>
      <c r="D1188">
        <v>14</v>
      </c>
      <c r="E1188" s="3">
        <f t="shared" si="18"/>
        <v>45879</v>
      </c>
      <c r="F1188" s="3">
        <f>IF(TableRefills3[[#This Row],[prev_refill_days]]="","",TableRefills3[[#This Row],[prev_refill_days]]+TableRefills3[[#This Row],[quantity_days]])</f>
        <v>45893</v>
      </c>
      <c r="G1188">
        <f>IF(TableRefills3[[#This Row],[prev_refill_end]]="","",TableRefills3[[#This Row],[refill_date]]-TableRefills3[[#This Row],[prev_refill_end]])</f>
        <v>-2</v>
      </c>
      <c r="H1188" s="10">
        <f>IF(TableRefills3[[#This Row],[gap_days]]="",0,IF(TableRefills3[[#This Row],[gap_days]]&gt;2,1,0))</f>
        <v>0</v>
      </c>
      <c r="I1188">
        <f>_xlfn.MAXIFS(TableRefills3[discountinuation_flag], TableRefills3[patient_id], A1188)</f>
        <v>0</v>
      </c>
    </row>
    <row r="1189" spans="1:9" x14ac:dyDescent="0.25">
      <c r="A1189" t="s">
        <v>1905</v>
      </c>
      <c r="B1189" t="s">
        <v>1906</v>
      </c>
      <c r="C1189" s="3">
        <v>45905</v>
      </c>
      <c r="D1189">
        <v>14</v>
      </c>
      <c r="E1189" s="3">
        <f t="shared" si="18"/>
        <v>45891</v>
      </c>
      <c r="F1189" s="3">
        <f>IF(TableRefills3[[#This Row],[prev_refill_days]]="","",TableRefills3[[#This Row],[prev_refill_days]]+TableRefills3[[#This Row],[quantity_days]])</f>
        <v>45905</v>
      </c>
      <c r="G1189">
        <f>IF(TableRefills3[[#This Row],[prev_refill_end]]="","",TableRefills3[[#This Row],[refill_date]]-TableRefills3[[#This Row],[prev_refill_end]])</f>
        <v>0</v>
      </c>
      <c r="H1189" s="10">
        <f>IF(TableRefills3[[#This Row],[gap_days]]="",0,IF(TableRefills3[[#This Row],[gap_days]]&gt;2,1,0))</f>
        <v>0</v>
      </c>
      <c r="I1189">
        <f>_xlfn.MAXIFS(TableRefills3[discountinuation_flag], TableRefills3[patient_id], A1189)</f>
        <v>0</v>
      </c>
    </row>
    <row r="1190" spans="1:9" x14ac:dyDescent="0.25">
      <c r="A1190" t="s">
        <v>1905</v>
      </c>
      <c r="B1190" t="s">
        <v>1906</v>
      </c>
      <c r="C1190" s="3">
        <v>45920</v>
      </c>
      <c r="D1190">
        <v>14</v>
      </c>
      <c r="E1190" s="3">
        <f t="shared" si="18"/>
        <v>45905</v>
      </c>
      <c r="F1190" s="3">
        <f>IF(TableRefills3[[#This Row],[prev_refill_days]]="","",TableRefills3[[#This Row],[prev_refill_days]]+TableRefills3[[#This Row],[quantity_days]])</f>
        <v>45919</v>
      </c>
      <c r="G1190">
        <f>IF(TableRefills3[[#This Row],[prev_refill_end]]="","",TableRefills3[[#This Row],[refill_date]]-TableRefills3[[#This Row],[prev_refill_end]])</f>
        <v>1</v>
      </c>
      <c r="H1190" s="10">
        <f>IF(TableRefills3[[#This Row],[gap_days]]="",0,IF(TableRefills3[[#This Row],[gap_days]]&gt;2,1,0))</f>
        <v>0</v>
      </c>
      <c r="I1190">
        <f>_xlfn.MAXIFS(TableRefills3[discountinuation_flag], TableRefills3[patient_id], A1190)</f>
        <v>0</v>
      </c>
    </row>
    <row r="1191" spans="1:9" x14ac:dyDescent="0.25">
      <c r="A1191" t="s">
        <v>1905</v>
      </c>
      <c r="B1191" t="s">
        <v>1906</v>
      </c>
      <c r="C1191" s="3">
        <v>45931</v>
      </c>
      <c r="D1191">
        <v>14</v>
      </c>
      <c r="E1191" s="3">
        <f t="shared" si="18"/>
        <v>45920</v>
      </c>
      <c r="F1191" s="3">
        <f>IF(TableRefills3[[#This Row],[prev_refill_days]]="","",TableRefills3[[#This Row],[prev_refill_days]]+TableRefills3[[#This Row],[quantity_days]])</f>
        <v>45934</v>
      </c>
      <c r="G1191">
        <f>IF(TableRefills3[[#This Row],[prev_refill_end]]="","",TableRefills3[[#This Row],[refill_date]]-TableRefills3[[#This Row],[prev_refill_end]])</f>
        <v>-3</v>
      </c>
      <c r="H1191" s="10">
        <f>IF(TableRefills3[[#This Row],[gap_days]]="",0,IF(TableRefills3[[#This Row],[gap_days]]&gt;2,1,0))</f>
        <v>0</v>
      </c>
      <c r="I1191">
        <f>_xlfn.MAXIFS(TableRefills3[discountinuation_flag], TableRefills3[patient_id], A1191)</f>
        <v>0</v>
      </c>
    </row>
    <row r="1192" spans="1:9" x14ac:dyDescent="0.25">
      <c r="A1192" t="s">
        <v>1905</v>
      </c>
      <c r="B1192" t="s">
        <v>1906</v>
      </c>
      <c r="C1192" s="3">
        <v>45947</v>
      </c>
      <c r="D1192">
        <v>14</v>
      </c>
      <c r="E1192" s="3">
        <f t="shared" si="18"/>
        <v>45931</v>
      </c>
      <c r="F1192" s="3">
        <f>IF(TableRefills3[[#This Row],[prev_refill_days]]="","",TableRefills3[[#This Row],[prev_refill_days]]+TableRefills3[[#This Row],[quantity_days]])</f>
        <v>45945</v>
      </c>
      <c r="G1192">
        <f>IF(TableRefills3[[#This Row],[prev_refill_end]]="","",TableRefills3[[#This Row],[refill_date]]-TableRefills3[[#This Row],[prev_refill_end]])</f>
        <v>2</v>
      </c>
      <c r="H1192" s="10">
        <f>IF(TableRefills3[[#This Row],[gap_days]]="",0,IF(TableRefills3[[#This Row],[gap_days]]&gt;2,1,0))</f>
        <v>0</v>
      </c>
      <c r="I1192">
        <f>_xlfn.MAXIFS(TableRefills3[discountinuation_flag], TableRefills3[patient_id], A1192)</f>
        <v>0</v>
      </c>
    </row>
    <row r="1193" spans="1:9" x14ac:dyDescent="0.25">
      <c r="A1193" t="s">
        <v>1914</v>
      </c>
      <c r="B1193" t="s">
        <v>1915</v>
      </c>
      <c r="C1193" s="3">
        <v>45945</v>
      </c>
      <c r="D1193">
        <v>30</v>
      </c>
      <c r="E1193" s="3" t="str">
        <f t="shared" si="18"/>
        <v/>
      </c>
      <c r="F1193" s="3" t="str">
        <f>IF(TableRefills3[[#This Row],[prev_refill_days]]="","",TableRefills3[[#This Row],[prev_refill_days]]+TableRefills3[[#This Row],[quantity_days]])</f>
        <v/>
      </c>
      <c r="G1193" t="str">
        <f>IF(TableRefills3[[#This Row],[prev_refill_end]]="","",TableRefills3[[#This Row],[refill_date]]-TableRefills3[[#This Row],[prev_refill_end]])</f>
        <v/>
      </c>
      <c r="H1193" s="10">
        <f>IF(TableRefills3[[#This Row],[gap_days]]="",0,IF(TableRefills3[[#This Row],[gap_days]]&gt;2,1,0))</f>
        <v>0</v>
      </c>
      <c r="I1193">
        <f>_xlfn.MAXIFS(TableRefills3[discountinuation_flag], TableRefills3[patient_id], A1193)</f>
        <v>0</v>
      </c>
    </row>
    <row r="1194" spans="1:9" x14ac:dyDescent="0.25">
      <c r="A1194" t="s">
        <v>1917</v>
      </c>
      <c r="B1194" t="s">
        <v>1918</v>
      </c>
      <c r="C1194" s="3">
        <v>45900</v>
      </c>
      <c r="D1194">
        <v>28</v>
      </c>
      <c r="E1194" s="3" t="str">
        <f t="shared" si="18"/>
        <v/>
      </c>
      <c r="F1194" s="3" t="str">
        <f>IF(TableRefills3[[#This Row],[prev_refill_days]]="","",TableRefills3[[#This Row],[prev_refill_days]]+TableRefills3[[#This Row],[quantity_days]])</f>
        <v/>
      </c>
      <c r="G1194" t="str">
        <f>IF(TableRefills3[[#This Row],[prev_refill_end]]="","",TableRefills3[[#This Row],[refill_date]]-TableRefills3[[#This Row],[prev_refill_end]])</f>
        <v/>
      </c>
      <c r="H1194" s="10">
        <f>IF(TableRefills3[[#This Row],[gap_days]]="",0,IF(TableRefills3[[#This Row],[gap_days]]&gt;2,1,0))</f>
        <v>0</v>
      </c>
      <c r="I1194">
        <f>_xlfn.MAXIFS(TableRefills3[discountinuation_flag], TableRefills3[patient_id], A1194)</f>
        <v>0</v>
      </c>
    </row>
    <row r="1195" spans="1:9" x14ac:dyDescent="0.25">
      <c r="A1195" t="s">
        <v>1917</v>
      </c>
      <c r="B1195" t="s">
        <v>1918</v>
      </c>
      <c r="C1195" s="3">
        <v>45925</v>
      </c>
      <c r="D1195">
        <v>28</v>
      </c>
      <c r="E1195" s="3">
        <f t="shared" si="18"/>
        <v>45900</v>
      </c>
      <c r="F1195" s="3">
        <f>IF(TableRefills3[[#This Row],[prev_refill_days]]="","",TableRefills3[[#This Row],[prev_refill_days]]+TableRefills3[[#This Row],[quantity_days]])</f>
        <v>45928</v>
      </c>
      <c r="G1195">
        <f>IF(TableRefills3[[#This Row],[prev_refill_end]]="","",TableRefills3[[#This Row],[refill_date]]-TableRefills3[[#This Row],[prev_refill_end]])</f>
        <v>-3</v>
      </c>
      <c r="H1195" s="10">
        <f>IF(TableRefills3[[#This Row],[gap_days]]="",0,IF(TableRefills3[[#This Row],[gap_days]]&gt;2,1,0))</f>
        <v>0</v>
      </c>
      <c r="I1195">
        <f>_xlfn.MAXIFS(TableRefills3[discountinuation_flag], TableRefills3[patient_id], A1195)</f>
        <v>0</v>
      </c>
    </row>
    <row r="1196" spans="1:9" x14ac:dyDescent="0.25">
      <c r="A1196" t="s">
        <v>1917</v>
      </c>
      <c r="B1196" t="s">
        <v>1918</v>
      </c>
      <c r="C1196" s="3">
        <v>45953</v>
      </c>
      <c r="D1196">
        <v>28</v>
      </c>
      <c r="E1196" s="3">
        <f t="shared" si="18"/>
        <v>45925</v>
      </c>
      <c r="F1196" s="3">
        <f>IF(TableRefills3[[#This Row],[prev_refill_days]]="","",TableRefills3[[#This Row],[prev_refill_days]]+TableRefills3[[#This Row],[quantity_days]])</f>
        <v>45953</v>
      </c>
      <c r="G1196">
        <f>IF(TableRefills3[[#This Row],[prev_refill_end]]="","",TableRefills3[[#This Row],[refill_date]]-TableRefills3[[#This Row],[prev_refill_end]])</f>
        <v>0</v>
      </c>
      <c r="H1196" s="10">
        <f>IF(TableRefills3[[#This Row],[gap_days]]="",0,IF(TableRefills3[[#This Row],[gap_days]]&gt;2,1,0))</f>
        <v>0</v>
      </c>
      <c r="I1196">
        <f>_xlfn.MAXIFS(TableRefills3[discountinuation_flag], TableRefills3[patient_id], A1196)</f>
        <v>0</v>
      </c>
    </row>
    <row r="1197" spans="1:9" x14ac:dyDescent="0.25">
      <c r="A1197" t="s">
        <v>1922</v>
      </c>
      <c r="B1197" t="s">
        <v>1923</v>
      </c>
      <c r="C1197" s="3">
        <v>45829</v>
      </c>
      <c r="D1197">
        <v>30</v>
      </c>
      <c r="E1197" s="3" t="str">
        <f t="shared" si="18"/>
        <v/>
      </c>
      <c r="F1197" s="3" t="str">
        <f>IF(TableRefills3[[#This Row],[prev_refill_days]]="","",TableRefills3[[#This Row],[prev_refill_days]]+TableRefills3[[#This Row],[quantity_days]])</f>
        <v/>
      </c>
      <c r="G1197" t="str">
        <f>IF(TableRefills3[[#This Row],[prev_refill_end]]="","",TableRefills3[[#This Row],[refill_date]]-TableRefills3[[#This Row],[prev_refill_end]])</f>
        <v/>
      </c>
      <c r="H1197" s="10">
        <f>IF(TableRefills3[[#This Row],[gap_days]]="",0,IF(TableRefills3[[#This Row],[gap_days]]&gt;2,1,0))</f>
        <v>0</v>
      </c>
      <c r="I1197">
        <f>_xlfn.MAXIFS(TableRefills3[discountinuation_flag], TableRefills3[patient_id], A1197)</f>
        <v>0</v>
      </c>
    </row>
    <row r="1198" spans="1:9" x14ac:dyDescent="0.25">
      <c r="A1198" t="s">
        <v>1922</v>
      </c>
      <c r="B1198" t="s">
        <v>1923</v>
      </c>
      <c r="C1198" s="3">
        <v>45857</v>
      </c>
      <c r="D1198">
        <v>30</v>
      </c>
      <c r="E1198" s="3">
        <f t="shared" si="18"/>
        <v>45829</v>
      </c>
      <c r="F1198" s="3">
        <f>IF(TableRefills3[[#This Row],[prev_refill_days]]="","",TableRefills3[[#This Row],[prev_refill_days]]+TableRefills3[[#This Row],[quantity_days]])</f>
        <v>45859</v>
      </c>
      <c r="G1198">
        <f>IF(TableRefills3[[#This Row],[prev_refill_end]]="","",TableRefills3[[#This Row],[refill_date]]-TableRefills3[[#This Row],[prev_refill_end]])</f>
        <v>-2</v>
      </c>
      <c r="H1198" s="10">
        <f>IF(TableRefills3[[#This Row],[gap_days]]="",0,IF(TableRefills3[[#This Row],[gap_days]]&gt;2,1,0))</f>
        <v>0</v>
      </c>
      <c r="I1198">
        <f>_xlfn.MAXIFS(TableRefills3[discountinuation_flag], TableRefills3[patient_id], A1198)</f>
        <v>0</v>
      </c>
    </row>
    <row r="1199" spans="1:9" x14ac:dyDescent="0.25">
      <c r="A1199" t="s">
        <v>1926</v>
      </c>
      <c r="B1199" t="s">
        <v>1927</v>
      </c>
      <c r="C1199" s="3">
        <v>45915</v>
      </c>
      <c r="D1199">
        <v>28</v>
      </c>
      <c r="E1199" s="3" t="str">
        <f t="shared" si="18"/>
        <v/>
      </c>
      <c r="F1199" s="3" t="str">
        <f>IF(TableRefills3[[#This Row],[prev_refill_days]]="","",TableRefills3[[#This Row],[prev_refill_days]]+TableRefills3[[#This Row],[quantity_days]])</f>
        <v/>
      </c>
      <c r="G1199" t="str">
        <f>IF(TableRefills3[[#This Row],[prev_refill_end]]="","",TableRefills3[[#This Row],[refill_date]]-TableRefills3[[#This Row],[prev_refill_end]])</f>
        <v/>
      </c>
      <c r="H1199" s="10">
        <f>IF(TableRefills3[[#This Row],[gap_days]]="",0,IF(TableRefills3[[#This Row],[gap_days]]&gt;2,1,0))</f>
        <v>0</v>
      </c>
      <c r="I1199">
        <f>_xlfn.MAXIFS(TableRefills3[discountinuation_flag], TableRefills3[patient_id], A1199)</f>
        <v>0</v>
      </c>
    </row>
    <row r="1200" spans="1:9" x14ac:dyDescent="0.25">
      <c r="A1200" t="s">
        <v>1926</v>
      </c>
      <c r="B1200" t="s">
        <v>1927</v>
      </c>
      <c r="C1200" s="3">
        <v>45941</v>
      </c>
      <c r="D1200">
        <v>28</v>
      </c>
      <c r="E1200" s="3">
        <f t="shared" si="18"/>
        <v>45915</v>
      </c>
      <c r="F1200" s="3">
        <f>IF(TableRefills3[[#This Row],[prev_refill_days]]="","",TableRefills3[[#This Row],[prev_refill_days]]+TableRefills3[[#This Row],[quantity_days]])</f>
        <v>45943</v>
      </c>
      <c r="G1200">
        <f>IF(TableRefills3[[#This Row],[prev_refill_end]]="","",TableRefills3[[#This Row],[refill_date]]-TableRefills3[[#This Row],[prev_refill_end]])</f>
        <v>-2</v>
      </c>
      <c r="H1200" s="10">
        <f>IF(TableRefills3[[#This Row],[gap_days]]="",0,IF(TableRefills3[[#This Row],[gap_days]]&gt;2,1,0))</f>
        <v>0</v>
      </c>
      <c r="I1200">
        <f>_xlfn.MAXIFS(TableRefills3[discountinuation_flag], TableRefills3[patient_id], A1200)</f>
        <v>0</v>
      </c>
    </row>
    <row r="1201" spans="1:9" x14ac:dyDescent="0.25">
      <c r="A1201" t="s">
        <v>1930</v>
      </c>
      <c r="B1201" t="s">
        <v>1931</v>
      </c>
      <c r="C1201" s="3">
        <v>45921</v>
      </c>
      <c r="D1201">
        <v>21</v>
      </c>
      <c r="E1201" s="3" t="str">
        <f t="shared" si="18"/>
        <v/>
      </c>
      <c r="F1201" s="3" t="str">
        <f>IF(TableRefills3[[#This Row],[prev_refill_days]]="","",TableRefills3[[#This Row],[prev_refill_days]]+TableRefills3[[#This Row],[quantity_days]])</f>
        <v/>
      </c>
      <c r="G1201" t="str">
        <f>IF(TableRefills3[[#This Row],[prev_refill_end]]="","",TableRefills3[[#This Row],[refill_date]]-TableRefills3[[#This Row],[prev_refill_end]])</f>
        <v/>
      </c>
      <c r="H1201" s="10">
        <f>IF(TableRefills3[[#This Row],[gap_days]]="",0,IF(TableRefills3[[#This Row],[gap_days]]&gt;2,1,0))</f>
        <v>0</v>
      </c>
      <c r="I1201">
        <f>_xlfn.MAXIFS(TableRefills3[discountinuation_flag], TableRefills3[patient_id], A1201)</f>
        <v>1</v>
      </c>
    </row>
    <row r="1202" spans="1:9" x14ac:dyDescent="0.25">
      <c r="A1202" t="s">
        <v>1930</v>
      </c>
      <c r="B1202" t="s">
        <v>1931</v>
      </c>
      <c r="C1202" s="3">
        <v>45945</v>
      </c>
      <c r="D1202">
        <v>21</v>
      </c>
      <c r="E1202" s="3">
        <f t="shared" si="18"/>
        <v>45921</v>
      </c>
      <c r="F1202" s="3">
        <f>IF(TableRefills3[[#This Row],[prev_refill_days]]="","",TableRefills3[[#This Row],[prev_refill_days]]+TableRefills3[[#This Row],[quantity_days]])</f>
        <v>45942</v>
      </c>
      <c r="G1202">
        <f>IF(TableRefills3[[#This Row],[prev_refill_end]]="","",TableRefills3[[#This Row],[refill_date]]-TableRefills3[[#This Row],[prev_refill_end]])</f>
        <v>3</v>
      </c>
      <c r="H1202" s="10">
        <f>IF(TableRefills3[[#This Row],[gap_days]]="",0,IF(TableRefills3[[#This Row],[gap_days]]&gt;2,1,0))</f>
        <v>1</v>
      </c>
      <c r="I1202">
        <f>_xlfn.MAXIFS(TableRefills3[discountinuation_flag], TableRefills3[patient_id], A1202)</f>
        <v>1</v>
      </c>
    </row>
    <row r="1203" spans="1:9" x14ac:dyDescent="0.25">
      <c r="A1203" t="s">
        <v>1934</v>
      </c>
      <c r="B1203" t="s">
        <v>1935</v>
      </c>
      <c r="C1203" s="3">
        <v>45847</v>
      </c>
      <c r="D1203">
        <v>21</v>
      </c>
      <c r="E1203" s="3" t="str">
        <f t="shared" si="18"/>
        <v/>
      </c>
      <c r="F1203" s="3" t="str">
        <f>IF(TableRefills3[[#This Row],[prev_refill_days]]="","",TableRefills3[[#This Row],[prev_refill_days]]+TableRefills3[[#This Row],[quantity_days]])</f>
        <v/>
      </c>
      <c r="G1203" t="str">
        <f>IF(TableRefills3[[#This Row],[prev_refill_end]]="","",TableRefills3[[#This Row],[refill_date]]-TableRefills3[[#This Row],[prev_refill_end]])</f>
        <v/>
      </c>
      <c r="H1203" s="10">
        <f>IF(TableRefills3[[#This Row],[gap_days]]="",0,IF(TableRefills3[[#This Row],[gap_days]]&gt;2,1,0))</f>
        <v>0</v>
      </c>
      <c r="I1203">
        <f>_xlfn.MAXIFS(TableRefills3[discountinuation_flag], TableRefills3[patient_id], A1203)</f>
        <v>0</v>
      </c>
    </row>
    <row r="1204" spans="1:9" x14ac:dyDescent="0.25">
      <c r="A1204" t="s">
        <v>1934</v>
      </c>
      <c r="B1204" t="s">
        <v>1935</v>
      </c>
      <c r="C1204" s="3">
        <v>45869</v>
      </c>
      <c r="D1204">
        <v>21</v>
      </c>
      <c r="E1204" s="3">
        <f t="shared" si="18"/>
        <v>45847</v>
      </c>
      <c r="F1204" s="3">
        <f>IF(TableRefills3[[#This Row],[prev_refill_days]]="","",TableRefills3[[#This Row],[prev_refill_days]]+TableRefills3[[#This Row],[quantity_days]])</f>
        <v>45868</v>
      </c>
      <c r="G1204">
        <f>IF(TableRefills3[[#This Row],[prev_refill_end]]="","",TableRefills3[[#This Row],[refill_date]]-TableRefills3[[#This Row],[prev_refill_end]])</f>
        <v>1</v>
      </c>
      <c r="H1204" s="10">
        <f>IF(TableRefills3[[#This Row],[gap_days]]="",0,IF(TableRefills3[[#This Row],[gap_days]]&gt;2,1,0))</f>
        <v>0</v>
      </c>
      <c r="I1204">
        <f>_xlfn.MAXIFS(TableRefills3[discountinuation_flag], TableRefills3[patient_id], A1204)</f>
        <v>0</v>
      </c>
    </row>
    <row r="1205" spans="1:9" x14ac:dyDescent="0.25">
      <c r="A1205" t="s">
        <v>1934</v>
      </c>
      <c r="B1205" t="s">
        <v>1935</v>
      </c>
      <c r="C1205" s="3">
        <v>45888</v>
      </c>
      <c r="D1205">
        <v>21</v>
      </c>
      <c r="E1205" s="3">
        <f t="shared" si="18"/>
        <v>45869</v>
      </c>
      <c r="F1205" s="3">
        <f>IF(TableRefills3[[#This Row],[prev_refill_days]]="","",TableRefills3[[#This Row],[prev_refill_days]]+TableRefills3[[#This Row],[quantity_days]])</f>
        <v>45890</v>
      </c>
      <c r="G1205">
        <f>IF(TableRefills3[[#This Row],[prev_refill_end]]="","",TableRefills3[[#This Row],[refill_date]]-TableRefills3[[#This Row],[prev_refill_end]])</f>
        <v>-2</v>
      </c>
      <c r="H1205" s="10">
        <f>IF(TableRefills3[[#This Row],[gap_days]]="",0,IF(TableRefills3[[#This Row],[gap_days]]&gt;2,1,0))</f>
        <v>0</v>
      </c>
      <c r="I1205">
        <f>_xlfn.MAXIFS(TableRefills3[discountinuation_flag], TableRefills3[patient_id], A1205)</f>
        <v>0</v>
      </c>
    </row>
    <row r="1206" spans="1:9" x14ac:dyDescent="0.25">
      <c r="A1206" t="s">
        <v>1934</v>
      </c>
      <c r="B1206" t="s">
        <v>1935</v>
      </c>
      <c r="C1206" s="3">
        <v>45911</v>
      </c>
      <c r="D1206">
        <v>21</v>
      </c>
      <c r="E1206" s="3">
        <f t="shared" si="18"/>
        <v>45888</v>
      </c>
      <c r="F1206" s="3">
        <f>IF(TableRefills3[[#This Row],[prev_refill_days]]="","",TableRefills3[[#This Row],[prev_refill_days]]+TableRefills3[[#This Row],[quantity_days]])</f>
        <v>45909</v>
      </c>
      <c r="G1206">
        <f>IF(TableRefills3[[#This Row],[prev_refill_end]]="","",TableRefills3[[#This Row],[refill_date]]-TableRefills3[[#This Row],[prev_refill_end]])</f>
        <v>2</v>
      </c>
      <c r="H1206" s="10">
        <f>IF(TableRefills3[[#This Row],[gap_days]]="",0,IF(TableRefills3[[#This Row],[gap_days]]&gt;2,1,0))</f>
        <v>0</v>
      </c>
      <c r="I1206">
        <f>_xlfn.MAXIFS(TableRefills3[discountinuation_flag], TableRefills3[patient_id], A1206)</f>
        <v>0</v>
      </c>
    </row>
    <row r="1207" spans="1:9" x14ac:dyDescent="0.25">
      <c r="A1207" t="s">
        <v>1934</v>
      </c>
      <c r="B1207" t="s">
        <v>1935</v>
      </c>
      <c r="C1207" s="3">
        <v>45932</v>
      </c>
      <c r="D1207">
        <v>21</v>
      </c>
      <c r="E1207" s="3">
        <f t="shared" si="18"/>
        <v>45911</v>
      </c>
      <c r="F1207" s="3">
        <f>IF(TableRefills3[[#This Row],[prev_refill_days]]="","",TableRefills3[[#This Row],[prev_refill_days]]+TableRefills3[[#This Row],[quantity_days]])</f>
        <v>45932</v>
      </c>
      <c r="G1207">
        <f>IF(TableRefills3[[#This Row],[prev_refill_end]]="","",TableRefills3[[#This Row],[refill_date]]-TableRefills3[[#This Row],[prev_refill_end]])</f>
        <v>0</v>
      </c>
      <c r="H1207" s="10">
        <f>IF(TableRefills3[[#This Row],[gap_days]]="",0,IF(TableRefills3[[#This Row],[gap_days]]&gt;2,1,0))</f>
        <v>0</v>
      </c>
      <c r="I1207">
        <f>_xlfn.MAXIFS(TableRefills3[discountinuation_flag], TableRefills3[patient_id], A1207)</f>
        <v>0</v>
      </c>
    </row>
    <row r="1208" spans="1:9" x14ac:dyDescent="0.25">
      <c r="A1208" t="s">
        <v>1934</v>
      </c>
      <c r="B1208" t="s">
        <v>1935</v>
      </c>
      <c r="C1208" s="3">
        <v>45954</v>
      </c>
      <c r="D1208">
        <v>21</v>
      </c>
      <c r="E1208" s="3">
        <f t="shared" si="18"/>
        <v>45932</v>
      </c>
      <c r="F1208" s="3">
        <f>IF(TableRefills3[[#This Row],[prev_refill_days]]="","",TableRefills3[[#This Row],[prev_refill_days]]+TableRefills3[[#This Row],[quantity_days]])</f>
        <v>45953</v>
      </c>
      <c r="G1208">
        <f>IF(TableRefills3[[#This Row],[prev_refill_end]]="","",TableRefills3[[#This Row],[refill_date]]-TableRefills3[[#This Row],[prev_refill_end]])</f>
        <v>1</v>
      </c>
      <c r="H1208" s="10">
        <f>IF(TableRefills3[[#This Row],[gap_days]]="",0,IF(TableRefills3[[#This Row],[gap_days]]&gt;2,1,0))</f>
        <v>0</v>
      </c>
      <c r="I1208">
        <f>_xlfn.MAXIFS(TableRefills3[discountinuation_flag], TableRefills3[patient_id], A1208)</f>
        <v>0</v>
      </c>
    </row>
    <row r="1209" spans="1:9" x14ac:dyDescent="0.25">
      <c r="A1209" t="s">
        <v>1942</v>
      </c>
      <c r="B1209" t="s">
        <v>1943</v>
      </c>
      <c r="C1209" s="3">
        <v>45805</v>
      </c>
      <c r="D1209">
        <v>28</v>
      </c>
      <c r="E1209" s="3" t="str">
        <f t="shared" si="18"/>
        <v/>
      </c>
      <c r="F1209" s="3" t="str">
        <f>IF(TableRefills3[[#This Row],[prev_refill_days]]="","",TableRefills3[[#This Row],[prev_refill_days]]+TableRefills3[[#This Row],[quantity_days]])</f>
        <v/>
      </c>
      <c r="G1209" t="str">
        <f>IF(TableRefills3[[#This Row],[prev_refill_end]]="","",TableRefills3[[#This Row],[refill_date]]-TableRefills3[[#This Row],[prev_refill_end]])</f>
        <v/>
      </c>
      <c r="H1209" s="10">
        <f>IF(TableRefills3[[#This Row],[gap_days]]="",0,IF(TableRefills3[[#This Row],[gap_days]]&gt;2,1,0))</f>
        <v>0</v>
      </c>
      <c r="I1209">
        <f>_xlfn.MAXIFS(TableRefills3[discountinuation_flag], TableRefills3[patient_id], A1209)</f>
        <v>0</v>
      </c>
    </row>
    <row r="1210" spans="1:9" x14ac:dyDescent="0.25">
      <c r="A1210" t="s">
        <v>1942</v>
      </c>
      <c r="B1210" t="s">
        <v>1943</v>
      </c>
      <c r="C1210" s="3">
        <v>45831</v>
      </c>
      <c r="D1210">
        <v>28</v>
      </c>
      <c r="E1210" s="3">
        <f t="shared" si="18"/>
        <v>45805</v>
      </c>
      <c r="F1210" s="3">
        <f>IF(TableRefills3[[#This Row],[prev_refill_days]]="","",TableRefills3[[#This Row],[prev_refill_days]]+TableRefills3[[#This Row],[quantity_days]])</f>
        <v>45833</v>
      </c>
      <c r="G1210">
        <f>IF(TableRefills3[[#This Row],[prev_refill_end]]="","",TableRefills3[[#This Row],[refill_date]]-TableRefills3[[#This Row],[prev_refill_end]])</f>
        <v>-2</v>
      </c>
      <c r="H1210" s="10">
        <f>IF(TableRefills3[[#This Row],[gap_days]]="",0,IF(TableRefills3[[#This Row],[gap_days]]&gt;2,1,0))</f>
        <v>0</v>
      </c>
      <c r="I1210">
        <f>_xlfn.MAXIFS(TableRefills3[discountinuation_flag], TableRefills3[patient_id], A1210)</f>
        <v>0</v>
      </c>
    </row>
    <row r="1211" spans="1:9" x14ac:dyDescent="0.25">
      <c r="A1211" t="s">
        <v>1946</v>
      </c>
      <c r="B1211" t="s">
        <v>1947</v>
      </c>
      <c r="C1211" s="3">
        <v>45928</v>
      </c>
      <c r="D1211">
        <v>30</v>
      </c>
      <c r="E1211" s="3" t="str">
        <f t="shared" si="18"/>
        <v/>
      </c>
      <c r="F1211" s="3" t="str">
        <f>IF(TableRefills3[[#This Row],[prev_refill_days]]="","",TableRefills3[[#This Row],[prev_refill_days]]+TableRefills3[[#This Row],[quantity_days]])</f>
        <v/>
      </c>
      <c r="G1211" t="str">
        <f>IF(TableRefills3[[#This Row],[prev_refill_end]]="","",TableRefills3[[#This Row],[refill_date]]-TableRefills3[[#This Row],[prev_refill_end]])</f>
        <v/>
      </c>
      <c r="H1211" s="10">
        <f>IF(TableRefills3[[#This Row],[gap_days]]="",0,IF(TableRefills3[[#This Row],[gap_days]]&gt;2,1,0))</f>
        <v>0</v>
      </c>
      <c r="I1211">
        <f>_xlfn.MAXIFS(TableRefills3[discountinuation_flag], TableRefills3[patient_id], A1211)</f>
        <v>1</v>
      </c>
    </row>
    <row r="1212" spans="1:9" x14ac:dyDescent="0.25">
      <c r="A1212" t="s">
        <v>1946</v>
      </c>
      <c r="B1212" t="s">
        <v>1947</v>
      </c>
      <c r="C1212" s="3">
        <v>45961</v>
      </c>
      <c r="D1212">
        <v>30</v>
      </c>
      <c r="E1212" s="3">
        <f t="shared" si="18"/>
        <v>45928</v>
      </c>
      <c r="F1212" s="3">
        <f>IF(TableRefills3[[#This Row],[prev_refill_days]]="","",TableRefills3[[#This Row],[prev_refill_days]]+TableRefills3[[#This Row],[quantity_days]])</f>
        <v>45958</v>
      </c>
      <c r="G1212">
        <f>IF(TableRefills3[[#This Row],[prev_refill_end]]="","",TableRefills3[[#This Row],[refill_date]]-TableRefills3[[#This Row],[prev_refill_end]])</f>
        <v>3</v>
      </c>
      <c r="H1212" s="10">
        <f>IF(TableRefills3[[#This Row],[gap_days]]="",0,IF(TableRefills3[[#This Row],[gap_days]]&gt;2,1,0))</f>
        <v>1</v>
      </c>
      <c r="I1212">
        <f>_xlfn.MAXIFS(TableRefills3[discountinuation_flag], TableRefills3[patient_id], A1212)</f>
        <v>1</v>
      </c>
    </row>
    <row r="1213" spans="1:9" x14ac:dyDescent="0.25">
      <c r="A1213" t="s">
        <v>1950</v>
      </c>
      <c r="B1213" t="s">
        <v>1951</v>
      </c>
      <c r="C1213" s="3">
        <v>45840</v>
      </c>
      <c r="D1213">
        <v>30</v>
      </c>
      <c r="E1213" s="3" t="str">
        <f t="shared" si="18"/>
        <v/>
      </c>
      <c r="F1213" s="3" t="str">
        <f>IF(TableRefills3[[#This Row],[prev_refill_days]]="","",TableRefills3[[#This Row],[prev_refill_days]]+TableRefills3[[#This Row],[quantity_days]])</f>
        <v/>
      </c>
      <c r="G1213" t="str">
        <f>IF(TableRefills3[[#This Row],[prev_refill_end]]="","",TableRefills3[[#This Row],[refill_date]]-TableRefills3[[#This Row],[prev_refill_end]])</f>
        <v/>
      </c>
      <c r="H1213" s="10">
        <f>IF(TableRefills3[[#This Row],[gap_days]]="",0,IF(TableRefills3[[#This Row],[gap_days]]&gt;2,1,0))</f>
        <v>0</v>
      </c>
      <c r="I1213">
        <f>_xlfn.MAXIFS(TableRefills3[discountinuation_flag], TableRefills3[patient_id], A1213)</f>
        <v>1</v>
      </c>
    </row>
    <row r="1214" spans="1:9" x14ac:dyDescent="0.25">
      <c r="A1214" t="s">
        <v>1950</v>
      </c>
      <c r="B1214" t="s">
        <v>1951</v>
      </c>
      <c r="C1214" s="3">
        <v>45873</v>
      </c>
      <c r="D1214">
        <v>30</v>
      </c>
      <c r="E1214" s="3">
        <f t="shared" si="18"/>
        <v>45840</v>
      </c>
      <c r="F1214" s="3">
        <f>IF(TableRefills3[[#This Row],[prev_refill_days]]="","",TableRefills3[[#This Row],[prev_refill_days]]+TableRefills3[[#This Row],[quantity_days]])</f>
        <v>45870</v>
      </c>
      <c r="G1214">
        <f>IF(TableRefills3[[#This Row],[prev_refill_end]]="","",TableRefills3[[#This Row],[refill_date]]-TableRefills3[[#This Row],[prev_refill_end]])</f>
        <v>3</v>
      </c>
      <c r="H1214" s="10">
        <f>IF(TableRefills3[[#This Row],[gap_days]]="",0,IF(TableRefills3[[#This Row],[gap_days]]&gt;2,1,0))</f>
        <v>1</v>
      </c>
      <c r="I1214">
        <f>_xlfn.MAXIFS(TableRefills3[discountinuation_flag], TableRefills3[patient_id], A1214)</f>
        <v>1</v>
      </c>
    </row>
    <row r="1215" spans="1:9" x14ac:dyDescent="0.25">
      <c r="A1215" t="s">
        <v>1950</v>
      </c>
      <c r="B1215" t="s">
        <v>1951</v>
      </c>
      <c r="C1215" s="3">
        <v>45904</v>
      </c>
      <c r="D1215">
        <v>30</v>
      </c>
      <c r="E1215" s="3">
        <f t="shared" si="18"/>
        <v>45873</v>
      </c>
      <c r="F1215" s="3">
        <f>IF(TableRefills3[[#This Row],[prev_refill_days]]="","",TableRefills3[[#This Row],[prev_refill_days]]+TableRefills3[[#This Row],[quantity_days]])</f>
        <v>45903</v>
      </c>
      <c r="G1215">
        <f>IF(TableRefills3[[#This Row],[prev_refill_end]]="","",TableRefills3[[#This Row],[refill_date]]-TableRefills3[[#This Row],[prev_refill_end]])</f>
        <v>1</v>
      </c>
      <c r="H1215" s="10">
        <f>IF(TableRefills3[[#This Row],[gap_days]]="",0,IF(TableRefills3[[#This Row],[gap_days]]&gt;2,1,0))</f>
        <v>0</v>
      </c>
      <c r="I1215">
        <f>_xlfn.MAXIFS(TableRefills3[discountinuation_flag], TableRefills3[patient_id], A1215)</f>
        <v>1</v>
      </c>
    </row>
    <row r="1216" spans="1:9" x14ac:dyDescent="0.25">
      <c r="A1216" t="s">
        <v>1950</v>
      </c>
      <c r="B1216" t="s">
        <v>1951</v>
      </c>
      <c r="C1216" s="3">
        <v>45932</v>
      </c>
      <c r="D1216">
        <v>30</v>
      </c>
      <c r="E1216" s="3">
        <f t="shared" si="18"/>
        <v>45904</v>
      </c>
      <c r="F1216" s="3">
        <f>IF(TableRefills3[[#This Row],[prev_refill_days]]="","",TableRefills3[[#This Row],[prev_refill_days]]+TableRefills3[[#This Row],[quantity_days]])</f>
        <v>45934</v>
      </c>
      <c r="G1216">
        <f>IF(TableRefills3[[#This Row],[prev_refill_end]]="","",TableRefills3[[#This Row],[refill_date]]-TableRefills3[[#This Row],[prev_refill_end]])</f>
        <v>-2</v>
      </c>
      <c r="H1216" s="10">
        <f>IF(TableRefills3[[#This Row],[gap_days]]="",0,IF(TableRefills3[[#This Row],[gap_days]]&gt;2,1,0))</f>
        <v>0</v>
      </c>
      <c r="I1216">
        <f>_xlfn.MAXIFS(TableRefills3[discountinuation_flag], TableRefills3[patient_id], A1216)</f>
        <v>1</v>
      </c>
    </row>
    <row r="1217" spans="1:9" x14ac:dyDescent="0.25">
      <c r="A1217" t="s">
        <v>1956</v>
      </c>
      <c r="B1217" t="s">
        <v>1957</v>
      </c>
      <c r="C1217" s="3">
        <v>45949</v>
      </c>
      <c r="D1217">
        <v>28</v>
      </c>
      <c r="E1217" s="3" t="str">
        <f t="shared" si="18"/>
        <v/>
      </c>
      <c r="F1217" s="3" t="str">
        <f>IF(TableRefills3[[#This Row],[prev_refill_days]]="","",TableRefills3[[#This Row],[prev_refill_days]]+TableRefills3[[#This Row],[quantity_days]])</f>
        <v/>
      </c>
      <c r="G1217" t="str">
        <f>IF(TableRefills3[[#This Row],[prev_refill_end]]="","",TableRefills3[[#This Row],[refill_date]]-TableRefills3[[#This Row],[prev_refill_end]])</f>
        <v/>
      </c>
      <c r="H1217" s="10">
        <f>IF(TableRefills3[[#This Row],[gap_days]]="",0,IF(TableRefills3[[#This Row],[gap_days]]&gt;2,1,0))</f>
        <v>0</v>
      </c>
      <c r="I1217">
        <f>_xlfn.MAXIFS(TableRefills3[discountinuation_flag], TableRefills3[patient_id], A1217)</f>
        <v>0</v>
      </c>
    </row>
    <row r="1218" spans="1:9" x14ac:dyDescent="0.25">
      <c r="A1218" t="s">
        <v>1959</v>
      </c>
      <c r="B1218" t="s">
        <v>1960</v>
      </c>
      <c r="C1218" s="3">
        <v>45835</v>
      </c>
      <c r="D1218">
        <v>14</v>
      </c>
      <c r="E1218" s="3" t="str">
        <f t="shared" ref="E1218:E1281" si="19">IF(A1217=A1218,C1217,"")</f>
        <v/>
      </c>
      <c r="F1218" s="3" t="str">
        <f>IF(TableRefills3[[#This Row],[prev_refill_days]]="","",TableRefills3[[#This Row],[prev_refill_days]]+TableRefills3[[#This Row],[quantity_days]])</f>
        <v/>
      </c>
      <c r="G1218" t="str">
        <f>IF(TableRefills3[[#This Row],[prev_refill_end]]="","",TableRefills3[[#This Row],[refill_date]]-TableRefills3[[#This Row],[prev_refill_end]])</f>
        <v/>
      </c>
      <c r="H1218" s="10">
        <f>IF(TableRefills3[[#This Row],[gap_days]]="",0,IF(TableRefills3[[#This Row],[gap_days]]&gt;2,1,0))</f>
        <v>0</v>
      </c>
      <c r="I1218">
        <f>_xlfn.MAXIFS(TableRefills3[discountinuation_flag], TableRefills3[patient_id], A1218)</f>
        <v>1</v>
      </c>
    </row>
    <row r="1219" spans="1:9" x14ac:dyDescent="0.25">
      <c r="A1219" t="s">
        <v>1959</v>
      </c>
      <c r="B1219" t="s">
        <v>1960</v>
      </c>
      <c r="C1219" s="3">
        <v>45852</v>
      </c>
      <c r="D1219">
        <v>14</v>
      </c>
      <c r="E1219" s="3">
        <f t="shared" si="19"/>
        <v>45835</v>
      </c>
      <c r="F1219" s="3">
        <f>IF(TableRefills3[[#This Row],[prev_refill_days]]="","",TableRefills3[[#This Row],[prev_refill_days]]+TableRefills3[[#This Row],[quantity_days]])</f>
        <v>45849</v>
      </c>
      <c r="G1219">
        <f>IF(TableRefills3[[#This Row],[prev_refill_end]]="","",TableRefills3[[#This Row],[refill_date]]-TableRefills3[[#This Row],[prev_refill_end]])</f>
        <v>3</v>
      </c>
      <c r="H1219" s="10">
        <f>IF(TableRefills3[[#This Row],[gap_days]]="",0,IF(TableRefills3[[#This Row],[gap_days]]&gt;2,1,0))</f>
        <v>1</v>
      </c>
      <c r="I1219">
        <f>_xlfn.MAXIFS(TableRefills3[discountinuation_flag], TableRefills3[patient_id], A1219)</f>
        <v>1</v>
      </c>
    </row>
    <row r="1220" spans="1:9" x14ac:dyDescent="0.25">
      <c r="A1220" t="s">
        <v>1959</v>
      </c>
      <c r="B1220" t="s">
        <v>1960</v>
      </c>
      <c r="C1220" s="3">
        <v>45867</v>
      </c>
      <c r="D1220">
        <v>14</v>
      </c>
      <c r="E1220" s="3">
        <f t="shared" si="19"/>
        <v>45852</v>
      </c>
      <c r="F1220" s="3">
        <f>IF(TableRefills3[[#This Row],[prev_refill_days]]="","",TableRefills3[[#This Row],[prev_refill_days]]+TableRefills3[[#This Row],[quantity_days]])</f>
        <v>45866</v>
      </c>
      <c r="G1220">
        <f>IF(TableRefills3[[#This Row],[prev_refill_end]]="","",TableRefills3[[#This Row],[refill_date]]-TableRefills3[[#This Row],[prev_refill_end]])</f>
        <v>1</v>
      </c>
      <c r="H1220" s="10">
        <f>IF(TableRefills3[[#This Row],[gap_days]]="",0,IF(TableRefills3[[#This Row],[gap_days]]&gt;2,1,0))</f>
        <v>0</v>
      </c>
      <c r="I1220">
        <f>_xlfn.MAXIFS(TableRefills3[discountinuation_flag], TableRefills3[patient_id], A1220)</f>
        <v>1</v>
      </c>
    </row>
    <row r="1221" spans="1:9" x14ac:dyDescent="0.25">
      <c r="A1221" t="s">
        <v>1959</v>
      </c>
      <c r="B1221" t="s">
        <v>1960</v>
      </c>
      <c r="C1221" s="3">
        <v>45878</v>
      </c>
      <c r="D1221">
        <v>14</v>
      </c>
      <c r="E1221" s="3">
        <f t="shared" si="19"/>
        <v>45867</v>
      </c>
      <c r="F1221" s="3">
        <f>IF(TableRefills3[[#This Row],[prev_refill_days]]="","",TableRefills3[[#This Row],[prev_refill_days]]+TableRefills3[[#This Row],[quantity_days]])</f>
        <v>45881</v>
      </c>
      <c r="G1221">
        <f>IF(TableRefills3[[#This Row],[prev_refill_end]]="","",TableRefills3[[#This Row],[refill_date]]-TableRefills3[[#This Row],[prev_refill_end]])</f>
        <v>-3</v>
      </c>
      <c r="H1221" s="10">
        <f>IF(TableRefills3[[#This Row],[gap_days]]="",0,IF(TableRefills3[[#This Row],[gap_days]]&gt;2,1,0))</f>
        <v>0</v>
      </c>
      <c r="I1221">
        <f>_xlfn.MAXIFS(TableRefills3[discountinuation_flag], TableRefills3[patient_id], A1221)</f>
        <v>1</v>
      </c>
    </row>
    <row r="1222" spans="1:9" x14ac:dyDescent="0.25">
      <c r="A1222" t="s">
        <v>1959</v>
      </c>
      <c r="B1222" t="s">
        <v>1960</v>
      </c>
      <c r="C1222" s="3">
        <v>45892</v>
      </c>
      <c r="D1222">
        <v>14</v>
      </c>
      <c r="E1222" s="3">
        <f t="shared" si="19"/>
        <v>45878</v>
      </c>
      <c r="F1222" s="3">
        <f>IF(TableRefills3[[#This Row],[prev_refill_days]]="","",TableRefills3[[#This Row],[prev_refill_days]]+TableRefills3[[#This Row],[quantity_days]])</f>
        <v>45892</v>
      </c>
      <c r="G1222">
        <f>IF(TableRefills3[[#This Row],[prev_refill_end]]="","",TableRefills3[[#This Row],[refill_date]]-TableRefills3[[#This Row],[prev_refill_end]])</f>
        <v>0</v>
      </c>
      <c r="H1222" s="10">
        <f>IF(TableRefills3[[#This Row],[gap_days]]="",0,IF(TableRefills3[[#This Row],[gap_days]]&gt;2,1,0))</f>
        <v>0</v>
      </c>
      <c r="I1222">
        <f>_xlfn.MAXIFS(TableRefills3[discountinuation_flag], TableRefills3[patient_id], A1222)</f>
        <v>1</v>
      </c>
    </row>
    <row r="1223" spans="1:9" x14ac:dyDescent="0.25">
      <c r="A1223" t="s">
        <v>1959</v>
      </c>
      <c r="B1223" t="s">
        <v>1960</v>
      </c>
      <c r="C1223" s="3">
        <v>45904</v>
      </c>
      <c r="D1223">
        <v>14</v>
      </c>
      <c r="E1223" s="3">
        <f t="shared" si="19"/>
        <v>45892</v>
      </c>
      <c r="F1223" s="3">
        <f>IF(TableRefills3[[#This Row],[prev_refill_days]]="","",TableRefills3[[#This Row],[prev_refill_days]]+TableRefills3[[#This Row],[quantity_days]])</f>
        <v>45906</v>
      </c>
      <c r="G1223">
        <f>IF(TableRefills3[[#This Row],[prev_refill_end]]="","",TableRefills3[[#This Row],[refill_date]]-TableRefills3[[#This Row],[prev_refill_end]])</f>
        <v>-2</v>
      </c>
      <c r="H1223" s="10">
        <f>IF(TableRefills3[[#This Row],[gap_days]]="",0,IF(TableRefills3[[#This Row],[gap_days]]&gt;2,1,0))</f>
        <v>0</v>
      </c>
      <c r="I1223">
        <f>_xlfn.MAXIFS(TableRefills3[discountinuation_flag], TableRefills3[patient_id], A1223)</f>
        <v>1</v>
      </c>
    </row>
    <row r="1224" spans="1:9" x14ac:dyDescent="0.25">
      <c r="A1224" t="s">
        <v>1959</v>
      </c>
      <c r="B1224" t="s">
        <v>1960</v>
      </c>
      <c r="C1224" s="3">
        <v>45919</v>
      </c>
      <c r="D1224">
        <v>14</v>
      </c>
      <c r="E1224" s="3">
        <f t="shared" si="19"/>
        <v>45904</v>
      </c>
      <c r="F1224" s="3">
        <f>IF(TableRefills3[[#This Row],[prev_refill_days]]="","",TableRefills3[[#This Row],[prev_refill_days]]+TableRefills3[[#This Row],[quantity_days]])</f>
        <v>45918</v>
      </c>
      <c r="G1224">
        <f>IF(TableRefills3[[#This Row],[prev_refill_end]]="","",TableRefills3[[#This Row],[refill_date]]-TableRefills3[[#This Row],[prev_refill_end]])</f>
        <v>1</v>
      </c>
      <c r="H1224" s="10">
        <f>IF(TableRefills3[[#This Row],[gap_days]]="",0,IF(TableRefills3[[#This Row],[gap_days]]&gt;2,1,0))</f>
        <v>0</v>
      </c>
      <c r="I1224">
        <f>_xlfn.MAXIFS(TableRefills3[discountinuation_flag], TableRefills3[patient_id], A1224)</f>
        <v>1</v>
      </c>
    </row>
    <row r="1225" spans="1:9" x14ac:dyDescent="0.25">
      <c r="A1225" t="s">
        <v>1959</v>
      </c>
      <c r="B1225" t="s">
        <v>1960</v>
      </c>
      <c r="C1225" s="3">
        <v>45936</v>
      </c>
      <c r="D1225">
        <v>14</v>
      </c>
      <c r="E1225" s="3">
        <f t="shared" si="19"/>
        <v>45919</v>
      </c>
      <c r="F1225" s="3">
        <f>IF(TableRefills3[[#This Row],[prev_refill_days]]="","",TableRefills3[[#This Row],[prev_refill_days]]+TableRefills3[[#This Row],[quantity_days]])</f>
        <v>45933</v>
      </c>
      <c r="G1225">
        <f>IF(TableRefills3[[#This Row],[prev_refill_end]]="","",TableRefills3[[#This Row],[refill_date]]-TableRefills3[[#This Row],[prev_refill_end]])</f>
        <v>3</v>
      </c>
      <c r="H1225" s="10">
        <f>IF(TableRefills3[[#This Row],[gap_days]]="",0,IF(TableRefills3[[#This Row],[gap_days]]&gt;2,1,0))</f>
        <v>1</v>
      </c>
      <c r="I1225">
        <f>_xlfn.MAXIFS(TableRefills3[discountinuation_flag], TableRefills3[patient_id], A1225)</f>
        <v>1</v>
      </c>
    </row>
    <row r="1226" spans="1:9" x14ac:dyDescent="0.25">
      <c r="A1226" t="s">
        <v>1959</v>
      </c>
      <c r="B1226" t="s">
        <v>1960</v>
      </c>
      <c r="C1226" s="3">
        <v>45953</v>
      </c>
      <c r="D1226">
        <v>14</v>
      </c>
      <c r="E1226" s="3">
        <f t="shared" si="19"/>
        <v>45936</v>
      </c>
      <c r="F1226" s="3">
        <f>IF(TableRefills3[[#This Row],[prev_refill_days]]="","",TableRefills3[[#This Row],[prev_refill_days]]+TableRefills3[[#This Row],[quantity_days]])</f>
        <v>45950</v>
      </c>
      <c r="G1226">
        <f>IF(TableRefills3[[#This Row],[prev_refill_end]]="","",TableRefills3[[#This Row],[refill_date]]-TableRefills3[[#This Row],[prev_refill_end]])</f>
        <v>3</v>
      </c>
      <c r="H1226" s="10">
        <f>IF(TableRefills3[[#This Row],[gap_days]]="",0,IF(TableRefills3[[#This Row],[gap_days]]&gt;2,1,0))</f>
        <v>1</v>
      </c>
      <c r="I1226">
        <f>_xlfn.MAXIFS(TableRefills3[discountinuation_flag], TableRefills3[patient_id], A1226)</f>
        <v>1</v>
      </c>
    </row>
    <row r="1227" spans="1:9" x14ac:dyDescent="0.25">
      <c r="A1227" t="s">
        <v>1970</v>
      </c>
      <c r="B1227" t="s">
        <v>1971</v>
      </c>
      <c r="C1227" s="3">
        <v>45837</v>
      </c>
      <c r="D1227">
        <v>28</v>
      </c>
      <c r="E1227" s="3" t="str">
        <f t="shared" si="19"/>
        <v/>
      </c>
      <c r="F1227" s="3" t="str">
        <f>IF(TableRefills3[[#This Row],[prev_refill_days]]="","",TableRefills3[[#This Row],[prev_refill_days]]+TableRefills3[[#This Row],[quantity_days]])</f>
        <v/>
      </c>
      <c r="G1227" t="str">
        <f>IF(TableRefills3[[#This Row],[prev_refill_end]]="","",TableRefills3[[#This Row],[refill_date]]-TableRefills3[[#This Row],[prev_refill_end]])</f>
        <v/>
      </c>
      <c r="H1227" s="10">
        <f>IF(TableRefills3[[#This Row],[gap_days]]="",0,IF(TableRefills3[[#This Row],[gap_days]]&gt;2,1,0))</f>
        <v>0</v>
      </c>
      <c r="I1227">
        <f>_xlfn.MAXIFS(TableRefills3[discountinuation_flag], TableRefills3[patient_id], A1227)</f>
        <v>0</v>
      </c>
    </row>
    <row r="1228" spans="1:9" x14ac:dyDescent="0.25">
      <c r="A1228" t="s">
        <v>1970</v>
      </c>
      <c r="B1228" t="s">
        <v>1971</v>
      </c>
      <c r="C1228" s="3">
        <v>45865</v>
      </c>
      <c r="D1228">
        <v>28</v>
      </c>
      <c r="E1228" s="3">
        <f t="shared" si="19"/>
        <v>45837</v>
      </c>
      <c r="F1228" s="3">
        <f>IF(TableRefills3[[#This Row],[prev_refill_days]]="","",TableRefills3[[#This Row],[prev_refill_days]]+TableRefills3[[#This Row],[quantity_days]])</f>
        <v>45865</v>
      </c>
      <c r="G1228">
        <f>IF(TableRefills3[[#This Row],[prev_refill_end]]="","",TableRefills3[[#This Row],[refill_date]]-TableRefills3[[#This Row],[prev_refill_end]])</f>
        <v>0</v>
      </c>
      <c r="H1228" s="10">
        <f>IF(TableRefills3[[#This Row],[gap_days]]="",0,IF(TableRefills3[[#This Row],[gap_days]]&gt;2,1,0))</f>
        <v>0</v>
      </c>
      <c r="I1228">
        <f>_xlfn.MAXIFS(TableRefills3[discountinuation_flag], TableRefills3[patient_id], A1228)</f>
        <v>0</v>
      </c>
    </row>
    <row r="1229" spans="1:9" x14ac:dyDescent="0.25">
      <c r="A1229" t="s">
        <v>1974</v>
      </c>
      <c r="B1229" t="s">
        <v>1975</v>
      </c>
      <c r="C1229" s="3">
        <v>45803</v>
      </c>
      <c r="D1229">
        <v>56</v>
      </c>
      <c r="E1229" s="3" t="str">
        <f t="shared" si="19"/>
        <v/>
      </c>
      <c r="F1229" s="3" t="str">
        <f>IF(TableRefills3[[#This Row],[prev_refill_days]]="","",TableRefills3[[#This Row],[prev_refill_days]]+TableRefills3[[#This Row],[quantity_days]])</f>
        <v/>
      </c>
      <c r="G1229" t="str">
        <f>IF(TableRefills3[[#This Row],[prev_refill_end]]="","",TableRefills3[[#This Row],[refill_date]]-TableRefills3[[#This Row],[prev_refill_end]])</f>
        <v/>
      </c>
      <c r="H1229" s="10">
        <f>IF(TableRefills3[[#This Row],[gap_days]]="",0,IF(TableRefills3[[#This Row],[gap_days]]&gt;2,1,0))</f>
        <v>0</v>
      </c>
      <c r="I1229">
        <f>_xlfn.MAXIFS(TableRefills3[discountinuation_flag], TableRefills3[patient_id], A1229)</f>
        <v>0</v>
      </c>
    </row>
    <row r="1230" spans="1:9" x14ac:dyDescent="0.25">
      <c r="A1230" t="s">
        <v>1974</v>
      </c>
      <c r="B1230" t="s">
        <v>1975</v>
      </c>
      <c r="C1230" s="3">
        <v>45860</v>
      </c>
      <c r="D1230">
        <v>56</v>
      </c>
      <c r="E1230" s="3">
        <f t="shared" si="19"/>
        <v>45803</v>
      </c>
      <c r="F1230" s="3">
        <f>IF(TableRefills3[[#This Row],[prev_refill_days]]="","",TableRefills3[[#This Row],[prev_refill_days]]+TableRefills3[[#This Row],[quantity_days]])</f>
        <v>45859</v>
      </c>
      <c r="G1230">
        <f>IF(TableRefills3[[#This Row],[prev_refill_end]]="","",TableRefills3[[#This Row],[refill_date]]-TableRefills3[[#This Row],[prev_refill_end]])</f>
        <v>1</v>
      </c>
      <c r="H1230" s="10">
        <f>IF(TableRefills3[[#This Row],[gap_days]]="",0,IF(TableRefills3[[#This Row],[gap_days]]&gt;2,1,0))</f>
        <v>0</v>
      </c>
      <c r="I1230">
        <f>_xlfn.MAXIFS(TableRefills3[discountinuation_flag], TableRefills3[patient_id], A1230)</f>
        <v>0</v>
      </c>
    </row>
    <row r="1231" spans="1:9" x14ac:dyDescent="0.25">
      <c r="A1231" t="s">
        <v>1974</v>
      </c>
      <c r="B1231" t="s">
        <v>1975</v>
      </c>
      <c r="C1231" s="3">
        <v>45914</v>
      </c>
      <c r="D1231">
        <v>56</v>
      </c>
      <c r="E1231" s="3">
        <f t="shared" si="19"/>
        <v>45860</v>
      </c>
      <c r="F1231" s="3">
        <f>IF(TableRefills3[[#This Row],[prev_refill_days]]="","",TableRefills3[[#This Row],[prev_refill_days]]+TableRefills3[[#This Row],[quantity_days]])</f>
        <v>45916</v>
      </c>
      <c r="G1231">
        <f>IF(TableRefills3[[#This Row],[prev_refill_end]]="","",TableRefills3[[#This Row],[refill_date]]-TableRefills3[[#This Row],[prev_refill_end]])</f>
        <v>-2</v>
      </c>
      <c r="H1231" s="10">
        <f>IF(TableRefills3[[#This Row],[gap_days]]="",0,IF(TableRefills3[[#This Row],[gap_days]]&gt;2,1,0))</f>
        <v>0</v>
      </c>
      <c r="I1231">
        <f>_xlfn.MAXIFS(TableRefills3[discountinuation_flag], TableRefills3[patient_id], A1231)</f>
        <v>0</v>
      </c>
    </row>
    <row r="1232" spans="1:9" x14ac:dyDescent="0.25">
      <c r="A1232" t="s">
        <v>1979</v>
      </c>
      <c r="B1232" t="s">
        <v>1980</v>
      </c>
      <c r="C1232" s="3">
        <v>45862</v>
      </c>
      <c r="D1232">
        <v>28</v>
      </c>
      <c r="E1232" s="3" t="str">
        <f t="shared" si="19"/>
        <v/>
      </c>
      <c r="F1232" s="3" t="str">
        <f>IF(TableRefills3[[#This Row],[prev_refill_days]]="","",TableRefills3[[#This Row],[prev_refill_days]]+TableRefills3[[#This Row],[quantity_days]])</f>
        <v/>
      </c>
      <c r="G1232" t="str">
        <f>IF(TableRefills3[[#This Row],[prev_refill_end]]="","",TableRefills3[[#This Row],[refill_date]]-TableRefills3[[#This Row],[prev_refill_end]])</f>
        <v/>
      </c>
      <c r="H1232" s="10">
        <f>IF(TableRefills3[[#This Row],[gap_days]]="",0,IF(TableRefills3[[#This Row],[gap_days]]&gt;2,1,0))</f>
        <v>0</v>
      </c>
      <c r="I1232">
        <f>_xlfn.MAXIFS(TableRefills3[discountinuation_flag], TableRefills3[patient_id], A1232)</f>
        <v>1</v>
      </c>
    </row>
    <row r="1233" spans="1:9" x14ac:dyDescent="0.25">
      <c r="A1233" t="s">
        <v>1979</v>
      </c>
      <c r="B1233" t="s">
        <v>1980</v>
      </c>
      <c r="C1233" s="3">
        <v>45893</v>
      </c>
      <c r="D1233">
        <v>28</v>
      </c>
      <c r="E1233" s="3">
        <f t="shared" si="19"/>
        <v>45862</v>
      </c>
      <c r="F1233" s="3">
        <f>IF(TableRefills3[[#This Row],[prev_refill_days]]="","",TableRefills3[[#This Row],[prev_refill_days]]+TableRefills3[[#This Row],[quantity_days]])</f>
        <v>45890</v>
      </c>
      <c r="G1233">
        <f>IF(TableRefills3[[#This Row],[prev_refill_end]]="","",TableRefills3[[#This Row],[refill_date]]-TableRefills3[[#This Row],[prev_refill_end]])</f>
        <v>3</v>
      </c>
      <c r="H1233" s="10">
        <f>IF(TableRefills3[[#This Row],[gap_days]]="",0,IF(TableRefills3[[#This Row],[gap_days]]&gt;2,1,0))</f>
        <v>1</v>
      </c>
      <c r="I1233">
        <f>_xlfn.MAXIFS(TableRefills3[discountinuation_flag], TableRefills3[patient_id], A1233)</f>
        <v>1</v>
      </c>
    </row>
    <row r="1234" spans="1:9" x14ac:dyDescent="0.25">
      <c r="A1234" t="s">
        <v>1979</v>
      </c>
      <c r="B1234" t="s">
        <v>1980</v>
      </c>
      <c r="C1234" s="3">
        <v>45921</v>
      </c>
      <c r="D1234">
        <v>28</v>
      </c>
      <c r="E1234" s="3">
        <f t="shared" si="19"/>
        <v>45893</v>
      </c>
      <c r="F1234" s="3">
        <f>IF(TableRefills3[[#This Row],[prev_refill_days]]="","",TableRefills3[[#This Row],[prev_refill_days]]+TableRefills3[[#This Row],[quantity_days]])</f>
        <v>45921</v>
      </c>
      <c r="G1234">
        <f>IF(TableRefills3[[#This Row],[prev_refill_end]]="","",TableRefills3[[#This Row],[refill_date]]-TableRefills3[[#This Row],[prev_refill_end]])</f>
        <v>0</v>
      </c>
      <c r="H1234" s="10">
        <f>IF(TableRefills3[[#This Row],[gap_days]]="",0,IF(TableRefills3[[#This Row],[gap_days]]&gt;2,1,0))</f>
        <v>0</v>
      </c>
      <c r="I1234">
        <f>_xlfn.MAXIFS(TableRefills3[discountinuation_flag], TableRefills3[patient_id], A1234)</f>
        <v>1</v>
      </c>
    </row>
    <row r="1235" spans="1:9" x14ac:dyDescent="0.25">
      <c r="A1235" t="s">
        <v>1979</v>
      </c>
      <c r="B1235" t="s">
        <v>1980</v>
      </c>
      <c r="C1235" s="3">
        <v>45950</v>
      </c>
      <c r="D1235">
        <v>28</v>
      </c>
      <c r="E1235" s="3">
        <f t="shared" si="19"/>
        <v>45921</v>
      </c>
      <c r="F1235" s="3">
        <f>IF(TableRefills3[[#This Row],[prev_refill_days]]="","",TableRefills3[[#This Row],[prev_refill_days]]+TableRefills3[[#This Row],[quantity_days]])</f>
        <v>45949</v>
      </c>
      <c r="G1235">
        <f>IF(TableRefills3[[#This Row],[prev_refill_end]]="","",TableRefills3[[#This Row],[refill_date]]-TableRefills3[[#This Row],[prev_refill_end]])</f>
        <v>1</v>
      </c>
      <c r="H1235" s="10">
        <f>IF(TableRefills3[[#This Row],[gap_days]]="",0,IF(TableRefills3[[#This Row],[gap_days]]&gt;2,1,0))</f>
        <v>0</v>
      </c>
      <c r="I1235">
        <f>_xlfn.MAXIFS(TableRefills3[discountinuation_flag], TableRefills3[patient_id], A1235)</f>
        <v>1</v>
      </c>
    </row>
    <row r="1236" spans="1:9" x14ac:dyDescent="0.25">
      <c r="A1236" t="s">
        <v>1985</v>
      </c>
      <c r="B1236" t="s">
        <v>1986</v>
      </c>
      <c r="C1236" s="3">
        <v>45898</v>
      </c>
      <c r="D1236">
        <v>28</v>
      </c>
      <c r="E1236" s="3" t="str">
        <f t="shared" si="19"/>
        <v/>
      </c>
      <c r="F1236" s="3" t="str">
        <f>IF(TableRefills3[[#This Row],[prev_refill_days]]="","",TableRefills3[[#This Row],[prev_refill_days]]+TableRefills3[[#This Row],[quantity_days]])</f>
        <v/>
      </c>
      <c r="G1236" t="str">
        <f>IF(TableRefills3[[#This Row],[prev_refill_end]]="","",TableRefills3[[#This Row],[refill_date]]-TableRefills3[[#This Row],[prev_refill_end]])</f>
        <v/>
      </c>
      <c r="H1236" s="10">
        <f>IF(TableRefills3[[#This Row],[gap_days]]="",0,IF(TableRefills3[[#This Row],[gap_days]]&gt;2,1,0))</f>
        <v>0</v>
      </c>
      <c r="I1236">
        <f>_xlfn.MAXIFS(TableRefills3[discountinuation_flag], TableRefills3[patient_id], A1236)</f>
        <v>1</v>
      </c>
    </row>
    <row r="1237" spans="1:9" x14ac:dyDescent="0.25">
      <c r="A1237" t="s">
        <v>1985</v>
      </c>
      <c r="B1237" t="s">
        <v>1986</v>
      </c>
      <c r="C1237" s="3">
        <v>45929</v>
      </c>
      <c r="D1237">
        <v>28</v>
      </c>
      <c r="E1237" s="3">
        <f t="shared" si="19"/>
        <v>45898</v>
      </c>
      <c r="F1237" s="3">
        <f>IF(TableRefills3[[#This Row],[prev_refill_days]]="","",TableRefills3[[#This Row],[prev_refill_days]]+TableRefills3[[#This Row],[quantity_days]])</f>
        <v>45926</v>
      </c>
      <c r="G1237">
        <f>IF(TableRefills3[[#This Row],[prev_refill_end]]="","",TableRefills3[[#This Row],[refill_date]]-TableRefills3[[#This Row],[prev_refill_end]])</f>
        <v>3</v>
      </c>
      <c r="H1237" s="10">
        <f>IF(TableRefills3[[#This Row],[gap_days]]="",0,IF(TableRefills3[[#This Row],[gap_days]]&gt;2,1,0))</f>
        <v>1</v>
      </c>
      <c r="I1237">
        <f>_xlfn.MAXIFS(TableRefills3[discountinuation_flag], TableRefills3[patient_id], A1237)</f>
        <v>1</v>
      </c>
    </row>
    <row r="1238" spans="1:9" x14ac:dyDescent="0.25">
      <c r="A1238" t="s">
        <v>1985</v>
      </c>
      <c r="B1238" t="s">
        <v>1986</v>
      </c>
      <c r="C1238" s="3">
        <v>45959</v>
      </c>
      <c r="D1238">
        <v>28</v>
      </c>
      <c r="E1238" s="3">
        <f t="shared" si="19"/>
        <v>45929</v>
      </c>
      <c r="F1238" s="3">
        <f>IF(TableRefills3[[#This Row],[prev_refill_days]]="","",TableRefills3[[#This Row],[prev_refill_days]]+TableRefills3[[#This Row],[quantity_days]])</f>
        <v>45957</v>
      </c>
      <c r="G1238">
        <f>IF(TableRefills3[[#This Row],[prev_refill_end]]="","",TableRefills3[[#This Row],[refill_date]]-TableRefills3[[#This Row],[prev_refill_end]])</f>
        <v>2</v>
      </c>
      <c r="H1238" s="10">
        <f>IF(TableRefills3[[#This Row],[gap_days]]="",0,IF(TableRefills3[[#This Row],[gap_days]]&gt;2,1,0))</f>
        <v>0</v>
      </c>
      <c r="I1238">
        <f>_xlfn.MAXIFS(TableRefills3[discountinuation_flag], TableRefills3[patient_id], A1238)</f>
        <v>1</v>
      </c>
    </row>
    <row r="1239" spans="1:9" x14ac:dyDescent="0.25">
      <c r="A1239" t="s">
        <v>1990</v>
      </c>
      <c r="B1239" t="s">
        <v>1991</v>
      </c>
      <c r="C1239" s="3">
        <v>45952</v>
      </c>
      <c r="D1239">
        <v>28</v>
      </c>
      <c r="E1239" s="3" t="str">
        <f t="shared" si="19"/>
        <v/>
      </c>
      <c r="F1239" s="3" t="str">
        <f>IF(TableRefills3[[#This Row],[prev_refill_days]]="","",TableRefills3[[#This Row],[prev_refill_days]]+TableRefills3[[#This Row],[quantity_days]])</f>
        <v/>
      </c>
      <c r="G1239" t="str">
        <f>IF(TableRefills3[[#This Row],[prev_refill_end]]="","",TableRefills3[[#This Row],[refill_date]]-TableRefills3[[#This Row],[prev_refill_end]])</f>
        <v/>
      </c>
      <c r="H1239" s="10">
        <f>IF(TableRefills3[[#This Row],[gap_days]]="",0,IF(TableRefills3[[#This Row],[gap_days]]&gt;2,1,0))</f>
        <v>0</v>
      </c>
      <c r="I1239">
        <f>_xlfn.MAXIFS(TableRefills3[discountinuation_flag], TableRefills3[patient_id], A1239)</f>
        <v>0</v>
      </c>
    </row>
    <row r="1240" spans="1:9" x14ac:dyDescent="0.25">
      <c r="A1240" t="s">
        <v>1993</v>
      </c>
      <c r="B1240" t="s">
        <v>1994</v>
      </c>
      <c r="C1240" s="3">
        <v>45813</v>
      </c>
      <c r="D1240">
        <v>14</v>
      </c>
      <c r="E1240" s="3" t="str">
        <f t="shared" si="19"/>
        <v/>
      </c>
      <c r="F1240" s="3" t="str">
        <f>IF(TableRefills3[[#This Row],[prev_refill_days]]="","",TableRefills3[[#This Row],[prev_refill_days]]+TableRefills3[[#This Row],[quantity_days]])</f>
        <v/>
      </c>
      <c r="G1240" t="str">
        <f>IF(TableRefills3[[#This Row],[prev_refill_end]]="","",TableRefills3[[#This Row],[refill_date]]-TableRefills3[[#This Row],[prev_refill_end]])</f>
        <v/>
      </c>
      <c r="H1240" s="10">
        <f>IF(TableRefills3[[#This Row],[gap_days]]="",0,IF(TableRefills3[[#This Row],[gap_days]]&gt;2,1,0))</f>
        <v>0</v>
      </c>
      <c r="I1240">
        <f>_xlfn.MAXIFS(TableRefills3[discountinuation_flag], TableRefills3[patient_id], A1240)</f>
        <v>1</v>
      </c>
    </row>
    <row r="1241" spans="1:9" x14ac:dyDescent="0.25">
      <c r="A1241" t="s">
        <v>1993</v>
      </c>
      <c r="B1241" t="s">
        <v>1994</v>
      </c>
      <c r="C1241" s="3">
        <v>45827</v>
      </c>
      <c r="D1241">
        <v>14</v>
      </c>
      <c r="E1241" s="3">
        <f t="shared" si="19"/>
        <v>45813</v>
      </c>
      <c r="F1241" s="3">
        <f>IF(TableRefills3[[#This Row],[prev_refill_days]]="","",TableRefills3[[#This Row],[prev_refill_days]]+TableRefills3[[#This Row],[quantity_days]])</f>
        <v>45827</v>
      </c>
      <c r="G1241">
        <f>IF(TableRefills3[[#This Row],[prev_refill_end]]="","",TableRefills3[[#This Row],[refill_date]]-TableRefills3[[#This Row],[prev_refill_end]])</f>
        <v>0</v>
      </c>
      <c r="H1241" s="10">
        <f>IF(TableRefills3[[#This Row],[gap_days]]="",0,IF(TableRefills3[[#This Row],[gap_days]]&gt;2,1,0))</f>
        <v>0</v>
      </c>
      <c r="I1241">
        <f>_xlfn.MAXIFS(TableRefills3[discountinuation_flag], TableRefills3[patient_id], A1241)</f>
        <v>1</v>
      </c>
    </row>
    <row r="1242" spans="1:9" x14ac:dyDescent="0.25">
      <c r="A1242" t="s">
        <v>1993</v>
      </c>
      <c r="B1242" t="s">
        <v>1994</v>
      </c>
      <c r="C1242" s="3">
        <v>45839</v>
      </c>
      <c r="D1242">
        <v>14</v>
      </c>
      <c r="E1242" s="3">
        <f t="shared" si="19"/>
        <v>45827</v>
      </c>
      <c r="F1242" s="3">
        <f>IF(TableRefills3[[#This Row],[prev_refill_days]]="","",TableRefills3[[#This Row],[prev_refill_days]]+TableRefills3[[#This Row],[quantity_days]])</f>
        <v>45841</v>
      </c>
      <c r="G1242">
        <f>IF(TableRefills3[[#This Row],[prev_refill_end]]="","",TableRefills3[[#This Row],[refill_date]]-TableRefills3[[#This Row],[prev_refill_end]])</f>
        <v>-2</v>
      </c>
      <c r="H1242" s="10">
        <f>IF(TableRefills3[[#This Row],[gap_days]]="",0,IF(TableRefills3[[#This Row],[gap_days]]&gt;2,1,0))</f>
        <v>0</v>
      </c>
      <c r="I1242">
        <f>_xlfn.MAXIFS(TableRefills3[discountinuation_flag], TableRefills3[patient_id], A1242)</f>
        <v>1</v>
      </c>
    </row>
    <row r="1243" spans="1:9" x14ac:dyDescent="0.25">
      <c r="A1243" t="s">
        <v>1993</v>
      </c>
      <c r="B1243" t="s">
        <v>1994</v>
      </c>
      <c r="C1243" s="3">
        <v>45856</v>
      </c>
      <c r="D1243">
        <v>14</v>
      </c>
      <c r="E1243" s="3">
        <f t="shared" si="19"/>
        <v>45839</v>
      </c>
      <c r="F1243" s="3">
        <f>IF(TableRefills3[[#This Row],[prev_refill_days]]="","",TableRefills3[[#This Row],[prev_refill_days]]+TableRefills3[[#This Row],[quantity_days]])</f>
        <v>45853</v>
      </c>
      <c r="G1243">
        <f>IF(TableRefills3[[#This Row],[prev_refill_end]]="","",TableRefills3[[#This Row],[refill_date]]-TableRefills3[[#This Row],[prev_refill_end]])</f>
        <v>3</v>
      </c>
      <c r="H1243" s="10">
        <f>IF(TableRefills3[[#This Row],[gap_days]]="",0,IF(TableRefills3[[#This Row],[gap_days]]&gt;2,1,0))</f>
        <v>1</v>
      </c>
      <c r="I1243">
        <f>_xlfn.MAXIFS(TableRefills3[discountinuation_flag], TableRefills3[patient_id], A1243)</f>
        <v>1</v>
      </c>
    </row>
    <row r="1244" spans="1:9" x14ac:dyDescent="0.25">
      <c r="A1244" t="s">
        <v>1993</v>
      </c>
      <c r="B1244" t="s">
        <v>1994</v>
      </c>
      <c r="C1244" s="3">
        <v>45869</v>
      </c>
      <c r="D1244">
        <v>14</v>
      </c>
      <c r="E1244" s="3">
        <f t="shared" si="19"/>
        <v>45856</v>
      </c>
      <c r="F1244" s="3">
        <f>IF(TableRefills3[[#This Row],[prev_refill_days]]="","",TableRefills3[[#This Row],[prev_refill_days]]+TableRefills3[[#This Row],[quantity_days]])</f>
        <v>45870</v>
      </c>
      <c r="G1244">
        <f>IF(TableRefills3[[#This Row],[prev_refill_end]]="","",TableRefills3[[#This Row],[refill_date]]-TableRefills3[[#This Row],[prev_refill_end]])</f>
        <v>-1</v>
      </c>
      <c r="H1244" s="10">
        <f>IF(TableRefills3[[#This Row],[gap_days]]="",0,IF(TableRefills3[[#This Row],[gap_days]]&gt;2,1,0))</f>
        <v>0</v>
      </c>
      <c r="I1244">
        <f>_xlfn.MAXIFS(TableRefills3[discountinuation_flag], TableRefills3[patient_id], A1244)</f>
        <v>1</v>
      </c>
    </row>
    <row r="1245" spans="1:9" x14ac:dyDescent="0.25">
      <c r="A1245" t="s">
        <v>1993</v>
      </c>
      <c r="B1245" t="s">
        <v>1994</v>
      </c>
      <c r="C1245" s="3">
        <v>45884</v>
      </c>
      <c r="D1245">
        <v>14</v>
      </c>
      <c r="E1245" s="3">
        <f t="shared" si="19"/>
        <v>45869</v>
      </c>
      <c r="F1245" s="3">
        <f>IF(TableRefills3[[#This Row],[prev_refill_days]]="","",TableRefills3[[#This Row],[prev_refill_days]]+TableRefills3[[#This Row],[quantity_days]])</f>
        <v>45883</v>
      </c>
      <c r="G1245">
        <f>IF(TableRefills3[[#This Row],[prev_refill_end]]="","",TableRefills3[[#This Row],[refill_date]]-TableRefills3[[#This Row],[prev_refill_end]])</f>
        <v>1</v>
      </c>
      <c r="H1245" s="10">
        <f>IF(TableRefills3[[#This Row],[gap_days]]="",0,IF(TableRefills3[[#This Row],[gap_days]]&gt;2,1,0))</f>
        <v>0</v>
      </c>
      <c r="I1245">
        <f>_xlfn.MAXIFS(TableRefills3[discountinuation_flag], TableRefills3[patient_id], A1245)</f>
        <v>1</v>
      </c>
    </row>
    <row r="1246" spans="1:9" x14ac:dyDescent="0.25">
      <c r="A1246" t="s">
        <v>1993</v>
      </c>
      <c r="B1246" t="s">
        <v>1994</v>
      </c>
      <c r="C1246" s="3">
        <v>45897</v>
      </c>
      <c r="D1246">
        <v>14</v>
      </c>
      <c r="E1246" s="3">
        <f t="shared" si="19"/>
        <v>45884</v>
      </c>
      <c r="F1246" s="3">
        <f>IF(TableRefills3[[#This Row],[prev_refill_days]]="","",TableRefills3[[#This Row],[prev_refill_days]]+TableRefills3[[#This Row],[quantity_days]])</f>
        <v>45898</v>
      </c>
      <c r="G1246">
        <f>IF(TableRefills3[[#This Row],[prev_refill_end]]="","",TableRefills3[[#This Row],[refill_date]]-TableRefills3[[#This Row],[prev_refill_end]])</f>
        <v>-1</v>
      </c>
      <c r="H1246" s="10">
        <f>IF(TableRefills3[[#This Row],[gap_days]]="",0,IF(TableRefills3[[#This Row],[gap_days]]&gt;2,1,0))</f>
        <v>0</v>
      </c>
      <c r="I1246">
        <f>_xlfn.MAXIFS(TableRefills3[discountinuation_flag], TableRefills3[patient_id], A1246)</f>
        <v>1</v>
      </c>
    </row>
    <row r="1247" spans="1:9" x14ac:dyDescent="0.25">
      <c r="A1247" t="s">
        <v>1993</v>
      </c>
      <c r="B1247" t="s">
        <v>1994</v>
      </c>
      <c r="C1247" s="3">
        <v>45908</v>
      </c>
      <c r="D1247">
        <v>14</v>
      </c>
      <c r="E1247" s="3">
        <f t="shared" si="19"/>
        <v>45897</v>
      </c>
      <c r="F1247" s="3">
        <f>IF(TableRefills3[[#This Row],[prev_refill_days]]="","",TableRefills3[[#This Row],[prev_refill_days]]+TableRefills3[[#This Row],[quantity_days]])</f>
        <v>45911</v>
      </c>
      <c r="G1247">
        <f>IF(TableRefills3[[#This Row],[prev_refill_end]]="","",TableRefills3[[#This Row],[refill_date]]-TableRefills3[[#This Row],[prev_refill_end]])</f>
        <v>-3</v>
      </c>
      <c r="H1247" s="10">
        <f>IF(TableRefills3[[#This Row],[gap_days]]="",0,IF(TableRefills3[[#This Row],[gap_days]]&gt;2,1,0))</f>
        <v>0</v>
      </c>
      <c r="I1247">
        <f>_xlfn.MAXIFS(TableRefills3[discountinuation_flag], TableRefills3[patient_id], A1247)</f>
        <v>1</v>
      </c>
    </row>
    <row r="1248" spans="1:9" x14ac:dyDescent="0.25">
      <c r="A1248" t="s">
        <v>1993</v>
      </c>
      <c r="B1248" t="s">
        <v>1994</v>
      </c>
      <c r="C1248" s="3">
        <v>45924</v>
      </c>
      <c r="D1248">
        <v>14</v>
      </c>
      <c r="E1248" s="3">
        <f t="shared" si="19"/>
        <v>45908</v>
      </c>
      <c r="F1248" s="3">
        <f>IF(TableRefills3[[#This Row],[prev_refill_days]]="","",TableRefills3[[#This Row],[prev_refill_days]]+TableRefills3[[#This Row],[quantity_days]])</f>
        <v>45922</v>
      </c>
      <c r="G1248">
        <f>IF(TableRefills3[[#This Row],[prev_refill_end]]="","",TableRefills3[[#This Row],[refill_date]]-TableRefills3[[#This Row],[prev_refill_end]])</f>
        <v>2</v>
      </c>
      <c r="H1248" s="10">
        <f>IF(TableRefills3[[#This Row],[gap_days]]="",0,IF(TableRefills3[[#This Row],[gap_days]]&gt;2,1,0))</f>
        <v>0</v>
      </c>
      <c r="I1248">
        <f>_xlfn.MAXIFS(TableRefills3[discountinuation_flag], TableRefills3[patient_id], A1248)</f>
        <v>1</v>
      </c>
    </row>
    <row r="1249" spans="1:9" x14ac:dyDescent="0.25">
      <c r="A1249" t="s">
        <v>1993</v>
      </c>
      <c r="B1249" t="s">
        <v>1994</v>
      </c>
      <c r="C1249" s="3">
        <v>45935</v>
      </c>
      <c r="D1249">
        <v>14</v>
      </c>
      <c r="E1249" s="3">
        <f t="shared" si="19"/>
        <v>45924</v>
      </c>
      <c r="F1249" s="3">
        <f>IF(TableRefills3[[#This Row],[prev_refill_days]]="","",TableRefills3[[#This Row],[prev_refill_days]]+TableRefills3[[#This Row],[quantity_days]])</f>
        <v>45938</v>
      </c>
      <c r="G1249">
        <f>IF(TableRefills3[[#This Row],[prev_refill_end]]="","",TableRefills3[[#This Row],[refill_date]]-TableRefills3[[#This Row],[prev_refill_end]])</f>
        <v>-3</v>
      </c>
      <c r="H1249" s="10">
        <f>IF(TableRefills3[[#This Row],[gap_days]]="",0,IF(TableRefills3[[#This Row],[gap_days]]&gt;2,1,0))</f>
        <v>0</v>
      </c>
      <c r="I1249">
        <f>_xlfn.MAXIFS(TableRefills3[discountinuation_flag], TableRefills3[patient_id], A1249)</f>
        <v>1</v>
      </c>
    </row>
    <row r="1250" spans="1:9" x14ac:dyDescent="0.25">
      <c r="A1250" t="s">
        <v>1993</v>
      </c>
      <c r="B1250" t="s">
        <v>1994</v>
      </c>
      <c r="C1250" s="3">
        <v>45950</v>
      </c>
      <c r="D1250">
        <v>14</v>
      </c>
      <c r="E1250" s="3">
        <f t="shared" si="19"/>
        <v>45935</v>
      </c>
      <c r="F1250" s="3">
        <f>IF(TableRefills3[[#This Row],[prev_refill_days]]="","",TableRefills3[[#This Row],[prev_refill_days]]+TableRefills3[[#This Row],[quantity_days]])</f>
        <v>45949</v>
      </c>
      <c r="G1250">
        <f>IF(TableRefills3[[#This Row],[prev_refill_end]]="","",TableRefills3[[#This Row],[refill_date]]-TableRefills3[[#This Row],[prev_refill_end]])</f>
        <v>1</v>
      </c>
      <c r="H1250" s="10">
        <f>IF(TableRefills3[[#This Row],[gap_days]]="",0,IF(TableRefills3[[#This Row],[gap_days]]&gt;2,1,0))</f>
        <v>0</v>
      </c>
      <c r="I1250">
        <f>_xlfn.MAXIFS(TableRefills3[discountinuation_flag], TableRefills3[patient_id], A1250)</f>
        <v>1</v>
      </c>
    </row>
    <row r="1251" spans="1:9" x14ac:dyDescent="0.25">
      <c r="A1251" t="s">
        <v>2006</v>
      </c>
      <c r="B1251" t="s">
        <v>2007</v>
      </c>
      <c r="C1251" s="3">
        <v>45918</v>
      </c>
      <c r="D1251">
        <v>28</v>
      </c>
      <c r="E1251" s="3" t="str">
        <f t="shared" si="19"/>
        <v/>
      </c>
      <c r="F1251" s="3" t="str">
        <f>IF(TableRefills3[[#This Row],[prev_refill_days]]="","",TableRefills3[[#This Row],[prev_refill_days]]+TableRefills3[[#This Row],[quantity_days]])</f>
        <v/>
      </c>
      <c r="G1251" t="str">
        <f>IF(TableRefills3[[#This Row],[prev_refill_end]]="","",TableRefills3[[#This Row],[refill_date]]-TableRefills3[[#This Row],[prev_refill_end]])</f>
        <v/>
      </c>
      <c r="H1251" s="10">
        <f>IF(TableRefills3[[#This Row],[gap_days]]="",0,IF(TableRefills3[[#This Row],[gap_days]]&gt;2,1,0))</f>
        <v>0</v>
      </c>
      <c r="I1251">
        <f>_xlfn.MAXIFS(TableRefills3[discountinuation_flag], TableRefills3[patient_id], A1251)</f>
        <v>0</v>
      </c>
    </row>
    <row r="1252" spans="1:9" x14ac:dyDescent="0.25">
      <c r="A1252" t="s">
        <v>2006</v>
      </c>
      <c r="B1252" t="s">
        <v>2007</v>
      </c>
      <c r="C1252" s="3">
        <v>45946</v>
      </c>
      <c r="D1252">
        <v>28</v>
      </c>
      <c r="E1252" s="3">
        <f t="shared" si="19"/>
        <v>45918</v>
      </c>
      <c r="F1252" s="3">
        <f>IF(TableRefills3[[#This Row],[prev_refill_days]]="","",TableRefills3[[#This Row],[prev_refill_days]]+TableRefills3[[#This Row],[quantity_days]])</f>
        <v>45946</v>
      </c>
      <c r="G1252">
        <f>IF(TableRefills3[[#This Row],[prev_refill_end]]="","",TableRefills3[[#This Row],[refill_date]]-TableRefills3[[#This Row],[prev_refill_end]])</f>
        <v>0</v>
      </c>
      <c r="H1252" s="10">
        <f>IF(TableRefills3[[#This Row],[gap_days]]="",0,IF(TableRefills3[[#This Row],[gap_days]]&gt;2,1,0))</f>
        <v>0</v>
      </c>
      <c r="I1252">
        <f>_xlfn.MAXIFS(TableRefills3[discountinuation_flag], TableRefills3[patient_id], A1252)</f>
        <v>0</v>
      </c>
    </row>
    <row r="1253" spans="1:9" x14ac:dyDescent="0.25">
      <c r="A1253" t="s">
        <v>2010</v>
      </c>
      <c r="B1253" t="s">
        <v>2011</v>
      </c>
      <c r="C1253" s="3">
        <v>45882</v>
      </c>
      <c r="D1253">
        <v>28</v>
      </c>
      <c r="E1253" s="3" t="str">
        <f t="shared" si="19"/>
        <v/>
      </c>
      <c r="F1253" s="3" t="str">
        <f>IF(TableRefills3[[#This Row],[prev_refill_days]]="","",TableRefills3[[#This Row],[prev_refill_days]]+TableRefills3[[#This Row],[quantity_days]])</f>
        <v/>
      </c>
      <c r="G1253" t="str">
        <f>IF(TableRefills3[[#This Row],[prev_refill_end]]="","",TableRefills3[[#This Row],[refill_date]]-TableRefills3[[#This Row],[prev_refill_end]])</f>
        <v/>
      </c>
      <c r="H1253" s="10">
        <f>IF(TableRefills3[[#This Row],[gap_days]]="",0,IF(TableRefills3[[#This Row],[gap_days]]&gt;2,1,0))</f>
        <v>0</v>
      </c>
      <c r="I1253">
        <f>_xlfn.MAXIFS(TableRefills3[discountinuation_flag], TableRefills3[patient_id], A1253)</f>
        <v>1</v>
      </c>
    </row>
    <row r="1254" spans="1:9" x14ac:dyDescent="0.25">
      <c r="A1254" t="s">
        <v>2010</v>
      </c>
      <c r="B1254" t="s">
        <v>2011</v>
      </c>
      <c r="C1254" s="3">
        <v>45913</v>
      </c>
      <c r="D1254">
        <v>28</v>
      </c>
      <c r="E1254" s="3">
        <f t="shared" si="19"/>
        <v>45882</v>
      </c>
      <c r="F1254" s="3">
        <f>IF(TableRefills3[[#This Row],[prev_refill_days]]="","",TableRefills3[[#This Row],[prev_refill_days]]+TableRefills3[[#This Row],[quantity_days]])</f>
        <v>45910</v>
      </c>
      <c r="G1254">
        <f>IF(TableRefills3[[#This Row],[prev_refill_end]]="","",TableRefills3[[#This Row],[refill_date]]-TableRefills3[[#This Row],[prev_refill_end]])</f>
        <v>3</v>
      </c>
      <c r="H1254" s="10">
        <f>IF(TableRefills3[[#This Row],[gap_days]]="",0,IF(TableRefills3[[#This Row],[gap_days]]&gt;2,1,0))</f>
        <v>1</v>
      </c>
      <c r="I1254">
        <f>_xlfn.MAXIFS(TableRefills3[discountinuation_flag], TableRefills3[patient_id], A1254)</f>
        <v>1</v>
      </c>
    </row>
    <row r="1255" spans="1:9" x14ac:dyDescent="0.25">
      <c r="A1255" t="s">
        <v>2010</v>
      </c>
      <c r="B1255" t="s">
        <v>2011</v>
      </c>
      <c r="C1255" s="3">
        <v>45941</v>
      </c>
      <c r="D1255">
        <v>28</v>
      </c>
      <c r="E1255" s="3">
        <f t="shared" si="19"/>
        <v>45913</v>
      </c>
      <c r="F1255" s="3">
        <f>IF(TableRefills3[[#This Row],[prev_refill_days]]="","",TableRefills3[[#This Row],[prev_refill_days]]+TableRefills3[[#This Row],[quantity_days]])</f>
        <v>45941</v>
      </c>
      <c r="G1255">
        <f>IF(TableRefills3[[#This Row],[prev_refill_end]]="","",TableRefills3[[#This Row],[refill_date]]-TableRefills3[[#This Row],[prev_refill_end]])</f>
        <v>0</v>
      </c>
      <c r="H1255" s="10">
        <f>IF(TableRefills3[[#This Row],[gap_days]]="",0,IF(TableRefills3[[#This Row],[gap_days]]&gt;2,1,0))</f>
        <v>0</v>
      </c>
      <c r="I1255">
        <f>_xlfn.MAXIFS(TableRefills3[discountinuation_flag], TableRefills3[patient_id], A1255)</f>
        <v>1</v>
      </c>
    </row>
    <row r="1256" spans="1:9" x14ac:dyDescent="0.25">
      <c r="A1256" t="s">
        <v>2015</v>
      </c>
      <c r="B1256" t="s">
        <v>2016</v>
      </c>
      <c r="C1256" s="3">
        <v>45899</v>
      </c>
      <c r="D1256">
        <v>28</v>
      </c>
      <c r="E1256" s="3" t="str">
        <f t="shared" si="19"/>
        <v/>
      </c>
      <c r="F1256" s="3" t="str">
        <f>IF(TableRefills3[[#This Row],[prev_refill_days]]="","",TableRefills3[[#This Row],[prev_refill_days]]+TableRefills3[[#This Row],[quantity_days]])</f>
        <v/>
      </c>
      <c r="G1256" t="str">
        <f>IF(TableRefills3[[#This Row],[prev_refill_end]]="","",TableRefills3[[#This Row],[refill_date]]-TableRefills3[[#This Row],[prev_refill_end]])</f>
        <v/>
      </c>
      <c r="H1256" s="10">
        <f>IF(TableRefills3[[#This Row],[gap_days]]="",0,IF(TableRefills3[[#This Row],[gap_days]]&gt;2,1,0))</f>
        <v>0</v>
      </c>
      <c r="I1256">
        <f>_xlfn.MAXIFS(TableRefills3[discountinuation_flag], TableRefills3[patient_id], A1256)</f>
        <v>0</v>
      </c>
    </row>
    <row r="1257" spans="1:9" x14ac:dyDescent="0.25">
      <c r="A1257" t="s">
        <v>2015</v>
      </c>
      <c r="B1257" t="s">
        <v>2016</v>
      </c>
      <c r="C1257" s="3">
        <v>45927</v>
      </c>
      <c r="D1257">
        <v>28</v>
      </c>
      <c r="E1257" s="3">
        <f t="shared" si="19"/>
        <v>45899</v>
      </c>
      <c r="F1257" s="3">
        <f>IF(TableRefills3[[#This Row],[prev_refill_days]]="","",TableRefills3[[#This Row],[prev_refill_days]]+TableRefills3[[#This Row],[quantity_days]])</f>
        <v>45927</v>
      </c>
      <c r="G1257">
        <f>IF(TableRefills3[[#This Row],[prev_refill_end]]="","",TableRefills3[[#This Row],[refill_date]]-TableRefills3[[#This Row],[prev_refill_end]])</f>
        <v>0</v>
      </c>
      <c r="H1257" s="10">
        <f>IF(TableRefills3[[#This Row],[gap_days]]="",0,IF(TableRefills3[[#This Row],[gap_days]]&gt;2,1,0))</f>
        <v>0</v>
      </c>
      <c r="I1257">
        <f>_xlfn.MAXIFS(TableRefills3[discountinuation_flag], TableRefills3[patient_id], A1257)</f>
        <v>0</v>
      </c>
    </row>
    <row r="1258" spans="1:9" x14ac:dyDescent="0.25">
      <c r="A1258" t="s">
        <v>2015</v>
      </c>
      <c r="B1258" t="s">
        <v>2016</v>
      </c>
      <c r="C1258" s="3">
        <v>45956</v>
      </c>
      <c r="D1258">
        <v>28</v>
      </c>
      <c r="E1258" s="3">
        <f t="shared" si="19"/>
        <v>45927</v>
      </c>
      <c r="F1258" s="3">
        <f>IF(TableRefills3[[#This Row],[prev_refill_days]]="","",TableRefills3[[#This Row],[prev_refill_days]]+TableRefills3[[#This Row],[quantity_days]])</f>
        <v>45955</v>
      </c>
      <c r="G1258">
        <f>IF(TableRefills3[[#This Row],[prev_refill_end]]="","",TableRefills3[[#This Row],[refill_date]]-TableRefills3[[#This Row],[prev_refill_end]])</f>
        <v>1</v>
      </c>
      <c r="H1258" s="10">
        <f>IF(TableRefills3[[#This Row],[gap_days]]="",0,IF(TableRefills3[[#This Row],[gap_days]]&gt;2,1,0))</f>
        <v>0</v>
      </c>
      <c r="I1258">
        <f>_xlfn.MAXIFS(TableRefills3[discountinuation_flag], TableRefills3[patient_id], A1258)</f>
        <v>0</v>
      </c>
    </row>
    <row r="1259" spans="1:9" x14ac:dyDescent="0.25">
      <c r="A1259" t="s">
        <v>2020</v>
      </c>
      <c r="B1259" t="s">
        <v>2021</v>
      </c>
      <c r="C1259" s="3">
        <v>45944</v>
      </c>
      <c r="D1259">
        <v>14</v>
      </c>
      <c r="E1259" s="3" t="str">
        <f t="shared" si="19"/>
        <v/>
      </c>
      <c r="F1259" s="3" t="str">
        <f>IF(TableRefills3[[#This Row],[prev_refill_days]]="","",TableRefills3[[#This Row],[prev_refill_days]]+TableRefills3[[#This Row],[quantity_days]])</f>
        <v/>
      </c>
      <c r="G1259" t="str">
        <f>IF(TableRefills3[[#This Row],[prev_refill_end]]="","",TableRefills3[[#This Row],[refill_date]]-TableRefills3[[#This Row],[prev_refill_end]])</f>
        <v/>
      </c>
      <c r="H1259" s="10">
        <f>IF(TableRefills3[[#This Row],[gap_days]]="",0,IF(TableRefills3[[#This Row],[gap_days]]&gt;2,1,0))</f>
        <v>0</v>
      </c>
      <c r="I1259">
        <f>_xlfn.MAXIFS(TableRefills3[discountinuation_flag], TableRefills3[patient_id], A1259)</f>
        <v>0</v>
      </c>
    </row>
    <row r="1260" spans="1:9" x14ac:dyDescent="0.25">
      <c r="A1260" t="s">
        <v>2020</v>
      </c>
      <c r="B1260" t="s">
        <v>2021</v>
      </c>
      <c r="C1260" s="3">
        <v>45959</v>
      </c>
      <c r="D1260">
        <v>14</v>
      </c>
      <c r="E1260" s="3">
        <f t="shared" si="19"/>
        <v>45944</v>
      </c>
      <c r="F1260" s="3">
        <f>IF(TableRefills3[[#This Row],[prev_refill_days]]="","",TableRefills3[[#This Row],[prev_refill_days]]+TableRefills3[[#This Row],[quantity_days]])</f>
        <v>45958</v>
      </c>
      <c r="G1260">
        <f>IF(TableRefills3[[#This Row],[prev_refill_end]]="","",TableRefills3[[#This Row],[refill_date]]-TableRefills3[[#This Row],[prev_refill_end]])</f>
        <v>1</v>
      </c>
      <c r="H1260" s="10">
        <f>IF(TableRefills3[[#This Row],[gap_days]]="",0,IF(TableRefills3[[#This Row],[gap_days]]&gt;2,1,0))</f>
        <v>0</v>
      </c>
      <c r="I1260">
        <f>_xlfn.MAXIFS(TableRefills3[discountinuation_flag], TableRefills3[patient_id], A1260)</f>
        <v>0</v>
      </c>
    </row>
    <row r="1261" spans="1:9" x14ac:dyDescent="0.25">
      <c r="A1261" t="s">
        <v>2024</v>
      </c>
      <c r="B1261" t="s">
        <v>2025</v>
      </c>
      <c r="C1261" s="3">
        <v>45851</v>
      </c>
      <c r="D1261">
        <v>28</v>
      </c>
      <c r="E1261" s="3" t="str">
        <f t="shared" si="19"/>
        <v/>
      </c>
      <c r="F1261" s="3" t="str">
        <f>IF(TableRefills3[[#This Row],[prev_refill_days]]="","",TableRefills3[[#This Row],[prev_refill_days]]+TableRefills3[[#This Row],[quantity_days]])</f>
        <v/>
      </c>
      <c r="G1261" t="str">
        <f>IF(TableRefills3[[#This Row],[prev_refill_end]]="","",TableRefills3[[#This Row],[refill_date]]-TableRefills3[[#This Row],[prev_refill_end]])</f>
        <v/>
      </c>
      <c r="H1261" s="10">
        <f>IF(TableRefills3[[#This Row],[gap_days]]="",0,IF(TableRefills3[[#This Row],[gap_days]]&gt;2,1,0))</f>
        <v>0</v>
      </c>
      <c r="I1261">
        <f>_xlfn.MAXIFS(TableRefills3[discountinuation_flag], TableRefills3[patient_id], A1261)</f>
        <v>1</v>
      </c>
    </row>
    <row r="1262" spans="1:9" x14ac:dyDescent="0.25">
      <c r="A1262" t="s">
        <v>2024</v>
      </c>
      <c r="B1262" t="s">
        <v>2025</v>
      </c>
      <c r="C1262" s="3">
        <v>45880</v>
      </c>
      <c r="D1262">
        <v>28</v>
      </c>
      <c r="E1262" s="3">
        <f t="shared" si="19"/>
        <v>45851</v>
      </c>
      <c r="F1262" s="3">
        <f>IF(TableRefills3[[#This Row],[prev_refill_days]]="","",TableRefills3[[#This Row],[prev_refill_days]]+TableRefills3[[#This Row],[quantity_days]])</f>
        <v>45879</v>
      </c>
      <c r="G1262">
        <f>IF(TableRefills3[[#This Row],[prev_refill_end]]="","",TableRefills3[[#This Row],[refill_date]]-TableRefills3[[#This Row],[prev_refill_end]])</f>
        <v>1</v>
      </c>
      <c r="H1262" s="10">
        <f>IF(TableRefills3[[#This Row],[gap_days]]="",0,IF(TableRefills3[[#This Row],[gap_days]]&gt;2,1,0))</f>
        <v>0</v>
      </c>
      <c r="I1262">
        <f>_xlfn.MAXIFS(TableRefills3[discountinuation_flag], TableRefills3[patient_id], A1262)</f>
        <v>1</v>
      </c>
    </row>
    <row r="1263" spans="1:9" x14ac:dyDescent="0.25">
      <c r="A1263" t="s">
        <v>2024</v>
      </c>
      <c r="B1263" t="s">
        <v>2025</v>
      </c>
      <c r="C1263" s="3">
        <v>45910</v>
      </c>
      <c r="D1263">
        <v>28</v>
      </c>
      <c r="E1263" s="3">
        <f t="shared" si="19"/>
        <v>45880</v>
      </c>
      <c r="F1263" s="3">
        <f>IF(TableRefills3[[#This Row],[prev_refill_days]]="","",TableRefills3[[#This Row],[prev_refill_days]]+TableRefills3[[#This Row],[quantity_days]])</f>
        <v>45908</v>
      </c>
      <c r="G1263">
        <f>IF(TableRefills3[[#This Row],[prev_refill_end]]="","",TableRefills3[[#This Row],[refill_date]]-TableRefills3[[#This Row],[prev_refill_end]])</f>
        <v>2</v>
      </c>
      <c r="H1263" s="10">
        <f>IF(TableRefills3[[#This Row],[gap_days]]="",0,IF(TableRefills3[[#This Row],[gap_days]]&gt;2,1,0))</f>
        <v>0</v>
      </c>
      <c r="I1263">
        <f>_xlfn.MAXIFS(TableRefills3[discountinuation_flag], TableRefills3[patient_id], A1263)</f>
        <v>1</v>
      </c>
    </row>
    <row r="1264" spans="1:9" x14ac:dyDescent="0.25">
      <c r="A1264" t="s">
        <v>2024</v>
      </c>
      <c r="B1264" t="s">
        <v>2025</v>
      </c>
      <c r="C1264" s="3">
        <v>45941</v>
      </c>
      <c r="D1264">
        <v>28</v>
      </c>
      <c r="E1264" s="3">
        <f t="shared" si="19"/>
        <v>45910</v>
      </c>
      <c r="F1264" s="3">
        <f>IF(TableRefills3[[#This Row],[prev_refill_days]]="","",TableRefills3[[#This Row],[prev_refill_days]]+TableRefills3[[#This Row],[quantity_days]])</f>
        <v>45938</v>
      </c>
      <c r="G1264">
        <f>IF(TableRefills3[[#This Row],[prev_refill_end]]="","",TableRefills3[[#This Row],[refill_date]]-TableRefills3[[#This Row],[prev_refill_end]])</f>
        <v>3</v>
      </c>
      <c r="H1264" s="10">
        <f>IF(TableRefills3[[#This Row],[gap_days]]="",0,IF(TableRefills3[[#This Row],[gap_days]]&gt;2,1,0))</f>
        <v>1</v>
      </c>
      <c r="I1264">
        <f>_xlfn.MAXIFS(TableRefills3[discountinuation_flag], TableRefills3[patient_id], A1264)</f>
        <v>1</v>
      </c>
    </row>
    <row r="1265" spans="1:9" x14ac:dyDescent="0.25">
      <c r="A1265" t="s">
        <v>2030</v>
      </c>
      <c r="B1265" t="s">
        <v>2031</v>
      </c>
      <c r="C1265" s="3">
        <v>45851</v>
      </c>
      <c r="D1265">
        <v>28</v>
      </c>
      <c r="E1265" s="3" t="str">
        <f t="shared" si="19"/>
        <v/>
      </c>
      <c r="F1265" s="3" t="str">
        <f>IF(TableRefills3[[#This Row],[prev_refill_days]]="","",TableRefills3[[#This Row],[prev_refill_days]]+TableRefills3[[#This Row],[quantity_days]])</f>
        <v/>
      </c>
      <c r="G1265" t="str">
        <f>IF(TableRefills3[[#This Row],[prev_refill_end]]="","",TableRefills3[[#This Row],[refill_date]]-TableRefills3[[#This Row],[prev_refill_end]])</f>
        <v/>
      </c>
      <c r="H1265" s="10">
        <f>IF(TableRefills3[[#This Row],[gap_days]]="",0,IF(TableRefills3[[#This Row],[gap_days]]&gt;2,1,0))</f>
        <v>0</v>
      </c>
      <c r="I1265">
        <f>_xlfn.MAXIFS(TableRefills3[discountinuation_flag], TableRefills3[patient_id], A1265)</f>
        <v>1</v>
      </c>
    </row>
    <row r="1266" spans="1:9" x14ac:dyDescent="0.25">
      <c r="A1266" t="s">
        <v>2030</v>
      </c>
      <c r="B1266" t="s">
        <v>2031</v>
      </c>
      <c r="C1266" s="3">
        <v>45882</v>
      </c>
      <c r="D1266">
        <v>28</v>
      </c>
      <c r="E1266" s="3">
        <f t="shared" si="19"/>
        <v>45851</v>
      </c>
      <c r="F1266" s="3">
        <f>IF(TableRefills3[[#This Row],[prev_refill_days]]="","",TableRefills3[[#This Row],[prev_refill_days]]+TableRefills3[[#This Row],[quantity_days]])</f>
        <v>45879</v>
      </c>
      <c r="G1266">
        <f>IF(TableRefills3[[#This Row],[prev_refill_end]]="","",TableRefills3[[#This Row],[refill_date]]-TableRefills3[[#This Row],[prev_refill_end]])</f>
        <v>3</v>
      </c>
      <c r="H1266" s="10">
        <f>IF(TableRefills3[[#This Row],[gap_days]]="",0,IF(TableRefills3[[#This Row],[gap_days]]&gt;2,1,0))</f>
        <v>1</v>
      </c>
      <c r="I1266">
        <f>_xlfn.MAXIFS(TableRefills3[discountinuation_flag], TableRefills3[patient_id], A1266)</f>
        <v>1</v>
      </c>
    </row>
    <row r="1267" spans="1:9" x14ac:dyDescent="0.25">
      <c r="A1267" t="s">
        <v>2030</v>
      </c>
      <c r="B1267" t="s">
        <v>2031</v>
      </c>
      <c r="C1267" s="3">
        <v>45910</v>
      </c>
      <c r="D1267">
        <v>28</v>
      </c>
      <c r="E1267" s="3">
        <f t="shared" si="19"/>
        <v>45882</v>
      </c>
      <c r="F1267" s="3">
        <f>IF(TableRefills3[[#This Row],[prev_refill_days]]="","",TableRefills3[[#This Row],[prev_refill_days]]+TableRefills3[[#This Row],[quantity_days]])</f>
        <v>45910</v>
      </c>
      <c r="G1267">
        <f>IF(TableRefills3[[#This Row],[prev_refill_end]]="","",TableRefills3[[#This Row],[refill_date]]-TableRefills3[[#This Row],[prev_refill_end]])</f>
        <v>0</v>
      </c>
      <c r="H1267" s="10">
        <f>IF(TableRefills3[[#This Row],[gap_days]]="",0,IF(TableRefills3[[#This Row],[gap_days]]&gt;2,1,0))</f>
        <v>0</v>
      </c>
      <c r="I1267">
        <f>_xlfn.MAXIFS(TableRefills3[discountinuation_flag], TableRefills3[patient_id], A1267)</f>
        <v>1</v>
      </c>
    </row>
    <row r="1268" spans="1:9" x14ac:dyDescent="0.25">
      <c r="A1268" t="s">
        <v>2030</v>
      </c>
      <c r="B1268" t="s">
        <v>2031</v>
      </c>
      <c r="C1268" s="3">
        <v>45937</v>
      </c>
      <c r="D1268">
        <v>28</v>
      </c>
      <c r="E1268" s="3">
        <f t="shared" si="19"/>
        <v>45910</v>
      </c>
      <c r="F1268" s="3">
        <f>IF(TableRefills3[[#This Row],[prev_refill_days]]="","",TableRefills3[[#This Row],[prev_refill_days]]+TableRefills3[[#This Row],[quantity_days]])</f>
        <v>45938</v>
      </c>
      <c r="G1268">
        <f>IF(TableRefills3[[#This Row],[prev_refill_end]]="","",TableRefills3[[#This Row],[refill_date]]-TableRefills3[[#This Row],[prev_refill_end]])</f>
        <v>-1</v>
      </c>
      <c r="H1268" s="10">
        <f>IF(TableRefills3[[#This Row],[gap_days]]="",0,IF(TableRefills3[[#This Row],[gap_days]]&gt;2,1,0))</f>
        <v>0</v>
      </c>
      <c r="I1268">
        <f>_xlfn.MAXIFS(TableRefills3[discountinuation_flag], TableRefills3[patient_id], A1268)</f>
        <v>1</v>
      </c>
    </row>
    <row r="1269" spans="1:9" x14ac:dyDescent="0.25">
      <c r="A1269" t="s">
        <v>2036</v>
      </c>
      <c r="B1269" t="s">
        <v>2037</v>
      </c>
      <c r="C1269" s="3">
        <v>45793</v>
      </c>
      <c r="D1269">
        <v>28</v>
      </c>
      <c r="E1269" s="3" t="str">
        <f t="shared" si="19"/>
        <v/>
      </c>
      <c r="F1269" s="3" t="str">
        <f>IF(TableRefills3[[#This Row],[prev_refill_days]]="","",TableRefills3[[#This Row],[prev_refill_days]]+TableRefills3[[#This Row],[quantity_days]])</f>
        <v/>
      </c>
      <c r="G1269" t="str">
        <f>IF(TableRefills3[[#This Row],[prev_refill_end]]="","",TableRefills3[[#This Row],[refill_date]]-TableRefills3[[#This Row],[prev_refill_end]])</f>
        <v/>
      </c>
      <c r="H1269" s="10">
        <f>IF(TableRefills3[[#This Row],[gap_days]]="",0,IF(TableRefills3[[#This Row],[gap_days]]&gt;2,1,0))</f>
        <v>0</v>
      </c>
      <c r="I1269">
        <f>_xlfn.MAXIFS(TableRefills3[discountinuation_flag], TableRefills3[patient_id], A1269)</f>
        <v>1</v>
      </c>
    </row>
    <row r="1270" spans="1:9" x14ac:dyDescent="0.25">
      <c r="A1270" t="s">
        <v>2036</v>
      </c>
      <c r="B1270" t="s">
        <v>2037</v>
      </c>
      <c r="C1270" s="3">
        <v>45820</v>
      </c>
      <c r="D1270">
        <v>28</v>
      </c>
      <c r="E1270" s="3">
        <f t="shared" si="19"/>
        <v>45793</v>
      </c>
      <c r="F1270" s="3">
        <f>IF(TableRefills3[[#This Row],[prev_refill_days]]="","",TableRefills3[[#This Row],[prev_refill_days]]+TableRefills3[[#This Row],[quantity_days]])</f>
        <v>45821</v>
      </c>
      <c r="G1270">
        <f>IF(TableRefills3[[#This Row],[prev_refill_end]]="","",TableRefills3[[#This Row],[refill_date]]-TableRefills3[[#This Row],[prev_refill_end]])</f>
        <v>-1</v>
      </c>
      <c r="H1270" s="10">
        <f>IF(TableRefills3[[#This Row],[gap_days]]="",0,IF(TableRefills3[[#This Row],[gap_days]]&gt;2,1,0))</f>
        <v>0</v>
      </c>
      <c r="I1270">
        <f>_xlfn.MAXIFS(TableRefills3[discountinuation_flag], TableRefills3[patient_id], A1270)</f>
        <v>1</v>
      </c>
    </row>
    <row r="1271" spans="1:9" x14ac:dyDescent="0.25">
      <c r="A1271" t="s">
        <v>2036</v>
      </c>
      <c r="B1271" t="s">
        <v>2037</v>
      </c>
      <c r="C1271" s="3">
        <v>45849</v>
      </c>
      <c r="D1271">
        <v>28</v>
      </c>
      <c r="E1271" s="3">
        <f t="shared" si="19"/>
        <v>45820</v>
      </c>
      <c r="F1271" s="3">
        <f>IF(TableRefills3[[#This Row],[prev_refill_days]]="","",TableRefills3[[#This Row],[prev_refill_days]]+TableRefills3[[#This Row],[quantity_days]])</f>
        <v>45848</v>
      </c>
      <c r="G1271">
        <f>IF(TableRefills3[[#This Row],[prev_refill_end]]="","",TableRefills3[[#This Row],[refill_date]]-TableRefills3[[#This Row],[prev_refill_end]])</f>
        <v>1</v>
      </c>
      <c r="H1271" s="10">
        <f>IF(TableRefills3[[#This Row],[gap_days]]="",0,IF(TableRefills3[[#This Row],[gap_days]]&gt;2,1,0))</f>
        <v>0</v>
      </c>
      <c r="I1271">
        <f>_xlfn.MAXIFS(TableRefills3[discountinuation_flag], TableRefills3[patient_id], A1271)</f>
        <v>1</v>
      </c>
    </row>
    <row r="1272" spans="1:9" x14ac:dyDescent="0.25">
      <c r="A1272" t="s">
        <v>2036</v>
      </c>
      <c r="B1272" t="s">
        <v>2037</v>
      </c>
      <c r="C1272" s="3">
        <v>45880</v>
      </c>
      <c r="D1272">
        <v>28</v>
      </c>
      <c r="E1272" s="3">
        <f t="shared" si="19"/>
        <v>45849</v>
      </c>
      <c r="F1272" s="3">
        <f>IF(TableRefills3[[#This Row],[prev_refill_days]]="","",TableRefills3[[#This Row],[prev_refill_days]]+TableRefills3[[#This Row],[quantity_days]])</f>
        <v>45877</v>
      </c>
      <c r="G1272">
        <f>IF(TableRefills3[[#This Row],[prev_refill_end]]="","",TableRefills3[[#This Row],[refill_date]]-TableRefills3[[#This Row],[prev_refill_end]])</f>
        <v>3</v>
      </c>
      <c r="H1272" s="10">
        <f>IF(TableRefills3[[#This Row],[gap_days]]="",0,IF(TableRefills3[[#This Row],[gap_days]]&gt;2,1,0))</f>
        <v>1</v>
      </c>
      <c r="I1272">
        <f>_xlfn.MAXIFS(TableRefills3[discountinuation_flag], TableRefills3[patient_id], A1272)</f>
        <v>1</v>
      </c>
    </row>
    <row r="1273" spans="1:9" x14ac:dyDescent="0.25">
      <c r="A1273" t="s">
        <v>2036</v>
      </c>
      <c r="B1273" t="s">
        <v>2037</v>
      </c>
      <c r="C1273" s="3">
        <v>45908</v>
      </c>
      <c r="D1273">
        <v>28</v>
      </c>
      <c r="E1273" s="3">
        <f t="shared" si="19"/>
        <v>45880</v>
      </c>
      <c r="F1273" s="3">
        <f>IF(TableRefills3[[#This Row],[prev_refill_days]]="","",TableRefills3[[#This Row],[prev_refill_days]]+TableRefills3[[#This Row],[quantity_days]])</f>
        <v>45908</v>
      </c>
      <c r="G1273">
        <f>IF(TableRefills3[[#This Row],[prev_refill_end]]="","",TableRefills3[[#This Row],[refill_date]]-TableRefills3[[#This Row],[prev_refill_end]])</f>
        <v>0</v>
      </c>
      <c r="H1273" s="10">
        <f>IF(TableRefills3[[#This Row],[gap_days]]="",0,IF(TableRefills3[[#This Row],[gap_days]]&gt;2,1,0))</f>
        <v>0</v>
      </c>
      <c r="I1273">
        <f>_xlfn.MAXIFS(TableRefills3[discountinuation_flag], TableRefills3[patient_id], A1273)</f>
        <v>1</v>
      </c>
    </row>
    <row r="1274" spans="1:9" x14ac:dyDescent="0.25">
      <c r="A1274" t="s">
        <v>2036</v>
      </c>
      <c r="B1274" t="s">
        <v>2037</v>
      </c>
      <c r="C1274" s="3">
        <v>45934</v>
      </c>
      <c r="D1274">
        <v>28</v>
      </c>
      <c r="E1274" s="3">
        <f t="shared" si="19"/>
        <v>45908</v>
      </c>
      <c r="F1274" s="3">
        <f>IF(TableRefills3[[#This Row],[prev_refill_days]]="","",TableRefills3[[#This Row],[prev_refill_days]]+TableRefills3[[#This Row],[quantity_days]])</f>
        <v>45936</v>
      </c>
      <c r="G1274">
        <f>IF(TableRefills3[[#This Row],[prev_refill_end]]="","",TableRefills3[[#This Row],[refill_date]]-TableRefills3[[#This Row],[prev_refill_end]])</f>
        <v>-2</v>
      </c>
      <c r="H1274" s="10">
        <f>IF(TableRefills3[[#This Row],[gap_days]]="",0,IF(TableRefills3[[#This Row],[gap_days]]&gt;2,1,0))</f>
        <v>0</v>
      </c>
      <c r="I1274">
        <f>_xlfn.MAXIFS(TableRefills3[discountinuation_flag], TableRefills3[patient_id], A1274)</f>
        <v>1</v>
      </c>
    </row>
    <row r="1275" spans="1:9" x14ac:dyDescent="0.25">
      <c r="A1275" t="s">
        <v>2044</v>
      </c>
      <c r="B1275" t="s">
        <v>2045</v>
      </c>
      <c r="C1275" s="3">
        <v>45800</v>
      </c>
      <c r="D1275">
        <v>28</v>
      </c>
      <c r="E1275" s="3" t="str">
        <f t="shared" si="19"/>
        <v/>
      </c>
      <c r="F1275" s="3" t="str">
        <f>IF(TableRefills3[[#This Row],[prev_refill_days]]="","",TableRefills3[[#This Row],[prev_refill_days]]+TableRefills3[[#This Row],[quantity_days]])</f>
        <v/>
      </c>
      <c r="G1275" t="str">
        <f>IF(TableRefills3[[#This Row],[prev_refill_end]]="","",TableRefills3[[#This Row],[refill_date]]-TableRefills3[[#This Row],[prev_refill_end]])</f>
        <v/>
      </c>
      <c r="H1275" s="10">
        <f>IF(TableRefills3[[#This Row],[gap_days]]="",0,IF(TableRefills3[[#This Row],[gap_days]]&gt;2,1,0))</f>
        <v>0</v>
      </c>
      <c r="I1275">
        <f>_xlfn.MAXIFS(TableRefills3[discountinuation_flag], TableRefills3[patient_id], A1275)</f>
        <v>1</v>
      </c>
    </row>
    <row r="1276" spans="1:9" x14ac:dyDescent="0.25">
      <c r="A1276" t="s">
        <v>2044</v>
      </c>
      <c r="B1276" t="s">
        <v>2045</v>
      </c>
      <c r="C1276" s="3">
        <v>45825</v>
      </c>
      <c r="D1276">
        <v>28</v>
      </c>
      <c r="E1276" s="3">
        <f t="shared" si="19"/>
        <v>45800</v>
      </c>
      <c r="F1276" s="3">
        <f>IF(TableRefills3[[#This Row],[prev_refill_days]]="","",TableRefills3[[#This Row],[prev_refill_days]]+TableRefills3[[#This Row],[quantity_days]])</f>
        <v>45828</v>
      </c>
      <c r="G1276">
        <f>IF(TableRefills3[[#This Row],[prev_refill_end]]="","",TableRefills3[[#This Row],[refill_date]]-TableRefills3[[#This Row],[prev_refill_end]])</f>
        <v>-3</v>
      </c>
      <c r="H1276" s="10">
        <f>IF(TableRefills3[[#This Row],[gap_days]]="",0,IF(TableRefills3[[#This Row],[gap_days]]&gt;2,1,0))</f>
        <v>0</v>
      </c>
      <c r="I1276">
        <f>_xlfn.MAXIFS(TableRefills3[discountinuation_flag], TableRefills3[patient_id], A1276)</f>
        <v>1</v>
      </c>
    </row>
    <row r="1277" spans="1:9" x14ac:dyDescent="0.25">
      <c r="A1277" t="s">
        <v>2044</v>
      </c>
      <c r="B1277" t="s">
        <v>2045</v>
      </c>
      <c r="C1277" s="3">
        <v>45851</v>
      </c>
      <c r="D1277">
        <v>28</v>
      </c>
      <c r="E1277" s="3">
        <f t="shared" si="19"/>
        <v>45825</v>
      </c>
      <c r="F1277" s="3">
        <f>IF(TableRefills3[[#This Row],[prev_refill_days]]="","",TableRefills3[[#This Row],[prev_refill_days]]+TableRefills3[[#This Row],[quantity_days]])</f>
        <v>45853</v>
      </c>
      <c r="G1277">
        <f>IF(TableRefills3[[#This Row],[prev_refill_end]]="","",TableRefills3[[#This Row],[refill_date]]-TableRefills3[[#This Row],[prev_refill_end]])</f>
        <v>-2</v>
      </c>
      <c r="H1277" s="10">
        <f>IF(TableRefills3[[#This Row],[gap_days]]="",0,IF(TableRefills3[[#This Row],[gap_days]]&gt;2,1,0))</f>
        <v>0</v>
      </c>
      <c r="I1277">
        <f>_xlfn.MAXIFS(TableRefills3[discountinuation_flag], TableRefills3[patient_id], A1277)</f>
        <v>1</v>
      </c>
    </row>
    <row r="1278" spans="1:9" x14ac:dyDescent="0.25">
      <c r="A1278" t="s">
        <v>2044</v>
      </c>
      <c r="B1278" t="s">
        <v>2045</v>
      </c>
      <c r="C1278" s="3">
        <v>45882</v>
      </c>
      <c r="D1278">
        <v>28</v>
      </c>
      <c r="E1278" s="3">
        <f t="shared" si="19"/>
        <v>45851</v>
      </c>
      <c r="F1278" s="3">
        <f>IF(TableRefills3[[#This Row],[prev_refill_days]]="","",TableRefills3[[#This Row],[prev_refill_days]]+TableRefills3[[#This Row],[quantity_days]])</f>
        <v>45879</v>
      </c>
      <c r="G1278">
        <f>IF(TableRefills3[[#This Row],[prev_refill_end]]="","",TableRefills3[[#This Row],[refill_date]]-TableRefills3[[#This Row],[prev_refill_end]])</f>
        <v>3</v>
      </c>
      <c r="H1278" s="10">
        <f>IF(TableRefills3[[#This Row],[gap_days]]="",0,IF(TableRefills3[[#This Row],[gap_days]]&gt;2,1,0))</f>
        <v>1</v>
      </c>
      <c r="I1278">
        <f>_xlfn.MAXIFS(TableRefills3[discountinuation_flag], TableRefills3[patient_id], A1278)</f>
        <v>1</v>
      </c>
    </row>
    <row r="1279" spans="1:9" x14ac:dyDescent="0.25">
      <c r="A1279" t="s">
        <v>2044</v>
      </c>
      <c r="B1279" t="s">
        <v>2045</v>
      </c>
      <c r="C1279" s="3">
        <v>45908</v>
      </c>
      <c r="D1279">
        <v>28</v>
      </c>
      <c r="E1279" s="3">
        <f t="shared" si="19"/>
        <v>45882</v>
      </c>
      <c r="F1279" s="3">
        <f>IF(TableRefills3[[#This Row],[prev_refill_days]]="","",TableRefills3[[#This Row],[prev_refill_days]]+TableRefills3[[#This Row],[quantity_days]])</f>
        <v>45910</v>
      </c>
      <c r="G1279">
        <f>IF(TableRefills3[[#This Row],[prev_refill_end]]="","",TableRefills3[[#This Row],[refill_date]]-TableRefills3[[#This Row],[prev_refill_end]])</f>
        <v>-2</v>
      </c>
      <c r="H1279" s="10">
        <f>IF(TableRefills3[[#This Row],[gap_days]]="",0,IF(TableRefills3[[#This Row],[gap_days]]&gt;2,1,0))</f>
        <v>0</v>
      </c>
      <c r="I1279">
        <f>_xlfn.MAXIFS(TableRefills3[discountinuation_flag], TableRefills3[patient_id], A1279)</f>
        <v>1</v>
      </c>
    </row>
    <row r="1280" spans="1:9" x14ac:dyDescent="0.25">
      <c r="A1280" t="s">
        <v>2044</v>
      </c>
      <c r="B1280" t="s">
        <v>2045</v>
      </c>
      <c r="C1280" s="3">
        <v>45934</v>
      </c>
      <c r="D1280">
        <v>28</v>
      </c>
      <c r="E1280" s="3">
        <f t="shared" si="19"/>
        <v>45908</v>
      </c>
      <c r="F1280" s="3">
        <f>IF(TableRefills3[[#This Row],[prev_refill_days]]="","",TableRefills3[[#This Row],[prev_refill_days]]+TableRefills3[[#This Row],[quantity_days]])</f>
        <v>45936</v>
      </c>
      <c r="G1280">
        <f>IF(TableRefills3[[#This Row],[prev_refill_end]]="","",TableRefills3[[#This Row],[refill_date]]-TableRefills3[[#This Row],[prev_refill_end]])</f>
        <v>-2</v>
      </c>
      <c r="H1280" s="10">
        <f>IF(TableRefills3[[#This Row],[gap_days]]="",0,IF(TableRefills3[[#This Row],[gap_days]]&gt;2,1,0))</f>
        <v>0</v>
      </c>
      <c r="I1280">
        <f>_xlfn.MAXIFS(TableRefills3[discountinuation_flag], TableRefills3[patient_id], A1280)</f>
        <v>1</v>
      </c>
    </row>
    <row r="1281" spans="1:9" x14ac:dyDescent="0.25">
      <c r="A1281" t="s">
        <v>2052</v>
      </c>
      <c r="B1281" t="s">
        <v>2053</v>
      </c>
      <c r="C1281" s="3">
        <v>45924</v>
      </c>
      <c r="D1281">
        <v>28</v>
      </c>
      <c r="E1281" s="3" t="str">
        <f t="shared" si="19"/>
        <v/>
      </c>
      <c r="F1281" s="3" t="str">
        <f>IF(TableRefills3[[#This Row],[prev_refill_days]]="","",TableRefills3[[#This Row],[prev_refill_days]]+TableRefills3[[#This Row],[quantity_days]])</f>
        <v/>
      </c>
      <c r="G1281" t="str">
        <f>IF(TableRefills3[[#This Row],[prev_refill_end]]="","",TableRefills3[[#This Row],[refill_date]]-TableRefills3[[#This Row],[prev_refill_end]])</f>
        <v/>
      </c>
      <c r="H1281" s="10">
        <f>IF(TableRefills3[[#This Row],[gap_days]]="",0,IF(TableRefills3[[#This Row],[gap_days]]&gt;2,1,0))</f>
        <v>0</v>
      </c>
      <c r="I1281">
        <f>_xlfn.MAXIFS(TableRefills3[discountinuation_flag], TableRefills3[patient_id], A1281)</f>
        <v>1</v>
      </c>
    </row>
    <row r="1282" spans="1:9" x14ac:dyDescent="0.25">
      <c r="A1282" t="s">
        <v>2052</v>
      </c>
      <c r="B1282" t="s">
        <v>2053</v>
      </c>
      <c r="C1282" s="3">
        <v>45955</v>
      </c>
      <c r="D1282">
        <v>28</v>
      </c>
      <c r="E1282" s="3">
        <f t="shared" ref="E1282:E1345" si="20">IF(A1281=A1282,C1281,"")</f>
        <v>45924</v>
      </c>
      <c r="F1282" s="3">
        <f>IF(TableRefills3[[#This Row],[prev_refill_days]]="","",TableRefills3[[#This Row],[prev_refill_days]]+TableRefills3[[#This Row],[quantity_days]])</f>
        <v>45952</v>
      </c>
      <c r="G1282">
        <f>IF(TableRefills3[[#This Row],[prev_refill_end]]="","",TableRefills3[[#This Row],[refill_date]]-TableRefills3[[#This Row],[prev_refill_end]])</f>
        <v>3</v>
      </c>
      <c r="H1282" s="10">
        <f>IF(TableRefills3[[#This Row],[gap_days]]="",0,IF(TableRefills3[[#This Row],[gap_days]]&gt;2,1,0))</f>
        <v>1</v>
      </c>
      <c r="I1282">
        <f>_xlfn.MAXIFS(TableRefills3[discountinuation_flag], TableRefills3[patient_id], A1282)</f>
        <v>1</v>
      </c>
    </row>
    <row r="1283" spans="1:9" x14ac:dyDescent="0.25">
      <c r="A1283" t="s">
        <v>2056</v>
      </c>
      <c r="B1283" t="s">
        <v>2057</v>
      </c>
      <c r="C1283" s="3">
        <v>45914</v>
      </c>
      <c r="D1283">
        <v>30</v>
      </c>
      <c r="E1283" s="3" t="str">
        <f t="shared" si="20"/>
        <v/>
      </c>
      <c r="F1283" s="3" t="str">
        <f>IF(TableRefills3[[#This Row],[prev_refill_days]]="","",TableRefills3[[#This Row],[prev_refill_days]]+TableRefills3[[#This Row],[quantity_days]])</f>
        <v/>
      </c>
      <c r="G1283" t="str">
        <f>IF(TableRefills3[[#This Row],[prev_refill_end]]="","",TableRefills3[[#This Row],[refill_date]]-TableRefills3[[#This Row],[prev_refill_end]])</f>
        <v/>
      </c>
      <c r="H1283" s="10">
        <f>IF(TableRefills3[[#This Row],[gap_days]]="",0,IF(TableRefills3[[#This Row],[gap_days]]&gt;2,1,0))</f>
        <v>0</v>
      </c>
      <c r="I1283">
        <f>_xlfn.MAXIFS(TableRefills3[discountinuation_flag], TableRefills3[patient_id], A1283)</f>
        <v>0</v>
      </c>
    </row>
    <row r="1284" spans="1:9" x14ac:dyDescent="0.25">
      <c r="A1284" t="s">
        <v>2056</v>
      </c>
      <c r="B1284" t="s">
        <v>2057</v>
      </c>
      <c r="C1284" s="3">
        <v>45946</v>
      </c>
      <c r="D1284">
        <v>30</v>
      </c>
      <c r="E1284" s="3">
        <f t="shared" si="20"/>
        <v>45914</v>
      </c>
      <c r="F1284" s="3">
        <f>IF(TableRefills3[[#This Row],[prev_refill_days]]="","",TableRefills3[[#This Row],[prev_refill_days]]+TableRefills3[[#This Row],[quantity_days]])</f>
        <v>45944</v>
      </c>
      <c r="G1284">
        <f>IF(TableRefills3[[#This Row],[prev_refill_end]]="","",TableRefills3[[#This Row],[refill_date]]-TableRefills3[[#This Row],[prev_refill_end]])</f>
        <v>2</v>
      </c>
      <c r="H1284" s="10">
        <f>IF(TableRefills3[[#This Row],[gap_days]]="",0,IF(TableRefills3[[#This Row],[gap_days]]&gt;2,1,0))</f>
        <v>0</v>
      </c>
      <c r="I1284">
        <f>_xlfn.MAXIFS(TableRefills3[discountinuation_flag], TableRefills3[patient_id], A1284)</f>
        <v>0</v>
      </c>
    </row>
    <row r="1285" spans="1:9" x14ac:dyDescent="0.25">
      <c r="A1285" t="s">
        <v>2060</v>
      </c>
      <c r="B1285" t="s">
        <v>2061</v>
      </c>
      <c r="C1285" s="3">
        <v>45787</v>
      </c>
      <c r="D1285">
        <v>28</v>
      </c>
      <c r="E1285" s="3" t="str">
        <f t="shared" si="20"/>
        <v/>
      </c>
      <c r="F1285" s="3" t="str">
        <f>IF(TableRefills3[[#This Row],[prev_refill_days]]="","",TableRefills3[[#This Row],[prev_refill_days]]+TableRefills3[[#This Row],[quantity_days]])</f>
        <v/>
      </c>
      <c r="G1285" t="str">
        <f>IF(TableRefills3[[#This Row],[prev_refill_end]]="","",TableRefills3[[#This Row],[refill_date]]-TableRefills3[[#This Row],[prev_refill_end]])</f>
        <v/>
      </c>
      <c r="H1285" s="10">
        <f>IF(TableRefills3[[#This Row],[gap_days]]="",0,IF(TableRefills3[[#This Row],[gap_days]]&gt;2,1,0))</f>
        <v>0</v>
      </c>
      <c r="I1285">
        <f>_xlfn.MAXIFS(TableRefills3[discountinuation_flag], TableRefills3[patient_id], A1285)</f>
        <v>1</v>
      </c>
    </row>
    <row r="1286" spans="1:9" x14ac:dyDescent="0.25">
      <c r="A1286" t="s">
        <v>2060</v>
      </c>
      <c r="B1286" t="s">
        <v>2061</v>
      </c>
      <c r="C1286" s="3">
        <v>45817</v>
      </c>
      <c r="D1286">
        <v>28</v>
      </c>
      <c r="E1286" s="3">
        <f t="shared" si="20"/>
        <v>45787</v>
      </c>
      <c r="F1286" s="3">
        <f>IF(TableRefills3[[#This Row],[prev_refill_days]]="","",TableRefills3[[#This Row],[prev_refill_days]]+TableRefills3[[#This Row],[quantity_days]])</f>
        <v>45815</v>
      </c>
      <c r="G1286">
        <f>IF(TableRefills3[[#This Row],[prev_refill_end]]="","",TableRefills3[[#This Row],[refill_date]]-TableRefills3[[#This Row],[prev_refill_end]])</f>
        <v>2</v>
      </c>
      <c r="H1286" s="10">
        <f>IF(TableRefills3[[#This Row],[gap_days]]="",0,IF(TableRefills3[[#This Row],[gap_days]]&gt;2,1,0))</f>
        <v>0</v>
      </c>
      <c r="I1286">
        <f>_xlfn.MAXIFS(TableRefills3[discountinuation_flag], TableRefills3[patient_id], A1286)</f>
        <v>1</v>
      </c>
    </row>
    <row r="1287" spans="1:9" x14ac:dyDescent="0.25">
      <c r="A1287" t="s">
        <v>2060</v>
      </c>
      <c r="B1287" t="s">
        <v>2061</v>
      </c>
      <c r="C1287" s="3">
        <v>45848</v>
      </c>
      <c r="D1287">
        <v>28</v>
      </c>
      <c r="E1287" s="3">
        <f t="shared" si="20"/>
        <v>45817</v>
      </c>
      <c r="F1287" s="3">
        <f>IF(TableRefills3[[#This Row],[prev_refill_days]]="","",TableRefills3[[#This Row],[prev_refill_days]]+TableRefills3[[#This Row],[quantity_days]])</f>
        <v>45845</v>
      </c>
      <c r="G1287">
        <f>IF(TableRefills3[[#This Row],[prev_refill_end]]="","",TableRefills3[[#This Row],[refill_date]]-TableRefills3[[#This Row],[prev_refill_end]])</f>
        <v>3</v>
      </c>
      <c r="H1287" s="10">
        <f>IF(TableRefills3[[#This Row],[gap_days]]="",0,IF(TableRefills3[[#This Row],[gap_days]]&gt;2,1,0))</f>
        <v>1</v>
      </c>
      <c r="I1287">
        <f>_xlfn.MAXIFS(TableRefills3[discountinuation_flag], TableRefills3[patient_id], A1287)</f>
        <v>1</v>
      </c>
    </row>
    <row r="1288" spans="1:9" x14ac:dyDescent="0.25">
      <c r="A1288" t="s">
        <v>2060</v>
      </c>
      <c r="B1288" t="s">
        <v>2061</v>
      </c>
      <c r="C1288" s="3">
        <v>45879</v>
      </c>
      <c r="D1288">
        <v>28</v>
      </c>
      <c r="E1288" s="3">
        <f t="shared" si="20"/>
        <v>45848</v>
      </c>
      <c r="F1288" s="3">
        <f>IF(TableRefills3[[#This Row],[prev_refill_days]]="","",TableRefills3[[#This Row],[prev_refill_days]]+TableRefills3[[#This Row],[quantity_days]])</f>
        <v>45876</v>
      </c>
      <c r="G1288">
        <f>IF(TableRefills3[[#This Row],[prev_refill_end]]="","",TableRefills3[[#This Row],[refill_date]]-TableRefills3[[#This Row],[prev_refill_end]])</f>
        <v>3</v>
      </c>
      <c r="H1288" s="10">
        <f>IF(TableRefills3[[#This Row],[gap_days]]="",0,IF(TableRefills3[[#This Row],[gap_days]]&gt;2,1,0))</f>
        <v>1</v>
      </c>
      <c r="I1288">
        <f>_xlfn.MAXIFS(TableRefills3[discountinuation_flag], TableRefills3[patient_id], A1288)</f>
        <v>1</v>
      </c>
    </row>
    <row r="1289" spans="1:9" x14ac:dyDescent="0.25">
      <c r="A1289" t="s">
        <v>2060</v>
      </c>
      <c r="B1289" t="s">
        <v>2061</v>
      </c>
      <c r="C1289" s="3">
        <v>45907</v>
      </c>
      <c r="D1289">
        <v>28</v>
      </c>
      <c r="E1289" s="3">
        <f t="shared" si="20"/>
        <v>45879</v>
      </c>
      <c r="F1289" s="3">
        <f>IF(TableRefills3[[#This Row],[prev_refill_days]]="","",TableRefills3[[#This Row],[prev_refill_days]]+TableRefills3[[#This Row],[quantity_days]])</f>
        <v>45907</v>
      </c>
      <c r="G1289">
        <f>IF(TableRefills3[[#This Row],[prev_refill_end]]="","",TableRefills3[[#This Row],[refill_date]]-TableRefills3[[#This Row],[prev_refill_end]])</f>
        <v>0</v>
      </c>
      <c r="H1289" s="10">
        <f>IF(TableRefills3[[#This Row],[gap_days]]="",0,IF(TableRefills3[[#This Row],[gap_days]]&gt;2,1,0))</f>
        <v>0</v>
      </c>
      <c r="I1289">
        <f>_xlfn.MAXIFS(TableRefills3[discountinuation_flag], TableRefills3[patient_id], A1289)</f>
        <v>1</v>
      </c>
    </row>
    <row r="1290" spans="1:9" x14ac:dyDescent="0.25">
      <c r="A1290" t="s">
        <v>2060</v>
      </c>
      <c r="B1290" t="s">
        <v>2061</v>
      </c>
      <c r="C1290" s="3">
        <v>45936</v>
      </c>
      <c r="D1290">
        <v>28</v>
      </c>
      <c r="E1290" s="3">
        <f t="shared" si="20"/>
        <v>45907</v>
      </c>
      <c r="F1290" s="3">
        <f>IF(TableRefills3[[#This Row],[prev_refill_days]]="","",TableRefills3[[#This Row],[prev_refill_days]]+TableRefills3[[#This Row],[quantity_days]])</f>
        <v>45935</v>
      </c>
      <c r="G1290">
        <f>IF(TableRefills3[[#This Row],[prev_refill_end]]="","",TableRefills3[[#This Row],[refill_date]]-TableRefills3[[#This Row],[prev_refill_end]])</f>
        <v>1</v>
      </c>
      <c r="H1290" s="10">
        <f>IF(TableRefills3[[#This Row],[gap_days]]="",0,IF(TableRefills3[[#This Row],[gap_days]]&gt;2,1,0))</f>
        <v>0</v>
      </c>
      <c r="I1290">
        <f>_xlfn.MAXIFS(TableRefills3[discountinuation_flag], TableRefills3[patient_id], A1290)</f>
        <v>1</v>
      </c>
    </row>
    <row r="1291" spans="1:9" x14ac:dyDescent="0.25">
      <c r="A1291" t="s">
        <v>2060</v>
      </c>
      <c r="B1291" t="s">
        <v>2061</v>
      </c>
      <c r="C1291" s="3">
        <v>45961</v>
      </c>
      <c r="D1291">
        <v>28</v>
      </c>
      <c r="E1291" s="3">
        <f t="shared" si="20"/>
        <v>45936</v>
      </c>
      <c r="F1291" s="3">
        <f>IF(TableRefills3[[#This Row],[prev_refill_days]]="","",TableRefills3[[#This Row],[prev_refill_days]]+TableRefills3[[#This Row],[quantity_days]])</f>
        <v>45964</v>
      </c>
      <c r="G1291">
        <f>IF(TableRefills3[[#This Row],[prev_refill_end]]="","",TableRefills3[[#This Row],[refill_date]]-TableRefills3[[#This Row],[prev_refill_end]])</f>
        <v>-3</v>
      </c>
      <c r="H1291" s="10">
        <f>IF(TableRefills3[[#This Row],[gap_days]]="",0,IF(TableRefills3[[#This Row],[gap_days]]&gt;2,1,0))</f>
        <v>0</v>
      </c>
      <c r="I1291">
        <f>_xlfn.MAXIFS(TableRefills3[discountinuation_flag], TableRefills3[patient_id], A1291)</f>
        <v>1</v>
      </c>
    </row>
    <row r="1292" spans="1:9" x14ac:dyDescent="0.25">
      <c r="A1292" t="s">
        <v>2069</v>
      </c>
      <c r="B1292" t="s">
        <v>2070</v>
      </c>
      <c r="C1292" s="3">
        <v>45884</v>
      </c>
      <c r="D1292">
        <v>30</v>
      </c>
      <c r="E1292" s="3" t="str">
        <f t="shared" si="20"/>
        <v/>
      </c>
      <c r="F1292" s="3" t="str">
        <f>IF(TableRefills3[[#This Row],[prev_refill_days]]="","",TableRefills3[[#This Row],[prev_refill_days]]+TableRefills3[[#This Row],[quantity_days]])</f>
        <v/>
      </c>
      <c r="G1292" t="str">
        <f>IF(TableRefills3[[#This Row],[prev_refill_end]]="","",TableRefills3[[#This Row],[refill_date]]-TableRefills3[[#This Row],[prev_refill_end]])</f>
        <v/>
      </c>
      <c r="H1292" s="10">
        <f>IF(TableRefills3[[#This Row],[gap_days]]="",0,IF(TableRefills3[[#This Row],[gap_days]]&gt;2,1,0))</f>
        <v>0</v>
      </c>
      <c r="I1292">
        <f>_xlfn.MAXIFS(TableRefills3[discountinuation_flag], TableRefills3[patient_id], A1292)</f>
        <v>0</v>
      </c>
    </row>
    <row r="1293" spans="1:9" x14ac:dyDescent="0.25">
      <c r="A1293" t="s">
        <v>2069</v>
      </c>
      <c r="B1293" t="s">
        <v>2070</v>
      </c>
      <c r="C1293" s="3">
        <v>45913</v>
      </c>
      <c r="D1293">
        <v>30</v>
      </c>
      <c r="E1293" s="3">
        <f t="shared" si="20"/>
        <v>45884</v>
      </c>
      <c r="F1293" s="3">
        <f>IF(TableRefills3[[#This Row],[prev_refill_days]]="","",TableRefills3[[#This Row],[prev_refill_days]]+TableRefills3[[#This Row],[quantity_days]])</f>
        <v>45914</v>
      </c>
      <c r="G1293">
        <f>IF(TableRefills3[[#This Row],[prev_refill_end]]="","",TableRefills3[[#This Row],[refill_date]]-TableRefills3[[#This Row],[prev_refill_end]])</f>
        <v>-1</v>
      </c>
      <c r="H1293" s="10">
        <f>IF(TableRefills3[[#This Row],[gap_days]]="",0,IF(TableRefills3[[#This Row],[gap_days]]&gt;2,1,0))</f>
        <v>0</v>
      </c>
      <c r="I1293">
        <f>_xlfn.MAXIFS(TableRefills3[discountinuation_flag], TableRefills3[patient_id], A1293)</f>
        <v>0</v>
      </c>
    </row>
    <row r="1294" spans="1:9" x14ac:dyDescent="0.25">
      <c r="A1294" t="s">
        <v>2069</v>
      </c>
      <c r="B1294" t="s">
        <v>2070</v>
      </c>
      <c r="C1294" s="3">
        <v>45944</v>
      </c>
      <c r="D1294">
        <v>30</v>
      </c>
      <c r="E1294" s="3">
        <f t="shared" si="20"/>
        <v>45913</v>
      </c>
      <c r="F1294" s="3">
        <f>IF(TableRefills3[[#This Row],[prev_refill_days]]="","",TableRefills3[[#This Row],[prev_refill_days]]+TableRefills3[[#This Row],[quantity_days]])</f>
        <v>45943</v>
      </c>
      <c r="G1294">
        <f>IF(TableRefills3[[#This Row],[prev_refill_end]]="","",TableRefills3[[#This Row],[refill_date]]-TableRefills3[[#This Row],[prev_refill_end]])</f>
        <v>1</v>
      </c>
      <c r="H1294" s="10">
        <f>IF(TableRefills3[[#This Row],[gap_days]]="",0,IF(TableRefills3[[#This Row],[gap_days]]&gt;2,1,0))</f>
        <v>0</v>
      </c>
      <c r="I1294">
        <f>_xlfn.MAXIFS(TableRefills3[discountinuation_flag], TableRefills3[patient_id], A1294)</f>
        <v>0</v>
      </c>
    </row>
    <row r="1295" spans="1:9" x14ac:dyDescent="0.25">
      <c r="A1295" t="s">
        <v>2074</v>
      </c>
      <c r="B1295" t="s">
        <v>2075</v>
      </c>
      <c r="C1295" s="3">
        <v>45823</v>
      </c>
      <c r="D1295">
        <v>28</v>
      </c>
      <c r="E1295" s="3" t="str">
        <f t="shared" si="20"/>
        <v/>
      </c>
      <c r="F1295" s="3" t="str">
        <f>IF(TableRefills3[[#This Row],[prev_refill_days]]="","",TableRefills3[[#This Row],[prev_refill_days]]+TableRefills3[[#This Row],[quantity_days]])</f>
        <v/>
      </c>
      <c r="G1295" t="str">
        <f>IF(TableRefills3[[#This Row],[prev_refill_end]]="","",TableRefills3[[#This Row],[refill_date]]-TableRefills3[[#This Row],[prev_refill_end]])</f>
        <v/>
      </c>
      <c r="H1295" s="10">
        <f>IF(TableRefills3[[#This Row],[gap_days]]="",0,IF(TableRefills3[[#This Row],[gap_days]]&gt;2,1,0))</f>
        <v>0</v>
      </c>
      <c r="I1295">
        <f>_xlfn.MAXIFS(TableRefills3[discountinuation_flag], TableRefills3[patient_id], A1295)</f>
        <v>0</v>
      </c>
    </row>
    <row r="1296" spans="1:9" x14ac:dyDescent="0.25">
      <c r="A1296" t="s">
        <v>2074</v>
      </c>
      <c r="B1296" t="s">
        <v>2075</v>
      </c>
      <c r="C1296" s="3">
        <v>45851</v>
      </c>
      <c r="D1296">
        <v>28</v>
      </c>
      <c r="E1296" s="3">
        <f t="shared" si="20"/>
        <v>45823</v>
      </c>
      <c r="F1296" s="3">
        <f>IF(TableRefills3[[#This Row],[prev_refill_days]]="","",TableRefills3[[#This Row],[prev_refill_days]]+TableRefills3[[#This Row],[quantity_days]])</f>
        <v>45851</v>
      </c>
      <c r="G1296">
        <f>IF(TableRefills3[[#This Row],[prev_refill_end]]="","",TableRefills3[[#This Row],[refill_date]]-TableRefills3[[#This Row],[prev_refill_end]])</f>
        <v>0</v>
      </c>
      <c r="H1296" s="10">
        <f>IF(TableRefills3[[#This Row],[gap_days]]="",0,IF(TableRefills3[[#This Row],[gap_days]]&gt;2,1,0))</f>
        <v>0</v>
      </c>
      <c r="I1296">
        <f>_xlfn.MAXIFS(TableRefills3[discountinuation_flag], TableRefills3[patient_id], A1296)</f>
        <v>0</v>
      </c>
    </row>
    <row r="1297" spans="1:9" x14ac:dyDescent="0.25">
      <c r="A1297" t="s">
        <v>2074</v>
      </c>
      <c r="B1297" t="s">
        <v>2075</v>
      </c>
      <c r="C1297" s="3">
        <v>45881</v>
      </c>
      <c r="D1297">
        <v>28</v>
      </c>
      <c r="E1297" s="3">
        <f t="shared" si="20"/>
        <v>45851</v>
      </c>
      <c r="F1297" s="3">
        <f>IF(TableRefills3[[#This Row],[prev_refill_days]]="","",TableRefills3[[#This Row],[prev_refill_days]]+TableRefills3[[#This Row],[quantity_days]])</f>
        <v>45879</v>
      </c>
      <c r="G1297">
        <f>IF(TableRefills3[[#This Row],[prev_refill_end]]="","",TableRefills3[[#This Row],[refill_date]]-TableRefills3[[#This Row],[prev_refill_end]])</f>
        <v>2</v>
      </c>
      <c r="H1297" s="10">
        <f>IF(TableRefills3[[#This Row],[gap_days]]="",0,IF(TableRefills3[[#This Row],[gap_days]]&gt;2,1,0))</f>
        <v>0</v>
      </c>
      <c r="I1297">
        <f>_xlfn.MAXIFS(TableRefills3[discountinuation_flag], TableRefills3[patient_id], A1297)</f>
        <v>0</v>
      </c>
    </row>
    <row r="1298" spans="1:9" x14ac:dyDescent="0.25">
      <c r="A1298" t="s">
        <v>2074</v>
      </c>
      <c r="B1298" t="s">
        <v>2075</v>
      </c>
      <c r="C1298" s="3">
        <v>45908</v>
      </c>
      <c r="D1298">
        <v>28</v>
      </c>
      <c r="E1298" s="3">
        <f t="shared" si="20"/>
        <v>45881</v>
      </c>
      <c r="F1298" s="3">
        <f>IF(TableRefills3[[#This Row],[prev_refill_days]]="","",TableRefills3[[#This Row],[prev_refill_days]]+TableRefills3[[#This Row],[quantity_days]])</f>
        <v>45909</v>
      </c>
      <c r="G1298">
        <f>IF(TableRefills3[[#This Row],[prev_refill_end]]="","",TableRefills3[[#This Row],[refill_date]]-TableRefills3[[#This Row],[prev_refill_end]])</f>
        <v>-1</v>
      </c>
      <c r="H1298" s="10">
        <f>IF(TableRefills3[[#This Row],[gap_days]]="",0,IF(TableRefills3[[#This Row],[gap_days]]&gt;2,1,0))</f>
        <v>0</v>
      </c>
      <c r="I1298">
        <f>_xlfn.MAXIFS(TableRefills3[discountinuation_flag], TableRefills3[patient_id], A1298)</f>
        <v>0</v>
      </c>
    </row>
    <row r="1299" spans="1:9" x14ac:dyDescent="0.25">
      <c r="A1299" t="s">
        <v>2074</v>
      </c>
      <c r="B1299" t="s">
        <v>2075</v>
      </c>
      <c r="C1299" s="3">
        <v>45937</v>
      </c>
      <c r="D1299">
        <v>28</v>
      </c>
      <c r="E1299" s="3">
        <f t="shared" si="20"/>
        <v>45908</v>
      </c>
      <c r="F1299" s="3">
        <f>IF(TableRefills3[[#This Row],[prev_refill_days]]="","",TableRefills3[[#This Row],[prev_refill_days]]+TableRefills3[[#This Row],[quantity_days]])</f>
        <v>45936</v>
      </c>
      <c r="G1299">
        <f>IF(TableRefills3[[#This Row],[prev_refill_end]]="","",TableRefills3[[#This Row],[refill_date]]-TableRefills3[[#This Row],[prev_refill_end]])</f>
        <v>1</v>
      </c>
      <c r="H1299" s="10">
        <f>IF(TableRefills3[[#This Row],[gap_days]]="",0,IF(TableRefills3[[#This Row],[gap_days]]&gt;2,1,0))</f>
        <v>0</v>
      </c>
      <c r="I1299">
        <f>_xlfn.MAXIFS(TableRefills3[discountinuation_flag], TableRefills3[patient_id], A1299)</f>
        <v>0</v>
      </c>
    </row>
    <row r="1300" spans="1:9" x14ac:dyDescent="0.25">
      <c r="A1300" t="s">
        <v>2081</v>
      </c>
      <c r="B1300" t="s">
        <v>2082</v>
      </c>
      <c r="C1300" s="3">
        <v>45879</v>
      </c>
      <c r="D1300">
        <v>14</v>
      </c>
      <c r="E1300" s="3" t="str">
        <f t="shared" si="20"/>
        <v/>
      </c>
      <c r="F1300" s="3" t="str">
        <f>IF(TableRefills3[[#This Row],[prev_refill_days]]="","",TableRefills3[[#This Row],[prev_refill_days]]+TableRefills3[[#This Row],[quantity_days]])</f>
        <v/>
      </c>
      <c r="G1300" t="str">
        <f>IF(TableRefills3[[#This Row],[prev_refill_end]]="","",TableRefills3[[#This Row],[refill_date]]-TableRefills3[[#This Row],[prev_refill_end]])</f>
        <v/>
      </c>
      <c r="H1300" s="10">
        <f>IF(TableRefills3[[#This Row],[gap_days]]="",0,IF(TableRefills3[[#This Row],[gap_days]]&gt;2,1,0))</f>
        <v>0</v>
      </c>
      <c r="I1300">
        <f>_xlfn.MAXIFS(TableRefills3[discountinuation_flag], TableRefills3[patient_id], A1300)</f>
        <v>0</v>
      </c>
    </row>
    <row r="1301" spans="1:9" x14ac:dyDescent="0.25">
      <c r="A1301" t="s">
        <v>2084</v>
      </c>
      <c r="B1301" t="s">
        <v>2085</v>
      </c>
      <c r="C1301" s="3">
        <v>45904</v>
      </c>
      <c r="D1301">
        <v>30</v>
      </c>
      <c r="E1301" s="3" t="str">
        <f t="shared" si="20"/>
        <v/>
      </c>
      <c r="F1301" s="3" t="str">
        <f>IF(TableRefills3[[#This Row],[prev_refill_days]]="","",TableRefills3[[#This Row],[prev_refill_days]]+TableRefills3[[#This Row],[quantity_days]])</f>
        <v/>
      </c>
      <c r="G1301" t="str">
        <f>IF(TableRefills3[[#This Row],[prev_refill_end]]="","",TableRefills3[[#This Row],[refill_date]]-TableRefills3[[#This Row],[prev_refill_end]])</f>
        <v/>
      </c>
      <c r="H1301" s="10">
        <f>IF(TableRefills3[[#This Row],[gap_days]]="",0,IF(TableRefills3[[#This Row],[gap_days]]&gt;2,1,0))</f>
        <v>0</v>
      </c>
      <c r="I1301">
        <f>_xlfn.MAXIFS(TableRefills3[discountinuation_flag], TableRefills3[patient_id], A1301)</f>
        <v>0</v>
      </c>
    </row>
    <row r="1302" spans="1:9" x14ac:dyDescent="0.25">
      <c r="A1302" t="s">
        <v>2084</v>
      </c>
      <c r="B1302" t="s">
        <v>2085</v>
      </c>
      <c r="C1302" s="3">
        <v>45934</v>
      </c>
      <c r="D1302">
        <v>30</v>
      </c>
      <c r="E1302" s="3">
        <f t="shared" si="20"/>
        <v>45904</v>
      </c>
      <c r="F1302" s="3">
        <f>IF(TableRefills3[[#This Row],[prev_refill_days]]="","",TableRefills3[[#This Row],[prev_refill_days]]+TableRefills3[[#This Row],[quantity_days]])</f>
        <v>45934</v>
      </c>
      <c r="G1302">
        <f>IF(TableRefills3[[#This Row],[prev_refill_end]]="","",TableRefills3[[#This Row],[refill_date]]-TableRefills3[[#This Row],[prev_refill_end]])</f>
        <v>0</v>
      </c>
      <c r="H1302" s="10">
        <f>IF(TableRefills3[[#This Row],[gap_days]]="",0,IF(TableRefills3[[#This Row],[gap_days]]&gt;2,1,0))</f>
        <v>0</v>
      </c>
      <c r="I1302">
        <f>_xlfn.MAXIFS(TableRefills3[discountinuation_flag], TableRefills3[patient_id], A1302)</f>
        <v>0</v>
      </c>
    </row>
    <row r="1303" spans="1:9" x14ac:dyDescent="0.25">
      <c r="A1303" t="s">
        <v>2084</v>
      </c>
      <c r="B1303" t="s">
        <v>2085</v>
      </c>
      <c r="C1303" s="3">
        <v>45961</v>
      </c>
      <c r="D1303">
        <v>30</v>
      </c>
      <c r="E1303" s="3">
        <f t="shared" si="20"/>
        <v>45934</v>
      </c>
      <c r="F1303" s="3">
        <f>IF(TableRefills3[[#This Row],[prev_refill_days]]="","",TableRefills3[[#This Row],[prev_refill_days]]+TableRefills3[[#This Row],[quantity_days]])</f>
        <v>45964</v>
      </c>
      <c r="G1303">
        <f>IF(TableRefills3[[#This Row],[prev_refill_end]]="","",TableRefills3[[#This Row],[refill_date]]-TableRefills3[[#This Row],[prev_refill_end]])</f>
        <v>-3</v>
      </c>
      <c r="H1303" s="10">
        <f>IF(TableRefills3[[#This Row],[gap_days]]="",0,IF(TableRefills3[[#This Row],[gap_days]]&gt;2,1,0))</f>
        <v>0</v>
      </c>
      <c r="I1303">
        <f>_xlfn.MAXIFS(TableRefills3[discountinuation_flag], TableRefills3[patient_id], A1303)</f>
        <v>0</v>
      </c>
    </row>
    <row r="1304" spans="1:9" x14ac:dyDescent="0.25">
      <c r="A1304" t="s">
        <v>2089</v>
      </c>
      <c r="B1304" t="s">
        <v>2090</v>
      </c>
      <c r="C1304" s="3">
        <v>45852</v>
      </c>
      <c r="D1304">
        <v>28</v>
      </c>
      <c r="E1304" s="3" t="str">
        <f t="shared" si="20"/>
        <v/>
      </c>
      <c r="F1304" s="3" t="str">
        <f>IF(TableRefills3[[#This Row],[prev_refill_days]]="","",TableRefills3[[#This Row],[prev_refill_days]]+TableRefills3[[#This Row],[quantity_days]])</f>
        <v/>
      </c>
      <c r="G1304" t="str">
        <f>IF(TableRefills3[[#This Row],[prev_refill_end]]="","",TableRefills3[[#This Row],[refill_date]]-TableRefills3[[#This Row],[prev_refill_end]])</f>
        <v/>
      </c>
      <c r="H1304" s="10">
        <f>IF(TableRefills3[[#This Row],[gap_days]]="",0,IF(TableRefills3[[#This Row],[gap_days]]&gt;2,1,0))</f>
        <v>0</v>
      </c>
      <c r="I1304">
        <f>_xlfn.MAXIFS(TableRefills3[discountinuation_flag], TableRefills3[patient_id], A1304)</f>
        <v>1</v>
      </c>
    </row>
    <row r="1305" spans="1:9" x14ac:dyDescent="0.25">
      <c r="A1305" t="s">
        <v>2089</v>
      </c>
      <c r="B1305" t="s">
        <v>2090</v>
      </c>
      <c r="C1305" s="3">
        <v>45883</v>
      </c>
      <c r="D1305">
        <v>28</v>
      </c>
      <c r="E1305" s="3">
        <f t="shared" si="20"/>
        <v>45852</v>
      </c>
      <c r="F1305" s="3">
        <f>IF(TableRefills3[[#This Row],[prev_refill_days]]="","",TableRefills3[[#This Row],[prev_refill_days]]+TableRefills3[[#This Row],[quantity_days]])</f>
        <v>45880</v>
      </c>
      <c r="G1305">
        <f>IF(TableRefills3[[#This Row],[prev_refill_end]]="","",TableRefills3[[#This Row],[refill_date]]-TableRefills3[[#This Row],[prev_refill_end]])</f>
        <v>3</v>
      </c>
      <c r="H1305" s="10">
        <f>IF(TableRefills3[[#This Row],[gap_days]]="",0,IF(TableRefills3[[#This Row],[gap_days]]&gt;2,1,0))</f>
        <v>1</v>
      </c>
      <c r="I1305">
        <f>_xlfn.MAXIFS(TableRefills3[discountinuation_flag], TableRefills3[patient_id], A1305)</f>
        <v>1</v>
      </c>
    </row>
    <row r="1306" spans="1:9" x14ac:dyDescent="0.25">
      <c r="A1306" t="s">
        <v>2089</v>
      </c>
      <c r="B1306" t="s">
        <v>2090</v>
      </c>
      <c r="C1306" s="3">
        <v>45910</v>
      </c>
      <c r="D1306">
        <v>28</v>
      </c>
      <c r="E1306" s="3">
        <f t="shared" si="20"/>
        <v>45883</v>
      </c>
      <c r="F1306" s="3">
        <f>IF(TableRefills3[[#This Row],[prev_refill_days]]="","",TableRefills3[[#This Row],[prev_refill_days]]+TableRefills3[[#This Row],[quantity_days]])</f>
        <v>45911</v>
      </c>
      <c r="G1306">
        <f>IF(TableRefills3[[#This Row],[prev_refill_end]]="","",TableRefills3[[#This Row],[refill_date]]-TableRefills3[[#This Row],[prev_refill_end]])</f>
        <v>-1</v>
      </c>
      <c r="H1306" s="10">
        <f>IF(TableRefills3[[#This Row],[gap_days]]="",0,IF(TableRefills3[[#This Row],[gap_days]]&gt;2,1,0))</f>
        <v>0</v>
      </c>
      <c r="I1306">
        <f>_xlfn.MAXIFS(TableRefills3[discountinuation_flag], TableRefills3[patient_id], A1306)</f>
        <v>1</v>
      </c>
    </row>
    <row r="1307" spans="1:9" x14ac:dyDescent="0.25">
      <c r="A1307" t="s">
        <v>2089</v>
      </c>
      <c r="B1307" t="s">
        <v>2090</v>
      </c>
      <c r="C1307" s="3">
        <v>45935</v>
      </c>
      <c r="D1307">
        <v>28</v>
      </c>
      <c r="E1307" s="3">
        <f t="shared" si="20"/>
        <v>45910</v>
      </c>
      <c r="F1307" s="3">
        <f>IF(TableRefills3[[#This Row],[prev_refill_days]]="","",TableRefills3[[#This Row],[prev_refill_days]]+TableRefills3[[#This Row],[quantity_days]])</f>
        <v>45938</v>
      </c>
      <c r="G1307">
        <f>IF(TableRefills3[[#This Row],[prev_refill_end]]="","",TableRefills3[[#This Row],[refill_date]]-TableRefills3[[#This Row],[prev_refill_end]])</f>
        <v>-3</v>
      </c>
      <c r="H1307" s="10">
        <f>IF(TableRefills3[[#This Row],[gap_days]]="",0,IF(TableRefills3[[#This Row],[gap_days]]&gt;2,1,0))</f>
        <v>0</v>
      </c>
      <c r="I1307">
        <f>_xlfn.MAXIFS(TableRefills3[discountinuation_flag], TableRefills3[patient_id], A1307)</f>
        <v>1</v>
      </c>
    </row>
    <row r="1308" spans="1:9" x14ac:dyDescent="0.25">
      <c r="A1308" t="s">
        <v>2095</v>
      </c>
      <c r="B1308" t="s">
        <v>2096</v>
      </c>
      <c r="C1308" s="3">
        <v>45780</v>
      </c>
      <c r="D1308">
        <v>21</v>
      </c>
      <c r="E1308" s="3" t="str">
        <f t="shared" si="20"/>
        <v/>
      </c>
      <c r="F1308" s="3" t="str">
        <f>IF(TableRefills3[[#This Row],[prev_refill_days]]="","",TableRefills3[[#This Row],[prev_refill_days]]+TableRefills3[[#This Row],[quantity_days]])</f>
        <v/>
      </c>
      <c r="G1308" t="str">
        <f>IF(TableRefills3[[#This Row],[prev_refill_end]]="","",TableRefills3[[#This Row],[refill_date]]-TableRefills3[[#This Row],[prev_refill_end]])</f>
        <v/>
      </c>
      <c r="H1308" s="10">
        <f>IF(TableRefills3[[#This Row],[gap_days]]="",0,IF(TableRefills3[[#This Row],[gap_days]]&gt;2,1,0))</f>
        <v>0</v>
      </c>
      <c r="I1308">
        <f>_xlfn.MAXIFS(TableRefills3[discountinuation_flag], TableRefills3[patient_id], A1308)</f>
        <v>1</v>
      </c>
    </row>
    <row r="1309" spans="1:9" x14ac:dyDescent="0.25">
      <c r="A1309" t="s">
        <v>2095</v>
      </c>
      <c r="B1309" t="s">
        <v>2096</v>
      </c>
      <c r="C1309" s="3">
        <v>45802</v>
      </c>
      <c r="D1309">
        <v>21</v>
      </c>
      <c r="E1309" s="3">
        <f t="shared" si="20"/>
        <v>45780</v>
      </c>
      <c r="F1309" s="3">
        <f>IF(TableRefills3[[#This Row],[prev_refill_days]]="","",TableRefills3[[#This Row],[prev_refill_days]]+TableRefills3[[#This Row],[quantity_days]])</f>
        <v>45801</v>
      </c>
      <c r="G1309">
        <f>IF(TableRefills3[[#This Row],[prev_refill_end]]="","",TableRefills3[[#This Row],[refill_date]]-TableRefills3[[#This Row],[prev_refill_end]])</f>
        <v>1</v>
      </c>
      <c r="H1309" s="10">
        <f>IF(TableRefills3[[#This Row],[gap_days]]="",0,IF(TableRefills3[[#This Row],[gap_days]]&gt;2,1,0))</f>
        <v>0</v>
      </c>
      <c r="I1309">
        <f>_xlfn.MAXIFS(TableRefills3[discountinuation_flag], TableRefills3[patient_id], A1309)</f>
        <v>1</v>
      </c>
    </row>
    <row r="1310" spans="1:9" x14ac:dyDescent="0.25">
      <c r="A1310" t="s">
        <v>2095</v>
      </c>
      <c r="B1310" t="s">
        <v>2096</v>
      </c>
      <c r="C1310" s="3">
        <v>45821</v>
      </c>
      <c r="D1310">
        <v>21</v>
      </c>
      <c r="E1310" s="3">
        <f t="shared" si="20"/>
        <v>45802</v>
      </c>
      <c r="F1310" s="3">
        <f>IF(TableRefills3[[#This Row],[prev_refill_days]]="","",TableRefills3[[#This Row],[prev_refill_days]]+TableRefills3[[#This Row],[quantity_days]])</f>
        <v>45823</v>
      </c>
      <c r="G1310">
        <f>IF(TableRefills3[[#This Row],[prev_refill_end]]="","",TableRefills3[[#This Row],[refill_date]]-TableRefills3[[#This Row],[prev_refill_end]])</f>
        <v>-2</v>
      </c>
      <c r="H1310" s="10">
        <f>IF(TableRefills3[[#This Row],[gap_days]]="",0,IF(TableRefills3[[#This Row],[gap_days]]&gt;2,1,0))</f>
        <v>0</v>
      </c>
      <c r="I1310">
        <f>_xlfn.MAXIFS(TableRefills3[discountinuation_flag], TableRefills3[patient_id], A1310)</f>
        <v>1</v>
      </c>
    </row>
    <row r="1311" spans="1:9" x14ac:dyDescent="0.25">
      <c r="A1311" t="s">
        <v>2095</v>
      </c>
      <c r="B1311" t="s">
        <v>2096</v>
      </c>
      <c r="C1311" s="3">
        <v>45840</v>
      </c>
      <c r="D1311">
        <v>21</v>
      </c>
      <c r="E1311" s="3">
        <f t="shared" si="20"/>
        <v>45821</v>
      </c>
      <c r="F1311" s="3">
        <f>IF(TableRefills3[[#This Row],[prev_refill_days]]="","",TableRefills3[[#This Row],[prev_refill_days]]+TableRefills3[[#This Row],[quantity_days]])</f>
        <v>45842</v>
      </c>
      <c r="G1311">
        <f>IF(TableRefills3[[#This Row],[prev_refill_end]]="","",TableRefills3[[#This Row],[refill_date]]-TableRefills3[[#This Row],[prev_refill_end]])</f>
        <v>-2</v>
      </c>
      <c r="H1311" s="10">
        <f>IF(TableRefills3[[#This Row],[gap_days]]="",0,IF(TableRefills3[[#This Row],[gap_days]]&gt;2,1,0))</f>
        <v>0</v>
      </c>
      <c r="I1311">
        <f>_xlfn.MAXIFS(TableRefills3[discountinuation_flag], TableRefills3[patient_id], A1311)</f>
        <v>1</v>
      </c>
    </row>
    <row r="1312" spans="1:9" x14ac:dyDescent="0.25">
      <c r="A1312" t="s">
        <v>2095</v>
      </c>
      <c r="B1312" t="s">
        <v>2096</v>
      </c>
      <c r="C1312" s="3">
        <v>45858</v>
      </c>
      <c r="D1312">
        <v>21</v>
      </c>
      <c r="E1312" s="3">
        <f t="shared" si="20"/>
        <v>45840</v>
      </c>
      <c r="F1312" s="3">
        <f>IF(TableRefills3[[#This Row],[prev_refill_days]]="","",TableRefills3[[#This Row],[prev_refill_days]]+TableRefills3[[#This Row],[quantity_days]])</f>
        <v>45861</v>
      </c>
      <c r="G1312">
        <f>IF(TableRefills3[[#This Row],[prev_refill_end]]="","",TableRefills3[[#This Row],[refill_date]]-TableRefills3[[#This Row],[prev_refill_end]])</f>
        <v>-3</v>
      </c>
      <c r="H1312" s="10">
        <f>IF(TableRefills3[[#This Row],[gap_days]]="",0,IF(TableRefills3[[#This Row],[gap_days]]&gt;2,1,0))</f>
        <v>0</v>
      </c>
      <c r="I1312">
        <f>_xlfn.MAXIFS(TableRefills3[discountinuation_flag], TableRefills3[patient_id], A1312)</f>
        <v>1</v>
      </c>
    </row>
    <row r="1313" spans="1:9" x14ac:dyDescent="0.25">
      <c r="A1313" t="s">
        <v>2095</v>
      </c>
      <c r="B1313" t="s">
        <v>2096</v>
      </c>
      <c r="C1313" s="3">
        <v>45877</v>
      </c>
      <c r="D1313">
        <v>21</v>
      </c>
      <c r="E1313" s="3">
        <f t="shared" si="20"/>
        <v>45858</v>
      </c>
      <c r="F1313" s="3">
        <f>IF(TableRefills3[[#This Row],[prev_refill_days]]="","",TableRefills3[[#This Row],[prev_refill_days]]+TableRefills3[[#This Row],[quantity_days]])</f>
        <v>45879</v>
      </c>
      <c r="G1313">
        <f>IF(TableRefills3[[#This Row],[prev_refill_end]]="","",TableRefills3[[#This Row],[refill_date]]-TableRefills3[[#This Row],[prev_refill_end]])</f>
        <v>-2</v>
      </c>
      <c r="H1313" s="10">
        <f>IF(TableRefills3[[#This Row],[gap_days]]="",0,IF(TableRefills3[[#This Row],[gap_days]]&gt;2,1,0))</f>
        <v>0</v>
      </c>
      <c r="I1313">
        <f>_xlfn.MAXIFS(TableRefills3[discountinuation_flag], TableRefills3[patient_id], A1313)</f>
        <v>1</v>
      </c>
    </row>
    <row r="1314" spans="1:9" x14ac:dyDescent="0.25">
      <c r="A1314" t="s">
        <v>2095</v>
      </c>
      <c r="B1314" t="s">
        <v>2096</v>
      </c>
      <c r="C1314" s="3">
        <v>45895</v>
      </c>
      <c r="D1314">
        <v>21</v>
      </c>
      <c r="E1314" s="3">
        <f t="shared" si="20"/>
        <v>45877</v>
      </c>
      <c r="F1314" s="3">
        <f>IF(TableRefills3[[#This Row],[prev_refill_days]]="","",TableRefills3[[#This Row],[prev_refill_days]]+TableRefills3[[#This Row],[quantity_days]])</f>
        <v>45898</v>
      </c>
      <c r="G1314">
        <f>IF(TableRefills3[[#This Row],[prev_refill_end]]="","",TableRefills3[[#This Row],[refill_date]]-TableRefills3[[#This Row],[prev_refill_end]])</f>
        <v>-3</v>
      </c>
      <c r="H1314" s="10">
        <f>IF(TableRefills3[[#This Row],[gap_days]]="",0,IF(TableRefills3[[#This Row],[gap_days]]&gt;2,1,0))</f>
        <v>0</v>
      </c>
      <c r="I1314">
        <f>_xlfn.MAXIFS(TableRefills3[discountinuation_flag], TableRefills3[patient_id], A1314)</f>
        <v>1</v>
      </c>
    </row>
    <row r="1315" spans="1:9" x14ac:dyDescent="0.25">
      <c r="A1315" t="s">
        <v>2095</v>
      </c>
      <c r="B1315" t="s">
        <v>2096</v>
      </c>
      <c r="C1315" s="3">
        <v>45913</v>
      </c>
      <c r="D1315">
        <v>21</v>
      </c>
      <c r="E1315" s="3">
        <f t="shared" si="20"/>
        <v>45895</v>
      </c>
      <c r="F1315" s="3">
        <f>IF(TableRefills3[[#This Row],[prev_refill_days]]="","",TableRefills3[[#This Row],[prev_refill_days]]+TableRefills3[[#This Row],[quantity_days]])</f>
        <v>45916</v>
      </c>
      <c r="G1315">
        <f>IF(TableRefills3[[#This Row],[prev_refill_end]]="","",TableRefills3[[#This Row],[refill_date]]-TableRefills3[[#This Row],[prev_refill_end]])</f>
        <v>-3</v>
      </c>
      <c r="H1315" s="10">
        <f>IF(TableRefills3[[#This Row],[gap_days]]="",0,IF(TableRefills3[[#This Row],[gap_days]]&gt;2,1,0))</f>
        <v>0</v>
      </c>
      <c r="I1315">
        <f>_xlfn.MAXIFS(TableRefills3[discountinuation_flag], TableRefills3[patient_id], A1315)</f>
        <v>1</v>
      </c>
    </row>
    <row r="1316" spans="1:9" x14ac:dyDescent="0.25">
      <c r="A1316" t="s">
        <v>2095</v>
      </c>
      <c r="B1316" t="s">
        <v>2096</v>
      </c>
      <c r="C1316" s="3">
        <v>45937</v>
      </c>
      <c r="D1316">
        <v>21</v>
      </c>
      <c r="E1316" s="3">
        <f t="shared" si="20"/>
        <v>45913</v>
      </c>
      <c r="F1316" s="3">
        <f>IF(TableRefills3[[#This Row],[prev_refill_days]]="","",TableRefills3[[#This Row],[prev_refill_days]]+TableRefills3[[#This Row],[quantity_days]])</f>
        <v>45934</v>
      </c>
      <c r="G1316">
        <f>IF(TableRefills3[[#This Row],[prev_refill_end]]="","",TableRefills3[[#This Row],[refill_date]]-TableRefills3[[#This Row],[prev_refill_end]])</f>
        <v>3</v>
      </c>
      <c r="H1316" s="10">
        <f>IF(TableRefills3[[#This Row],[gap_days]]="",0,IF(TableRefills3[[#This Row],[gap_days]]&gt;2,1,0))</f>
        <v>1</v>
      </c>
      <c r="I1316">
        <f>_xlfn.MAXIFS(TableRefills3[discountinuation_flag], TableRefills3[patient_id], A1316)</f>
        <v>1</v>
      </c>
    </row>
    <row r="1317" spans="1:9" x14ac:dyDescent="0.25">
      <c r="A1317" t="s">
        <v>2095</v>
      </c>
      <c r="B1317" t="s">
        <v>2096</v>
      </c>
      <c r="C1317" s="3">
        <v>45957</v>
      </c>
      <c r="D1317">
        <v>21</v>
      </c>
      <c r="E1317" s="3">
        <f t="shared" si="20"/>
        <v>45937</v>
      </c>
      <c r="F1317" s="3">
        <f>IF(TableRefills3[[#This Row],[prev_refill_days]]="","",TableRefills3[[#This Row],[prev_refill_days]]+TableRefills3[[#This Row],[quantity_days]])</f>
        <v>45958</v>
      </c>
      <c r="G1317">
        <f>IF(TableRefills3[[#This Row],[prev_refill_end]]="","",TableRefills3[[#This Row],[refill_date]]-TableRefills3[[#This Row],[prev_refill_end]])</f>
        <v>-1</v>
      </c>
      <c r="H1317" s="10">
        <f>IF(TableRefills3[[#This Row],[gap_days]]="",0,IF(TableRefills3[[#This Row],[gap_days]]&gt;2,1,0))</f>
        <v>0</v>
      </c>
      <c r="I1317">
        <f>_xlfn.MAXIFS(TableRefills3[discountinuation_flag], TableRefills3[patient_id], A1317)</f>
        <v>1</v>
      </c>
    </row>
    <row r="1318" spans="1:9" x14ac:dyDescent="0.25">
      <c r="A1318" t="s">
        <v>2107</v>
      </c>
      <c r="B1318" t="s">
        <v>2108</v>
      </c>
      <c r="C1318" s="3">
        <v>45923</v>
      </c>
      <c r="D1318">
        <v>21</v>
      </c>
      <c r="E1318" s="3" t="str">
        <f t="shared" si="20"/>
        <v/>
      </c>
      <c r="F1318" s="3" t="str">
        <f>IF(TableRefills3[[#This Row],[prev_refill_days]]="","",TableRefills3[[#This Row],[prev_refill_days]]+TableRefills3[[#This Row],[quantity_days]])</f>
        <v/>
      </c>
      <c r="G1318" t="str">
        <f>IF(TableRefills3[[#This Row],[prev_refill_end]]="","",TableRefills3[[#This Row],[refill_date]]-TableRefills3[[#This Row],[prev_refill_end]])</f>
        <v/>
      </c>
      <c r="H1318" s="10">
        <f>IF(TableRefills3[[#This Row],[gap_days]]="",0,IF(TableRefills3[[#This Row],[gap_days]]&gt;2,1,0))</f>
        <v>0</v>
      </c>
      <c r="I1318">
        <f>_xlfn.MAXIFS(TableRefills3[discountinuation_flag], TableRefills3[patient_id], A1318)</f>
        <v>0</v>
      </c>
    </row>
    <row r="1319" spans="1:9" x14ac:dyDescent="0.25">
      <c r="A1319" t="s">
        <v>2107</v>
      </c>
      <c r="B1319" t="s">
        <v>2108</v>
      </c>
      <c r="C1319" s="3">
        <v>45942</v>
      </c>
      <c r="D1319">
        <v>21</v>
      </c>
      <c r="E1319" s="3">
        <f t="shared" si="20"/>
        <v>45923</v>
      </c>
      <c r="F1319" s="3">
        <f>IF(TableRefills3[[#This Row],[prev_refill_days]]="","",TableRefills3[[#This Row],[prev_refill_days]]+TableRefills3[[#This Row],[quantity_days]])</f>
        <v>45944</v>
      </c>
      <c r="G1319">
        <f>IF(TableRefills3[[#This Row],[prev_refill_end]]="","",TableRefills3[[#This Row],[refill_date]]-TableRefills3[[#This Row],[prev_refill_end]])</f>
        <v>-2</v>
      </c>
      <c r="H1319" s="10">
        <f>IF(TableRefills3[[#This Row],[gap_days]]="",0,IF(TableRefills3[[#This Row],[gap_days]]&gt;2,1,0))</f>
        <v>0</v>
      </c>
      <c r="I1319">
        <f>_xlfn.MAXIFS(TableRefills3[discountinuation_flag], TableRefills3[patient_id], A1319)</f>
        <v>0</v>
      </c>
    </row>
    <row r="1320" spans="1:9" x14ac:dyDescent="0.25">
      <c r="A1320" t="s">
        <v>2111</v>
      </c>
      <c r="B1320" t="s">
        <v>2112</v>
      </c>
      <c r="C1320" s="3">
        <v>45805</v>
      </c>
      <c r="D1320">
        <v>28</v>
      </c>
      <c r="E1320" s="3" t="str">
        <f t="shared" si="20"/>
        <v/>
      </c>
      <c r="F1320" s="3" t="str">
        <f>IF(TableRefills3[[#This Row],[prev_refill_days]]="","",TableRefills3[[#This Row],[prev_refill_days]]+TableRefills3[[#This Row],[quantity_days]])</f>
        <v/>
      </c>
      <c r="G1320" t="str">
        <f>IF(TableRefills3[[#This Row],[prev_refill_end]]="","",TableRefills3[[#This Row],[refill_date]]-TableRefills3[[#This Row],[prev_refill_end]])</f>
        <v/>
      </c>
      <c r="H1320" s="10">
        <f>IF(TableRefills3[[#This Row],[gap_days]]="",0,IF(TableRefills3[[#This Row],[gap_days]]&gt;2,1,0))</f>
        <v>0</v>
      </c>
      <c r="I1320">
        <f>_xlfn.MAXIFS(TableRefills3[discountinuation_flag], TableRefills3[patient_id], A1320)</f>
        <v>0</v>
      </c>
    </row>
    <row r="1321" spans="1:9" x14ac:dyDescent="0.25">
      <c r="A1321" t="s">
        <v>2111</v>
      </c>
      <c r="B1321" t="s">
        <v>2112</v>
      </c>
      <c r="C1321" s="3">
        <v>45830</v>
      </c>
      <c r="D1321">
        <v>28</v>
      </c>
      <c r="E1321" s="3">
        <f t="shared" si="20"/>
        <v>45805</v>
      </c>
      <c r="F1321" s="3">
        <f>IF(TableRefills3[[#This Row],[prev_refill_days]]="","",TableRefills3[[#This Row],[prev_refill_days]]+TableRefills3[[#This Row],[quantity_days]])</f>
        <v>45833</v>
      </c>
      <c r="G1321">
        <f>IF(TableRefills3[[#This Row],[prev_refill_end]]="","",TableRefills3[[#This Row],[refill_date]]-TableRefills3[[#This Row],[prev_refill_end]])</f>
        <v>-3</v>
      </c>
      <c r="H1321" s="10">
        <f>IF(TableRefills3[[#This Row],[gap_days]]="",0,IF(TableRefills3[[#This Row],[gap_days]]&gt;2,1,0))</f>
        <v>0</v>
      </c>
      <c r="I1321">
        <f>_xlfn.MAXIFS(TableRefills3[discountinuation_flag], TableRefills3[patient_id], A1321)</f>
        <v>0</v>
      </c>
    </row>
    <row r="1322" spans="1:9" x14ac:dyDescent="0.25">
      <c r="A1322" t="s">
        <v>2115</v>
      </c>
      <c r="B1322" t="s">
        <v>2116</v>
      </c>
      <c r="C1322" s="3">
        <v>45850</v>
      </c>
      <c r="D1322">
        <v>30</v>
      </c>
      <c r="E1322" s="3" t="str">
        <f t="shared" si="20"/>
        <v/>
      </c>
      <c r="F1322" s="3" t="str">
        <f>IF(TableRefills3[[#This Row],[prev_refill_days]]="","",TableRefills3[[#This Row],[prev_refill_days]]+TableRefills3[[#This Row],[quantity_days]])</f>
        <v/>
      </c>
      <c r="G1322" t="str">
        <f>IF(TableRefills3[[#This Row],[prev_refill_end]]="","",TableRefills3[[#This Row],[refill_date]]-TableRefills3[[#This Row],[prev_refill_end]])</f>
        <v/>
      </c>
      <c r="H1322" s="10">
        <f>IF(TableRefills3[[#This Row],[gap_days]]="",0,IF(TableRefills3[[#This Row],[gap_days]]&gt;2,1,0))</f>
        <v>0</v>
      </c>
      <c r="I1322">
        <f>_xlfn.MAXIFS(TableRefills3[discountinuation_flag], TableRefills3[patient_id], A1322)</f>
        <v>1</v>
      </c>
    </row>
    <row r="1323" spans="1:9" x14ac:dyDescent="0.25">
      <c r="A1323" t="s">
        <v>2115</v>
      </c>
      <c r="B1323" t="s">
        <v>2116</v>
      </c>
      <c r="C1323" s="3">
        <v>45879</v>
      </c>
      <c r="D1323">
        <v>30</v>
      </c>
      <c r="E1323" s="3">
        <f t="shared" si="20"/>
        <v>45850</v>
      </c>
      <c r="F1323" s="3">
        <f>IF(TableRefills3[[#This Row],[prev_refill_days]]="","",TableRefills3[[#This Row],[prev_refill_days]]+TableRefills3[[#This Row],[quantity_days]])</f>
        <v>45880</v>
      </c>
      <c r="G1323">
        <f>IF(TableRefills3[[#This Row],[prev_refill_end]]="","",TableRefills3[[#This Row],[refill_date]]-TableRefills3[[#This Row],[prev_refill_end]])</f>
        <v>-1</v>
      </c>
      <c r="H1323" s="10">
        <f>IF(TableRefills3[[#This Row],[gap_days]]="",0,IF(TableRefills3[[#This Row],[gap_days]]&gt;2,1,0))</f>
        <v>0</v>
      </c>
      <c r="I1323">
        <f>_xlfn.MAXIFS(TableRefills3[discountinuation_flag], TableRefills3[patient_id], A1323)</f>
        <v>1</v>
      </c>
    </row>
    <row r="1324" spans="1:9" x14ac:dyDescent="0.25">
      <c r="A1324" t="s">
        <v>2115</v>
      </c>
      <c r="B1324" t="s">
        <v>2116</v>
      </c>
      <c r="C1324" s="3">
        <v>45912</v>
      </c>
      <c r="D1324">
        <v>30</v>
      </c>
      <c r="E1324" s="3">
        <f t="shared" si="20"/>
        <v>45879</v>
      </c>
      <c r="F1324" s="3">
        <f>IF(TableRefills3[[#This Row],[prev_refill_days]]="","",TableRefills3[[#This Row],[prev_refill_days]]+TableRefills3[[#This Row],[quantity_days]])</f>
        <v>45909</v>
      </c>
      <c r="G1324">
        <f>IF(TableRefills3[[#This Row],[prev_refill_end]]="","",TableRefills3[[#This Row],[refill_date]]-TableRefills3[[#This Row],[prev_refill_end]])</f>
        <v>3</v>
      </c>
      <c r="H1324" s="10">
        <f>IF(TableRefills3[[#This Row],[gap_days]]="",0,IF(TableRefills3[[#This Row],[gap_days]]&gt;2,1,0))</f>
        <v>1</v>
      </c>
      <c r="I1324">
        <f>_xlfn.MAXIFS(TableRefills3[discountinuation_flag], TableRefills3[patient_id], A1324)</f>
        <v>1</v>
      </c>
    </row>
    <row r="1325" spans="1:9" x14ac:dyDescent="0.25">
      <c r="A1325" t="s">
        <v>2115</v>
      </c>
      <c r="B1325" t="s">
        <v>2116</v>
      </c>
      <c r="C1325" s="3">
        <v>45943</v>
      </c>
      <c r="D1325">
        <v>30</v>
      </c>
      <c r="E1325" s="3">
        <f t="shared" si="20"/>
        <v>45912</v>
      </c>
      <c r="F1325" s="3">
        <f>IF(TableRefills3[[#This Row],[prev_refill_days]]="","",TableRefills3[[#This Row],[prev_refill_days]]+TableRefills3[[#This Row],[quantity_days]])</f>
        <v>45942</v>
      </c>
      <c r="G1325">
        <f>IF(TableRefills3[[#This Row],[prev_refill_end]]="","",TableRefills3[[#This Row],[refill_date]]-TableRefills3[[#This Row],[prev_refill_end]])</f>
        <v>1</v>
      </c>
      <c r="H1325" s="10">
        <f>IF(TableRefills3[[#This Row],[gap_days]]="",0,IF(TableRefills3[[#This Row],[gap_days]]&gt;2,1,0))</f>
        <v>0</v>
      </c>
      <c r="I1325">
        <f>_xlfn.MAXIFS(TableRefills3[discountinuation_flag], TableRefills3[patient_id], A1325)</f>
        <v>1</v>
      </c>
    </row>
    <row r="1326" spans="1:9" x14ac:dyDescent="0.25">
      <c r="A1326" t="s">
        <v>2121</v>
      </c>
      <c r="B1326" t="s">
        <v>2122</v>
      </c>
      <c r="C1326" s="3">
        <v>45942</v>
      </c>
      <c r="D1326">
        <v>28</v>
      </c>
      <c r="E1326" s="3" t="str">
        <f t="shared" si="20"/>
        <v/>
      </c>
      <c r="F1326" s="3" t="str">
        <f>IF(TableRefills3[[#This Row],[prev_refill_days]]="","",TableRefills3[[#This Row],[prev_refill_days]]+TableRefills3[[#This Row],[quantity_days]])</f>
        <v/>
      </c>
      <c r="G1326" t="str">
        <f>IF(TableRefills3[[#This Row],[prev_refill_end]]="","",TableRefills3[[#This Row],[refill_date]]-TableRefills3[[#This Row],[prev_refill_end]])</f>
        <v/>
      </c>
      <c r="H1326" s="10">
        <f>IF(TableRefills3[[#This Row],[gap_days]]="",0,IF(TableRefills3[[#This Row],[gap_days]]&gt;2,1,0))</f>
        <v>0</v>
      </c>
      <c r="I1326">
        <f>_xlfn.MAXIFS(TableRefills3[discountinuation_flag], TableRefills3[patient_id], A1326)</f>
        <v>0</v>
      </c>
    </row>
    <row r="1327" spans="1:9" x14ac:dyDescent="0.25">
      <c r="A1327" t="s">
        <v>2124</v>
      </c>
      <c r="B1327" t="s">
        <v>2125</v>
      </c>
      <c r="C1327" s="3">
        <v>45912</v>
      </c>
      <c r="D1327">
        <v>28</v>
      </c>
      <c r="E1327" s="3" t="str">
        <f t="shared" si="20"/>
        <v/>
      </c>
      <c r="F1327" s="3" t="str">
        <f>IF(TableRefills3[[#This Row],[prev_refill_days]]="","",TableRefills3[[#This Row],[prev_refill_days]]+TableRefills3[[#This Row],[quantity_days]])</f>
        <v/>
      </c>
      <c r="G1327" t="str">
        <f>IF(TableRefills3[[#This Row],[prev_refill_end]]="","",TableRefills3[[#This Row],[refill_date]]-TableRefills3[[#This Row],[prev_refill_end]])</f>
        <v/>
      </c>
      <c r="H1327" s="10">
        <f>IF(TableRefills3[[#This Row],[gap_days]]="",0,IF(TableRefills3[[#This Row],[gap_days]]&gt;2,1,0))</f>
        <v>0</v>
      </c>
      <c r="I1327">
        <f>_xlfn.MAXIFS(TableRefills3[discountinuation_flag], TableRefills3[patient_id], A1327)</f>
        <v>0</v>
      </c>
    </row>
    <row r="1328" spans="1:9" x14ac:dyDescent="0.25">
      <c r="A1328" t="s">
        <v>2124</v>
      </c>
      <c r="B1328" t="s">
        <v>2125</v>
      </c>
      <c r="C1328" s="3">
        <v>45941</v>
      </c>
      <c r="D1328">
        <v>28</v>
      </c>
      <c r="E1328" s="3">
        <f t="shared" si="20"/>
        <v>45912</v>
      </c>
      <c r="F1328" s="3">
        <f>IF(TableRefills3[[#This Row],[prev_refill_days]]="","",TableRefills3[[#This Row],[prev_refill_days]]+TableRefills3[[#This Row],[quantity_days]])</f>
        <v>45940</v>
      </c>
      <c r="G1328">
        <f>IF(TableRefills3[[#This Row],[prev_refill_end]]="","",TableRefills3[[#This Row],[refill_date]]-TableRefills3[[#This Row],[prev_refill_end]])</f>
        <v>1</v>
      </c>
      <c r="H1328" s="10">
        <f>IF(TableRefills3[[#This Row],[gap_days]]="",0,IF(TableRefills3[[#This Row],[gap_days]]&gt;2,1,0))</f>
        <v>0</v>
      </c>
      <c r="I1328">
        <f>_xlfn.MAXIFS(TableRefills3[discountinuation_flag], TableRefills3[patient_id], A1328)</f>
        <v>0</v>
      </c>
    </row>
    <row r="1329" spans="1:9" x14ac:dyDescent="0.25">
      <c r="A1329" t="s">
        <v>2128</v>
      </c>
      <c r="B1329" t="s">
        <v>2129</v>
      </c>
      <c r="C1329" s="3">
        <v>45812</v>
      </c>
      <c r="D1329">
        <v>28</v>
      </c>
      <c r="E1329" s="3" t="str">
        <f t="shared" si="20"/>
        <v/>
      </c>
      <c r="F1329" s="3" t="str">
        <f>IF(TableRefills3[[#This Row],[prev_refill_days]]="","",TableRefills3[[#This Row],[prev_refill_days]]+TableRefills3[[#This Row],[quantity_days]])</f>
        <v/>
      </c>
      <c r="G1329" t="str">
        <f>IF(TableRefills3[[#This Row],[prev_refill_end]]="","",TableRefills3[[#This Row],[refill_date]]-TableRefills3[[#This Row],[prev_refill_end]])</f>
        <v/>
      </c>
      <c r="H1329" s="10">
        <f>IF(TableRefills3[[#This Row],[gap_days]]="",0,IF(TableRefills3[[#This Row],[gap_days]]&gt;2,1,0))</f>
        <v>0</v>
      </c>
      <c r="I1329">
        <f>_xlfn.MAXIFS(TableRefills3[discountinuation_flag], TableRefills3[patient_id], A1329)</f>
        <v>0</v>
      </c>
    </row>
    <row r="1330" spans="1:9" x14ac:dyDescent="0.25">
      <c r="A1330" t="s">
        <v>2128</v>
      </c>
      <c r="B1330" t="s">
        <v>2129</v>
      </c>
      <c r="C1330" s="3">
        <v>45841</v>
      </c>
      <c r="D1330">
        <v>28</v>
      </c>
      <c r="E1330" s="3">
        <f t="shared" si="20"/>
        <v>45812</v>
      </c>
      <c r="F1330" s="3">
        <f>IF(TableRefills3[[#This Row],[prev_refill_days]]="","",TableRefills3[[#This Row],[prev_refill_days]]+TableRefills3[[#This Row],[quantity_days]])</f>
        <v>45840</v>
      </c>
      <c r="G1330">
        <f>IF(TableRefills3[[#This Row],[prev_refill_end]]="","",TableRefills3[[#This Row],[refill_date]]-TableRefills3[[#This Row],[prev_refill_end]])</f>
        <v>1</v>
      </c>
      <c r="H1330" s="10">
        <f>IF(TableRefills3[[#This Row],[gap_days]]="",0,IF(TableRefills3[[#This Row],[gap_days]]&gt;2,1,0))</f>
        <v>0</v>
      </c>
      <c r="I1330">
        <f>_xlfn.MAXIFS(TableRefills3[discountinuation_flag], TableRefills3[patient_id], A1330)</f>
        <v>0</v>
      </c>
    </row>
    <row r="1331" spans="1:9" x14ac:dyDescent="0.25">
      <c r="A1331" t="s">
        <v>2132</v>
      </c>
      <c r="B1331" t="s">
        <v>2133</v>
      </c>
      <c r="C1331" s="3">
        <v>45907</v>
      </c>
      <c r="D1331">
        <v>28</v>
      </c>
      <c r="E1331" s="3" t="str">
        <f t="shared" si="20"/>
        <v/>
      </c>
      <c r="F1331" s="3" t="str">
        <f>IF(TableRefills3[[#This Row],[prev_refill_days]]="","",TableRefills3[[#This Row],[prev_refill_days]]+TableRefills3[[#This Row],[quantity_days]])</f>
        <v/>
      </c>
      <c r="G1331" t="str">
        <f>IF(TableRefills3[[#This Row],[prev_refill_end]]="","",TableRefills3[[#This Row],[refill_date]]-TableRefills3[[#This Row],[prev_refill_end]])</f>
        <v/>
      </c>
      <c r="H1331" s="10">
        <f>IF(TableRefills3[[#This Row],[gap_days]]="",0,IF(TableRefills3[[#This Row],[gap_days]]&gt;2,1,0))</f>
        <v>0</v>
      </c>
      <c r="I1331">
        <f>_xlfn.MAXIFS(TableRefills3[discountinuation_flag], TableRefills3[patient_id], A1331)</f>
        <v>0</v>
      </c>
    </row>
    <row r="1332" spans="1:9" x14ac:dyDescent="0.25">
      <c r="A1332" t="s">
        <v>2132</v>
      </c>
      <c r="B1332" t="s">
        <v>2133</v>
      </c>
      <c r="C1332" s="3">
        <v>45935</v>
      </c>
      <c r="D1332">
        <v>28</v>
      </c>
      <c r="E1332" s="3">
        <f t="shared" si="20"/>
        <v>45907</v>
      </c>
      <c r="F1332" s="3">
        <f>IF(TableRefills3[[#This Row],[prev_refill_days]]="","",TableRefills3[[#This Row],[prev_refill_days]]+TableRefills3[[#This Row],[quantity_days]])</f>
        <v>45935</v>
      </c>
      <c r="G1332">
        <f>IF(TableRefills3[[#This Row],[prev_refill_end]]="","",TableRefills3[[#This Row],[refill_date]]-TableRefills3[[#This Row],[prev_refill_end]])</f>
        <v>0</v>
      </c>
      <c r="H1332" s="10">
        <f>IF(TableRefills3[[#This Row],[gap_days]]="",0,IF(TableRefills3[[#This Row],[gap_days]]&gt;2,1,0))</f>
        <v>0</v>
      </c>
      <c r="I1332">
        <f>_xlfn.MAXIFS(TableRefills3[discountinuation_flag], TableRefills3[patient_id], A1332)</f>
        <v>0</v>
      </c>
    </row>
    <row r="1333" spans="1:9" x14ac:dyDescent="0.25">
      <c r="A1333" t="s">
        <v>2132</v>
      </c>
      <c r="B1333" t="s">
        <v>2133</v>
      </c>
      <c r="C1333" s="3">
        <v>45960</v>
      </c>
      <c r="D1333">
        <v>28</v>
      </c>
      <c r="E1333" s="3">
        <f t="shared" si="20"/>
        <v>45935</v>
      </c>
      <c r="F1333" s="3">
        <f>IF(TableRefills3[[#This Row],[prev_refill_days]]="","",TableRefills3[[#This Row],[prev_refill_days]]+TableRefills3[[#This Row],[quantity_days]])</f>
        <v>45963</v>
      </c>
      <c r="G1333">
        <f>IF(TableRefills3[[#This Row],[prev_refill_end]]="","",TableRefills3[[#This Row],[refill_date]]-TableRefills3[[#This Row],[prev_refill_end]])</f>
        <v>-3</v>
      </c>
      <c r="H1333" s="10">
        <f>IF(TableRefills3[[#This Row],[gap_days]]="",0,IF(TableRefills3[[#This Row],[gap_days]]&gt;2,1,0))</f>
        <v>0</v>
      </c>
      <c r="I1333">
        <f>_xlfn.MAXIFS(TableRefills3[discountinuation_flag], TableRefills3[patient_id], A1333)</f>
        <v>0</v>
      </c>
    </row>
    <row r="1334" spans="1:9" x14ac:dyDescent="0.25">
      <c r="A1334" t="s">
        <v>2137</v>
      </c>
      <c r="B1334" t="s">
        <v>2138</v>
      </c>
      <c r="C1334" s="3">
        <v>45847</v>
      </c>
      <c r="D1334">
        <v>28</v>
      </c>
      <c r="E1334" s="3" t="str">
        <f t="shared" si="20"/>
        <v/>
      </c>
      <c r="F1334" s="3" t="str">
        <f>IF(TableRefills3[[#This Row],[prev_refill_days]]="","",TableRefills3[[#This Row],[prev_refill_days]]+TableRefills3[[#This Row],[quantity_days]])</f>
        <v/>
      </c>
      <c r="G1334" t="str">
        <f>IF(TableRefills3[[#This Row],[prev_refill_end]]="","",TableRefills3[[#This Row],[refill_date]]-TableRefills3[[#This Row],[prev_refill_end]])</f>
        <v/>
      </c>
      <c r="H1334" s="10">
        <f>IF(TableRefills3[[#This Row],[gap_days]]="",0,IF(TableRefills3[[#This Row],[gap_days]]&gt;2,1,0))</f>
        <v>0</v>
      </c>
      <c r="I1334">
        <f>_xlfn.MAXIFS(TableRefills3[discountinuation_flag], TableRefills3[patient_id], A1334)</f>
        <v>0</v>
      </c>
    </row>
    <row r="1335" spans="1:9" x14ac:dyDescent="0.25">
      <c r="A1335" t="s">
        <v>2137</v>
      </c>
      <c r="B1335" t="s">
        <v>2138</v>
      </c>
      <c r="C1335" s="3">
        <v>45874</v>
      </c>
      <c r="D1335">
        <v>28</v>
      </c>
      <c r="E1335" s="3">
        <f t="shared" si="20"/>
        <v>45847</v>
      </c>
      <c r="F1335" s="3">
        <f>IF(TableRefills3[[#This Row],[prev_refill_days]]="","",TableRefills3[[#This Row],[prev_refill_days]]+TableRefills3[[#This Row],[quantity_days]])</f>
        <v>45875</v>
      </c>
      <c r="G1335">
        <f>IF(TableRefills3[[#This Row],[prev_refill_end]]="","",TableRefills3[[#This Row],[refill_date]]-TableRefills3[[#This Row],[prev_refill_end]])</f>
        <v>-1</v>
      </c>
      <c r="H1335" s="10">
        <f>IF(TableRefills3[[#This Row],[gap_days]]="",0,IF(TableRefills3[[#This Row],[gap_days]]&gt;2,1,0))</f>
        <v>0</v>
      </c>
      <c r="I1335">
        <f>_xlfn.MAXIFS(TableRefills3[discountinuation_flag], TableRefills3[patient_id], A1335)</f>
        <v>0</v>
      </c>
    </row>
    <row r="1336" spans="1:9" x14ac:dyDescent="0.25">
      <c r="A1336" t="s">
        <v>2137</v>
      </c>
      <c r="B1336" t="s">
        <v>2138</v>
      </c>
      <c r="C1336" s="3">
        <v>45899</v>
      </c>
      <c r="D1336">
        <v>28</v>
      </c>
      <c r="E1336" s="3">
        <f t="shared" si="20"/>
        <v>45874</v>
      </c>
      <c r="F1336" s="3">
        <f>IF(TableRefills3[[#This Row],[prev_refill_days]]="","",TableRefills3[[#This Row],[prev_refill_days]]+TableRefills3[[#This Row],[quantity_days]])</f>
        <v>45902</v>
      </c>
      <c r="G1336">
        <f>IF(TableRefills3[[#This Row],[prev_refill_end]]="","",TableRefills3[[#This Row],[refill_date]]-TableRefills3[[#This Row],[prev_refill_end]])</f>
        <v>-3</v>
      </c>
      <c r="H1336" s="10">
        <f>IF(TableRefills3[[#This Row],[gap_days]]="",0,IF(TableRefills3[[#This Row],[gap_days]]&gt;2,1,0))</f>
        <v>0</v>
      </c>
      <c r="I1336">
        <f>_xlfn.MAXIFS(TableRefills3[discountinuation_flag], TableRefills3[patient_id], A1336)</f>
        <v>0</v>
      </c>
    </row>
    <row r="1337" spans="1:9" x14ac:dyDescent="0.25">
      <c r="A1337" t="s">
        <v>2137</v>
      </c>
      <c r="B1337" t="s">
        <v>2138</v>
      </c>
      <c r="C1337" s="3">
        <v>45928</v>
      </c>
      <c r="D1337">
        <v>28</v>
      </c>
      <c r="E1337" s="3">
        <f t="shared" si="20"/>
        <v>45899</v>
      </c>
      <c r="F1337" s="3">
        <f>IF(TableRefills3[[#This Row],[prev_refill_days]]="","",TableRefills3[[#This Row],[prev_refill_days]]+TableRefills3[[#This Row],[quantity_days]])</f>
        <v>45927</v>
      </c>
      <c r="G1337">
        <f>IF(TableRefills3[[#This Row],[prev_refill_end]]="","",TableRefills3[[#This Row],[refill_date]]-TableRefills3[[#This Row],[prev_refill_end]])</f>
        <v>1</v>
      </c>
      <c r="H1337" s="10">
        <f>IF(TableRefills3[[#This Row],[gap_days]]="",0,IF(TableRefills3[[#This Row],[gap_days]]&gt;2,1,0))</f>
        <v>0</v>
      </c>
      <c r="I1337">
        <f>_xlfn.MAXIFS(TableRefills3[discountinuation_flag], TableRefills3[patient_id], A1337)</f>
        <v>0</v>
      </c>
    </row>
    <row r="1338" spans="1:9" x14ac:dyDescent="0.25">
      <c r="A1338" t="s">
        <v>2137</v>
      </c>
      <c r="B1338" t="s">
        <v>2138</v>
      </c>
      <c r="C1338" s="3">
        <v>45957</v>
      </c>
      <c r="D1338">
        <v>28</v>
      </c>
      <c r="E1338" s="3">
        <f t="shared" si="20"/>
        <v>45928</v>
      </c>
      <c r="F1338" s="3">
        <f>IF(TableRefills3[[#This Row],[prev_refill_days]]="","",TableRefills3[[#This Row],[prev_refill_days]]+TableRefills3[[#This Row],[quantity_days]])</f>
        <v>45956</v>
      </c>
      <c r="G1338">
        <f>IF(TableRefills3[[#This Row],[prev_refill_end]]="","",TableRefills3[[#This Row],[refill_date]]-TableRefills3[[#This Row],[prev_refill_end]])</f>
        <v>1</v>
      </c>
      <c r="H1338" s="10">
        <f>IF(TableRefills3[[#This Row],[gap_days]]="",0,IF(TableRefills3[[#This Row],[gap_days]]&gt;2,1,0))</f>
        <v>0</v>
      </c>
      <c r="I1338">
        <f>_xlfn.MAXIFS(TableRefills3[discountinuation_flag], TableRefills3[patient_id], A1338)</f>
        <v>0</v>
      </c>
    </row>
    <row r="1339" spans="1:9" x14ac:dyDescent="0.25">
      <c r="A1339" t="s">
        <v>2144</v>
      </c>
      <c r="B1339" t="s">
        <v>2145</v>
      </c>
      <c r="C1339" s="3">
        <v>45806</v>
      </c>
      <c r="D1339">
        <v>28</v>
      </c>
      <c r="E1339" s="3" t="str">
        <f t="shared" si="20"/>
        <v/>
      </c>
      <c r="F1339" s="3" t="str">
        <f>IF(TableRefills3[[#This Row],[prev_refill_days]]="","",TableRefills3[[#This Row],[prev_refill_days]]+TableRefills3[[#This Row],[quantity_days]])</f>
        <v/>
      </c>
      <c r="G1339" t="str">
        <f>IF(TableRefills3[[#This Row],[prev_refill_end]]="","",TableRefills3[[#This Row],[refill_date]]-TableRefills3[[#This Row],[prev_refill_end]])</f>
        <v/>
      </c>
      <c r="H1339" s="10">
        <f>IF(TableRefills3[[#This Row],[gap_days]]="",0,IF(TableRefills3[[#This Row],[gap_days]]&gt;2,1,0))</f>
        <v>0</v>
      </c>
      <c r="I1339">
        <f>_xlfn.MAXIFS(TableRefills3[discountinuation_flag], TableRefills3[patient_id], A1339)</f>
        <v>1</v>
      </c>
    </row>
    <row r="1340" spans="1:9" x14ac:dyDescent="0.25">
      <c r="A1340" t="s">
        <v>2144</v>
      </c>
      <c r="B1340" t="s">
        <v>2145</v>
      </c>
      <c r="C1340" s="3">
        <v>45833</v>
      </c>
      <c r="D1340">
        <v>28</v>
      </c>
      <c r="E1340" s="3">
        <f t="shared" si="20"/>
        <v>45806</v>
      </c>
      <c r="F1340" s="3">
        <f>IF(TableRefills3[[#This Row],[prev_refill_days]]="","",TableRefills3[[#This Row],[prev_refill_days]]+TableRefills3[[#This Row],[quantity_days]])</f>
        <v>45834</v>
      </c>
      <c r="G1340">
        <f>IF(TableRefills3[[#This Row],[prev_refill_end]]="","",TableRefills3[[#This Row],[refill_date]]-TableRefills3[[#This Row],[prev_refill_end]])</f>
        <v>-1</v>
      </c>
      <c r="H1340" s="10">
        <f>IF(TableRefills3[[#This Row],[gap_days]]="",0,IF(TableRefills3[[#This Row],[gap_days]]&gt;2,1,0))</f>
        <v>0</v>
      </c>
      <c r="I1340">
        <f>_xlfn.MAXIFS(TableRefills3[discountinuation_flag], TableRefills3[patient_id], A1340)</f>
        <v>1</v>
      </c>
    </row>
    <row r="1341" spans="1:9" x14ac:dyDescent="0.25">
      <c r="A1341" t="s">
        <v>2144</v>
      </c>
      <c r="B1341" t="s">
        <v>2145</v>
      </c>
      <c r="C1341" s="3">
        <v>45861</v>
      </c>
      <c r="D1341">
        <v>28</v>
      </c>
      <c r="E1341" s="3">
        <f t="shared" si="20"/>
        <v>45833</v>
      </c>
      <c r="F1341" s="3">
        <f>IF(TableRefills3[[#This Row],[prev_refill_days]]="","",TableRefills3[[#This Row],[prev_refill_days]]+TableRefills3[[#This Row],[quantity_days]])</f>
        <v>45861</v>
      </c>
      <c r="G1341">
        <f>IF(TableRefills3[[#This Row],[prev_refill_end]]="","",TableRefills3[[#This Row],[refill_date]]-TableRefills3[[#This Row],[prev_refill_end]])</f>
        <v>0</v>
      </c>
      <c r="H1341" s="10">
        <f>IF(TableRefills3[[#This Row],[gap_days]]="",0,IF(TableRefills3[[#This Row],[gap_days]]&gt;2,1,0))</f>
        <v>0</v>
      </c>
      <c r="I1341">
        <f>_xlfn.MAXIFS(TableRefills3[discountinuation_flag], TableRefills3[patient_id], A1341)</f>
        <v>1</v>
      </c>
    </row>
    <row r="1342" spans="1:9" x14ac:dyDescent="0.25">
      <c r="A1342" t="s">
        <v>2144</v>
      </c>
      <c r="B1342" t="s">
        <v>2145</v>
      </c>
      <c r="C1342" s="3">
        <v>45890</v>
      </c>
      <c r="D1342">
        <v>28</v>
      </c>
      <c r="E1342" s="3">
        <f t="shared" si="20"/>
        <v>45861</v>
      </c>
      <c r="F1342" s="3">
        <f>IF(TableRefills3[[#This Row],[prev_refill_days]]="","",TableRefills3[[#This Row],[prev_refill_days]]+TableRefills3[[#This Row],[quantity_days]])</f>
        <v>45889</v>
      </c>
      <c r="G1342">
        <f>IF(TableRefills3[[#This Row],[prev_refill_end]]="","",TableRefills3[[#This Row],[refill_date]]-TableRefills3[[#This Row],[prev_refill_end]])</f>
        <v>1</v>
      </c>
      <c r="H1342" s="10">
        <f>IF(TableRefills3[[#This Row],[gap_days]]="",0,IF(TableRefills3[[#This Row],[gap_days]]&gt;2,1,0))</f>
        <v>0</v>
      </c>
      <c r="I1342">
        <f>_xlfn.MAXIFS(TableRefills3[discountinuation_flag], TableRefills3[patient_id], A1342)</f>
        <v>1</v>
      </c>
    </row>
    <row r="1343" spans="1:9" x14ac:dyDescent="0.25">
      <c r="A1343" t="s">
        <v>2144</v>
      </c>
      <c r="B1343" t="s">
        <v>2145</v>
      </c>
      <c r="C1343" s="3">
        <v>45921</v>
      </c>
      <c r="D1343">
        <v>28</v>
      </c>
      <c r="E1343" s="3">
        <f t="shared" si="20"/>
        <v>45890</v>
      </c>
      <c r="F1343" s="3">
        <f>IF(TableRefills3[[#This Row],[prev_refill_days]]="","",TableRefills3[[#This Row],[prev_refill_days]]+TableRefills3[[#This Row],[quantity_days]])</f>
        <v>45918</v>
      </c>
      <c r="G1343">
        <f>IF(TableRefills3[[#This Row],[prev_refill_end]]="","",TableRefills3[[#This Row],[refill_date]]-TableRefills3[[#This Row],[prev_refill_end]])</f>
        <v>3</v>
      </c>
      <c r="H1343" s="10">
        <f>IF(TableRefills3[[#This Row],[gap_days]]="",0,IF(TableRefills3[[#This Row],[gap_days]]&gt;2,1,0))</f>
        <v>1</v>
      </c>
      <c r="I1343">
        <f>_xlfn.MAXIFS(TableRefills3[discountinuation_flag], TableRefills3[patient_id], A1343)</f>
        <v>1</v>
      </c>
    </row>
    <row r="1344" spans="1:9" x14ac:dyDescent="0.25">
      <c r="A1344" t="s">
        <v>2144</v>
      </c>
      <c r="B1344" t="s">
        <v>2145</v>
      </c>
      <c r="C1344" s="3">
        <v>45952</v>
      </c>
      <c r="D1344">
        <v>28</v>
      </c>
      <c r="E1344" s="3">
        <f t="shared" si="20"/>
        <v>45921</v>
      </c>
      <c r="F1344" s="3">
        <f>IF(TableRefills3[[#This Row],[prev_refill_days]]="","",TableRefills3[[#This Row],[prev_refill_days]]+TableRefills3[[#This Row],[quantity_days]])</f>
        <v>45949</v>
      </c>
      <c r="G1344">
        <f>IF(TableRefills3[[#This Row],[prev_refill_end]]="","",TableRefills3[[#This Row],[refill_date]]-TableRefills3[[#This Row],[prev_refill_end]])</f>
        <v>3</v>
      </c>
      <c r="H1344" s="10">
        <f>IF(TableRefills3[[#This Row],[gap_days]]="",0,IF(TableRefills3[[#This Row],[gap_days]]&gt;2,1,0))</f>
        <v>1</v>
      </c>
      <c r="I1344">
        <f>_xlfn.MAXIFS(TableRefills3[discountinuation_flag], TableRefills3[patient_id], A1344)</f>
        <v>1</v>
      </c>
    </row>
    <row r="1345" spans="1:9" x14ac:dyDescent="0.25">
      <c r="A1345" t="s">
        <v>2152</v>
      </c>
      <c r="B1345" t="s">
        <v>2153</v>
      </c>
      <c r="C1345" s="3">
        <v>45819</v>
      </c>
      <c r="D1345">
        <v>21</v>
      </c>
      <c r="E1345" s="3" t="str">
        <f t="shared" si="20"/>
        <v/>
      </c>
      <c r="F1345" s="3" t="str">
        <f>IF(TableRefills3[[#This Row],[prev_refill_days]]="","",TableRefills3[[#This Row],[prev_refill_days]]+TableRefills3[[#This Row],[quantity_days]])</f>
        <v/>
      </c>
      <c r="G1345" t="str">
        <f>IF(TableRefills3[[#This Row],[prev_refill_end]]="","",TableRefills3[[#This Row],[refill_date]]-TableRefills3[[#This Row],[prev_refill_end]])</f>
        <v/>
      </c>
      <c r="H1345" s="10">
        <f>IF(TableRefills3[[#This Row],[gap_days]]="",0,IF(TableRefills3[[#This Row],[gap_days]]&gt;2,1,0))</f>
        <v>0</v>
      </c>
      <c r="I1345">
        <f>_xlfn.MAXIFS(TableRefills3[discountinuation_flag], TableRefills3[patient_id], A1345)</f>
        <v>0</v>
      </c>
    </row>
    <row r="1346" spans="1:9" x14ac:dyDescent="0.25">
      <c r="A1346" t="s">
        <v>2152</v>
      </c>
      <c r="B1346" t="s">
        <v>2153</v>
      </c>
      <c r="C1346" s="3">
        <v>45842</v>
      </c>
      <c r="D1346">
        <v>21</v>
      </c>
      <c r="E1346" s="3">
        <f t="shared" ref="E1346:E1409" si="21">IF(A1345=A1346,C1345,"")</f>
        <v>45819</v>
      </c>
      <c r="F1346" s="3">
        <f>IF(TableRefills3[[#This Row],[prev_refill_days]]="","",TableRefills3[[#This Row],[prev_refill_days]]+TableRefills3[[#This Row],[quantity_days]])</f>
        <v>45840</v>
      </c>
      <c r="G1346">
        <f>IF(TableRefills3[[#This Row],[prev_refill_end]]="","",TableRefills3[[#This Row],[refill_date]]-TableRefills3[[#This Row],[prev_refill_end]])</f>
        <v>2</v>
      </c>
      <c r="H1346" s="10">
        <f>IF(TableRefills3[[#This Row],[gap_days]]="",0,IF(TableRefills3[[#This Row],[gap_days]]&gt;2,1,0))</f>
        <v>0</v>
      </c>
      <c r="I1346">
        <f>_xlfn.MAXIFS(TableRefills3[discountinuation_flag], TableRefills3[patient_id], A1346)</f>
        <v>0</v>
      </c>
    </row>
    <row r="1347" spans="1:9" x14ac:dyDescent="0.25">
      <c r="A1347" t="s">
        <v>2152</v>
      </c>
      <c r="B1347" t="s">
        <v>2153</v>
      </c>
      <c r="C1347" s="3">
        <v>45864</v>
      </c>
      <c r="D1347">
        <v>21</v>
      </c>
      <c r="E1347" s="3">
        <f t="shared" si="21"/>
        <v>45842</v>
      </c>
      <c r="F1347" s="3">
        <f>IF(TableRefills3[[#This Row],[prev_refill_days]]="","",TableRefills3[[#This Row],[prev_refill_days]]+TableRefills3[[#This Row],[quantity_days]])</f>
        <v>45863</v>
      </c>
      <c r="G1347">
        <f>IF(TableRefills3[[#This Row],[prev_refill_end]]="","",TableRefills3[[#This Row],[refill_date]]-TableRefills3[[#This Row],[prev_refill_end]])</f>
        <v>1</v>
      </c>
      <c r="H1347" s="10">
        <f>IF(TableRefills3[[#This Row],[gap_days]]="",0,IF(TableRefills3[[#This Row],[gap_days]]&gt;2,1,0))</f>
        <v>0</v>
      </c>
      <c r="I1347">
        <f>_xlfn.MAXIFS(TableRefills3[discountinuation_flag], TableRefills3[patient_id], A1347)</f>
        <v>0</v>
      </c>
    </row>
    <row r="1348" spans="1:9" x14ac:dyDescent="0.25">
      <c r="A1348" t="s">
        <v>2152</v>
      </c>
      <c r="B1348" t="s">
        <v>2153</v>
      </c>
      <c r="C1348" s="3">
        <v>45882</v>
      </c>
      <c r="D1348">
        <v>21</v>
      </c>
      <c r="E1348" s="3">
        <f t="shared" si="21"/>
        <v>45864</v>
      </c>
      <c r="F1348" s="3">
        <f>IF(TableRefills3[[#This Row],[prev_refill_days]]="","",TableRefills3[[#This Row],[prev_refill_days]]+TableRefills3[[#This Row],[quantity_days]])</f>
        <v>45885</v>
      </c>
      <c r="G1348">
        <f>IF(TableRefills3[[#This Row],[prev_refill_end]]="","",TableRefills3[[#This Row],[refill_date]]-TableRefills3[[#This Row],[prev_refill_end]])</f>
        <v>-3</v>
      </c>
      <c r="H1348" s="10">
        <f>IF(TableRefills3[[#This Row],[gap_days]]="",0,IF(TableRefills3[[#This Row],[gap_days]]&gt;2,1,0))</f>
        <v>0</v>
      </c>
      <c r="I1348">
        <f>_xlfn.MAXIFS(TableRefills3[discountinuation_flag], TableRefills3[patient_id], A1348)</f>
        <v>0</v>
      </c>
    </row>
    <row r="1349" spans="1:9" x14ac:dyDescent="0.25">
      <c r="A1349" t="s">
        <v>2152</v>
      </c>
      <c r="B1349" t="s">
        <v>2153</v>
      </c>
      <c r="C1349" s="3">
        <v>45900</v>
      </c>
      <c r="D1349">
        <v>21</v>
      </c>
      <c r="E1349" s="3">
        <f t="shared" si="21"/>
        <v>45882</v>
      </c>
      <c r="F1349" s="3">
        <f>IF(TableRefills3[[#This Row],[prev_refill_days]]="","",TableRefills3[[#This Row],[prev_refill_days]]+TableRefills3[[#This Row],[quantity_days]])</f>
        <v>45903</v>
      </c>
      <c r="G1349">
        <f>IF(TableRefills3[[#This Row],[prev_refill_end]]="","",TableRefills3[[#This Row],[refill_date]]-TableRefills3[[#This Row],[prev_refill_end]])</f>
        <v>-3</v>
      </c>
      <c r="H1349" s="10">
        <f>IF(TableRefills3[[#This Row],[gap_days]]="",0,IF(TableRefills3[[#This Row],[gap_days]]&gt;2,1,0))</f>
        <v>0</v>
      </c>
      <c r="I1349">
        <f>_xlfn.MAXIFS(TableRefills3[discountinuation_flag], TableRefills3[patient_id], A1349)</f>
        <v>0</v>
      </c>
    </row>
    <row r="1350" spans="1:9" x14ac:dyDescent="0.25">
      <c r="A1350" t="s">
        <v>2152</v>
      </c>
      <c r="B1350" t="s">
        <v>2153</v>
      </c>
      <c r="C1350" s="3">
        <v>45918</v>
      </c>
      <c r="D1350">
        <v>21</v>
      </c>
      <c r="E1350" s="3">
        <f t="shared" si="21"/>
        <v>45900</v>
      </c>
      <c r="F1350" s="3">
        <f>IF(TableRefills3[[#This Row],[prev_refill_days]]="","",TableRefills3[[#This Row],[prev_refill_days]]+TableRefills3[[#This Row],[quantity_days]])</f>
        <v>45921</v>
      </c>
      <c r="G1350">
        <f>IF(TableRefills3[[#This Row],[prev_refill_end]]="","",TableRefills3[[#This Row],[refill_date]]-TableRefills3[[#This Row],[prev_refill_end]])</f>
        <v>-3</v>
      </c>
      <c r="H1350" s="10">
        <f>IF(TableRefills3[[#This Row],[gap_days]]="",0,IF(TableRefills3[[#This Row],[gap_days]]&gt;2,1,0))</f>
        <v>0</v>
      </c>
      <c r="I1350">
        <f>_xlfn.MAXIFS(TableRefills3[discountinuation_flag], TableRefills3[patient_id], A1350)</f>
        <v>0</v>
      </c>
    </row>
    <row r="1351" spans="1:9" x14ac:dyDescent="0.25">
      <c r="A1351" t="s">
        <v>2152</v>
      </c>
      <c r="B1351" t="s">
        <v>2153</v>
      </c>
      <c r="C1351" s="3">
        <v>45941</v>
      </c>
      <c r="D1351">
        <v>21</v>
      </c>
      <c r="E1351" s="3">
        <f t="shared" si="21"/>
        <v>45918</v>
      </c>
      <c r="F1351" s="3">
        <f>IF(TableRefills3[[#This Row],[prev_refill_days]]="","",TableRefills3[[#This Row],[prev_refill_days]]+TableRefills3[[#This Row],[quantity_days]])</f>
        <v>45939</v>
      </c>
      <c r="G1351">
        <f>IF(TableRefills3[[#This Row],[prev_refill_end]]="","",TableRefills3[[#This Row],[refill_date]]-TableRefills3[[#This Row],[prev_refill_end]])</f>
        <v>2</v>
      </c>
      <c r="H1351" s="10">
        <f>IF(TableRefills3[[#This Row],[gap_days]]="",0,IF(TableRefills3[[#This Row],[gap_days]]&gt;2,1,0))</f>
        <v>0</v>
      </c>
      <c r="I1351">
        <f>_xlfn.MAXIFS(TableRefills3[discountinuation_flag], TableRefills3[patient_id], A1351)</f>
        <v>0</v>
      </c>
    </row>
    <row r="1352" spans="1:9" x14ac:dyDescent="0.25">
      <c r="A1352" t="s">
        <v>2152</v>
      </c>
      <c r="B1352" t="s">
        <v>2153</v>
      </c>
      <c r="C1352" s="3">
        <v>45960</v>
      </c>
      <c r="D1352">
        <v>21</v>
      </c>
      <c r="E1352" s="3">
        <f t="shared" si="21"/>
        <v>45941</v>
      </c>
      <c r="F1352" s="3">
        <f>IF(TableRefills3[[#This Row],[prev_refill_days]]="","",TableRefills3[[#This Row],[prev_refill_days]]+TableRefills3[[#This Row],[quantity_days]])</f>
        <v>45962</v>
      </c>
      <c r="G1352">
        <f>IF(TableRefills3[[#This Row],[prev_refill_end]]="","",TableRefills3[[#This Row],[refill_date]]-TableRefills3[[#This Row],[prev_refill_end]])</f>
        <v>-2</v>
      </c>
      <c r="H1352" s="10">
        <f>IF(TableRefills3[[#This Row],[gap_days]]="",0,IF(TableRefills3[[#This Row],[gap_days]]&gt;2,1,0))</f>
        <v>0</v>
      </c>
      <c r="I1352">
        <f>_xlfn.MAXIFS(TableRefills3[discountinuation_flag], TableRefills3[patient_id], A1352)</f>
        <v>0</v>
      </c>
    </row>
    <row r="1353" spans="1:9" x14ac:dyDescent="0.25">
      <c r="A1353" t="s">
        <v>2162</v>
      </c>
      <c r="B1353" t="s">
        <v>2163</v>
      </c>
      <c r="C1353" s="3">
        <v>45895</v>
      </c>
      <c r="D1353">
        <v>28</v>
      </c>
      <c r="E1353" s="3" t="str">
        <f t="shared" si="21"/>
        <v/>
      </c>
      <c r="F1353" s="3" t="str">
        <f>IF(TableRefills3[[#This Row],[prev_refill_days]]="","",TableRefills3[[#This Row],[prev_refill_days]]+TableRefills3[[#This Row],[quantity_days]])</f>
        <v/>
      </c>
      <c r="G1353" t="str">
        <f>IF(TableRefills3[[#This Row],[prev_refill_end]]="","",TableRefills3[[#This Row],[refill_date]]-TableRefills3[[#This Row],[prev_refill_end]])</f>
        <v/>
      </c>
      <c r="H1353" s="10">
        <f>IF(TableRefills3[[#This Row],[gap_days]]="",0,IF(TableRefills3[[#This Row],[gap_days]]&gt;2,1,0))</f>
        <v>0</v>
      </c>
      <c r="I1353">
        <f>_xlfn.MAXIFS(TableRefills3[discountinuation_flag], TableRefills3[patient_id], A1353)</f>
        <v>1</v>
      </c>
    </row>
    <row r="1354" spans="1:9" x14ac:dyDescent="0.25">
      <c r="A1354" t="s">
        <v>2162</v>
      </c>
      <c r="B1354" t="s">
        <v>2163</v>
      </c>
      <c r="C1354" s="3">
        <v>45926</v>
      </c>
      <c r="D1354">
        <v>28</v>
      </c>
      <c r="E1354" s="3">
        <f t="shared" si="21"/>
        <v>45895</v>
      </c>
      <c r="F1354" s="3">
        <f>IF(TableRefills3[[#This Row],[prev_refill_days]]="","",TableRefills3[[#This Row],[prev_refill_days]]+TableRefills3[[#This Row],[quantity_days]])</f>
        <v>45923</v>
      </c>
      <c r="G1354">
        <f>IF(TableRefills3[[#This Row],[prev_refill_end]]="","",TableRefills3[[#This Row],[refill_date]]-TableRefills3[[#This Row],[prev_refill_end]])</f>
        <v>3</v>
      </c>
      <c r="H1354" s="10">
        <f>IF(TableRefills3[[#This Row],[gap_days]]="",0,IF(TableRefills3[[#This Row],[gap_days]]&gt;2,1,0))</f>
        <v>1</v>
      </c>
      <c r="I1354">
        <f>_xlfn.MAXIFS(TableRefills3[discountinuation_flag], TableRefills3[patient_id], A1354)</f>
        <v>1</v>
      </c>
    </row>
    <row r="1355" spans="1:9" x14ac:dyDescent="0.25">
      <c r="A1355" t="s">
        <v>2162</v>
      </c>
      <c r="B1355" t="s">
        <v>2163</v>
      </c>
      <c r="C1355" s="3">
        <v>45954</v>
      </c>
      <c r="D1355">
        <v>28</v>
      </c>
      <c r="E1355" s="3">
        <f t="shared" si="21"/>
        <v>45926</v>
      </c>
      <c r="F1355" s="3">
        <f>IF(TableRefills3[[#This Row],[prev_refill_days]]="","",TableRefills3[[#This Row],[prev_refill_days]]+TableRefills3[[#This Row],[quantity_days]])</f>
        <v>45954</v>
      </c>
      <c r="G1355">
        <f>IF(TableRefills3[[#This Row],[prev_refill_end]]="","",TableRefills3[[#This Row],[refill_date]]-TableRefills3[[#This Row],[prev_refill_end]])</f>
        <v>0</v>
      </c>
      <c r="H1355" s="10">
        <f>IF(TableRefills3[[#This Row],[gap_days]]="",0,IF(TableRefills3[[#This Row],[gap_days]]&gt;2,1,0))</f>
        <v>0</v>
      </c>
      <c r="I1355">
        <f>_xlfn.MAXIFS(TableRefills3[discountinuation_flag], TableRefills3[patient_id], A1355)</f>
        <v>1</v>
      </c>
    </row>
    <row r="1356" spans="1:9" x14ac:dyDescent="0.25">
      <c r="A1356" t="s">
        <v>2167</v>
      </c>
      <c r="B1356" t="s">
        <v>2168</v>
      </c>
      <c r="C1356" s="3">
        <v>45843</v>
      </c>
      <c r="D1356">
        <v>28</v>
      </c>
      <c r="E1356" s="3" t="str">
        <f t="shared" si="21"/>
        <v/>
      </c>
      <c r="F1356" s="3" t="str">
        <f>IF(TableRefills3[[#This Row],[prev_refill_days]]="","",TableRefills3[[#This Row],[prev_refill_days]]+TableRefills3[[#This Row],[quantity_days]])</f>
        <v/>
      </c>
      <c r="G1356" t="str">
        <f>IF(TableRefills3[[#This Row],[prev_refill_end]]="","",TableRefills3[[#This Row],[refill_date]]-TableRefills3[[#This Row],[prev_refill_end]])</f>
        <v/>
      </c>
      <c r="H1356" s="10">
        <f>IF(TableRefills3[[#This Row],[gap_days]]="",0,IF(TableRefills3[[#This Row],[gap_days]]&gt;2,1,0))</f>
        <v>0</v>
      </c>
      <c r="I1356">
        <f>_xlfn.MAXIFS(TableRefills3[discountinuation_flag], TableRefills3[patient_id], A1356)</f>
        <v>1</v>
      </c>
    </row>
    <row r="1357" spans="1:9" x14ac:dyDescent="0.25">
      <c r="A1357" t="s">
        <v>2167</v>
      </c>
      <c r="B1357" t="s">
        <v>2168</v>
      </c>
      <c r="C1357" s="3">
        <v>45868</v>
      </c>
      <c r="D1357">
        <v>28</v>
      </c>
      <c r="E1357" s="3">
        <f t="shared" si="21"/>
        <v>45843</v>
      </c>
      <c r="F1357" s="3">
        <f>IF(TableRefills3[[#This Row],[prev_refill_days]]="","",TableRefills3[[#This Row],[prev_refill_days]]+TableRefills3[[#This Row],[quantity_days]])</f>
        <v>45871</v>
      </c>
      <c r="G1357">
        <f>IF(TableRefills3[[#This Row],[prev_refill_end]]="","",TableRefills3[[#This Row],[refill_date]]-TableRefills3[[#This Row],[prev_refill_end]])</f>
        <v>-3</v>
      </c>
      <c r="H1357" s="10">
        <f>IF(TableRefills3[[#This Row],[gap_days]]="",0,IF(TableRefills3[[#This Row],[gap_days]]&gt;2,1,0))</f>
        <v>0</v>
      </c>
      <c r="I1357">
        <f>_xlfn.MAXIFS(TableRefills3[discountinuation_flag], TableRefills3[patient_id], A1357)</f>
        <v>1</v>
      </c>
    </row>
    <row r="1358" spans="1:9" x14ac:dyDescent="0.25">
      <c r="A1358" t="s">
        <v>2167</v>
      </c>
      <c r="B1358" t="s">
        <v>2168</v>
      </c>
      <c r="C1358" s="3">
        <v>45899</v>
      </c>
      <c r="D1358">
        <v>28</v>
      </c>
      <c r="E1358" s="3">
        <f t="shared" si="21"/>
        <v>45868</v>
      </c>
      <c r="F1358" s="3">
        <f>IF(TableRefills3[[#This Row],[prev_refill_days]]="","",TableRefills3[[#This Row],[prev_refill_days]]+TableRefills3[[#This Row],[quantity_days]])</f>
        <v>45896</v>
      </c>
      <c r="G1358">
        <f>IF(TableRefills3[[#This Row],[prev_refill_end]]="","",TableRefills3[[#This Row],[refill_date]]-TableRefills3[[#This Row],[prev_refill_end]])</f>
        <v>3</v>
      </c>
      <c r="H1358" s="10">
        <f>IF(TableRefills3[[#This Row],[gap_days]]="",0,IF(TableRefills3[[#This Row],[gap_days]]&gt;2,1,0))</f>
        <v>1</v>
      </c>
      <c r="I1358">
        <f>_xlfn.MAXIFS(TableRefills3[discountinuation_flag], TableRefills3[patient_id], A1358)</f>
        <v>1</v>
      </c>
    </row>
    <row r="1359" spans="1:9" x14ac:dyDescent="0.25">
      <c r="A1359" t="s">
        <v>2167</v>
      </c>
      <c r="B1359" t="s">
        <v>2168</v>
      </c>
      <c r="C1359" s="3">
        <v>45925</v>
      </c>
      <c r="D1359">
        <v>28</v>
      </c>
      <c r="E1359" s="3">
        <f t="shared" si="21"/>
        <v>45899</v>
      </c>
      <c r="F1359" s="3">
        <f>IF(TableRefills3[[#This Row],[prev_refill_days]]="","",TableRefills3[[#This Row],[prev_refill_days]]+TableRefills3[[#This Row],[quantity_days]])</f>
        <v>45927</v>
      </c>
      <c r="G1359">
        <f>IF(TableRefills3[[#This Row],[prev_refill_end]]="","",TableRefills3[[#This Row],[refill_date]]-TableRefills3[[#This Row],[prev_refill_end]])</f>
        <v>-2</v>
      </c>
      <c r="H1359" s="10">
        <f>IF(TableRefills3[[#This Row],[gap_days]]="",0,IF(TableRefills3[[#This Row],[gap_days]]&gt;2,1,0))</f>
        <v>0</v>
      </c>
      <c r="I1359">
        <f>_xlfn.MAXIFS(TableRefills3[discountinuation_flag], TableRefills3[patient_id], A1359)</f>
        <v>1</v>
      </c>
    </row>
    <row r="1360" spans="1:9" x14ac:dyDescent="0.25">
      <c r="A1360" t="s">
        <v>2167</v>
      </c>
      <c r="B1360" t="s">
        <v>2168</v>
      </c>
      <c r="C1360" s="3">
        <v>45950</v>
      </c>
      <c r="D1360">
        <v>28</v>
      </c>
      <c r="E1360" s="3">
        <f t="shared" si="21"/>
        <v>45925</v>
      </c>
      <c r="F1360" s="3">
        <f>IF(TableRefills3[[#This Row],[prev_refill_days]]="","",TableRefills3[[#This Row],[prev_refill_days]]+TableRefills3[[#This Row],[quantity_days]])</f>
        <v>45953</v>
      </c>
      <c r="G1360">
        <f>IF(TableRefills3[[#This Row],[prev_refill_end]]="","",TableRefills3[[#This Row],[refill_date]]-TableRefills3[[#This Row],[prev_refill_end]])</f>
        <v>-3</v>
      </c>
      <c r="H1360" s="10">
        <f>IF(TableRefills3[[#This Row],[gap_days]]="",0,IF(TableRefills3[[#This Row],[gap_days]]&gt;2,1,0))</f>
        <v>0</v>
      </c>
      <c r="I1360">
        <f>_xlfn.MAXIFS(TableRefills3[discountinuation_flag], TableRefills3[patient_id], A1360)</f>
        <v>1</v>
      </c>
    </row>
    <row r="1361" spans="1:9" x14ac:dyDescent="0.25">
      <c r="A1361" t="s">
        <v>2174</v>
      </c>
      <c r="B1361" t="s">
        <v>2175</v>
      </c>
      <c r="C1361" s="3">
        <v>45825</v>
      </c>
      <c r="D1361">
        <v>28</v>
      </c>
      <c r="E1361" s="3" t="str">
        <f t="shared" si="21"/>
        <v/>
      </c>
      <c r="F1361" s="3" t="str">
        <f>IF(TableRefills3[[#This Row],[prev_refill_days]]="","",TableRefills3[[#This Row],[prev_refill_days]]+TableRefills3[[#This Row],[quantity_days]])</f>
        <v/>
      </c>
      <c r="G1361" t="str">
        <f>IF(TableRefills3[[#This Row],[prev_refill_end]]="","",TableRefills3[[#This Row],[refill_date]]-TableRefills3[[#This Row],[prev_refill_end]])</f>
        <v/>
      </c>
      <c r="H1361" s="10">
        <f>IF(TableRefills3[[#This Row],[gap_days]]="",0,IF(TableRefills3[[#This Row],[gap_days]]&gt;2,1,0))</f>
        <v>0</v>
      </c>
      <c r="I1361">
        <f>_xlfn.MAXIFS(TableRefills3[discountinuation_flag], TableRefills3[patient_id], A1361)</f>
        <v>0</v>
      </c>
    </row>
    <row r="1362" spans="1:9" x14ac:dyDescent="0.25">
      <c r="A1362" t="s">
        <v>2174</v>
      </c>
      <c r="B1362" t="s">
        <v>2175</v>
      </c>
      <c r="C1362" s="3">
        <v>45850</v>
      </c>
      <c r="D1362">
        <v>28</v>
      </c>
      <c r="E1362" s="3">
        <f t="shared" si="21"/>
        <v>45825</v>
      </c>
      <c r="F1362" s="3">
        <f>IF(TableRefills3[[#This Row],[prev_refill_days]]="","",TableRefills3[[#This Row],[prev_refill_days]]+TableRefills3[[#This Row],[quantity_days]])</f>
        <v>45853</v>
      </c>
      <c r="G1362">
        <f>IF(TableRefills3[[#This Row],[prev_refill_end]]="","",TableRefills3[[#This Row],[refill_date]]-TableRefills3[[#This Row],[prev_refill_end]])</f>
        <v>-3</v>
      </c>
      <c r="H1362" s="10">
        <f>IF(TableRefills3[[#This Row],[gap_days]]="",0,IF(TableRefills3[[#This Row],[gap_days]]&gt;2,1,0))</f>
        <v>0</v>
      </c>
      <c r="I1362">
        <f>_xlfn.MAXIFS(TableRefills3[discountinuation_flag], TableRefills3[patient_id], A1362)</f>
        <v>0</v>
      </c>
    </row>
    <row r="1363" spans="1:9" x14ac:dyDescent="0.25">
      <c r="A1363" t="s">
        <v>2178</v>
      </c>
      <c r="B1363" t="s">
        <v>2179</v>
      </c>
      <c r="C1363" s="3">
        <v>45864</v>
      </c>
      <c r="D1363">
        <v>30</v>
      </c>
      <c r="E1363" s="3" t="str">
        <f t="shared" si="21"/>
        <v/>
      </c>
      <c r="F1363" s="3" t="str">
        <f>IF(TableRefills3[[#This Row],[prev_refill_days]]="","",TableRefills3[[#This Row],[prev_refill_days]]+TableRefills3[[#This Row],[quantity_days]])</f>
        <v/>
      </c>
      <c r="G1363" t="str">
        <f>IF(TableRefills3[[#This Row],[prev_refill_end]]="","",TableRefills3[[#This Row],[refill_date]]-TableRefills3[[#This Row],[prev_refill_end]])</f>
        <v/>
      </c>
      <c r="H1363" s="10">
        <f>IF(TableRefills3[[#This Row],[gap_days]]="",0,IF(TableRefills3[[#This Row],[gap_days]]&gt;2,1,0))</f>
        <v>0</v>
      </c>
      <c r="I1363">
        <f>_xlfn.MAXIFS(TableRefills3[discountinuation_flag], TableRefills3[patient_id], A1363)</f>
        <v>0</v>
      </c>
    </row>
    <row r="1364" spans="1:9" x14ac:dyDescent="0.25">
      <c r="A1364" t="s">
        <v>2178</v>
      </c>
      <c r="B1364" t="s">
        <v>2179</v>
      </c>
      <c r="C1364" s="3">
        <v>45893</v>
      </c>
      <c r="D1364">
        <v>30</v>
      </c>
      <c r="E1364" s="3">
        <f t="shared" si="21"/>
        <v>45864</v>
      </c>
      <c r="F1364" s="3">
        <f>IF(TableRefills3[[#This Row],[prev_refill_days]]="","",TableRefills3[[#This Row],[prev_refill_days]]+TableRefills3[[#This Row],[quantity_days]])</f>
        <v>45894</v>
      </c>
      <c r="G1364">
        <f>IF(TableRefills3[[#This Row],[prev_refill_end]]="","",TableRefills3[[#This Row],[refill_date]]-TableRefills3[[#This Row],[prev_refill_end]])</f>
        <v>-1</v>
      </c>
      <c r="H1364" s="10">
        <f>IF(TableRefills3[[#This Row],[gap_days]]="",0,IF(TableRefills3[[#This Row],[gap_days]]&gt;2,1,0))</f>
        <v>0</v>
      </c>
      <c r="I1364">
        <f>_xlfn.MAXIFS(TableRefills3[discountinuation_flag], TableRefills3[patient_id], A1364)</f>
        <v>0</v>
      </c>
    </row>
    <row r="1365" spans="1:9" x14ac:dyDescent="0.25">
      <c r="A1365" t="s">
        <v>2178</v>
      </c>
      <c r="B1365" t="s">
        <v>2179</v>
      </c>
      <c r="C1365" s="3">
        <v>45921</v>
      </c>
      <c r="D1365">
        <v>30</v>
      </c>
      <c r="E1365" s="3">
        <f t="shared" si="21"/>
        <v>45893</v>
      </c>
      <c r="F1365" s="3">
        <f>IF(TableRefills3[[#This Row],[prev_refill_days]]="","",TableRefills3[[#This Row],[prev_refill_days]]+TableRefills3[[#This Row],[quantity_days]])</f>
        <v>45923</v>
      </c>
      <c r="G1365">
        <f>IF(TableRefills3[[#This Row],[prev_refill_end]]="","",TableRefills3[[#This Row],[refill_date]]-TableRefills3[[#This Row],[prev_refill_end]])</f>
        <v>-2</v>
      </c>
      <c r="H1365" s="10">
        <f>IF(TableRefills3[[#This Row],[gap_days]]="",0,IF(TableRefills3[[#This Row],[gap_days]]&gt;2,1,0))</f>
        <v>0</v>
      </c>
      <c r="I1365">
        <f>_xlfn.MAXIFS(TableRefills3[discountinuation_flag], TableRefills3[patient_id], A1365)</f>
        <v>0</v>
      </c>
    </row>
    <row r="1366" spans="1:9" x14ac:dyDescent="0.25">
      <c r="A1366" t="s">
        <v>2178</v>
      </c>
      <c r="B1366" t="s">
        <v>2179</v>
      </c>
      <c r="C1366" s="3">
        <v>45952</v>
      </c>
      <c r="D1366">
        <v>30</v>
      </c>
      <c r="E1366" s="3">
        <f t="shared" si="21"/>
        <v>45921</v>
      </c>
      <c r="F1366" s="3">
        <f>IF(TableRefills3[[#This Row],[prev_refill_days]]="","",TableRefills3[[#This Row],[prev_refill_days]]+TableRefills3[[#This Row],[quantity_days]])</f>
        <v>45951</v>
      </c>
      <c r="G1366">
        <f>IF(TableRefills3[[#This Row],[prev_refill_end]]="","",TableRefills3[[#This Row],[refill_date]]-TableRefills3[[#This Row],[prev_refill_end]])</f>
        <v>1</v>
      </c>
      <c r="H1366" s="10">
        <f>IF(TableRefills3[[#This Row],[gap_days]]="",0,IF(TableRefills3[[#This Row],[gap_days]]&gt;2,1,0))</f>
        <v>0</v>
      </c>
      <c r="I1366">
        <f>_xlfn.MAXIFS(TableRefills3[discountinuation_flag], TableRefills3[patient_id], A1366)</f>
        <v>0</v>
      </c>
    </row>
    <row r="1367" spans="1:9" x14ac:dyDescent="0.25">
      <c r="A1367" t="s">
        <v>2184</v>
      </c>
      <c r="B1367" t="s">
        <v>2185</v>
      </c>
      <c r="C1367" s="3">
        <v>45853</v>
      </c>
      <c r="D1367">
        <v>14</v>
      </c>
      <c r="E1367" s="3" t="str">
        <f t="shared" si="21"/>
        <v/>
      </c>
      <c r="F1367" s="3" t="str">
        <f>IF(TableRefills3[[#This Row],[prev_refill_days]]="","",TableRefills3[[#This Row],[prev_refill_days]]+TableRefills3[[#This Row],[quantity_days]])</f>
        <v/>
      </c>
      <c r="G1367" t="str">
        <f>IF(TableRefills3[[#This Row],[prev_refill_end]]="","",TableRefills3[[#This Row],[refill_date]]-TableRefills3[[#This Row],[prev_refill_end]])</f>
        <v/>
      </c>
      <c r="H1367" s="10">
        <f>IF(TableRefills3[[#This Row],[gap_days]]="",0,IF(TableRefills3[[#This Row],[gap_days]]&gt;2,1,0))</f>
        <v>0</v>
      </c>
      <c r="I1367">
        <f>_xlfn.MAXIFS(TableRefills3[discountinuation_flag], TableRefills3[patient_id], A1367)</f>
        <v>0</v>
      </c>
    </row>
    <row r="1368" spans="1:9" x14ac:dyDescent="0.25">
      <c r="A1368" t="s">
        <v>2184</v>
      </c>
      <c r="B1368" t="s">
        <v>2185</v>
      </c>
      <c r="C1368" s="3">
        <v>45869</v>
      </c>
      <c r="D1368">
        <v>14</v>
      </c>
      <c r="E1368" s="3">
        <f t="shared" si="21"/>
        <v>45853</v>
      </c>
      <c r="F1368" s="3">
        <f>IF(TableRefills3[[#This Row],[prev_refill_days]]="","",TableRefills3[[#This Row],[prev_refill_days]]+TableRefills3[[#This Row],[quantity_days]])</f>
        <v>45867</v>
      </c>
      <c r="G1368">
        <f>IF(TableRefills3[[#This Row],[prev_refill_end]]="","",TableRefills3[[#This Row],[refill_date]]-TableRefills3[[#This Row],[prev_refill_end]])</f>
        <v>2</v>
      </c>
      <c r="H1368" s="10">
        <f>IF(TableRefills3[[#This Row],[gap_days]]="",0,IF(TableRefills3[[#This Row],[gap_days]]&gt;2,1,0))</f>
        <v>0</v>
      </c>
      <c r="I1368">
        <f>_xlfn.MAXIFS(TableRefills3[discountinuation_flag], TableRefills3[patient_id], A1368)</f>
        <v>0</v>
      </c>
    </row>
    <row r="1369" spans="1:9" x14ac:dyDescent="0.25">
      <c r="A1369" t="s">
        <v>2188</v>
      </c>
      <c r="B1369" t="s">
        <v>2189</v>
      </c>
      <c r="C1369" s="3">
        <v>45950</v>
      </c>
      <c r="D1369">
        <v>14</v>
      </c>
      <c r="E1369" s="3" t="str">
        <f t="shared" si="21"/>
        <v/>
      </c>
      <c r="F1369" s="3" t="str">
        <f>IF(TableRefills3[[#This Row],[prev_refill_days]]="","",TableRefills3[[#This Row],[prev_refill_days]]+TableRefills3[[#This Row],[quantity_days]])</f>
        <v/>
      </c>
      <c r="G1369" t="str">
        <f>IF(TableRefills3[[#This Row],[prev_refill_end]]="","",TableRefills3[[#This Row],[refill_date]]-TableRefills3[[#This Row],[prev_refill_end]])</f>
        <v/>
      </c>
      <c r="H1369" s="10">
        <f>IF(TableRefills3[[#This Row],[gap_days]]="",0,IF(TableRefills3[[#This Row],[gap_days]]&gt;2,1,0))</f>
        <v>0</v>
      </c>
      <c r="I1369">
        <f>_xlfn.MAXIFS(TableRefills3[discountinuation_flag], TableRefills3[patient_id], A1369)</f>
        <v>0</v>
      </c>
    </row>
    <row r="1370" spans="1:9" x14ac:dyDescent="0.25">
      <c r="A1370" t="s">
        <v>2191</v>
      </c>
      <c r="B1370" t="s">
        <v>2192</v>
      </c>
      <c r="C1370" s="3">
        <v>45827</v>
      </c>
      <c r="D1370">
        <v>21</v>
      </c>
      <c r="E1370" s="3" t="str">
        <f t="shared" si="21"/>
        <v/>
      </c>
      <c r="F1370" s="3" t="str">
        <f>IF(TableRefills3[[#This Row],[prev_refill_days]]="","",TableRefills3[[#This Row],[prev_refill_days]]+TableRefills3[[#This Row],[quantity_days]])</f>
        <v/>
      </c>
      <c r="G1370" t="str">
        <f>IF(TableRefills3[[#This Row],[prev_refill_end]]="","",TableRefills3[[#This Row],[refill_date]]-TableRefills3[[#This Row],[prev_refill_end]])</f>
        <v/>
      </c>
      <c r="H1370" s="10">
        <f>IF(TableRefills3[[#This Row],[gap_days]]="",0,IF(TableRefills3[[#This Row],[gap_days]]&gt;2,1,0))</f>
        <v>0</v>
      </c>
      <c r="I1370">
        <f>_xlfn.MAXIFS(TableRefills3[discountinuation_flag], TableRefills3[patient_id], A1370)</f>
        <v>0</v>
      </c>
    </row>
    <row r="1371" spans="1:9" x14ac:dyDescent="0.25">
      <c r="A1371" t="s">
        <v>2194</v>
      </c>
      <c r="B1371" t="s">
        <v>2195</v>
      </c>
      <c r="C1371" s="3">
        <v>45934</v>
      </c>
      <c r="D1371">
        <v>28</v>
      </c>
      <c r="E1371" s="3" t="str">
        <f t="shared" si="21"/>
        <v/>
      </c>
      <c r="F1371" s="3" t="str">
        <f>IF(TableRefills3[[#This Row],[prev_refill_days]]="","",TableRefills3[[#This Row],[prev_refill_days]]+TableRefills3[[#This Row],[quantity_days]])</f>
        <v/>
      </c>
      <c r="G1371" t="str">
        <f>IF(TableRefills3[[#This Row],[prev_refill_end]]="","",TableRefills3[[#This Row],[refill_date]]-TableRefills3[[#This Row],[prev_refill_end]])</f>
        <v/>
      </c>
      <c r="H1371" s="10">
        <f>IF(TableRefills3[[#This Row],[gap_days]]="",0,IF(TableRefills3[[#This Row],[gap_days]]&gt;2,1,0))</f>
        <v>0</v>
      </c>
      <c r="I1371">
        <f>_xlfn.MAXIFS(TableRefills3[discountinuation_flag], TableRefills3[patient_id], A1371)</f>
        <v>0</v>
      </c>
    </row>
    <row r="1372" spans="1:9" x14ac:dyDescent="0.25">
      <c r="A1372" t="s">
        <v>2197</v>
      </c>
      <c r="B1372" t="s">
        <v>2198</v>
      </c>
      <c r="C1372" s="3">
        <v>45941</v>
      </c>
      <c r="D1372">
        <v>14</v>
      </c>
      <c r="E1372" s="3" t="str">
        <f t="shared" si="21"/>
        <v/>
      </c>
      <c r="F1372" s="3" t="str">
        <f>IF(TableRefills3[[#This Row],[prev_refill_days]]="","",TableRefills3[[#This Row],[prev_refill_days]]+TableRefills3[[#This Row],[quantity_days]])</f>
        <v/>
      </c>
      <c r="G1372" t="str">
        <f>IF(TableRefills3[[#This Row],[prev_refill_end]]="","",TableRefills3[[#This Row],[refill_date]]-TableRefills3[[#This Row],[prev_refill_end]])</f>
        <v/>
      </c>
      <c r="H1372" s="10">
        <f>IF(TableRefills3[[#This Row],[gap_days]]="",0,IF(TableRefills3[[#This Row],[gap_days]]&gt;2,1,0))</f>
        <v>0</v>
      </c>
      <c r="I1372">
        <f>_xlfn.MAXIFS(TableRefills3[discountinuation_flag], TableRefills3[patient_id], A1372)</f>
        <v>0</v>
      </c>
    </row>
    <row r="1373" spans="1:9" x14ac:dyDescent="0.25">
      <c r="A1373" t="s">
        <v>2197</v>
      </c>
      <c r="B1373" t="s">
        <v>2198</v>
      </c>
      <c r="C1373" s="3">
        <v>45954</v>
      </c>
      <c r="D1373">
        <v>14</v>
      </c>
      <c r="E1373" s="3">
        <f t="shared" si="21"/>
        <v>45941</v>
      </c>
      <c r="F1373" s="3">
        <f>IF(TableRefills3[[#This Row],[prev_refill_days]]="","",TableRefills3[[#This Row],[prev_refill_days]]+TableRefills3[[#This Row],[quantity_days]])</f>
        <v>45955</v>
      </c>
      <c r="G1373">
        <f>IF(TableRefills3[[#This Row],[prev_refill_end]]="","",TableRefills3[[#This Row],[refill_date]]-TableRefills3[[#This Row],[prev_refill_end]])</f>
        <v>-1</v>
      </c>
      <c r="H1373" s="10">
        <f>IF(TableRefills3[[#This Row],[gap_days]]="",0,IF(TableRefills3[[#This Row],[gap_days]]&gt;2,1,0))</f>
        <v>0</v>
      </c>
      <c r="I1373">
        <f>_xlfn.MAXIFS(TableRefills3[discountinuation_flag], TableRefills3[patient_id], A1373)</f>
        <v>0</v>
      </c>
    </row>
    <row r="1374" spans="1:9" x14ac:dyDescent="0.25">
      <c r="A1374" t="s">
        <v>2201</v>
      </c>
      <c r="B1374" t="s">
        <v>2202</v>
      </c>
      <c r="C1374" s="3">
        <v>45887</v>
      </c>
      <c r="D1374">
        <v>28</v>
      </c>
      <c r="E1374" s="3" t="str">
        <f t="shared" si="21"/>
        <v/>
      </c>
      <c r="F1374" s="3" t="str">
        <f>IF(TableRefills3[[#This Row],[prev_refill_days]]="","",TableRefills3[[#This Row],[prev_refill_days]]+TableRefills3[[#This Row],[quantity_days]])</f>
        <v/>
      </c>
      <c r="G1374" t="str">
        <f>IF(TableRefills3[[#This Row],[prev_refill_end]]="","",TableRefills3[[#This Row],[refill_date]]-TableRefills3[[#This Row],[prev_refill_end]])</f>
        <v/>
      </c>
      <c r="H1374" s="10">
        <f>IF(TableRefills3[[#This Row],[gap_days]]="",0,IF(TableRefills3[[#This Row],[gap_days]]&gt;2,1,0))</f>
        <v>0</v>
      </c>
      <c r="I1374">
        <f>_xlfn.MAXIFS(TableRefills3[discountinuation_flag], TableRefills3[patient_id], A1374)</f>
        <v>1</v>
      </c>
    </row>
    <row r="1375" spans="1:9" x14ac:dyDescent="0.25">
      <c r="A1375" t="s">
        <v>2201</v>
      </c>
      <c r="B1375" t="s">
        <v>2202</v>
      </c>
      <c r="C1375" s="3">
        <v>45918</v>
      </c>
      <c r="D1375">
        <v>28</v>
      </c>
      <c r="E1375" s="3">
        <f t="shared" si="21"/>
        <v>45887</v>
      </c>
      <c r="F1375" s="3">
        <f>IF(TableRefills3[[#This Row],[prev_refill_days]]="","",TableRefills3[[#This Row],[prev_refill_days]]+TableRefills3[[#This Row],[quantity_days]])</f>
        <v>45915</v>
      </c>
      <c r="G1375">
        <f>IF(TableRefills3[[#This Row],[prev_refill_end]]="","",TableRefills3[[#This Row],[refill_date]]-TableRefills3[[#This Row],[prev_refill_end]])</f>
        <v>3</v>
      </c>
      <c r="H1375" s="10">
        <f>IF(TableRefills3[[#This Row],[gap_days]]="",0,IF(TableRefills3[[#This Row],[gap_days]]&gt;2,1,0))</f>
        <v>1</v>
      </c>
      <c r="I1375">
        <f>_xlfn.MAXIFS(TableRefills3[discountinuation_flag], TableRefills3[patient_id], A1375)</f>
        <v>1</v>
      </c>
    </row>
    <row r="1376" spans="1:9" x14ac:dyDescent="0.25">
      <c r="A1376" t="s">
        <v>2201</v>
      </c>
      <c r="B1376" t="s">
        <v>2202</v>
      </c>
      <c r="C1376" s="3">
        <v>45949</v>
      </c>
      <c r="D1376">
        <v>28</v>
      </c>
      <c r="E1376" s="3">
        <f t="shared" si="21"/>
        <v>45918</v>
      </c>
      <c r="F1376" s="3">
        <f>IF(TableRefills3[[#This Row],[prev_refill_days]]="","",TableRefills3[[#This Row],[prev_refill_days]]+TableRefills3[[#This Row],[quantity_days]])</f>
        <v>45946</v>
      </c>
      <c r="G1376">
        <f>IF(TableRefills3[[#This Row],[prev_refill_end]]="","",TableRefills3[[#This Row],[refill_date]]-TableRefills3[[#This Row],[prev_refill_end]])</f>
        <v>3</v>
      </c>
      <c r="H1376" s="10">
        <f>IF(TableRefills3[[#This Row],[gap_days]]="",0,IF(TableRefills3[[#This Row],[gap_days]]&gt;2,1,0))</f>
        <v>1</v>
      </c>
      <c r="I1376">
        <f>_xlfn.MAXIFS(TableRefills3[discountinuation_flag], TableRefills3[patient_id], A1376)</f>
        <v>1</v>
      </c>
    </row>
    <row r="1377" spans="1:9" x14ac:dyDescent="0.25">
      <c r="A1377" t="s">
        <v>2206</v>
      </c>
      <c r="B1377" t="s">
        <v>2207</v>
      </c>
      <c r="C1377" s="3">
        <v>45861</v>
      </c>
      <c r="D1377">
        <v>28</v>
      </c>
      <c r="E1377" s="3" t="str">
        <f t="shared" si="21"/>
        <v/>
      </c>
      <c r="F1377" s="3" t="str">
        <f>IF(TableRefills3[[#This Row],[prev_refill_days]]="","",TableRefills3[[#This Row],[prev_refill_days]]+TableRefills3[[#This Row],[quantity_days]])</f>
        <v/>
      </c>
      <c r="G1377" t="str">
        <f>IF(TableRefills3[[#This Row],[prev_refill_end]]="","",TableRefills3[[#This Row],[refill_date]]-TableRefills3[[#This Row],[prev_refill_end]])</f>
        <v/>
      </c>
      <c r="H1377" s="10">
        <f>IF(TableRefills3[[#This Row],[gap_days]]="",0,IF(TableRefills3[[#This Row],[gap_days]]&gt;2,1,0))</f>
        <v>0</v>
      </c>
      <c r="I1377">
        <f>_xlfn.MAXIFS(TableRefills3[discountinuation_flag], TableRefills3[patient_id], A1377)</f>
        <v>1</v>
      </c>
    </row>
    <row r="1378" spans="1:9" x14ac:dyDescent="0.25">
      <c r="A1378" t="s">
        <v>2206</v>
      </c>
      <c r="B1378" t="s">
        <v>2207</v>
      </c>
      <c r="C1378" s="3">
        <v>45892</v>
      </c>
      <c r="D1378">
        <v>28</v>
      </c>
      <c r="E1378" s="3">
        <f t="shared" si="21"/>
        <v>45861</v>
      </c>
      <c r="F1378" s="3">
        <f>IF(TableRefills3[[#This Row],[prev_refill_days]]="","",TableRefills3[[#This Row],[prev_refill_days]]+TableRefills3[[#This Row],[quantity_days]])</f>
        <v>45889</v>
      </c>
      <c r="G1378">
        <f>IF(TableRefills3[[#This Row],[prev_refill_end]]="","",TableRefills3[[#This Row],[refill_date]]-TableRefills3[[#This Row],[prev_refill_end]])</f>
        <v>3</v>
      </c>
      <c r="H1378" s="10">
        <f>IF(TableRefills3[[#This Row],[gap_days]]="",0,IF(TableRefills3[[#This Row],[gap_days]]&gt;2,1,0))</f>
        <v>1</v>
      </c>
      <c r="I1378">
        <f>_xlfn.MAXIFS(TableRefills3[discountinuation_flag], TableRefills3[patient_id], A1378)</f>
        <v>1</v>
      </c>
    </row>
    <row r="1379" spans="1:9" x14ac:dyDescent="0.25">
      <c r="A1379" t="s">
        <v>2206</v>
      </c>
      <c r="B1379" t="s">
        <v>2207</v>
      </c>
      <c r="C1379" s="3">
        <v>45917</v>
      </c>
      <c r="D1379">
        <v>28</v>
      </c>
      <c r="E1379" s="3">
        <f t="shared" si="21"/>
        <v>45892</v>
      </c>
      <c r="F1379" s="3">
        <f>IF(TableRefills3[[#This Row],[prev_refill_days]]="","",TableRefills3[[#This Row],[prev_refill_days]]+TableRefills3[[#This Row],[quantity_days]])</f>
        <v>45920</v>
      </c>
      <c r="G1379">
        <f>IF(TableRefills3[[#This Row],[prev_refill_end]]="","",TableRefills3[[#This Row],[refill_date]]-TableRefills3[[#This Row],[prev_refill_end]])</f>
        <v>-3</v>
      </c>
      <c r="H1379" s="10">
        <f>IF(TableRefills3[[#This Row],[gap_days]]="",0,IF(TableRefills3[[#This Row],[gap_days]]&gt;2,1,0))</f>
        <v>0</v>
      </c>
      <c r="I1379">
        <f>_xlfn.MAXIFS(TableRefills3[discountinuation_flag], TableRefills3[patient_id], A1379)</f>
        <v>1</v>
      </c>
    </row>
    <row r="1380" spans="1:9" x14ac:dyDescent="0.25">
      <c r="A1380" t="s">
        <v>2206</v>
      </c>
      <c r="B1380" t="s">
        <v>2207</v>
      </c>
      <c r="C1380" s="3">
        <v>45942</v>
      </c>
      <c r="D1380">
        <v>28</v>
      </c>
      <c r="E1380" s="3">
        <f t="shared" si="21"/>
        <v>45917</v>
      </c>
      <c r="F1380" s="3">
        <f>IF(TableRefills3[[#This Row],[prev_refill_days]]="","",TableRefills3[[#This Row],[prev_refill_days]]+TableRefills3[[#This Row],[quantity_days]])</f>
        <v>45945</v>
      </c>
      <c r="G1380">
        <f>IF(TableRefills3[[#This Row],[prev_refill_end]]="","",TableRefills3[[#This Row],[refill_date]]-TableRefills3[[#This Row],[prev_refill_end]])</f>
        <v>-3</v>
      </c>
      <c r="H1380" s="10">
        <f>IF(TableRefills3[[#This Row],[gap_days]]="",0,IF(TableRefills3[[#This Row],[gap_days]]&gt;2,1,0))</f>
        <v>0</v>
      </c>
      <c r="I1380">
        <f>_xlfn.MAXIFS(TableRefills3[discountinuation_flag], TableRefills3[patient_id], A1380)</f>
        <v>1</v>
      </c>
    </row>
    <row r="1381" spans="1:9" x14ac:dyDescent="0.25">
      <c r="A1381" t="s">
        <v>2212</v>
      </c>
      <c r="B1381" t="s">
        <v>2213</v>
      </c>
      <c r="C1381" s="3">
        <v>45880</v>
      </c>
      <c r="D1381">
        <v>28</v>
      </c>
      <c r="E1381" s="3" t="str">
        <f t="shared" si="21"/>
        <v/>
      </c>
      <c r="F1381" s="3" t="str">
        <f>IF(TableRefills3[[#This Row],[prev_refill_days]]="","",TableRefills3[[#This Row],[prev_refill_days]]+TableRefills3[[#This Row],[quantity_days]])</f>
        <v/>
      </c>
      <c r="G1381" t="str">
        <f>IF(TableRefills3[[#This Row],[prev_refill_end]]="","",TableRefills3[[#This Row],[refill_date]]-TableRefills3[[#This Row],[prev_refill_end]])</f>
        <v/>
      </c>
      <c r="H1381" s="10">
        <f>IF(TableRefills3[[#This Row],[gap_days]]="",0,IF(TableRefills3[[#This Row],[gap_days]]&gt;2,1,0))</f>
        <v>0</v>
      </c>
      <c r="I1381">
        <f>_xlfn.MAXIFS(TableRefills3[discountinuation_flag], TableRefills3[patient_id], A1381)</f>
        <v>1</v>
      </c>
    </row>
    <row r="1382" spans="1:9" x14ac:dyDescent="0.25">
      <c r="A1382" t="s">
        <v>2212</v>
      </c>
      <c r="B1382" t="s">
        <v>2213</v>
      </c>
      <c r="C1382" s="3">
        <v>45909</v>
      </c>
      <c r="D1382">
        <v>28</v>
      </c>
      <c r="E1382" s="3">
        <f t="shared" si="21"/>
        <v>45880</v>
      </c>
      <c r="F1382" s="3">
        <f>IF(TableRefills3[[#This Row],[prev_refill_days]]="","",TableRefills3[[#This Row],[prev_refill_days]]+TableRefills3[[#This Row],[quantity_days]])</f>
        <v>45908</v>
      </c>
      <c r="G1382">
        <f>IF(TableRefills3[[#This Row],[prev_refill_end]]="","",TableRefills3[[#This Row],[refill_date]]-TableRefills3[[#This Row],[prev_refill_end]])</f>
        <v>1</v>
      </c>
      <c r="H1382" s="10">
        <f>IF(TableRefills3[[#This Row],[gap_days]]="",0,IF(TableRefills3[[#This Row],[gap_days]]&gt;2,1,0))</f>
        <v>0</v>
      </c>
      <c r="I1382">
        <f>_xlfn.MAXIFS(TableRefills3[discountinuation_flag], TableRefills3[patient_id], A1382)</f>
        <v>1</v>
      </c>
    </row>
    <row r="1383" spans="1:9" x14ac:dyDescent="0.25">
      <c r="A1383" t="s">
        <v>2212</v>
      </c>
      <c r="B1383" t="s">
        <v>2213</v>
      </c>
      <c r="C1383" s="3">
        <v>45940</v>
      </c>
      <c r="D1383">
        <v>28</v>
      </c>
      <c r="E1383" s="3">
        <f t="shared" si="21"/>
        <v>45909</v>
      </c>
      <c r="F1383" s="3">
        <f>IF(TableRefills3[[#This Row],[prev_refill_days]]="","",TableRefills3[[#This Row],[prev_refill_days]]+TableRefills3[[#This Row],[quantity_days]])</f>
        <v>45937</v>
      </c>
      <c r="G1383">
        <f>IF(TableRefills3[[#This Row],[prev_refill_end]]="","",TableRefills3[[#This Row],[refill_date]]-TableRefills3[[#This Row],[prev_refill_end]])</f>
        <v>3</v>
      </c>
      <c r="H1383" s="10">
        <f>IF(TableRefills3[[#This Row],[gap_days]]="",0,IF(TableRefills3[[#This Row],[gap_days]]&gt;2,1,0))</f>
        <v>1</v>
      </c>
      <c r="I1383">
        <f>_xlfn.MAXIFS(TableRefills3[discountinuation_flag], TableRefills3[patient_id], A1383)</f>
        <v>1</v>
      </c>
    </row>
    <row r="1384" spans="1:9" x14ac:dyDescent="0.25">
      <c r="A1384" t="s">
        <v>2217</v>
      </c>
      <c r="B1384" t="s">
        <v>2218</v>
      </c>
      <c r="C1384" s="3">
        <v>45802</v>
      </c>
      <c r="D1384">
        <v>28</v>
      </c>
      <c r="E1384" s="3" t="str">
        <f t="shared" si="21"/>
        <v/>
      </c>
      <c r="F1384" s="3" t="str">
        <f>IF(TableRefills3[[#This Row],[prev_refill_days]]="","",TableRefills3[[#This Row],[prev_refill_days]]+TableRefills3[[#This Row],[quantity_days]])</f>
        <v/>
      </c>
      <c r="G1384" t="str">
        <f>IF(TableRefills3[[#This Row],[prev_refill_end]]="","",TableRefills3[[#This Row],[refill_date]]-TableRefills3[[#This Row],[prev_refill_end]])</f>
        <v/>
      </c>
      <c r="H1384" s="10">
        <f>IF(TableRefills3[[#This Row],[gap_days]]="",0,IF(TableRefills3[[#This Row],[gap_days]]&gt;2,1,0))</f>
        <v>0</v>
      </c>
      <c r="I1384">
        <f>_xlfn.MAXIFS(TableRefills3[discountinuation_flag], TableRefills3[patient_id], A1384)</f>
        <v>1</v>
      </c>
    </row>
    <row r="1385" spans="1:9" x14ac:dyDescent="0.25">
      <c r="A1385" t="s">
        <v>2217</v>
      </c>
      <c r="B1385" t="s">
        <v>2218</v>
      </c>
      <c r="C1385" s="3">
        <v>45833</v>
      </c>
      <c r="D1385">
        <v>28</v>
      </c>
      <c r="E1385" s="3">
        <f t="shared" si="21"/>
        <v>45802</v>
      </c>
      <c r="F1385" s="3">
        <f>IF(TableRefills3[[#This Row],[prev_refill_days]]="","",TableRefills3[[#This Row],[prev_refill_days]]+TableRefills3[[#This Row],[quantity_days]])</f>
        <v>45830</v>
      </c>
      <c r="G1385">
        <f>IF(TableRefills3[[#This Row],[prev_refill_end]]="","",TableRefills3[[#This Row],[refill_date]]-TableRefills3[[#This Row],[prev_refill_end]])</f>
        <v>3</v>
      </c>
      <c r="H1385" s="10">
        <f>IF(TableRefills3[[#This Row],[gap_days]]="",0,IF(TableRefills3[[#This Row],[gap_days]]&gt;2,1,0))</f>
        <v>1</v>
      </c>
      <c r="I1385">
        <f>_xlfn.MAXIFS(TableRefills3[discountinuation_flag], TableRefills3[patient_id], A1385)</f>
        <v>1</v>
      </c>
    </row>
    <row r="1386" spans="1:9" x14ac:dyDescent="0.25">
      <c r="A1386" t="s">
        <v>2217</v>
      </c>
      <c r="B1386" t="s">
        <v>2218</v>
      </c>
      <c r="C1386" s="3">
        <v>45860</v>
      </c>
      <c r="D1386">
        <v>28</v>
      </c>
      <c r="E1386" s="3">
        <f t="shared" si="21"/>
        <v>45833</v>
      </c>
      <c r="F1386" s="3">
        <f>IF(TableRefills3[[#This Row],[prev_refill_days]]="","",TableRefills3[[#This Row],[prev_refill_days]]+TableRefills3[[#This Row],[quantity_days]])</f>
        <v>45861</v>
      </c>
      <c r="G1386">
        <f>IF(TableRefills3[[#This Row],[prev_refill_end]]="","",TableRefills3[[#This Row],[refill_date]]-TableRefills3[[#This Row],[prev_refill_end]])</f>
        <v>-1</v>
      </c>
      <c r="H1386" s="10">
        <f>IF(TableRefills3[[#This Row],[gap_days]]="",0,IF(TableRefills3[[#This Row],[gap_days]]&gt;2,1,0))</f>
        <v>0</v>
      </c>
      <c r="I1386">
        <f>_xlfn.MAXIFS(TableRefills3[discountinuation_flag], TableRefills3[patient_id], A1386)</f>
        <v>1</v>
      </c>
    </row>
    <row r="1387" spans="1:9" x14ac:dyDescent="0.25">
      <c r="A1387" t="s">
        <v>2217</v>
      </c>
      <c r="B1387" t="s">
        <v>2218</v>
      </c>
      <c r="C1387" s="3">
        <v>45887</v>
      </c>
      <c r="D1387">
        <v>28</v>
      </c>
      <c r="E1387" s="3">
        <f t="shared" si="21"/>
        <v>45860</v>
      </c>
      <c r="F1387" s="3">
        <f>IF(TableRefills3[[#This Row],[prev_refill_days]]="","",TableRefills3[[#This Row],[prev_refill_days]]+TableRefills3[[#This Row],[quantity_days]])</f>
        <v>45888</v>
      </c>
      <c r="G1387">
        <f>IF(TableRefills3[[#This Row],[prev_refill_end]]="","",TableRefills3[[#This Row],[refill_date]]-TableRefills3[[#This Row],[prev_refill_end]])</f>
        <v>-1</v>
      </c>
      <c r="H1387" s="10">
        <f>IF(TableRefills3[[#This Row],[gap_days]]="",0,IF(TableRefills3[[#This Row],[gap_days]]&gt;2,1,0))</f>
        <v>0</v>
      </c>
      <c r="I1387">
        <f>_xlfn.MAXIFS(TableRefills3[discountinuation_flag], TableRefills3[patient_id], A1387)</f>
        <v>1</v>
      </c>
    </row>
    <row r="1388" spans="1:9" x14ac:dyDescent="0.25">
      <c r="A1388" t="s">
        <v>2217</v>
      </c>
      <c r="B1388" t="s">
        <v>2218</v>
      </c>
      <c r="C1388" s="3">
        <v>45916</v>
      </c>
      <c r="D1388">
        <v>28</v>
      </c>
      <c r="E1388" s="3">
        <f t="shared" si="21"/>
        <v>45887</v>
      </c>
      <c r="F1388" s="3">
        <f>IF(TableRefills3[[#This Row],[prev_refill_days]]="","",TableRefills3[[#This Row],[prev_refill_days]]+TableRefills3[[#This Row],[quantity_days]])</f>
        <v>45915</v>
      </c>
      <c r="G1388">
        <f>IF(TableRefills3[[#This Row],[prev_refill_end]]="","",TableRefills3[[#This Row],[refill_date]]-TableRefills3[[#This Row],[prev_refill_end]])</f>
        <v>1</v>
      </c>
      <c r="H1388" s="10">
        <f>IF(TableRefills3[[#This Row],[gap_days]]="",0,IF(TableRefills3[[#This Row],[gap_days]]&gt;2,1,0))</f>
        <v>0</v>
      </c>
      <c r="I1388">
        <f>_xlfn.MAXIFS(TableRefills3[discountinuation_flag], TableRefills3[patient_id], A1388)</f>
        <v>1</v>
      </c>
    </row>
    <row r="1389" spans="1:9" x14ac:dyDescent="0.25">
      <c r="A1389" t="s">
        <v>2217</v>
      </c>
      <c r="B1389" t="s">
        <v>2218</v>
      </c>
      <c r="C1389" s="3">
        <v>45943</v>
      </c>
      <c r="D1389">
        <v>28</v>
      </c>
      <c r="E1389" s="3">
        <f t="shared" si="21"/>
        <v>45916</v>
      </c>
      <c r="F1389" s="3">
        <f>IF(TableRefills3[[#This Row],[prev_refill_days]]="","",TableRefills3[[#This Row],[prev_refill_days]]+TableRefills3[[#This Row],[quantity_days]])</f>
        <v>45944</v>
      </c>
      <c r="G1389">
        <f>IF(TableRefills3[[#This Row],[prev_refill_end]]="","",TableRefills3[[#This Row],[refill_date]]-TableRefills3[[#This Row],[prev_refill_end]])</f>
        <v>-1</v>
      </c>
      <c r="H1389" s="10">
        <f>IF(TableRefills3[[#This Row],[gap_days]]="",0,IF(TableRefills3[[#This Row],[gap_days]]&gt;2,1,0))</f>
        <v>0</v>
      </c>
      <c r="I1389">
        <f>_xlfn.MAXIFS(TableRefills3[discountinuation_flag], TableRefills3[patient_id], A1389)</f>
        <v>1</v>
      </c>
    </row>
    <row r="1390" spans="1:9" x14ac:dyDescent="0.25">
      <c r="A1390" t="s">
        <v>2225</v>
      </c>
      <c r="B1390" t="s">
        <v>2226</v>
      </c>
      <c r="C1390" s="3">
        <v>45813</v>
      </c>
      <c r="D1390">
        <v>28</v>
      </c>
      <c r="E1390" s="3" t="str">
        <f t="shared" si="21"/>
        <v/>
      </c>
      <c r="F1390" s="3" t="str">
        <f>IF(TableRefills3[[#This Row],[prev_refill_days]]="","",TableRefills3[[#This Row],[prev_refill_days]]+TableRefills3[[#This Row],[quantity_days]])</f>
        <v/>
      </c>
      <c r="G1390" t="str">
        <f>IF(TableRefills3[[#This Row],[prev_refill_end]]="","",TableRefills3[[#This Row],[refill_date]]-TableRefills3[[#This Row],[prev_refill_end]])</f>
        <v/>
      </c>
      <c r="H1390" s="10">
        <f>IF(TableRefills3[[#This Row],[gap_days]]="",0,IF(TableRefills3[[#This Row],[gap_days]]&gt;2,1,0))</f>
        <v>0</v>
      </c>
      <c r="I1390">
        <f>_xlfn.MAXIFS(TableRefills3[discountinuation_flag], TableRefills3[patient_id], A1390)</f>
        <v>0</v>
      </c>
    </row>
    <row r="1391" spans="1:9" x14ac:dyDescent="0.25">
      <c r="A1391" t="s">
        <v>2225</v>
      </c>
      <c r="B1391" t="s">
        <v>2226</v>
      </c>
      <c r="C1391" s="3">
        <v>45840</v>
      </c>
      <c r="D1391">
        <v>28</v>
      </c>
      <c r="E1391" s="3">
        <f t="shared" si="21"/>
        <v>45813</v>
      </c>
      <c r="F1391" s="3">
        <f>IF(TableRefills3[[#This Row],[prev_refill_days]]="","",TableRefills3[[#This Row],[prev_refill_days]]+TableRefills3[[#This Row],[quantity_days]])</f>
        <v>45841</v>
      </c>
      <c r="G1391">
        <f>IF(TableRefills3[[#This Row],[prev_refill_end]]="","",TableRefills3[[#This Row],[refill_date]]-TableRefills3[[#This Row],[prev_refill_end]])</f>
        <v>-1</v>
      </c>
      <c r="H1391" s="10">
        <f>IF(TableRefills3[[#This Row],[gap_days]]="",0,IF(TableRefills3[[#This Row],[gap_days]]&gt;2,1,0))</f>
        <v>0</v>
      </c>
      <c r="I1391">
        <f>_xlfn.MAXIFS(TableRefills3[discountinuation_flag], TableRefills3[patient_id], A1391)</f>
        <v>0</v>
      </c>
    </row>
    <row r="1392" spans="1:9" x14ac:dyDescent="0.25">
      <c r="A1392" t="s">
        <v>2229</v>
      </c>
      <c r="B1392" t="s">
        <v>2230</v>
      </c>
      <c r="C1392" s="3">
        <v>45860</v>
      </c>
      <c r="D1392">
        <v>28</v>
      </c>
      <c r="E1392" s="3" t="str">
        <f t="shared" si="21"/>
        <v/>
      </c>
      <c r="F1392" s="3" t="str">
        <f>IF(TableRefills3[[#This Row],[prev_refill_days]]="","",TableRefills3[[#This Row],[prev_refill_days]]+TableRefills3[[#This Row],[quantity_days]])</f>
        <v/>
      </c>
      <c r="G1392" t="str">
        <f>IF(TableRefills3[[#This Row],[prev_refill_end]]="","",TableRefills3[[#This Row],[refill_date]]-TableRefills3[[#This Row],[prev_refill_end]])</f>
        <v/>
      </c>
      <c r="H1392" s="10">
        <f>IF(TableRefills3[[#This Row],[gap_days]]="",0,IF(TableRefills3[[#This Row],[gap_days]]&gt;2,1,0))</f>
        <v>0</v>
      </c>
      <c r="I1392">
        <f>_xlfn.MAXIFS(TableRefills3[discountinuation_flag], TableRefills3[patient_id], A1392)</f>
        <v>1</v>
      </c>
    </row>
    <row r="1393" spans="1:9" x14ac:dyDescent="0.25">
      <c r="A1393" t="s">
        <v>2229</v>
      </c>
      <c r="B1393" t="s">
        <v>2230</v>
      </c>
      <c r="C1393" s="3">
        <v>45889</v>
      </c>
      <c r="D1393">
        <v>28</v>
      </c>
      <c r="E1393" s="3">
        <f t="shared" si="21"/>
        <v>45860</v>
      </c>
      <c r="F1393" s="3">
        <f>IF(TableRefills3[[#This Row],[prev_refill_days]]="","",TableRefills3[[#This Row],[prev_refill_days]]+TableRefills3[[#This Row],[quantity_days]])</f>
        <v>45888</v>
      </c>
      <c r="G1393">
        <f>IF(TableRefills3[[#This Row],[prev_refill_end]]="","",TableRefills3[[#This Row],[refill_date]]-TableRefills3[[#This Row],[prev_refill_end]])</f>
        <v>1</v>
      </c>
      <c r="H1393" s="10">
        <f>IF(TableRefills3[[#This Row],[gap_days]]="",0,IF(TableRefills3[[#This Row],[gap_days]]&gt;2,1,0))</f>
        <v>0</v>
      </c>
      <c r="I1393">
        <f>_xlfn.MAXIFS(TableRefills3[discountinuation_flag], TableRefills3[patient_id], A1393)</f>
        <v>1</v>
      </c>
    </row>
    <row r="1394" spans="1:9" x14ac:dyDescent="0.25">
      <c r="A1394" t="s">
        <v>2229</v>
      </c>
      <c r="B1394" t="s">
        <v>2230</v>
      </c>
      <c r="C1394" s="3">
        <v>45914</v>
      </c>
      <c r="D1394">
        <v>28</v>
      </c>
      <c r="E1394" s="3">
        <f t="shared" si="21"/>
        <v>45889</v>
      </c>
      <c r="F1394" s="3">
        <f>IF(TableRefills3[[#This Row],[prev_refill_days]]="","",TableRefills3[[#This Row],[prev_refill_days]]+TableRefills3[[#This Row],[quantity_days]])</f>
        <v>45917</v>
      </c>
      <c r="G1394">
        <f>IF(TableRefills3[[#This Row],[prev_refill_end]]="","",TableRefills3[[#This Row],[refill_date]]-TableRefills3[[#This Row],[prev_refill_end]])</f>
        <v>-3</v>
      </c>
      <c r="H1394" s="10">
        <f>IF(TableRefills3[[#This Row],[gap_days]]="",0,IF(TableRefills3[[#This Row],[gap_days]]&gt;2,1,0))</f>
        <v>0</v>
      </c>
      <c r="I1394">
        <f>_xlfn.MAXIFS(TableRefills3[discountinuation_flag], TableRefills3[patient_id], A1394)</f>
        <v>1</v>
      </c>
    </row>
    <row r="1395" spans="1:9" x14ac:dyDescent="0.25">
      <c r="A1395" t="s">
        <v>2229</v>
      </c>
      <c r="B1395" t="s">
        <v>2230</v>
      </c>
      <c r="C1395" s="3">
        <v>45945</v>
      </c>
      <c r="D1395">
        <v>28</v>
      </c>
      <c r="E1395" s="3">
        <f t="shared" si="21"/>
        <v>45914</v>
      </c>
      <c r="F1395" s="3">
        <f>IF(TableRefills3[[#This Row],[prev_refill_days]]="","",TableRefills3[[#This Row],[prev_refill_days]]+TableRefills3[[#This Row],[quantity_days]])</f>
        <v>45942</v>
      </c>
      <c r="G1395">
        <f>IF(TableRefills3[[#This Row],[prev_refill_end]]="","",TableRefills3[[#This Row],[refill_date]]-TableRefills3[[#This Row],[prev_refill_end]])</f>
        <v>3</v>
      </c>
      <c r="H1395" s="10">
        <f>IF(TableRefills3[[#This Row],[gap_days]]="",0,IF(TableRefills3[[#This Row],[gap_days]]&gt;2,1,0))</f>
        <v>1</v>
      </c>
      <c r="I1395">
        <f>_xlfn.MAXIFS(TableRefills3[discountinuation_flag], TableRefills3[patient_id], A1395)</f>
        <v>1</v>
      </c>
    </row>
    <row r="1396" spans="1:9" x14ac:dyDescent="0.25">
      <c r="A1396" t="s">
        <v>2235</v>
      </c>
      <c r="B1396" t="s">
        <v>2236</v>
      </c>
      <c r="C1396" s="3">
        <v>45779</v>
      </c>
      <c r="D1396">
        <v>28</v>
      </c>
      <c r="E1396" s="3" t="str">
        <f t="shared" si="21"/>
        <v/>
      </c>
      <c r="F1396" s="3" t="str">
        <f>IF(TableRefills3[[#This Row],[prev_refill_days]]="","",TableRefills3[[#This Row],[prev_refill_days]]+TableRefills3[[#This Row],[quantity_days]])</f>
        <v/>
      </c>
      <c r="G1396" t="str">
        <f>IF(TableRefills3[[#This Row],[prev_refill_end]]="","",TableRefills3[[#This Row],[refill_date]]-TableRefills3[[#This Row],[prev_refill_end]])</f>
        <v/>
      </c>
      <c r="H1396" s="10">
        <f>IF(TableRefills3[[#This Row],[gap_days]]="",0,IF(TableRefills3[[#This Row],[gap_days]]&gt;2,1,0))</f>
        <v>0</v>
      </c>
      <c r="I1396">
        <f>_xlfn.MAXIFS(TableRefills3[discountinuation_flag], TableRefills3[patient_id], A1396)</f>
        <v>0</v>
      </c>
    </row>
    <row r="1397" spans="1:9" x14ac:dyDescent="0.25">
      <c r="A1397" t="s">
        <v>2235</v>
      </c>
      <c r="B1397" t="s">
        <v>2236</v>
      </c>
      <c r="C1397" s="3">
        <v>45808</v>
      </c>
      <c r="D1397">
        <v>28</v>
      </c>
      <c r="E1397" s="3">
        <f t="shared" si="21"/>
        <v>45779</v>
      </c>
      <c r="F1397" s="3">
        <f>IF(TableRefills3[[#This Row],[prev_refill_days]]="","",TableRefills3[[#This Row],[prev_refill_days]]+TableRefills3[[#This Row],[quantity_days]])</f>
        <v>45807</v>
      </c>
      <c r="G1397">
        <f>IF(TableRefills3[[#This Row],[prev_refill_end]]="","",TableRefills3[[#This Row],[refill_date]]-TableRefills3[[#This Row],[prev_refill_end]])</f>
        <v>1</v>
      </c>
      <c r="H1397" s="10">
        <f>IF(TableRefills3[[#This Row],[gap_days]]="",0,IF(TableRefills3[[#This Row],[gap_days]]&gt;2,1,0))</f>
        <v>0</v>
      </c>
      <c r="I1397">
        <f>_xlfn.MAXIFS(TableRefills3[discountinuation_flag], TableRefills3[patient_id], A1397)</f>
        <v>0</v>
      </c>
    </row>
    <row r="1398" spans="1:9" x14ac:dyDescent="0.25">
      <c r="A1398" t="s">
        <v>2235</v>
      </c>
      <c r="B1398" t="s">
        <v>2236</v>
      </c>
      <c r="C1398" s="3">
        <v>45837</v>
      </c>
      <c r="D1398">
        <v>28</v>
      </c>
      <c r="E1398" s="3">
        <f t="shared" si="21"/>
        <v>45808</v>
      </c>
      <c r="F1398" s="3">
        <f>IF(TableRefills3[[#This Row],[prev_refill_days]]="","",TableRefills3[[#This Row],[prev_refill_days]]+TableRefills3[[#This Row],[quantity_days]])</f>
        <v>45836</v>
      </c>
      <c r="G1398">
        <f>IF(TableRefills3[[#This Row],[prev_refill_end]]="","",TableRefills3[[#This Row],[refill_date]]-TableRefills3[[#This Row],[prev_refill_end]])</f>
        <v>1</v>
      </c>
      <c r="H1398" s="10">
        <f>IF(TableRefills3[[#This Row],[gap_days]]="",0,IF(TableRefills3[[#This Row],[gap_days]]&gt;2,1,0))</f>
        <v>0</v>
      </c>
      <c r="I1398">
        <f>_xlfn.MAXIFS(TableRefills3[discountinuation_flag], TableRefills3[patient_id], A1398)</f>
        <v>0</v>
      </c>
    </row>
    <row r="1399" spans="1:9" x14ac:dyDescent="0.25">
      <c r="A1399" t="s">
        <v>2235</v>
      </c>
      <c r="B1399" t="s">
        <v>2236</v>
      </c>
      <c r="C1399" s="3">
        <v>45865</v>
      </c>
      <c r="D1399">
        <v>28</v>
      </c>
      <c r="E1399" s="3">
        <f t="shared" si="21"/>
        <v>45837</v>
      </c>
      <c r="F1399" s="3">
        <f>IF(TableRefills3[[#This Row],[prev_refill_days]]="","",TableRefills3[[#This Row],[prev_refill_days]]+TableRefills3[[#This Row],[quantity_days]])</f>
        <v>45865</v>
      </c>
      <c r="G1399">
        <f>IF(TableRefills3[[#This Row],[prev_refill_end]]="","",TableRefills3[[#This Row],[refill_date]]-TableRefills3[[#This Row],[prev_refill_end]])</f>
        <v>0</v>
      </c>
      <c r="H1399" s="10">
        <f>IF(TableRefills3[[#This Row],[gap_days]]="",0,IF(TableRefills3[[#This Row],[gap_days]]&gt;2,1,0))</f>
        <v>0</v>
      </c>
      <c r="I1399">
        <f>_xlfn.MAXIFS(TableRefills3[discountinuation_flag], TableRefills3[patient_id], A1399)</f>
        <v>0</v>
      </c>
    </row>
    <row r="1400" spans="1:9" x14ac:dyDescent="0.25">
      <c r="A1400" t="s">
        <v>2235</v>
      </c>
      <c r="B1400" t="s">
        <v>2236</v>
      </c>
      <c r="C1400" s="3">
        <v>45895</v>
      </c>
      <c r="D1400">
        <v>28</v>
      </c>
      <c r="E1400" s="3">
        <f t="shared" si="21"/>
        <v>45865</v>
      </c>
      <c r="F1400" s="3">
        <f>IF(TableRefills3[[#This Row],[prev_refill_days]]="","",TableRefills3[[#This Row],[prev_refill_days]]+TableRefills3[[#This Row],[quantity_days]])</f>
        <v>45893</v>
      </c>
      <c r="G1400">
        <f>IF(TableRefills3[[#This Row],[prev_refill_end]]="","",TableRefills3[[#This Row],[refill_date]]-TableRefills3[[#This Row],[prev_refill_end]])</f>
        <v>2</v>
      </c>
      <c r="H1400" s="10">
        <f>IF(TableRefills3[[#This Row],[gap_days]]="",0,IF(TableRefills3[[#This Row],[gap_days]]&gt;2,1,0))</f>
        <v>0</v>
      </c>
      <c r="I1400">
        <f>_xlfn.MAXIFS(TableRefills3[discountinuation_flag], TableRefills3[patient_id], A1400)</f>
        <v>0</v>
      </c>
    </row>
    <row r="1401" spans="1:9" x14ac:dyDescent="0.25">
      <c r="A1401" t="s">
        <v>2235</v>
      </c>
      <c r="B1401" t="s">
        <v>2236</v>
      </c>
      <c r="C1401" s="3">
        <v>45921</v>
      </c>
      <c r="D1401">
        <v>28</v>
      </c>
      <c r="E1401" s="3">
        <f t="shared" si="21"/>
        <v>45895</v>
      </c>
      <c r="F1401" s="3">
        <f>IF(TableRefills3[[#This Row],[prev_refill_days]]="","",TableRefills3[[#This Row],[prev_refill_days]]+TableRefills3[[#This Row],[quantity_days]])</f>
        <v>45923</v>
      </c>
      <c r="G1401">
        <f>IF(TableRefills3[[#This Row],[prev_refill_end]]="","",TableRefills3[[#This Row],[refill_date]]-TableRefills3[[#This Row],[prev_refill_end]])</f>
        <v>-2</v>
      </c>
      <c r="H1401" s="10">
        <f>IF(TableRefills3[[#This Row],[gap_days]]="",0,IF(TableRefills3[[#This Row],[gap_days]]&gt;2,1,0))</f>
        <v>0</v>
      </c>
      <c r="I1401">
        <f>_xlfn.MAXIFS(TableRefills3[discountinuation_flag], TableRefills3[patient_id], A1401)</f>
        <v>0</v>
      </c>
    </row>
    <row r="1402" spans="1:9" x14ac:dyDescent="0.25">
      <c r="A1402" t="s">
        <v>2235</v>
      </c>
      <c r="B1402" t="s">
        <v>2236</v>
      </c>
      <c r="C1402" s="3">
        <v>45946</v>
      </c>
      <c r="D1402">
        <v>28</v>
      </c>
      <c r="E1402" s="3">
        <f t="shared" si="21"/>
        <v>45921</v>
      </c>
      <c r="F1402" s="3">
        <f>IF(TableRefills3[[#This Row],[prev_refill_days]]="","",TableRefills3[[#This Row],[prev_refill_days]]+TableRefills3[[#This Row],[quantity_days]])</f>
        <v>45949</v>
      </c>
      <c r="G1402">
        <f>IF(TableRefills3[[#This Row],[prev_refill_end]]="","",TableRefills3[[#This Row],[refill_date]]-TableRefills3[[#This Row],[prev_refill_end]])</f>
        <v>-3</v>
      </c>
      <c r="H1402" s="10">
        <f>IF(TableRefills3[[#This Row],[gap_days]]="",0,IF(TableRefills3[[#This Row],[gap_days]]&gt;2,1,0))</f>
        <v>0</v>
      </c>
      <c r="I1402">
        <f>_xlfn.MAXIFS(TableRefills3[discountinuation_flag], TableRefills3[patient_id], A1402)</f>
        <v>0</v>
      </c>
    </row>
    <row r="1403" spans="1:9" x14ac:dyDescent="0.25">
      <c r="A1403" t="s">
        <v>2244</v>
      </c>
      <c r="B1403" t="s">
        <v>2245</v>
      </c>
      <c r="C1403" s="3">
        <v>45876</v>
      </c>
      <c r="D1403">
        <v>28</v>
      </c>
      <c r="E1403" s="3" t="str">
        <f t="shared" si="21"/>
        <v/>
      </c>
      <c r="F1403" s="3" t="str">
        <f>IF(TableRefills3[[#This Row],[prev_refill_days]]="","",TableRefills3[[#This Row],[prev_refill_days]]+TableRefills3[[#This Row],[quantity_days]])</f>
        <v/>
      </c>
      <c r="G1403" t="str">
        <f>IF(TableRefills3[[#This Row],[prev_refill_end]]="","",TableRefills3[[#This Row],[refill_date]]-TableRefills3[[#This Row],[prev_refill_end]])</f>
        <v/>
      </c>
      <c r="H1403" s="10">
        <f>IF(TableRefills3[[#This Row],[gap_days]]="",0,IF(TableRefills3[[#This Row],[gap_days]]&gt;2,1,0))</f>
        <v>0</v>
      </c>
      <c r="I1403">
        <f>_xlfn.MAXIFS(TableRefills3[discountinuation_flag], TableRefills3[patient_id], A1403)</f>
        <v>0</v>
      </c>
    </row>
    <row r="1404" spans="1:9" x14ac:dyDescent="0.25">
      <c r="A1404" t="s">
        <v>2244</v>
      </c>
      <c r="B1404" t="s">
        <v>2245</v>
      </c>
      <c r="C1404" s="3">
        <v>45903</v>
      </c>
      <c r="D1404">
        <v>28</v>
      </c>
      <c r="E1404" s="3">
        <f t="shared" si="21"/>
        <v>45876</v>
      </c>
      <c r="F1404" s="3">
        <f>IF(TableRefills3[[#This Row],[prev_refill_days]]="","",TableRefills3[[#This Row],[prev_refill_days]]+TableRefills3[[#This Row],[quantity_days]])</f>
        <v>45904</v>
      </c>
      <c r="G1404">
        <f>IF(TableRefills3[[#This Row],[prev_refill_end]]="","",TableRefills3[[#This Row],[refill_date]]-TableRefills3[[#This Row],[prev_refill_end]])</f>
        <v>-1</v>
      </c>
      <c r="H1404" s="10">
        <f>IF(TableRefills3[[#This Row],[gap_days]]="",0,IF(TableRefills3[[#This Row],[gap_days]]&gt;2,1,0))</f>
        <v>0</v>
      </c>
      <c r="I1404">
        <f>_xlfn.MAXIFS(TableRefills3[discountinuation_flag], TableRefills3[patient_id], A1404)</f>
        <v>0</v>
      </c>
    </row>
    <row r="1405" spans="1:9" x14ac:dyDescent="0.25">
      <c r="A1405" t="s">
        <v>2244</v>
      </c>
      <c r="B1405" t="s">
        <v>2245</v>
      </c>
      <c r="C1405" s="3">
        <v>45928</v>
      </c>
      <c r="D1405">
        <v>28</v>
      </c>
      <c r="E1405" s="3">
        <f t="shared" si="21"/>
        <v>45903</v>
      </c>
      <c r="F1405" s="3">
        <f>IF(TableRefills3[[#This Row],[prev_refill_days]]="","",TableRefills3[[#This Row],[prev_refill_days]]+TableRefills3[[#This Row],[quantity_days]])</f>
        <v>45931</v>
      </c>
      <c r="G1405">
        <f>IF(TableRefills3[[#This Row],[prev_refill_end]]="","",TableRefills3[[#This Row],[refill_date]]-TableRefills3[[#This Row],[prev_refill_end]])</f>
        <v>-3</v>
      </c>
      <c r="H1405" s="10">
        <f>IF(TableRefills3[[#This Row],[gap_days]]="",0,IF(TableRefills3[[#This Row],[gap_days]]&gt;2,1,0))</f>
        <v>0</v>
      </c>
      <c r="I1405">
        <f>_xlfn.MAXIFS(TableRefills3[discountinuation_flag], TableRefills3[patient_id], A1405)</f>
        <v>0</v>
      </c>
    </row>
    <row r="1406" spans="1:9" x14ac:dyDescent="0.25">
      <c r="A1406" t="s">
        <v>2244</v>
      </c>
      <c r="B1406" t="s">
        <v>2245</v>
      </c>
      <c r="C1406" s="3">
        <v>45958</v>
      </c>
      <c r="D1406">
        <v>28</v>
      </c>
      <c r="E1406" s="3">
        <f t="shared" si="21"/>
        <v>45928</v>
      </c>
      <c r="F1406" s="3">
        <f>IF(TableRefills3[[#This Row],[prev_refill_days]]="","",TableRefills3[[#This Row],[prev_refill_days]]+TableRefills3[[#This Row],[quantity_days]])</f>
        <v>45956</v>
      </c>
      <c r="G1406">
        <f>IF(TableRefills3[[#This Row],[prev_refill_end]]="","",TableRefills3[[#This Row],[refill_date]]-TableRefills3[[#This Row],[prev_refill_end]])</f>
        <v>2</v>
      </c>
      <c r="H1406" s="10">
        <f>IF(TableRefills3[[#This Row],[gap_days]]="",0,IF(TableRefills3[[#This Row],[gap_days]]&gt;2,1,0))</f>
        <v>0</v>
      </c>
      <c r="I1406">
        <f>_xlfn.MAXIFS(TableRefills3[discountinuation_flag], TableRefills3[patient_id], A1406)</f>
        <v>0</v>
      </c>
    </row>
    <row r="1407" spans="1:9" x14ac:dyDescent="0.25">
      <c r="A1407" t="s">
        <v>2250</v>
      </c>
      <c r="B1407" t="s">
        <v>2251</v>
      </c>
      <c r="C1407" s="3">
        <v>45892</v>
      </c>
      <c r="D1407">
        <v>28</v>
      </c>
      <c r="E1407" s="3" t="str">
        <f t="shared" si="21"/>
        <v/>
      </c>
      <c r="F1407" s="3" t="str">
        <f>IF(TableRefills3[[#This Row],[prev_refill_days]]="","",TableRefills3[[#This Row],[prev_refill_days]]+TableRefills3[[#This Row],[quantity_days]])</f>
        <v/>
      </c>
      <c r="G1407" t="str">
        <f>IF(TableRefills3[[#This Row],[prev_refill_end]]="","",TableRefills3[[#This Row],[refill_date]]-TableRefills3[[#This Row],[prev_refill_end]])</f>
        <v/>
      </c>
      <c r="H1407" s="10">
        <f>IF(TableRefills3[[#This Row],[gap_days]]="",0,IF(TableRefills3[[#This Row],[gap_days]]&gt;2,1,0))</f>
        <v>0</v>
      </c>
      <c r="I1407">
        <f>_xlfn.MAXIFS(TableRefills3[discountinuation_flag], TableRefills3[patient_id], A1407)</f>
        <v>0</v>
      </c>
    </row>
    <row r="1408" spans="1:9" x14ac:dyDescent="0.25">
      <c r="A1408" t="s">
        <v>2253</v>
      </c>
      <c r="B1408" t="s">
        <v>2254</v>
      </c>
      <c r="C1408" s="3">
        <v>45846</v>
      </c>
      <c r="D1408">
        <v>28</v>
      </c>
      <c r="E1408" s="3" t="str">
        <f t="shared" si="21"/>
        <v/>
      </c>
      <c r="F1408" s="3" t="str">
        <f>IF(TableRefills3[[#This Row],[prev_refill_days]]="","",TableRefills3[[#This Row],[prev_refill_days]]+TableRefills3[[#This Row],[quantity_days]])</f>
        <v/>
      </c>
      <c r="G1408" t="str">
        <f>IF(TableRefills3[[#This Row],[prev_refill_end]]="","",TableRefills3[[#This Row],[refill_date]]-TableRefills3[[#This Row],[prev_refill_end]])</f>
        <v/>
      </c>
      <c r="H1408" s="10">
        <f>IF(TableRefills3[[#This Row],[gap_days]]="",0,IF(TableRefills3[[#This Row],[gap_days]]&gt;2,1,0))</f>
        <v>0</v>
      </c>
      <c r="I1408">
        <f>_xlfn.MAXIFS(TableRefills3[discountinuation_flag], TableRefills3[patient_id], A1408)</f>
        <v>0</v>
      </c>
    </row>
    <row r="1409" spans="1:9" x14ac:dyDescent="0.25">
      <c r="A1409" t="s">
        <v>2253</v>
      </c>
      <c r="B1409" t="s">
        <v>2254</v>
      </c>
      <c r="C1409" s="3">
        <v>45875</v>
      </c>
      <c r="D1409">
        <v>28</v>
      </c>
      <c r="E1409" s="3">
        <f t="shared" si="21"/>
        <v>45846</v>
      </c>
      <c r="F1409" s="3">
        <f>IF(TableRefills3[[#This Row],[prev_refill_days]]="","",TableRefills3[[#This Row],[prev_refill_days]]+TableRefills3[[#This Row],[quantity_days]])</f>
        <v>45874</v>
      </c>
      <c r="G1409">
        <f>IF(TableRefills3[[#This Row],[prev_refill_end]]="","",TableRefills3[[#This Row],[refill_date]]-TableRefills3[[#This Row],[prev_refill_end]])</f>
        <v>1</v>
      </c>
      <c r="H1409" s="10">
        <f>IF(TableRefills3[[#This Row],[gap_days]]="",0,IF(TableRefills3[[#This Row],[gap_days]]&gt;2,1,0))</f>
        <v>0</v>
      </c>
      <c r="I1409">
        <f>_xlfn.MAXIFS(TableRefills3[discountinuation_flag], TableRefills3[patient_id], A1409)</f>
        <v>0</v>
      </c>
    </row>
    <row r="1410" spans="1:9" x14ac:dyDescent="0.25">
      <c r="A1410" t="s">
        <v>2257</v>
      </c>
      <c r="B1410" t="s">
        <v>2258</v>
      </c>
      <c r="C1410" s="3">
        <v>45855</v>
      </c>
      <c r="D1410">
        <v>28</v>
      </c>
      <c r="E1410" s="3" t="str">
        <f t="shared" ref="E1410:E1473" si="22">IF(A1409=A1410,C1409,"")</f>
        <v/>
      </c>
      <c r="F1410" s="3" t="str">
        <f>IF(TableRefills3[[#This Row],[prev_refill_days]]="","",TableRefills3[[#This Row],[prev_refill_days]]+TableRefills3[[#This Row],[quantity_days]])</f>
        <v/>
      </c>
      <c r="G1410" t="str">
        <f>IF(TableRefills3[[#This Row],[prev_refill_end]]="","",TableRefills3[[#This Row],[refill_date]]-TableRefills3[[#This Row],[prev_refill_end]])</f>
        <v/>
      </c>
      <c r="H1410" s="10">
        <f>IF(TableRefills3[[#This Row],[gap_days]]="",0,IF(TableRefills3[[#This Row],[gap_days]]&gt;2,1,0))</f>
        <v>0</v>
      </c>
      <c r="I1410">
        <f>_xlfn.MAXIFS(TableRefills3[discountinuation_flag], TableRefills3[patient_id], A1410)</f>
        <v>0</v>
      </c>
    </row>
    <row r="1411" spans="1:9" x14ac:dyDescent="0.25">
      <c r="A1411" t="s">
        <v>2257</v>
      </c>
      <c r="B1411" t="s">
        <v>2258</v>
      </c>
      <c r="C1411" s="3">
        <v>45884</v>
      </c>
      <c r="D1411">
        <v>28</v>
      </c>
      <c r="E1411" s="3">
        <f t="shared" si="22"/>
        <v>45855</v>
      </c>
      <c r="F1411" s="3">
        <f>IF(TableRefills3[[#This Row],[prev_refill_days]]="","",TableRefills3[[#This Row],[prev_refill_days]]+TableRefills3[[#This Row],[quantity_days]])</f>
        <v>45883</v>
      </c>
      <c r="G1411">
        <f>IF(TableRefills3[[#This Row],[prev_refill_end]]="","",TableRefills3[[#This Row],[refill_date]]-TableRefills3[[#This Row],[prev_refill_end]])</f>
        <v>1</v>
      </c>
      <c r="H1411" s="10">
        <f>IF(TableRefills3[[#This Row],[gap_days]]="",0,IF(TableRefills3[[#This Row],[gap_days]]&gt;2,1,0))</f>
        <v>0</v>
      </c>
      <c r="I1411">
        <f>_xlfn.MAXIFS(TableRefills3[discountinuation_flag], TableRefills3[patient_id], A1411)</f>
        <v>0</v>
      </c>
    </row>
    <row r="1412" spans="1:9" x14ac:dyDescent="0.25">
      <c r="A1412" t="s">
        <v>2257</v>
      </c>
      <c r="B1412" t="s">
        <v>2258</v>
      </c>
      <c r="C1412" s="3">
        <v>45910</v>
      </c>
      <c r="D1412">
        <v>28</v>
      </c>
      <c r="E1412" s="3">
        <f t="shared" si="22"/>
        <v>45884</v>
      </c>
      <c r="F1412" s="3">
        <f>IF(TableRefills3[[#This Row],[prev_refill_days]]="","",TableRefills3[[#This Row],[prev_refill_days]]+TableRefills3[[#This Row],[quantity_days]])</f>
        <v>45912</v>
      </c>
      <c r="G1412">
        <f>IF(TableRefills3[[#This Row],[prev_refill_end]]="","",TableRefills3[[#This Row],[refill_date]]-TableRefills3[[#This Row],[prev_refill_end]])</f>
        <v>-2</v>
      </c>
      <c r="H1412" s="10">
        <f>IF(TableRefills3[[#This Row],[gap_days]]="",0,IF(TableRefills3[[#This Row],[gap_days]]&gt;2,1,0))</f>
        <v>0</v>
      </c>
      <c r="I1412">
        <f>_xlfn.MAXIFS(TableRefills3[discountinuation_flag], TableRefills3[patient_id], A1412)</f>
        <v>0</v>
      </c>
    </row>
    <row r="1413" spans="1:9" x14ac:dyDescent="0.25">
      <c r="A1413" t="s">
        <v>2257</v>
      </c>
      <c r="B1413" t="s">
        <v>2258</v>
      </c>
      <c r="C1413" s="3">
        <v>45938</v>
      </c>
      <c r="D1413">
        <v>28</v>
      </c>
      <c r="E1413" s="3">
        <f t="shared" si="22"/>
        <v>45910</v>
      </c>
      <c r="F1413" s="3">
        <f>IF(TableRefills3[[#This Row],[prev_refill_days]]="","",TableRefills3[[#This Row],[prev_refill_days]]+TableRefills3[[#This Row],[quantity_days]])</f>
        <v>45938</v>
      </c>
      <c r="G1413">
        <f>IF(TableRefills3[[#This Row],[prev_refill_end]]="","",TableRefills3[[#This Row],[refill_date]]-TableRefills3[[#This Row],[prev_refill_end]])</f>
        <v>0</v>
      </c>
      <c r="H1413" s="10">
        <f>IF(TableRefills3[[#This Row],[gap_days]]="",0,IF(TableRefills3[[#This Row],[gap_days]]&gt;2,1,0))</f>
        <v>0</v>
      </c>
      <c r="I1413">
        <f>_xlfn.MAXIFS(TableRefills3[discountinuation_flag], TableRefills3[patient_id], A1413)</f>
        <v>0</v>
      </c>
    </row>
    <row r="1414" spans="1:9" x14ac:dyDescent="0.25">
      <c r="A1414" t="s">
        <v>2263</v>
      </c>
      <c r="B1414" t="s">
        <v>2264</v>
      </c>
      <c r="C1414" s="3">
        <v>45924</v>
      </c>
      <c r="D1414">
        <v>21</v>
      </c>
      <c r="E1414" s="3" t="str">
        <f t="shared" si="22"/>
        <v/>
      </c>
      <c r="F1414" s="3" t="str">
        <f>IF(TableRefills3[[#This Row],[prev_refill_days]]="","",TableRefills3[[#This Row],[prev_refill_days]]+TableRefills3[[#This Row],[quantity_days]])</f>
        <v/>
      </c>
      <c r="G1414" t="str">
        <f>IF(TableRefills3[[#This Row],[prev_refill_end]]="","",TableRefills3[[#This Row],[refill_date]]-TableRefills3[[#This Row],[prev_refill_end]])</f>
        <v/>
      </c>
      <c r="H1414" s="10">
        <f>IF(TableRefills3[[#This Row],[gap_days]]="",0,IF(TableRefills3[[#This Row],[gap_days]]&gt;2,1,0))</f>
        <v>0</v>
      </c>
      <c r="I1414">
        <f>_xlfn.MAXIFS(TableRefills3[discountinuation_flag], TableRefills3[patient_id], A1414)</f>
        <v>0</v>
      </c>
    </row>
    <row r="1415" spans="1:9" x14ac:dyDescent="0.25">
      <c r="A1415" t="s">
        <v>2263</v>
      </c>
      <c r="B1415" t="s">
        <v>2264</v>
      </c>
      <c r="C1415" s="3">
        <v>45943</v>
      </c>
      <c r="D1415">
        <v>21</v>
      </c>
      <c r="E1415" s="3">
        <f t="shared" si="22"/>
        <v>45924</v>
      </c>
      <c r="F1415" s="3">
        <f>IF(TableRefills3[[#This Row],[prev_refill_days]]="","",TableRefills3[[#This Row],[prev_refill_days]]+TableRefills3[[#This Row],[quantity_days]])</f>
        <v>45945</v>
      </c>
      <c r="G1415">
        <f>IF(TableRefills3[[#This Row],[prev_refill_end]]="","",TableRefills3[[#This Row],[refill_date]]-TableRefills3[[#This Row],[prev_refill_end]])</f>
        <v>-2</v>
      </c>
      <c r="H1415" s="10">
        <f>IF(TableRefills3[[#This Row],[gap_days]]="",0,IF(TableRefills3[[#This Row],[gap_days]]&gt;2,1,0))</f>
        <v>0</v>
      </c>
      <c r="I1415">
        <f>_xlfn.MAXIFS(TableRefills3[discountinuation_flag], TableRefills3[patient_id], A1415)</f>
        <v>0</v>
      </c>
    </row>
    <row r="1416" spans="1:9" x14ac:dyDescent="0.25">
      <c r="A1416" t="s">
        <v>2267</v>
      </c>
      <c r="B1416" t="s">
        <v>2268</v>
      </c>
      <c r="C1416" s="3">
        <v>45844</v>
      </c>
      <c r="D1416">
        <v>30</v>
      </c>
      <c r="E1416" s="3" t="str">
        <f t="shared" si="22"/>
        <v/>
      </c>
      <c r="F1416" s="3" t="str">
        <f>IF(TableRefills3[[#This Row],[prev_refill_days]]="","",TableRefills3[[#This Row],[prev_refill_days]]+TableRefills3[[#This Row],[quantity_days]])</f>
        <v/>
      </c>
      <c r="G1416" t="str">
        <f>IF(TableRefills3[[#This Row],[prev_refill_end]]="","",TableRefills3[[#This Row],[refill_date]]-TableRefills3[[#This Row],[prev_refill_end]])</f>
        <v/>
      </c>
      <c r="H1416" s="10">
        <f>IF(TableRefills3[[#This Row],[gap_days]]="",0,IF(TableRefills3[[#This Row],[gap_days]]&gt;2,1,0))</f>
        <v>0</v>
      </c>
      <c r="I1416">
        <f>_xlfn.MAXIFS(TableRefills3[discountinuation_flag], TableRefills3[patient_id], A1416)</f>
        <v>1</v>
      </c>
    </row>
    <row r="1417" spans="1:9" x14ac:dyDescent="0.25">
      <c r="A1417" t="s">
        <v>2267</v>
      </c>
      <c r="B1417" t="s">
        <v>2268</v>
      </c>
      <c r="C1417" s="3">
        <v>45874</v>
      </c>
      <c r="D1417">
        <v>30</v>
      </c>
      <c r="E1417" s="3">
        <f t="shared" si="22"/>
        <v>45844</v>
      </c>
      <c r="F1417" s="3">
        <f>IF(TableRefills3[[#This Row],[prev_refill_days]]="","",TableRefills3[[#This Row],[prev_refill_days]]+TableRefills3[[#This Row],[quantity_days]])</f>
        <v>45874</v>
      </c>
      <c r="G1417">
        <f>IF(TableRefills3[[#This Row],[prev_refill_end]]="","",TableRefills3[[#This Row],[refill_date]]-TableRefills3[[#This Row],[prev_refill_end]])</f>
        <v>0</v>
      </c>
      <c r="H1417" s="10">
        <f>IF(TableRefills3[[#This Row],[gap_days]]="",0,IF(TableRefills3[[#This Row],[gap_days]]&gt;2,1,0))</f>
        <v>0</v>
      </c>
      <c r="I1417">
        <f>_xlfn.MAXIFS(TableRefills3[discountinuation_flag], TableRefills3[patient_id], A1417)</f>
        <v>1</v>
      </c>
    </row>
    <row r="1418" spans="1:9" x14ac:dyDescent="0.25">
      <c r="A1418" t="s">
        <v>2267</v>
      </c>
      <c r="B1418" t="s">
        <v>2268</v>
      </c>
      <c r="C1418" s="3">
        <v>45907</v>
      </c>
      <c r="D1418">
        <v>30</v>
      </c>
      <c r="E1418" s="3">
        <f t="shared" si="22"/>
        <v>45874</v>
      </c>
      <c r="F1418" s="3">
        <f>IF(TableRefills3[[#This Row],[prev_refill_days]]="","",TableRefills3[[#This Row],[prev_refill_days]]+TableRefills3[[#This Row],[quantity_days]])</f>
        <v>45904</v>
      </c>
      <c r="G1418">
        <f>IF(TableRefills3[[#This Row],[prev_refill_end]]="","",TableRefills3[[#This Row],[refill_date]]-TableRefills3[[#This Row],[prev_refill_end]])</f>
        <v>3</v>
      </c>
      <c r="H1418" s="10">
        <f>IF(TableRefills3[[#This Row],[gap_days]]="",0,IF(TableRefills3[[#This Row],[gap_days]]&gt;2,1,0))</f>
        <v>1</v>
      </c>
      <c r="I1418">
        <f>_xlfn.MAXIFS(TableRefills3[discountinuation_flag], TableRefills3[patient_id], A1418)</f>
        <v>1</v>
      </c>
    </row>
    <row r="1419" spans="1:9" x14ac:dyDescent="0.25">
      <c r="A1419" t="s">
        <v>2267</v>
      </c>
      <c r="B1419" t="s">
        <v>2268</v>
      </c>
      <c r="C1419" s="3">
        <v>45936</v>
      </c>
      <c r="D1419">
        <v>30</v>
      </c>
      <c r="E1419" s="3">
        <f t="shared" si="22"/>
        <v>45907</v>
      </c>
      <c r="F1419" s="3">
        <f>IF(TableRefills3[[#This Row],[prev_refill_days]]="","",TableRefills3[[#This Row],[prev_refill_days]]+TableRefills3[[#This Row],[quantity_days]])</f>
        <v>45937</v>
      </c>
      <c r="G1419">
        <f>IF(TableRefills3[[#This Row],[prev_refill_end]]="","",TableRefills3[[#This Row],[refill_date]]-TableRefills3[[#This Row],[prev_refill_end]])</f>
        <v>-1</v>
      </c>
      <c r="H1419" s="10">
        <f>IF(TableRefills3[[#This Row],[gap_days]]="",0,IF(TableRefills3[[#This Row],[gap_days]]&gt;2,1,0))</f>
        <v>0</v>
      </c>
      <c r="I1419">
        <f>_xlfn.MAXIFS(TableRefills3[discountinuation_flag], TableRefills3[patient_id], A1419)</f>
        <v>1</v>
      </c>
    </row>
    <row r="1420" spans="1:9" x14ac:dyDescent="0.25">
      <c r="A1420" t="s">
        <v>2273</v>
      </c>
      <c r="B1420" t="s">
        <v>2274</v>
      </c>
      <c r="C1420" s="3">
        <v>45870</v>
      </c>
      <c r="D1420">
        <v>14</v>
      </c>
      <c r="E1420" s="3" t="str">
        <f t="shared" si="22"/>
        <v/>
      </c>
      <c r="F1420" s="3" t="str">
        <f>IF(TableRefills3[[#This Row],[prev_refill_days]]="","",TableRefills3[[#This Row],[prev_refill_days]]+TableRefills3[[#This Row],[quantity_days]])</f>
        <v/>
      </c>
      <c r="G1420" t="str">
        <f>IF(TableRefills3[[#This Row],[prev_refill_end]]="","",TableRefills3[[#This Row],[refill_date]]-TableRefills3[[#This Row],[prev_refill_end]])</f>
        <v/>
      </c>
      <c r="H1420" s="10">
        <f>IF(TableRefills3[[#This Row],[gap_days]]="",0,IF(TableRefills3[[#This Row],[gap_days]]&gt;2,1,0))</f>
        <v>0</v>
      </c>
      <c r="I1420">
        <f>_xlfn.MAXIFS(TableRefills3[discountinuation_flag], TableRefills3[patient_id], A1420)</f>
        <v>0</v>
      </c>
    </row>
    <row r="1421" spans="1:9" x14ac:dyDescent="0.25">
      <c r="A1421" t="s">
        <v>2273</v>
      </c>
      <c r="B1421" t="s">
        <v>2274</v>
      </c>
      <c r="C1421" s="3">
        <v>45884</v>
      </c>
      <c r="D1421">
        <v>14</v>
      </c>
      <c r="E1421" s="3">
        <f t="shared" si="22"/>
        <v>45870</v>
      </c>
      <c r="F1421" s="3">
        <f>IF(TableRefills3[[#This Row],[prev_refill_days]]="","",TableRefills3[[#This Row],[prev_refill_days]]+TableRefills3[[#This Row],[quantity_days]])</f>
        <v>45884</v>
      </c>
      <c r="G1421">
        <f>IF(TableRefills3[[#This Row],[prev_refill_end]]="","",TableRefills3[[#This Row],[refill_date]]-TableRefills3[[#This Row],[prev_refill_end]])</f>
        <v>0</v>
      </c>
      <c r="H1421" s="10">
        <f>IF(TableRefills3[[#This Row],[gap_days]]="",0,IF(TableRefills3[[#This Row],[gap_days]]&gt;2,1,0))</f>
        <v>0</v>
      </c>
      <c r="I1421">
        <f>_xlfn.MAXIFS(TableRefills3[discountinuation_flag], TableRefills3[patient_id], A1421)</f>
        <v>0</v>
      </c>
    </row>
    <row r="1422" spans="1:9" x14ac:dyDescent="0.25">
      <c r="A1422" t="s">
        <v>2273</v>
      </c>
      <c r="B1422" t="s">
        <v>2274</v>
      </c>
      <c r="C1422" s="3">
        <v>45899</v>
      </c>
      <c r="D1422">
        <v>14</v>
      </c>
      <c r="E1422" s="3">
        <f t="shared" si="22"/>
        <v>45884</v>
      </c>
      <c r="F1422" s="3">
        <f>IF(TableRefills3[[#This Row],[prev_refill_days]]="","",TableRefills3[[#This Row],[prev_refill_days]]+TableRefills3[[#This Row],[quantity_days]])</f>
        <v>45898</v>
      </c>
      <c r="G1422">
        <f>IF(TableRefills3[[#This Row],[prev_refill_end]]="","",TableRefills3[[#This Row],[refill_date]]-TableRefills3[[#This Row],[prev_refill_end]])</f>
        <v>1</v>
      </c>
      <c r="H1422" s="10">
        <f>IF(TableRefills3[[#This Row],[gap_days]]="",0,IF(TableRefills3[[#This Row],[gap_days]]&gt;2,1,0))</f>
        <v>0</v>
      </c>
      <c r="I1422">
        <f>_xlfn.MAXIFS(TableRefills3[discountinuation_flag], TableRefills3[patient_id], A1422)</f>
        <v>0</v>
      </c>
    </row>
    <row r="1423" spans="1:9" x14ac:dyDescent="0.25">
      <c r="A1423" t="s">
        <v>2273</v>
      </c>
      <c r="B1423" t="s">
        <v>2274</v>
      </c>
      <c r="C1423" s="3">
        <v>45914</v>
      </c>
      <c r="D1423">
        <v>14</v>
      </c>
      <c r="E1423" s="3">
        <f t="shared" si="22"/>
        <v>45899</v>
      </c>
      <c r="F1423" s="3">
        <f>IF(TableRefills3[[#This Row],[prev_refill_days]]="","",TableRefills3[[#This Row],[prev_refill_days]]+TableRefills3[[#This Row],[quantity_days]])</f>
        <v>45913</v>
      </c>
      <c r="G1423">
        <f>IF(TableRefills3[[#This Row],[prev_refill_end]]="","",TableRefills3[[#This Row],[refill_date]]-TableRefills3[[#This Row],[prev_refill_end]])</f>
        <v>1</v>
      </c>
      <c r="H1423" s="10">
        <f>IF(TableRefills3[[#This Row],[gap_days]]="",0,IF(TableRefills3[[#This Row],[gap_days]]&gt;2,1,0))</f>
        <v>0</v>
      </c>
      <c r="I1423">
        <f>_xlfn.MAXIFS(TableRefills3[discountinuation_flag], TableRefills3[patient_id], A1423)</f>
        <v>0</v>
      </c>
    </row>
    <row r="1424" spans="1:9" x14ac:dyDescent="0.25">
      <c r="A1424" t="s">
        <v>2273</v>
      </c>
      <c r="B1424" t="s">
        <v>2274</v>
      </c>
      <c r="C1424" s="3">
        <v>45926</v>
      </c>
      <c r="D1424">
        <v>14</v>
      </c>
      <c r="E1424" s="3">
        <f t="shared" si="22"/>
        <v>45914</v>
      </c>
      <c r="F1424" s="3">
        <f>IF(TableRefills3[[#This Row],[prev_refill_days]]="","",TableRefills3[[#This Row],[prev_refill_days]]+TableRefills3[[#This Row],[quantity_days]])</f>
        <v>45928</v>
      </c>
      <c r="G1424">
        <f>IF(TableRefills3[[#This Row],[prev_refill_end]]="","",TableRefills3[[#This Row],[refill_date]]-TableRefills3[[#This Row],[prev_refill_end]])</f>
        <v>-2</v>
      </c>
      <c r="H1424" s="10">
        <f>IF(TableRefills3[[#This Row],[gap_days]]="",0,IF(TableRefills3[[#This Row],[gap_days]]&gt;2,1,0))</f>
        <v>0</v>
      </c>
      <c r="I1424">
        <f>_xlfn.MAXIFS(TableRefills3[discountinuation_flag], TableRefills3[patient_id], A1424)</f>
        <v>0</v>
      </c>
    </row>
    <row r="1425" spans="1:9" x14ac:dyDescent="0.25">
      <c r="A1425" t="s">
        <v>2273</v>
      </c>
      <c r="B1425" t="s">
        <v>2274</v>
      </c>
      <c r="C1425" s="3">
        <v>45937</v>
      </c>
      <c r="D1425">
        <v>14</v>
      </c>
      <c r="E1425" s="3">
        <f t="shared" si="22"/>
        <v>45926</v>
      </c>
      <c r="F1425" s="3">
        <f>IF(TableRefills3[[#This Row],[prev_refill_days]]="","",TableRefills3[[#This Row],[prev_refill_days]]+TableRefills3[[#This Row],[quantity_days]])</f>
        <v>45940</v>
      </c>
      <c r="G1425">
        <f>IF(TableRefills3[[#This Row],[prev_refill_end]]="","",TableRefills3[[#This Row],[refill_date]]-TableRefills3[[#This Row],[prev_refill_end]])</f>
        <v>-3</v>
      </c>
      <c r="H1425" s="10">
        <f>IF(TableRefills3[[#This Row],[gap_days]]="",0,IF(TableRefills3[[#This Row],[gap_days]]&gt;2,1,0))</f>
        <v>0</v>
      </c>
      <c r="I1425">
        <f>_xlfn.MAXIFS(TableRefills3[discountinuation_flag], TableRefills3[patient_id], A1425)</f>
        <v>0</v>
      </c>
    </row>
    <row r="1426" spans="1:9" x14ac:dyDescent="0.25">
      <c r="A1426" t="s">
        <v>2273</v>
      </c>
      <c r="B1426" t="s">
        <v>2274</v>
      </c>
      <c r="C1426" s="3">
        <v>45950</v>
      </c>
      <c r="D1426">
        <v>14</v>
      </c>
      <c r="E1426" s="3">
        <f t="shared" si="22"/>
        <v>45937</v>
      </c>
      <c r="F1426" s="3">
        <f>IF(TableRefills3[[#This Row],[prev_refill_days]]="","",TableRefills3[[#This Row],[prev_refill_days]]+TableRefills3[[#This Row],[quantity_days]])</f>
        <v>45951</v>
      </c>
      <c r="G1426">
        <f>IF(TableRefills3[[#This Row],[prev_refill_end]]="","",TableRefills3[[#This Row],[refill_date]]-TableRefills3[[#This Row],[prev_refill_end]])</f>
        <v>-1</v>
      </c>
      <c r="H1426" s="10">
        <f>IF(TableRefills3[[#This Row],[gap_days]]="",0,IF(TableRefills3[[#This Row],[gap_days]]&gt;2,1,0))</f>
        <v>0</v>
      </c>
      <c r="I1426">
        <f>_xlfn.MAXIFS(TableRefills3[discountinuation_flag], TableRefills3[patient_id], A1426)</f>
        <v>0</v>
      </c>
    </row>
    <row r="1427" spans="1:9" x14ac:dyDescent="0.25">
      <c r="A1427" t="s">
        <v>2282</v>
      </c>
      <c r="B1427" t="s">
        <v>2283</v>
      </c>
      <c r="C1427" s="3">
        <v>45838</v>
      </c>
      <c r="D1427">
        <v>30</v>
      </c>
      <c r="E1427" s="3" t="str">
        <f t="shared" si="22"/>
        <v/>
      </c>
      <c r="F1427" s="3" t="str">
        <f>IF(TableRefills3[[#This Row],[prev_refill_days]]="","",TableRefills3[[#This Row],[prev_refill_days]]+TableRefills3[[#This Row],[quantity_days]])</f>
        <v/>
      </c>
      <c r="G1427" t="str">
        <f>IF(TableRefills3[[#This Row],[prev_refill_end]]="","",TableRefills3[[#This Row],[refill_date]]-TableRefills3[[#This Row],[prev_refill_end]])</f>
        <v/>
      </c>
      <c r="H1427" s="10">
        <f>IF(TableRefills3[[#This Row],[gap_days]]="",0,IF(TableRefills3[[#This Row],[gap_days]]&gt;2,1,0))</f>
        <v>0</v>
      </c>
      <c r="I1427">
        <f>_xlfn.MAXIFS(TableRefills3[discountinuation_flag], TableRefills3[patient_id], A1427)</f>
        <v>0</v>
      </c>
    </row>
    <row r="1428" spans="1:9" x14ac:dyDescent="0.25">
      <c r="A1428" t="s">
        <v>2282</v>
      </c>
      <c r="B1428" t="s">
        <v>2283</v>
      </c>
      <c r="C1428" s="3">
        <v>45868</v>
      </c>
      <c r="D1428">
        <v>30</v>
      </c>
      <c r="E1428" s="3">
        <f t="shared" si="22"/>
        <v>45838</v>
      </c>
      <c r="F1428" s="3">
        <f>IF(TableRefills3[[#This Row],[prev_refill_days]]="","",TableRefills3[[#This Row],[prev_refill_days]]+TableRefills3[[#This Row],[quantity_days]])</f>
        <v>45868</v>
      </c>
      <c r="G1428">
        <f>IF(TableRefills3[[#This Row],[prev_refill_end]]="","",TableRefills3[[#This Row],[refill_date]]-TableRefills3[[#This Row],[prev_refill_end]])</f>
        <v>0</v>
      </c>
      <c r="H1428" s="10">
        <f>IF(TableRefills3[[#This Row],[gap_days]]="",0,IF(TableRefills3[[#This Row],[gap_days]]&gt;2,1,0))</f>
        <v>0</v>
      </c>
      <c r="I1428">
        <f>_xlfn.MAXIFS(TableRefills3[discountinuation_flag], TableRefills3[patient_id], A1428)</f>
        <v>0</v>
      </c>
    </row>
    <row r="1429" spans="1:9" x14ac:dyDescent="0.25">
      <c r="A1429" t="s">
        <v>2282</v>
      </c>
      <c r="B1429" t="s">
        <v>2283</v>
      </c>
      <c r="C1429" s="3">
        <v>45898</v>
      </c>
      <c r="D1429">
        <v>30</v>
      </c>
      <c r="E1429" s="3">
        <f t="shared" si="22"/>
        <v>45868</v>
      </c>
      <c r="F1429" s="3">
        <f>IF(TableRefills3[[#This Row],[prev_refill_days]]="","",TableRefills3[[#This Row],[prev_refill_days]]+TableRefills3[[#This Row],[quantity_days]])</f>
        <v>45898</v>
      </c>
      <c r="G1429">
        <f>IF(TableRefills3[[#This Row],[prev_refill_end]]="","",TableRefills3[[#This Row],[refill_date]]-TableRefills3[[#This Row],[prev_refill_end]])</f>
        <v>0</v>
      </c>
      <c r="H1429" s="10">
        <f>IF(TableRefills3[[#This Row],[gap_days]]="",0,IF(TableRefills3[[#This Row],[gap_days]]&gt;2,1,0))</f>
        <v>0</v>
      </c>
      <c r="I1429">
        <f>_xlfn.MAXIFS(TableRefills3[discountinuation_flag], TableRefills3[patient_id], A1429)</f>
        <v>0</v>
      </c>
    </row>
    <row r="1430" spans="1:9" x14ac:dyDescent="0.25">
      <c r="A1430" t="s">
        <v>2282</v>
      </c>
      <c r="B1430" t="s">
        <v>2283</v>
      </c>
      <c r="C1430" s="3">
        <v>45926</v>
      </c>
      <c r="D1430">
        <v>30</v>
      </c>
      <c r="E1430" s="3">
        <f t="shared" si="22"/>
        <v>45898</v>
      </c>
      <c r="F1430" s="3">
        <f>IF(TableRefills3[[#This Row],[prev_refill_days]]="","",TableRefills3[[#This Row],[prev_refill_days]]+TableRefills3[[#This Row],[quantity_days]])</f>
        <v>45928</v>
      </c>
      <c r="G1430">
        <f>IF(TableRefills3[[#This Row],[prev_refill_end]]="","",TableRefills3[[#This Row],[refill_date]]-TableRefills3[[#This Row],[prev_refill_end]])</f>
        <v>-2</v>
      </c>
      <c r="H1430" s="10">
        <f>IF(TableRefills3[[#This Row],[gap_days]]="",0,IF(TableRefills3[[#This Row],[gap_days]]&gt;2,1,0))</f>
        <v>0</v>
      </c>
      <c r="I1430">
        <f>_xlfn.MAXIFS(TableRefills3[discountinuation_flag], TableRefills3[patient_id], A1430)</f>
        <v>0</v>
      </c>
    </row>
    <row r="1431" spans="1:9" x14ac:dyDescent="0.25">
      <c r="A1431" t="s">
        <v>2282</v>
      </c>
      <c r="B1431" t="s">
        <v>2283</v>
      </c>
      <c r="C1431" s="3">
        <v>45958</v>
      </c>
      <c r="D1431">
        <v>30</v>
      </c>
      <c r="E1431" s="3">
        <f t="shared" si="22"/>
        <v>45926</v>
      </c>
      <c r="F1431" s="3">
        <f>IF(TableRefills3[[#This Row],[prev_refill_days]]="","",TableRefills3[[#This Row],[prev_refill_days]]+TableRefills3[[#This Row],[quantity_days]])</f>
        <v>45956</v>
      </c>
      <c r="G1431">
        <f>IF(TableRefills3[[#This Row],[prev_refill_end]]="","",TableRefills3[[#This Row],[refill_date]]-TableRefills3[[#This Row],[prev_refill_end]])</f>
        <v>2</v>
      </c>
      <c r="H1431" s="10">
        <f>IF(TableRefills3[[#This Row],[gap_days]]="",0,IF(TableRefills3[[#This Row],[gap_days]]&gt;2,1,0))</f>
        <v>0</v>
      </c>
      <c r="I1431">
        <f>_xlfn.MAXIFS(TableRefills3[discountinuation_flag], TableRefills3[patient_id], A1431)</f>
        <v>0</v>
      </c>
    </row>
    <row r="1432" spans="1:9" x14ac:dyDescent="0.25">
      <c r="A1432" t="s">
        <v>2289</v>
      </c>
      <c r="B1432" t="s">
        <v>2290</v>
      </c>
      <c r="C1432" s="3">
        <v>45948</v>
      </c>
      <c r="D1432">
        <v>30</v>
      </c>
      <c r="E1432" s="3" t="str">
        <f t="shared" si="22"/>
        <v/>
      </c>
      <c r="F1432" s="3" t="str">
        <f>IF(TableRefills3[[#This Row],[prev_refill_days]]="","",TableRefills3[[#This Row],[prev_refill_days]]+TableRefills3[[#This Row],[quantity_days]])</f>
        <v/>
      </c>
      <c r="G1432" t="str">
        <f>IF(TableRefills3[[#This Row],[prev_refill_end]]="","",TableRefills3[[#This Row],[refill_date]]-TableRefills3[[#This Row],[prev_refill_end]])</f>
        <v/>
      </c>
      <c r="H1432" s="10">
        <f>IF(TableRefills3[[#This Row],[gap_days]]="",0,IF(TableRefills3[[#This Row],[gap_days]]&gt;2,1,0))</f>
        <v>0</v>
      </c>
      <c r="I1432">
        <f>_xlfn.MAXIFS(TableRefills3[discountinuation_flag], TableRefills3[patient_id], A1432)</f>
        <v>0</v>
      </c>
    </row>
    <row r="1433" spans="1:9" x14ac:dyDescent="0.25">
      <c r="A1433" t="s">
        <v>2292</v>
      </c>
      <c r="B1433" t="s">
        <v>2293</v>
      </c>
      <c r="C1433" s="3">
        <v>45897</v>
      </c>
      <c r="D1433">
        <v>28</v>
      </c>
      <c r="E1433" s="3" t="str">
        <f t="shared" si="22"/>
        <v/>
      </c>
      <c r="F1433" s="3" t="str">
        <f>IF(TableRefills3[[#This Row],[prev_refill_days]]="","",TableRefills3[[#This Row],[prev_refill_days]]+TableRefills3[[#This Row],[quantity_days]])</f>
        <v/>
      </c>
      <c r="G1433" t="str">
        <f>IF(TableRefills3[[#This Row],[prev_refill_end]]="","",TableRefills3[[#This Row],[refill_date]]-TableRefills3[[#This Row],[prev_refill_end]])</f>
        <v/>
      </c>
      <c r="H1433" s="10">
        <f>IF(TableRefills3[[#This Row],[gap_days]]="",0,IF(TableRefills3[[#This Row],[gap_days]]&gt;2,1,0))</f>
        <v>0</v>
      </c>
      <c r="I1433">
        <f>_xlfn.MAXIFS(TableRefills3[discountinuation_flag], TableRefills3[patient_id], A1433)</f>
        <v>0</v>
      </c>
    </row>
    <row r="1434" spans="1:9" x14ac:dyDescent="0.25">
      <c r="A1434" t="s">
        <v>2292</v>
      </c>
      <c r="B1434" t="s">
        <v>2293</v>
      </c>
      <c r="C1434" s="3">
        <v>45925</v>
      </c>
      <c r="D1434">
        <v>28</v>
      </c>
      <c r="E1434" s="3">
        <f t="shared" si="22"/>
        <v>45897</v>
      </c>
      <c r="F1434" s="3">
        <f>IF(TableRefills3[[#This Row],[prev_refill_days]]="","",TableRefills3[[#This Row],[prev_refill_days]]+TableRefills3[[#This Row],[quantity_days]])</f>
        <v>45925</v>
      </c>
      <c r="G1434">
        <f>IF(TableRefills3[[#This Row],[prev_refill_end]]="","",TableRefills3[[#This Row],[refill_date]]-TableRefills3[[#This Row],[prev_refill_end]])</f>
        <v>0</v>
      </c>
      <c r="H1434" s="10">
        <f>IF(TableRefills3[[#This Row],[gap_days]]="",0,IF(TableRefills3[[#This Row],[gap_days]]&gt;2,1,0))</f>
        <v>0</v>
      </c>
      <c r="I1434">
        <f>_xlfn.MAXIFS(TableRefills3[discountinuation_flag], TableRefills3[patient_id], A1434)</f>
        <v>0</v>
      </c>
    </row>
    <row r="1435" spans="1:9" x14ac:dyDescent="0.25">
      <c r="A1435" t="s">
        <v>2292</v>
      </c>
      <c r="B1435" t="s">
        <v>2293</v>
      </c>
      <c r="C1435" s="3">
        <v>45951</v>
      </c>
      <c r="D1435">
        <v>28</v>
      </c>
      <c r="E1435" s="3">
        <f t="shared" si="22"/>
        <v>45925</v>
      </c>
      <c r="F1435" s="3">
        <f>IF(TableRefills3[[#This Row],[prev_refill_days]]="","",TableRefills3[[#This Row],[prev_refill_days]]+TableRefills3[[#This Row],[quantity_days]])</f>
        <v>45953</v>
      </c>
      <c r="G1435">
        <f>IF(TableRefills3[[#This Row],[prev_refill_end]]="","",TableRefills3[[#This Row],[refill_date]]-TableRefills3[[#This Row],[prev_refill_end]])</f>
        <v>-2</v>
      </c>
      <c r="H1435" s="10">
        <f>IF(TableRefills3[[#This Row],[gap_days]]="",0,IF(TableRefills3[[#This Row],[gap_days]]&gt;2,1,0))</f>
        <v>0</v>
      </c>
      <c r="I1435">
        <f>_xlfn.MAXIFS(TableRefills3[discountinuation_flag], TableRefills3[patient_id], A1435)</f>
        <v>0</v>
      </c>
    </row>
    <row r="1436" spans="1:9" x14ac:dyDescent="0.25">
      <c r="A1436" t="s">
        <v>2297</v>
      </c>
      <c r="B1436" t="s">
        <v>2298</v>
      </c>
      <c r="C1436" s="3">
        <v>45818</v>
      </c>
      <c r="D1436">
        <v>21</v>
      </c>
      <c r="E1436" s="3" t="str">
        <f t="shared" si="22"/>
        <v/>
      </c>
      <c r="F1436" s="3" t="str">
        <f>IF(TableRefills3[[#This Row],[prev_refill_days]]="","",TableRefills3[[#This Row],[prev_refill_days]]+TableRefills3[[#This Row],[quantity_days]])</f>
        <v/>
      </c>
      <c r="G1436" t="str">
        <f>IF(TableRefills3[[#This Row],[prev_refill_end]]="","",TableRefills3[[#This Row],[refill_date]]-TableRefills3[[#This Row],[prev_refill_end]])</f>
        <v/>
      </c>
      <c r="H1436" s="10">
        <f>IF(TableRefills3[[#This Row],[gap_days]]="",0,IF(TableRefills3[[#This Row],[gap_days]]&gt;2,1,0))</f>
        <v>0</v>
      </c>
      <c r="I1436">
        <f>_xlfn.MAXIFS(TableRefills3[discountinuation_flag], TableRefills3[patient_id], A1436)</f>
        <v>1</v>
      </c>
    </row>
    <row r="1437" spans="1:9" x14ac:dyDescent="0.25">
      <c r="A1437" t="s">
        <v>2297</v>
      </c>
      <c r="B1437" t="s">
        <v>2298</v>
      </c>
      <c r="C1437" s="3">
        <v>45840</v>
      </c>
      <c r="D1437">
        <v>21</v>
      </c>
      <c r="E1437" s="3">
        <f t="shared" si="22"/>
        <v>45818</v>
      </c>
      <c r="F1437" s="3">
        <f>IF(TableRefills3[[#This Row],[prev_refill_days]]="","",TableRefills3[[#This Row],[prev_refill_days]]+TableRefills3[[#This Row],[quantity_days]])</f>
        <v>45839</v>
      </c>
      <c r="G1437">
        <f>IF(TableRefills3[[#This Row],[prev_refill_end]]="","",TableRefills3[[#This Row],[refill_date]]-TableRefills3[[#This Row],[prev_refill_end]])</f>
        <v>1</v>
      </c>
      <c r="H1437" s="10">
        <f>IF(TableRefills3[[#This Row],[gap_days]]="",0,IF(TableRefills3[[#This Row],[gap_days]]&gt;2,1,0))</f>
        <v>0</v>
      </c>
      <c r="I1437">
        <f>_xlfn.MAXIFS(TableRefills3[discountinuation_flag], TableRefills3[patient_id], A1437)</f>
        <v>1</v>
      </c>
    </row>
    <row r="1438" spans="1:9" x14ac:dyDescent="0.25">
      <c r="A1438" t="s">
        <v>2297</v>
      </c>
      <c r="B1438" t="s">
        <v>2298</v>
      </c>
      <c r="C1438" s="3">
        <v>45863</v>
      </c>
      <c r="D1438">
        <v>21</v>
      </c>
      <c r="E1438" s="3">
        <f t="shared" si="22"/>
        <v>45840</v>
      </c>
      <c r="F1438" s="3">
        <f>IF(TableRefills3[[#This Row],[prev_refill_days]]="","",TableRefills3[[#This Row],[prev_refill_days]]+TableRefills3[[#This Row],[quantity_days]])</f>
        <v>45861</v>
      </c>
      <c r="G1438">
        <f>IF(TableRefills3[[#This Row],[prev_refill_end]]="","",TableRefills3[[#This Row],[refill_date]]-TableRefills3[[#This Row],[prev_refill_end]])</f>
        <v>2</v>
      </c>
      <c r="H1438" s="10">
        <f>IF(TableRefills3[[#This Row],[gap_days]]="",0,IF(TableRefills3[[#This Row],[gap_days]]&gt;2,1,0))</f>
        <v>0</v>
      </c>
      <c r="I1438">
        <f>_xlfn.MAXIFS(TableRefills3[discountinuation_flag], TableRefills3[patient_id], A1438)</f>
        <v>1</v>
      </c>
    </row>
    <row r="1439" spans="1:9" x14ac:dyDescent="0.25">
      <c r="A1439" t="s">
        <v>2297</v>
      </c>
      <c r="B1439" t="s">
        <v>2298</v>
      </c>
      <c r="C1439" s="3">
        <v>45887</v>
      </c>
      <c r="D1439">
        <v>21</v>
      </c>
      <c r="E1439" s="3">
        <f t="shared" si="22"/>
        <v>45863</v>
      </c>
      <c r="F1439" s="3">
        <f>IF(TableRefills3[[#This Row],[prev_refill_days]]="","",TableRefills3[[#This Row],[prev_refill_days]]+TableRefills3[[#This Row],[quantity_days]])</f>
        <v>45884</v>
      </c>
      <c r="G1439">
        <f>IF(TableRefills3[[#This Row],[prev_refill_end]]="","",TableRefills3[[#This Row],[refill_date]]-TableRefills3[[#This Row],[prev_refill_end]])</f>
        <v>3</v>
      </c>
      <c r="H1439" s="10">
        <f>IF(TableRefills3[[#This Row],[gap_days]]="",0,IF(TableRefills3[[#This Row],[gap_days]]&gt;2,1,0))</f>
        <v>1</v>
      </c>
      <c r="I1439">
        <f>_xlfn.MAXIFS(TableRefills3[discountinuation_flag], TableRefills3[patient_id], A1439)</f>
        <v>1</v>
      </c>
    </row>
    <row r="1440" spans="1:9" x14ac:dyDescent="0.25">
      <c r="A1440" t="s">
        <v>2297</v>
      </c>
      <c r="B1440" t="s">
        <v>2298</v>
      </c>
      <c r="C1440" s="3">
        <v>45907</v>
      </c>
      <c r="D1440">
        <v>21</v>
      </c>
      <c r="E1440" s="3">
        <f t="shared" si="22"/>
        <v>45887</v>
      </c>
      <c r="F1440" s="3">
        <f>IF(TableRefills3[[#This Row],[prev_refill_days]]="","",TableRefills3[[#This Row],[prev_refill_days]]+TableRefills3[[#This Row],[quantity_days]])</f>
        <v>45908</v>
      </c>
      <c r="G1440">
        <f>IF(TableRefills3[[#This Row],[prev_refill_end]]="","",TableRefills3[[#This Row],[refill_date]]-TableRefills3[[#This Row],[prev_refill_end]])</f>
        <v>-1</v>
      </c>
      <c r="H1440" s="10">
        <f>IF(TableRefills3[[#This Row],[gap_days]]="",0,IF(TableRefills3[[#This Row],[gap_days]]&gt;2,1,0))</f>
        <v>0</v>
      </c>
      <c r="I1440">
        <f>_xlfn.MAXIFS(TableRefills3[discountinuation_flag], TableRefills3[patient_id], A1440)</f>
        <v>1</v>
      </c>
    </row>
    <row r="1441" spans="1:9" x14ac:dyDescent="0.25">
      <c r="A1441" t="s">
        <v>2297</v>
      </c>
      <c r="B1441" t="s">
        <v>2298</v>
      </c>
      <c r="C1441" s="3">
        <v>45929</v>
      </c>
      <c r="D1441">
        <v>21</v>
      </c>
      <c r="E1441" s="3">
        <f t="shared" si="22"/>
        <v>45907</v>
      </c>
      <c r="F1441" s="3">
        <f>IF(TableRefills3[[#This Row],[prev_refill_days]]="","",TableRefills3[[#This Row],[prev_refill_days]]+TableRefills3[[#This Row],[quantity_days]])</f>
        <v>45928</v>
      </c>
      <c r="G1441">
        <f>IF(TableRefills3[[#This Row],[prev_refill_end]]="","",TableRefills3[[#This Row],[refill_date]]-TableRefills3[[#This Row],[prev_refill_end]])</f>
        <v>1</v>
      </c>
      <c r="H1441" s="10">
        <f>IF(TableRefills3[[#This Row],[gap_days]]="",0,IF(TableRefills3[[#This Row],[gap_days]]&gt;2,1,0))</f>
        <v>0</v>
      </c>
      <c r="I1441">
        <f>_xlfn.MAXIFS(TableRefills3[discountinuation_flag], TableRefills3[patient_id], A1441)</f>
        <v>1</v>
      </c>
    </row>
    <row r="1442" spans="1:9" x14ac:dyDescent="0.25">
      <c r="A1442" t="s">
        <v>2297</v>
      </c>
      <c r="B1442" t="s">
        <v>2298</v>
      </c>
      <c r="C1442" s="3">
        <v>45951</v>
      </c>
      <c r="D1442">
        <v>21</v>
      </c>
      <c r="E1442" s="3">
        <f t="shared" si="22"/>
        <v>45929</v>
      </c>
      <c r="F1442" s="3">
        <f>IF(TableRefills3[[#This Row],[prev_refill_days]]="","",TableRefills3[[#This Row],[prev_refill_days]]+TableRefills3[[#This Row],[quantity_days]])</f>
        <v>45950</v>
      </c>
      <c r="G1442">
        <f>IF(TableRefills3[[#This Row],[prev_refill_end]]="","",TableRefills3[[#This Row],[refill_date]]-TableRefills3[[#This Row],[prev_refill_end]])</f>
        <v>1</v>
      </c>
      <c r="H1442" s="10">
        <f>IF(TableRefills3[[#This Row],[gap_days]]="",0,IF(TableRefills3[[#This Row],[gap_days]]&gt;2,1,0))</f>
        <v>0</v>
      </c>
      <c r="I1442">
        <f>_xlfn.MAXIFS(TableRefills3[discountinuation_flag], TableRefills3[patient_id], A1442)</f>
        <v>1</v>
      </c>
    </row>
    <row r="1443" spans="1:9" x14ac:dyDescent="0.25">
      <c r="A1443" t="s">
        <v>2306</v>
      </c>
      <c r="B1443" t="s">
        <v>2307</v>
      </c>
      <c r="C1443" s="3">
        <v>45953</v>
      </c>
      <c r="D1443">
        <v>28</v>
      </c>
      <c r="E1443" s="3" t="str">
        <f t="shared" si="22"/>
        <v/>
      </c>
      <c r="F1443" s="3" t="str">
        <f>IF(TableRefills3[[#This Row],[prev_refill_days]]="","",TableRefills3[[#This Row],[prev_refill_days]]+TableRefills3[[#This Row],[quantity_days]])</f>
        <v/>
      </c>
      <c r="G1443" t="str">
        <f>IF(TableRefills3[[#This Row],[prev_refill_end]]="","",TableRefills3[[#This Row],[refill_date]]-TableRefills3[[#This Row],[prev_refill_end]])</f>
        <v/>
      </c>
      <c r="H1443" s="10">
        <f>IF(TableRefills3[[#This Row],[gap_days]]="",0,IF(TableRefills3[[#This Row],[gap_days]]&gt;2,1,0))</f>
        <v>0</v>
      </c>
      <c r="I1443">
        <f>_xlfn.MAXIFS(TableRefills3[discountinuation_flag], TableRefills3[patient_id], A1443)</f>
        <v>0</v>
      </c>
    </row>
    <row r="1444" spans="1:9" x14ac:dyDescent="0.25">
      <c r="A1444" t="s">
        <v>2309</v>
      </c>
      <c r="B1444" t="s">
        <v>2310</v>
      </c>
      <c r="C1444" s="3">
        <v>45958</v>
      </c>
      <c r="D1444">
        <v>21</v>
      </c>
      <c r="E1444" s="3" t="str">
        <f t="shared" si="22"/>
        <v/>
      </c>
      <c r="F1444" s="3" t="str">
        <f>IF(TableRefills3[[#This Row],[prev_refill_days]]="","",TableRefills3[[#This Row],[prev_refill_days]]+TableRefills3[[#This Row],[quantity_days]])</f>
        <v/>
      </c>
      <c r="G1444" t="str">
        <f>IF(TableRefills3[[#This Row],[prev_refill_end]]="","",TableRefills3[[#This Row],[refill_date]]-TableRefills3[[#This Row],[prev_refill_end]])</f>
        <v/>
      </c>
      <c r="H1444" s="10">
        <f>IF(TableRefills3[[#This Row],[gap_days]]="",0,IF(TableRefills3[[#This Row],[gap_days]]&gt;2,1,0))</f>
        <v>0</v>
      </c>
      <c r="I1444">
        <f>_xlfn.MAXIFS(TableRefills3[discountinuation_flag], TableRefills3[patient_id], A1444)</f>
        <v>0</v>
      </c>
    </row>
    <row r="1445" spans="1:9" x14ac:dyDescent="0.25">
      <c r="A1445" t="s">
        <v>2312</v>
      </c>
      <c r="B1445" t="s">
        <v>2313</v>
      </c>
      <c r="C1445" s="3">
        <v>45857</v>
      </c>
      <c r="D1445">
        <v>14</v>
      </c>
      <c r="E1445" s="3" t="str">
        <f t="shared" si="22"/>
        <v/>
      </c>
      <c r="F1445" s="3" t="str">
        <f>IF(TableRefills3[[#This Row],[prev_refill_days]]="","",TableRefills3[[#This Row],[prev_refill_days]]+TableRefills3[[#This Row],[quantity_days]])</f>
        <v/>
      </c>
      <c r="G1445" t="str">
        <f>IF(TableRefills3[[#This Row],[prev_refill_end]]="","",TableRefills3[[#This Row],[refill_date]]-TableRefills3[[#This Row],[prev_refill_end]])</f>
        <v/>
      </c>
      <c r="H1445" s="10">
        <f>IF(TableRefills3[[#This Row],[gap_days]]="",0,IF(TableRefills3[[#This Row],[gap_days]]&gt;2,1,0))</f>
        <v>0</v>
      </c>
      <c r="I1445">
        <f>_xlfn.MAXIFS(TableRefills3[discountinuation_flag], TableRefills3[patient_id], A1445)</f>
        <v>1</v>
      </c>
    </row>
    <row r="1446" spans="1:9" x14ac:dyDescent="0.25">
      <c r="A1446" t="s">
        <v>2312</v>
      </c>
      <c r="B1446" t="s">
        <v>2313</v>
      </c>
      <c r="C1446" s="3">
        <v>45874</v>
      </c>
      <c r="D1446">
        <v>14</v>
      </c>
      <c r="E1446" s="3">
        <f t="shared" si="22"/>
        <v>45857</v>
      </c>
      <c r="F1446" s="3">
        <f>IF(TableRefills3[[#This Row],[prev_refill_days]]="","",TableRefills3[[#This Row],[prev_refill_days]]+TableRefills3[[#This Row],[quantity_days]])</f>
        <v>45871</v>
      </c>
      <c r="G1446">
        <f>IF(TableRefills3[[#This Row],[prev_refill_end]]="","",TableRefills3[[#This Row],[refill_date]]-TableRefills3[[#This Row],[prev_refill_end]])</f>
        <v>3</v>
      </c>
      <c r="H1446" s="10">
        <f>IF(TableRefills3[[#This Row],[gap_days]]="",0,IF(TableRefills3[[#This Row],[gap_days]]&gt;2,1,0))</f>
        <v>1</v>
      </c>
      <c r="I1446">
        <f>_xlfn.MAXIFS(TableRefills3[discountinuation_flag], TableRefills3[patient_id], A1446)</f>
        <v>1</v>
      </c>
    </row>
    <row r="1447" spans="1:9" x14ac:dyDescent="0.25">
      <c r="A1447" t="s">
        <v>2312</v>
      </c>
      <c r="B1447" t="s">
        <v>2313</v>
      </c>
      <c r="C1447" s="3">
        <v>45888</v>
      </c>
      <c r="D1447">
        <v>14</v>
      </c>
      <c r="E1447" s="3">
        <f t="shared" si="22"/>
        <v>45874</v>
      </c>
      <c r="F1447" s="3">
        <f>IF(TableRefills3[[#This Row],[prev_refill_days]]="","",TableRefills3[[#This Row],[prev_refill_days]]+TableRefills3[[#This Row],[quantity_days]])</f>
        <v>45888</v>
      </c>
      <c r="G1447">
        <f>IF(TableRefills3[[#This Row],[prev_refill_end]]="","",TableRefills3[[#This Row],[refill_date]]-TableRefills3[[#This Row],[prev_refill_end]])</f>
        <v>0</v>
      </c>
      <c r="H1447" s="10">
        <f>IF(TableRefills3[[#This Row],[gap_days]]="",0,IF(TableRefills3[[#This Row],[gap_days]]&gt;2,1,0))</f>
        <v>0</v>
      </c>
      <c r="I1447">
        <f>_xlfn.MAXIFS(TableRefills3[discountinuation_flag], TableRefills3[patient_id], A1447)</f>
        <v>1</v>
      </c>
    </row>
    <row r="1448" spans="1:9" x14ac:dyDescent="0.25">
      <c r="A1448" t="s">
        <v>2312</v>
      </c>
      <c r="B1448" t="s">
        <v>2313</v>
      </c>
      <c r="C1448" s="3">
        <v>45904</v>
      </c>
      <c r="D1448">
        <v>14</v>
      </c>
      <c r="E1448" s="3">
        <f t="shared" si="22"/>
        <v>45888</v>
      </c>
      <c r="F1448" s="3">
        <f>IF(TableRefills3[[#This Row],[prev_refill_days]]="","",TableRefills3[[#This Row],[prev_refill_days]]+TableRefills3[[#This Row],[quantity_days]])</f>
        <v>45902</v>
      </c>
      <c r="G1448">
        <f>IF(TableRefills3[[#This Row],[prev_refill_end]]="","",TableRefills3[[#This Row],[refill_date]]-TableRefills3[[#This Row],[prev_refill_end]])</f>
        <v>2</v>
      </c>
      <c r="H1448" s="10">
        <f>IF(TableRefills3[[#This Row],[gap_days]]="",0,IF(TableRefills3[[#This Row],[gap_days]]&gt;2,1,0))</f>
        <v>0</v>
      </c>
      <c r="I1448">
        <f>_xlfn.MAXIFS(TableRefills3[discountinuation_flag], TableRefills3[patient_id], A1448)</f>
        <v>1</v>
      </c>
    </row>
    <row r="1449" spans="1:9" x14ac:dyDescent="0.25">
      <c r="A1449" t="s">
        <v>2312</v>
      </c>
      <c r="B1449" t="s">
        <v>2313</v>
      </c>
      <c r="C1449" s="3">
        <v>45918</v>
      </c>
      <c r="D1449">
        <v>14</v>
      </c>
      <c r="E1449" s="3">
        <f t="shared" si="22"/>
        <v>45904</v>
      </c>
      <c r="F1449" s="3">
        <f>IF(TableRefills3[[#This Row],[prev_refill_days]]="","",TableRefills3[[#This Row],[prev_refill_days]]+TableRefills3[[#This Row],[quantity_days]])</f>
        <v>45918</v>
      </c>
      <c r="G1449">
        <f>IF(TableRefills3[[#This Row],[prev_refill_end]]="","",TableRefills3[[#This Row],[refill_date]]-TableRefills3[[#This Row],[prev_refill_end]])</f>
        <v>0</v>
      </c>
      <c r="H1449" s="10">
        <f>IF(TableRefills3[[#This Row],[gap_days]]="",0,IF(TableRefills3[[#This Row],[gap_days]]&gt;2,1,0))</f>
        <v>0</v>
      </c>
      <c r="I1449">
        <f>_xlfn.MAXIFS(TableRefills3[discountinuation_flag], TableRefills3[patient_id], A1449)</f>
        <v>1</v>
      </c>
    </row>
    <row r="1450" spans="1:9" x14ac:dyDescent="0.25">
      <c r="A1450" t="s">
        <v>2312</v>
      </c>
      <c r="B1450" t="s">
        <v>2313</v>
      </c>
      <c r="C1450" s="3">
        <v>45931</v>
      </c>
      <c r="D1450">
        <v>14</v>
      </c>
      <c r="E1450" s="3">
        <f t="shared" si="22"/>
        <v>45918</v>
      </c>
      <c r="F1450" s="3">
        <f>IF(TableRefills3[[#This Row],[prev_refill_days]]="","",TableRefills3[[#This Row],[prev_refill_days]]+TableRefills3[[#This Row],[quantity_days]])</f>
        <v>45932</v>
      </c>
      <c r="G1450">
        <f>IF(TableRefills3[[#This Row],[prev_refill_end]]="","",TableRefills3[[#This Row],[refill_date]]-TableRefills3[[#This Row],[prev_refill_end]])</f>
        <v>-1</v>
      </c>
      <c r="H1450" s="10">
        <f>IF(TableRefills3[[#This Row],[gap_days]]="",0,IF(TableRefills3[[#This Row],[gap_days]]&gt;2,1,0))</f>
        <v>0</v>
      </c>
      <c r="I1450">
        <f>_xlfn.MAXIFS(TableRefills3[discountinuation_flag], TableRefills3[patient_id], A1450)</f>
        <v>1</v>
      </c>
    </row>
    <row r="1451" spans="1:9" x14ac:dyDescent="0.25">
      <c r="A1451" t="s">
        <v>2312</v>
      </c>
      <c r="B1451" t="s">
        <v>2313</v>
      </c>
      <c r="C1451" s="3">
        <v>45944</v>
      </c>
      <c r="D1451">
        <v>14</v>
      </c>
      <c r="E1451" s="3">
        <f t="shared" si="22"/>
        <v>45931</v>
      </c>
      <c r="F1451" s="3">
        <f>IF(TableRefills3[[#This Row],[prev_refill_days]]="","",TableRefills3[[#This Row],[prev_refill_days]]+TableRefills3[[#This Row],[quantity_days]])</f>
        <v>45945</v>
      </c>
      <c r="G1451">
        <f>IF(TableRefills3[[#This Row],[prev_refill_end]]="","",TableRefills3[[#This Row],[refill_date]]-TableRefills3[[#This Row],[prev_refill_end]])</f>
        <v>-1</v>
      </c>
      <c r="H1451" s="10">
        <f>IF(TableRefills3[[#This Row],[gap_days]]="",0,IF(TableRefills3[[#This Row],[gap_days]]&gt;2,1,0))</f>
        <v>0</v>
      </c>
      <c r="I1451">
        <f>_xlfn.MAXIFS(TableRefills3[discountinuation_flag], TableRefills3[patient_id], A1451)</f>
        <v>1</v>
      </c>
    </row>
    <row r="1452" spans="1:9" x14ac:dyDescent="0.25">
      <c r="A1452" t="s">
        <v>2312</v>
      </c>
      <c r="B1452" t="s">
        <v>2313</v>
      </c>
      <c r="C1452" s="3">
        <v>45959</v>
      </c>
      <c r="D1452">
        <v>14</v>
      </c>
      <c r="E1452" s="3">
        <f t="shared" si="22"/>
        <v>45944</v>
      </c>
      <c r="F1452" s="3">
        <f>IF(TableRefills3[[#This Row],[prev_refill_days]]="","",TableRefills3[[#This Row],[prev_refill_days]]+TableRefills3[[#This Row],[quantity_days]])</f>
        <v>45958</v>
      </c>
      <c r="G1452">
        <f>IF(TableRefills3[[#This Row],[prev_refill_end]]="","",TableRefills3[[#This Row],[refill_date]]-TableRefills3[[#This Row],[prev_refill_end]])</f>
        <v>1</v>
      </c>
      <c r="H1452" s="10">
        <f>IF(TableRefills3[[#This Row],[gap_days]]="",0,IF(TableRefills3[[#This Row],[gap_days]]&gt;2,1,0))</f>
        <v>0</v>
      </c>
      <c r="I1452">
        <f>_xlfn.MAXIFS(TableRefills3[discountinuation_flag], TableRefills3[patient_id], A1452)</f>
        <v>1</v>
      </c>
    </row>
    <row r="1453" spans="1:9" x14ac:dyDescent="0.25">
      <c r="A1453" t="s">
        <v>2322</v>
      </c>
      <c r="B1453" t="s">
        <v>2323</v>
      </c>
      <c r="C1453" s="3">
        <v>45808</v>
      </c>
      <c r="D1453">
        <v>28</v>
      </c>
      <c r="E1453" s="3" t="str">
        <f t="shared" si="22"/>
        <v/>
      </c>
      <c r="F1453" s="3" t="str">
        <f>IF(TableRefills3[[#This Row],[prev_refill_days]]="","",TableRefills3[[#This Row],[prev_refill_days]]+TableRefills3[[#This Row],[quantity_days]])</f>
        <v/>
      </c>
      <c r="G1453" t="str">
        <f>IF(TableRefills3[[#This Row],[prev_refill_end]]="","",TableRefills3[[#This Row],[refill_date]]-TableRefills3[[#This Row],[prev_refill_end]])</f>
        <v/>
      </c>
      <c r="H1453" s="10">
        <f>IF(TableRefills3[[#This Row],[gap_days]]="",0,IF(TableRefills3[[#This Row],[gap_days]]&gt;2,1,0))</f>
        <v>0</v>
      </c>
      <c r="I1453">
        <f>_xlfn.MAXIFS(TableRefills3[discountinuation_flag], TableRefills3[patient_id], A1453)</f>
        <v>0</v>
      </c>
    </row>
    <row r="1454" spans="1:9" x14ac:dyDescent="0.25">
      <c r="A1454" t="s">
        <v>2322</v>
      </c>
      <c r="B1454" t="s">
        <v>2323</v>
      </c>
      <c r="C1454" s="3">
        <v>45835</v>
      </c>
      <c r="D1454">
        <v>28</v>
      </c>
      <c r="E1454" s="3">
        <f t="shared" si="22"/>
        <v>45808</v>
      </c>
      <c r="F1454" s="3">
        <f>IF(TableRefills3[[#This Row],[prev_refill_days]]="","",TableRefills3[[#This Row],[prev_refill_days]]+TableRefills3[[#This Row],[quantity_days]])</f>
        <v>45836</v>
      </c>
      <c r="G1454">
        <f>IF(TableRefills3[[#This Row],[prev_refill_end]]="","",TableRefills3[[#This Row],[refill_date]]-TableRefills3[[#This Row],[prev_refill_end]])</f>
        <v>-1</v>
      </c>
      <c r="H1454" s="10">
        <f>IF(TableRefills3[[#This Row],[gap_days]]="",0,IF(TableRefills3[[#This Row],[gap_days]]&gt;2,1,0))</f>
        <v>0</v>
      </c>
      <c r="I1454">
        <f>_xlfn.MAXIFS(TableRefills3[discountinuation_flag], TableRefills3[patient_id], A1454)</f>
        <v>0</v>
      </c>
    </row>
    <row r="1455" spans="1:9" x14ac:dyDescent="0.25">
      <c r="A1455" t="s">
        <v>2322</v>
      </c>
      <c r="B1455" t="s">
        <v>2323</v>
      </c>
      <c r="C1455" s="3">
        <v>45863</v>
      </c>
      <c r="D1455">
        <v>28</v>
      </c>
      <c r="E1455" s="3">
        <f t="shared" si="22"/>
        <v>45835</v>
      </c>
      <c r="F1455" s="3">
        <f>IF(TableRefills3[[#This Row],[prev_refill_days]]="","",TableRefills3[[#This Row],[prev_refill_days]]+TableRefills3[[#This Row],[quantity_days]])</f>
        <v>45863</v>
      </c>
      <c r="G1455">
        <f>IF(TableRefills3[[#This Row],[prev_refill_end]]="","",TableRefills3[[#This Row],[refill_date]]-TableRefills3[[#This Row],[prev_refill_end]])</f>
        <v>0</v>
      </c>
      <c r="H1455" s="10">
        <f>IF(TableRefills3[[#This Row],[gap_days]]="",0,IF(TableRefills3[[#This Row],[gap_days]]&gt;2,1,0))</f>
        <v>0</v>
      </c>
      <c r="I1455">
        <f>_xlfn.MAXIFS(TableRefills3[discountinuation_flag], TableRefills3[patient_id], A1455)</f>
        <v>0</v>
      </c>
    </row>
    <row r="1456" spans="1:9" x14ac:dyDescent="0.25">
      <c r="A1456" t="s">
        <v>2322</v>
      </c>
      <c r="B1456" t="s">
        <v>2323</v>
      </c>
      <c r="C1456" s="3">
        <v>45890</v>
      </c>
      <c r="D1456">
        <v>28</v>
      </c>
      <c r="E1456" s="3">
        <f t="shared" si="22"/>
        <v>45863</v>
      </c>
      <c r="F1456" s="3">
        <f>IF(TableRefills3[[#This Row],[prev_refill_days]]="","",TableRefills3[[#This Row],[prev_refill_days]]+TableRefills3[[#This Row],[quantity_days]])</f>
        <v>45891</v>
      </c>
      <c r="G1456">
        <f>IF(TableRefills3[[#This Row],[prev_refill_end]]="","",TableRefills3[[#This Row],[refill_date]]-TableRefills3[[#This Row],[prev_refill_end]])</f>
        <v>-1</v>
      </c>
      <c r="H1456" s="10">
        <f>IF(TableRefills3[[#This Row],[gap_days]]="",0,IF(TableRefills3[[#This Row],[gap_days]]&gt;2,1,0))</f>
        <v>0</v>
      </c>
      <c r="I1456">
        <f>_xlfn.MAXIFS(TableRefills3[discountinuation_flag], TableRefills3[patient_id], A1456)</f>
        <v>0</v>
      </c>
    </row>
    <row r="1457" spans="1:9" x14ac:dyDescent="0.25">
      <c r="A1457" t="s">
        <v>2322</v>
      </c>
      <c r="B1457" t="s">
        <v>2323</v>
      </c>
      <c r="C1457" s="3">
        <v>45920</v>
      </c>
      <c r="D1457">
        <v>28</v>
      </c>
      <c r="E1457" s="3">
        <f t="shared" si="22"/>
        <v>45890</v>
      </c>
      <c r="F1457" s="3">
        <f>IF(TableRefills3[[#This Row],[prev_refill_days]]="","",TableRefills3[[#This Row],[prev_refill_days]]+TableRefills3[[#This Row],[quantity_days]])</f>
        <v>45918</v>
      </c>
      <c r="G1457">
        <f>IF(TableRefills3[[#This Row],[prev_refill_end]]="","",TableRefills3[[#This Row],[refill_date]]-TableRefills3[[#This Row],[prev_refill_end]])</f>
        <v>2</v>
      </c>
      <c r="H1457" s="10">
        <f>IF(TableRefills3[[#This Row],[gap_days]]="",0,IF(TableRefills3[[#This Row],[gap_days]]&gt;2,1,0))</f>
        <v>0</v>
      </c>
      <c r="I1457">
        <f>_xlfn.MAXIFS(TableRefills3[discountinuation_flag], TableRefills3[patient_id], A1457)</f>
        <v>0</v>
      </c>
    </row>
    <row r="1458" spans="1:9" x14ac:dyDescent="0.25">
      <c r="A1458" t="s">
        <v>2322</v>
      </c>
      <c r="B1458" t="s">
        <v>2323</v>
      </c>
      <c r="C1458" s="3">
        <v>45946</v>
      </c>
      <c r="D1458">
        <v>28</v>
      </c>
      <c r="E1458" s="3">
        <f t="shared" si="22"/>
        <v>45920</v>
      </c>
      <c r="F1458" s="3">
        <f>IF(TableRefills3[[#This Row],[prev_refill_days]]="","",TableRefills3[[#This Row],[prev_refill_days]]+TableRefills3[[#This Row],[quantity_days]])</f>
        <v>45948</v>
      </c>
      <c r="G1458">
        <f>IF(TableRefills3[[#This Row],[prev_refill_end]]="","",TableRefills3[[#This Row],[refill_date]]-TableRefills3[[#This Row],[prev_refill_end]])</f>
        <v>-2</v>
      </c>
      <c r="H1458" s="10">
        <f>IF(TableRefills3[[#This Row],[gap_days]]="",0,IF(TableRefills3[[#This Row],[gap_days]]&gt;2,1,0))</f>
        <v>0</v>
      </c>
      <c r="I1458">
        <f>_xlfn.MAXIFS(TableRefills3[discountinuation_flag], TableRefills3[patient_id], A1458)</f>
        <v>0</v>
      </c>
    </row>
    <row r="1459" spans="1:9" x14ac:dyDescent="0.25">
      <c r="A1459" t="s">
        <v>2330</v>
      </c>
      <c r="B1459" t="s">
        <v>2331</v>
      </c>
      <c r="C1459" s="3">
        <v>45853</v>
      </c>
      <c r="D1459">
        <v>14</v>
      </c>
      <c r="E1459" s="3" t="str">
        <f t="shared" si="22"/>
        <v/>
      </c>
      <c r="F1459" s="3" t="str">
        <f>IF(TableRefills3[[#This Row],[prev_refill_days]]="","",TableRefills3[[#This Row],[prev_refill_days]]+TableRefills3[[#This Row],[quantity_days]])</f>
        <v/>
      </c>
      <c r="G1459" t="str">
        <f>IF(TableRefills3[[#This Row],[prev_refill_end]]="","",TableRefills3[[#This Row],[refill_date]]-TableRefills3[[#This Row],[prev_refill_end]])</f>
        <v/>
      </c>
      <c r="H1459" s="10">
        <f>IF(TableRefills3[[#This Row],[gap_days]]="",0,IF(TableRefills3[[#This Row],[gap_days]]&gt;2,1,0))</f>
        <v>0</v>
      </c>
      <c r="I1459">
        <f>_xlfn.MAXIFS(TableRefills3[discountinuation_flag], TableRefills3[patient_id], A1459)</f>
        <v>1</v>
      </c>
    </row>
    <row r="1460" spans="1:9" x14ac:dyDescent="0.25">
      <c r="A1460" t="s">
        <v>2330</v>
      </c>
      <c r="B1460" t="s">
        <v>2331</v>
      </c>
      <c r="C1460" s="3">
        <v>45869</v>
      </c>
      <c r="D1460">
        <v>14</v>
      </c>
      <c r="E1460" s="3">
        <f t="shared" si="22"/>
        <v>45853</v>
      </c>
      <c r="F1460" s="3">
        <f>IF(TableRefills3[[#This Row],[prev_refill_days]]="","",TableRefills3[[#This Row],[prev_refill_days]]+TableRefills3[[#This Row],[quantity_days]])</f>
        <v>45867</v>
      </c>
      <c r="G1460">
        <f>IF(TableRefills3[[#This Row],[prev_refill_end]]="","",TableRefills3[[#This Row],[refill_date]]-TableRefills3[[#This Row],[prev_refill_end]])</f>
        <v>2</v>
      </c>
      <c r="H1460" s="10">
        <f>IF(TableRefills3[[#This Row],[gap_days]]="",0,IF(TableRefills3[[#This Row],[gap_days]]&gt;2,1,0))</f>
        <v>0</v>
      </c>
      <c r="I1460">
        <f>_xlfn.MAXIFS(TableRefills3[discountinuation_flag], TableRefills3[patient_id], A1460)</f>
        <v>1</v>
      </c>
    </row>
    <row r="1461" spans="1:9" x14ac:dyDescent="0.25">
      <c r="A1461" t="s">
        <v>2330</v>
      </c>
      <c r="B1461" t="s">
        <v>2331</v>
      </c>
      <c r="C1461" s="3">
        <v>45881</v>
      </c>
      <c r="D1461">
        <v>14</v>
      </c>
      <c r="E1461" s="3">
        <f t="shared" si="22"/>
        <v>45869</v>
      </c>
      <c r="F1461" s="3">
        <f>IF(TableRefills3[[#This Row],[prev_refill_days]]="","",TableRefills3[[#This Row],[prev_refill_days]]+TableRefills3[[#This Row],[quantity_days]])</f>
        <v>45883</v>
      </c>
      <c r="G1461">
        <f>IF(TableRefills3[[#This Row],[prev_refill_end]]="","",TableRefills3[[#This Row],[refill_date]]-TableRefills3[[#This Row],[prev_refill_end]])</f>
        <v>-2</v>
      </c>
      <c r="H1461" s="10">
        <f>IF(TableRefills3[[#This Row],[gap_days]]="",0,IF(TableRefills3[[#This Row],[gap_days]]&gt;2,1,0))</f>
        <v>0</v>
      </c>
      <c r="I1461">
        <f>_xlfn.MAXIFS(TableRefills3[discountinuation_flag], TableRefills3[patient_id], A1461)</f>
        <v>1</v>
      </c>
    </row>
    <row r="1462" spans="1:9" x14ac:dyDescent="0.25">
      <c r="A1462" t="s">
        <v>2330</v>
      </c>
      <c r="B1462" t="s">
        <v>2331</v>
      </c>
      <c r="C1462" s="3">
        <v>45894</v>
      </c>
      <c r="D1462">
        <v>14</v>
      </c>
      <c r="E1462" s="3">
        <f t="shared" si="22"/>
        <v>45881</v>
      </c>
      <c r="F1462" s="3">
        <f>IF(TableRefills3[[#This Row],[prev_refill_days]]="","",TableRefills3[[#This Row],[prev_refill_days]]+TableRefills3[[#This Row],[quantity_days]])</f>
        <v>45895</v>
      </c>
      <c r="G1462">
        <f>IF(TableRefills3[[#This Row],[prev_refill_end]]="","",TableRefills3[[#This Row],[refill_date]]-TableRefills3[[#This Row],[prev_refill_end]])</f>
        <v>-1</v>
      </c>
      <c r="H1462" s="10">
        <f>IF(TableRefills3[[#This Row],[gap_days]]="",0,IF(TableRefills3[[#This Row],[gap_days]]&gt;2,1,0))</f>
        <v>0</v>
      </c>
      <c r="I1462">
        <f>_xlfn.MAXIFS(TableRefills3[discountinuation_flag], TableRefills3[patient_id], A1462)</f>
        <v>1</v>
      </c>
    </row>
    <row r="1463" spans="1:9" x14ac:dyDescent="0.25">
      <c r="A1463" t="s">
        <v>2330</v>
      </c>
      <c r="B1463" t="s">
        <v>2331</v>
      </c>
      <c r="C1463" s="3">
        <v>45907</v>
      </c>
      <c r="D1463">
        <v>14</v>
      </c>
      <c r="E1463" s="3">
        <f t="shared" si="22"/>
        <v>45894</v>
      </c>
      <c r="F1463" s="3">
        <f>IF(TableRefills3[[#This Row],[prev_refill_days]]="","",TableRefills3[[#This Row],[prev_refill_days]]+TableRefills3[[#This Row],[quantity_days]])</f>
        <v>45908</v>
      </c>
      <c r="G1463">
        <f>IF(TableRefills3[[#This Row],[prev_refill_end]]="","",TableRefills3[[#This Row],[refill_date]]-TableRefills3[[#This Row],[prev_refill_end]])</f>
        <v>-1</v>
      </c>
      <c r="H1463" s="10">
        <f>IF(TableRefills3[[#This Row],[gap_days]]="",0,IF(TableRefills3[[#This Row],[gap_days]]&gt;2,1,0))</f>
        <v>0</v>
      </c>
      <c r="I1463">
        <f>_xlfn.MAXIFS(TableRefills3[discountinuation_flag], TableRefills3[patient_id], A1463)</f>
        <v>1</v>
      </c>
    </row>
    <row r="1464" spans="1:9" x14ac:dyDescent="0.25">
      <c r="A1464" t="s">
        <v>2330</v>
      </c>
      <c r="B1464" t="s">
        <v>2331</v>
      </c>
      <c r="C1464" s="3">
        <v>45922</v>
      </c>
      <c r="D1464">
        <v>14</v>
      </c>
      <c r="E1464" s="3">
        <f t="shared" si="22"/>
        <v>45907</v>
      </c>
      <c r="F1464" s="3">
        <f>IF(TableRefills3[[#This Row],[prev_refill_days]]="","",TableRefills3[[#This Row],[prev_refill_days]]+TableRefills3[[#This Row],[quantity_days]])</f>
        <v>45921</v>
      </c>
      <c r="G1464">
        <f>IF(TableRefills3[[#This Row],[prev_refill_end]]="","",TableRefills3[[#This Row],[refill_date]]-TableRefills3[[#This Row],[prev_refill_end]])</f>
        <v>1</v>
      </c>
      <c r="H1464" s="10">
        <f>IF(TableRefills3[[#This Row],[gap_days]]="",0,IF(TableRefills3[[#This Row],[gap_days]]&gt;2,1,0))</f>
        <v>0</v>
      </c>
      <c r="I1464">
        <f>_xlfn.MAXIFS(TableRefills3[discountinuation_flag], TableRefills3[patient_id], A1464)</f>
        <v>1</v>
      </c>
    </row>
    <row r="1465" spans="1:9" x14ac:dyDescent="0.25">
      <c r="A1465" t="s">
        <v>2330</v>
      </c>
      <c r="B1465" t="s">
        <v>2331</v>
      </c>
      <c r="C1465" s="3">
        <v>45939</v>
      </c>
      <c r="D1465">
        <v>14</v>
      </c>
      <c r="E1465" s="3">
        <f t="shared" si="22"/>
        <v>45922</v>
      </c>
      <c r="F1465" s="3">
        <f>IF(TableRefills3[[#This Row],[prev_refill_days]]="","",TableRefills3[[#This Row],[prev_refill_days]]+TableRefills3[[#This Row],[quantity_days]])</f>
        <v>45936</v>
      </c>
      <c r="G1465">
        <f>IF(TableRefills3[[#This Row],[prev_refill_end]]="","",TableRefills3[[#This Row],[refill_date]]-TableRefills3[[#This Row],[prev_refill_end]])</f>
        <v>3</v>
      </c>
      <c r="H1465" s="10">
        <f>IF(TableRefills3[[#This Row],[gap_days]]="",0,IF(TableRefills3[[#This Row],[gap_days]]&gt;2,1,0))</f>
        <v>1</v>
      </c>
      <c r="I1465">
        <f>_xlfn.MAXIFS(TableRefills3[discountinuation_flag], TableRefills3[patient_id], A1465)</f>
        <v>1</v>
      </c>
    </row>
    <row r="1466" spans="1:9" x14ac:dyDescent="0.25">
      <c r="A1466" t="s">
        <v>2330</v>
      </c>
      <c r="B1466" t="s">
        <v>2331</v>
      </c>
      <c r="C1466" s="3">
        <v>45953</v>
      </c>
      <c r="D1466">
        <v>14</v>
      </c>
      <c r="E1466" s="3">
        <f t="shared" si="22"/>
        <v>45939</v>
      </c>
      <c r="F1466" s="3">
        <f>IF(TableRefills3[[#This Row],[prev_refill_days]]="","",TableRefills3[[#This Row],[prev_refill_days]]+TableRefills3[[#This Row],[quantity_days]])</f>
        <v>45953</v>
      </c>
      <c r="G1466">
        <f>IF(TableRefills3[[#This Row],[prev_refill_end]]="","",TableRefills3[[#This Row],[refill_date]]-TableRefills3[[#This Row],[prev_refill_end]])</f>
        <v>0</v>
      </c>
      <c r="H1466" s="10">
        <f>IF(TableRefills3[[#This Row],[gap_days]]="",0,IF(TableRefills3[[#This Row],[gap_days]]&gt;2,1,0))</f>
        <v>0</v>
      </c>
      <c r="I1466">
        <f>_xlfn.MAXIFS(TableRefills3[discountinuation_flag], TableRefills3[patient_id], A1466)</f>
        <v>1</v>
      </c>
    </row>
    <row r="1467" spans="1:9" x14ac:dyDescent="0.25">
      <c r="A1467" t="s">
        <v>2340</v>
      </c>
      <c r="B1467" t="s">
        <v>2341</v>
      </c>
      <c r="C1467" s="3">
        <v>45935</v>
      </c>
      <c r="D1467">
        <v>28</v>
      </c>
      <c r="E1467" s="3" t="str">
        <f t="shared" si="22"/>
        <v/>
      </c>
      <c r="F1467" s="3" t="str">
        <f>IF(TableRefills3[[#This Row],[prev_refill_days]]="","",TableRefills3[[#This Row],[prev_refill_days]]+TableRefills3[[#This Row],[quantity_days]])</f>
        <v/>
      </c>
      <c r="G1467" t="str">
        <f>IF(TableRefills3[[#This Row],[prev_refill_end]]="","",TableRefills3[[#This Row],[refill_date]]-TableRefills3[[#This Row],[prev_refill_end]])</f>
        <v/>
      </c>
      <c r="H1467" s="10">
        <f>IF(TableRefills3[[#This Row],[gap_days]]="",0,IF(TableRefills3[[#This Row],[gap_days]]&gt;2,1,0))</f>
        <v>0</v>
      </c>
      <c r="I1467">
        <f>_xlfn.MAXIFS(TableRefills3[discountinuation_flag], TableRefills3[patient_id], A1467)</f>
        <v>0</v>
      </c>
    </row>
    <row r="1468" spans="1:9" x14ac:dyDescent="0.25">
      <c r="A1468" t="s">
        <v>2343</v>
      </c>
      <c r="B1468" t="s">
        <v>2344</v>
      </c>
      <c r="C1468" s="3">
        <v>45834</v>
      </c>
      <c r="D1468">
        <v>56</v>
      </c>
      <c r="E1468" s="3" t="str">
        <f t="shared" si="22"/>
        <v/>
      </c>
      <c r="F1468" s="3" t="str">
        <f>IF(TableRefills3[[#This Row],[prev_refill_days]]="","",TableRefills3[[#This Row],[prev_refill_days]]+TableRefills3[[#This Row],[quantity_days]])</f>
        <v/>
      </c>
      <c r="G1468" t="str">
        <f>IF(TableRefills3[[#This Row],[prev_refill_end]]="","",TableRefills3[[#This Row],[refill_date]]-TableRefills3[[#This Row],[prev_refill_end]])</f>
        <v/>
      </c>
      <c r="H1468" s="10">
        <f>IF(TableRefills3[[#This Row],[gap_days]]="",0,IF(TableRefills3[[#This Row],[gap_days]]&gt;2,1,0))</f>
        <v>0</v>
      </c>
      <c r="I1468">
        <f>_xlfn.MAXIFS(TableRefills3[discountinuation_flag], TableRefills3[patient_id], A1468)</f>
        <v>0</v>
      </c>
    </row>
    <row r="1469" spans="1:9" x14ac:dyDescent="0.25">
      <c r="A1469" t="s">
        <v>2343</v>
      </c>
      <c r="B1469" t="s">
        <v>2344</v>
      </c>
      <c r="C1469" s="3">
        <v>45890</v>
      </c>
      <c r="D1469">
        <v>56</v>
      </c>
      <c r="E1469" s="3">
        <f t="shared" si="22"/>
        <v>45834</v>
      </c>
      <c r="F1469" s="3">
        <f>IF(TableRefills3[[#This Row],[prev_refill_days]]="","",TableRefills3[[#This Row],[prev_refill_days]]+TableRefills3[[#This Row],[quantity_days]])</f>
        <v>45890</v>
      </c>
      <c r="G1469">
        <f>IF(TableRefills3[[#This Row],[prev_refill_end]]="","",TableRefills3[[#This Row],[refill_date]]-TableRefills3[[#This Row],[prev_refill_end]])</f>
        <v>0</v>
      </c>
      <c r="H1469" s="10">
        <f>IF(TableRefills3[[#This Row],[gap_days]]="",0,IF(TableRefills3[[#This Row],[gap_days]]&gt;2,1,0))</f>
        <v>0</v>
      </c>
      <c r="I1469">
        <f>_xlfn.MAXIFS(TableRefills3[discountinuation_flag], TableRefills3[patient_id], A1469)</f>
        <v>0</v>
      </c>
    </row>
    <row r="1470" spans="1:9" x14ac:dyDescent="0.25">
      <c r="A1470" t="s">
        <v>2343</v>
      </c>
      <c r="B1470" t="s">
        <v>2344</v>
      </c>
      <c r="C1470" s="3">
        <v>45944</v>
      </c>
      <c r="D1470">
        <v>56</v>
      </c>
      <c r="E1470" s="3">
        <f t="shared" si="22"/>
        <v>45890</v>
      </c>
      <c r="F1470" s="3">
        <f>IF(TableRefills3[[#This Row],[prev_refill_days]]="","",TableRefills3[[#This Row],[prev_refill_days]]+TableRefills3[[#This Row],[quantity_days]])</f>
        <v>45946</v>
      </c>
      <c r="G1470">
        <f>IF(TableRefills3[[#This Row],[prev_refill_end]]="","",TableRefills3[[#This Row],[refill_date]]-TableRefills3[[#This Row],[prev_refill_end]])</f>
        <v>-2</v>
      </c>
      <c r="H1470" s="10">
        <f>IF(TableRefills3[[#This Row],[gap_days]]="",0,IF(TableRefills3[[#This Row],[gap_days]]&gt;2,1,0))</f>
        <v>0</v>
      </c>
      <c r="I1470">
        <f>_xlfn.MAXIFS(TableRefills3[discountinuation_flag], TableRefills3[patient_id], A1470)</f>
        <v>0</v>
      </c>
    </row>
    <row r="1471" spans="1:9" x14ac:dyDescent="0.25">
      <c r="A1471" t="s">
        <v>2348</v>
      </c>
      <c r="B1471" t="s">
        <v>2349</v>
      </c>
      <c r="C1471" s="3">
        <v>45900</v>
      </c>
      <c r="D1471">
        <v>28</v>
      </c>
      <c r="E1471" s="3" t="str">
        <f t="shared" si="22"/>
        <v/>
      </c>
      <c r="F1471" s="3" t="str">
        <f>IF(TableRefills3[[#This Row],[prev_refill_days]]="","",TableRefills3[[#This Row],[prev_refill_days]]+TableRefills3[[#This Row],[quantity_days]])</f>
        <v/>
      </c>
      <c r="G1471" t="str">
        <f>IF(TableRefills3[[#This Row],[prev_refill_end]]="","",TableRefills3[[#This Row],[refill_date]]-TableRefills3[[#This Row],[prev_refill_end]])</f>
        <v/>
      </c>
      <c r="H1471" s="10">
        <f>IF(TableRefills3[[#This Row],[gap_days]]="",0,IF(TableRefills3[[#This Row],[gap_days]]&gt;2,1,0))</f>
        <v>0</v>
      </c>
      <c r="I1471">
        <f>_xlfn.MAXIFS(TableRefills3[discountinuation_flag], TableRefills3[patient_id], A1471)</f>
        <v>1</v>
      </c>
    </row>
    <row r="1472" spans="1:9" x14ac:dyDescent="0.25">
      <c r="A1472" t="s">
        <v>2348</v>
      </c>
      <c r="B1472" t="s">
        <v>2349</v>
      </c>
      <c r="C1472" s="3">
        <v>45931</v>
      </c>
      <c r="D1472">
        <v>28</v>
      </c>
      <c r="E1472" s="3">
        <f t="shared" si="22"/>
        <v>45900</v>
      </c>
      <c r="F1472" s="3">
        <f>IF(TableRefills3[[#This Row],[prev_refill_days]]="","",TableRefills3[[#This Row],[prev_refill_days]]+TableRefills3[[#This Row],[quantity_days]])</f>
        <v>45928</v>
      </c>
      <c r="G1472">
        <f>IF(TableRefills3[[#This Row],[prev_refill_end]]="","",TableRefills3[[#This Row],[refill_date]]-TableRefills3[[#This Row],[prev_refill_end]])</f>
        <v>3</v>
      </c>
      <c r="H1472" s="10">
        <f>IF(TableRefills3[[#This Row],[gap_days]]="",0,IF(TableRefills3[[#This Row],[gap_days]]&gt;2,1,0))</f>
        <v>1</v>
      </c>
      <c r="I1472">
        <f>_xlfn.MAXIFS(TableRefills3[discountinuation_flag], TableRefills3[patient_id], A1472)</f>
        <v>1</v>
      </c>
    </row>
    <row r="1473" spans="1:9" x14ac:dyDescent="0.25">
      <c r="A1473" t="s">
        <v>2348</v>
      </c>
      <c r="B1473" t="s">
        <v>2349</v>
      </c>
      <c r="C1473" s="3">
        <v>45958</v>
      </c>
      <c r="D1473">
        <v>28</v>
      </c>
      <c r="E1473" s="3">
        <f t="shared" si="22"/>
        <v>45931</v>
      </c>
      <c r="F1473" s="3">
        <f>IF(TableRefills3[[#This Row],[prev_refill_days]]="","",TableRefills3[[#This Row],[prev_refill_days]]+TableRefills3[[#This Row],[quantity_days]])</f>
        <v>45959</v>
      </c>
      <c r="G1473">
        <f>IF(TableRefills3[[#This Row],[prev_refill_end]]="","",TableRefills3[[#This Row],[refill_date]]-TableRefills3[[#This Row],[prev_refill_end]])</f>
        <v>-1</v>
      </c>
      <c r="H1473" s="10">
        <f>IF(TableRefills3[[#This Row],[gap_days]]="",0,IF(TableRefills3[[#This Row],[gap_days]]&gt;2,1,0))</f>
        <v>0</v>
      </c>
      <c r="I1473">
        <f>_xlfn.MAXIFS(TableRefills3[discountinuation_flag], TableRefills3[patient_id], A1473)</f>
        <v>1</v>
      </c>
    </row>
    <row r="1474" spans="1:9" x14ac:dyDescent="0.25">
      <c r="A1474" t="s">
        <v>2353</v>
      </c>
      <c r="B1474" t="s">
        <v>2354</v>
      </c>
      <c r="C1474" s="3">
        <v>45894</v>
      </c>
      <c r="D1474">
        <v>28</v>
      </c>
      <c r="E1474" s="3" t="str">
        <f t="shared" ref="E1474:E1537" si="23">IF(A1473=A1474,C1473,"")</f>
        <v/>
      </c>
      <c r="F1474" s="3" t="str">
        <f>IF(TableRefills3[[#This Row],[prev_refill_days]]="","",TableRefills3[[#This Row],[prev_refill_days]]+TableRefills3[[#This Row],[quantity_days]])</f>
        <v/>
      </c>
      <c r="G1474" t="str">
        <f>IF(TableRefills3[[#This Row],[prev_refill_end]]="","",TableRefills3[[#This Row],[refill_date]]-TableRefills3[[#This Row],[prev_refill_end]])</f>
        <v/>
      </c>
      <c r="H1474" s="10">
        <f>IF(TableRefills3[[#This Row],[gap_days]]="",0,IF(TableRefills3[[#This Row],[gap_days]]&gt;2,1,0))</f>
        <v>0</v>
      </c>
      <c r="I1474">
        <f>_xlfn.MAXIFS(TableRefills3[discountinuation_flag], TableRefills3[patient_id], A1474)</f>
        <v>1</v>
      </c>
    </row>
    <row r="1475" spans="1:9" x14ac:dyDescent="0.25">
      <c r="A1475" t="s">
        <v>2353</v>
      </c>
      <c r="B1475" t="s">
        <v>2354</v>
      </c>
      <c r="C1475" s="3">
        <v>45923</v>
      </c>
      <c r="D1475">
        <v>28</v>
      </c>
      <c r="E1475" s="3">
        <f t="shared" si="23"/>
        <v>45894</v>
      </c>
      <c r="F1475" s="3">
        <f>IF(TableRefills3[[#This Row],[prev_refill_days]]="","",TableRefills3[[#This Row],[prev_refill_days]]+TableRefills3[[#This Row],[quantity_days]])</f>
        <v>45922</v>
      </c>
      <c r="G1475">
        <f>IF(TableRefills3[[#This Row],[prev_refill_end]]="","",TableRefills3[[#This Row],[refill_date]]-TableRefills3[[#This Row],[prev_refill_end]])</f>
        <v>1</v>
      </c>
      <c r="H1475" s="10">
        <f>IF(TableRefills3[[#This Row],[gap_days]]="",0,IF(TableRefills3[[#This Row],[gap_days]]&gt;2,1,0))</f>
        <v>0</v>
      </c>
      <c r="I1475">
        <f>_xlfn.MAXIFS(TableRefills3[discountinuation_flag], TableRefills3[patient_id], A1475)</f>
        <v>1</v>
      </c>
    </row>
    <row r="1476" spans="1:9" x14ac:dyDescent="0.25">
      <c r="A1476" t="s">
        <v>2353</v>
      </c>
      <c r="B1476" t="s">
        <v>2354</v>
      </c>
      <c r="C1476" s="3">
        <v>45954</v>
      </c>
      <c r="D1476">
        <v>28</v>
      </c>
      <c r="E1476" s="3">
        <f t="shared" si="23"/>
        <v>45923</v>
      </c>
      <c r="F1476" s="3">
        <f>IF(TableRefills3[[#This Row],[prev_refill_days]]="","",TableRefills3[[#This Row],[prev_refill_days]]+TableRefills3[[#This Row],[quantity_days]])</f>
        <v>45951</v>
      </c>
      <c r="G1476">
        <f>IF(TableRefills3[[#This Row],[prev_refill_end]]="","",TableRefills3[[#This Row],[refill_date]]-TableRefills3[[#This Row],[prev_refill_end]])</f>
        <v>3</v>
      </c>
      <c r="H1476" s="10">
        <f>IF(TableRefills3[[#This Row],[gap_days]]="",0,IF(TableRefills3[[#This Row],[gap_days]]&gt;2,1,0))</f>
        <v>1</v>
      </c>
      <c r="I1476">
        <f>_xlfn.MAXIFS(TableRefills3[discountinuation_flag], TableRefills3[patient_id], A1476)</f>
        <v>1</v>
      </c>
    </row>
    <row r="1477" spans="1:9" x14ac:dyDescent="0.25">
      <c r="A1477" t="s">
        <v>2358</v>
      </c>
      <c r="B1477" t="s">
        <v>2359</v>
      </c>
      <c r="C1477" s="3">
        <v>45933</v>
      </c>
      <c r="D1477">
        <v>28</v>
      </c>
      <c r="E1477" s="3" t="str">
        <f t="shared" si="23"/>
        <v/>
      </c>
      <c r="F1477" s="3" t="str">
        <f>IF(TableRefills3[[#This Row],[prev_refill_days]]="","",TableRefills3[[#This Row],[prev_refill_days]]+TableRefills3[[#This Row],[quantity_days]])</f>
        <v/>
      </c>
      <c r="G1477" t="str">
        <f>IF(TableRefills3[[#This Row],[prev_refill_end]]="","",TableRefills3[[#This Row],[refill_date]]-TableRefills3[[#This Row],[prev_refill_end]])</f>
        <v/>
      </c>
      <c r="H1477" s="10">
        <f>IF(TableRefills3[[#This Row],[gap_days]]="",0,IF(TableRefills3[[#This Row],[gap_days]]&gt;2,1,0))</f>
        <v>0</v>
      </c>
      <c r="I1477">
        <f>_xlfn.MAXIFS(TableRefills3[discountinuation_flag], TableRefills3[patient_id], A1477)</f>
        <v>0</v>
      </c>
    </row>
    <row r="1478" spans="1:9" x14ac:dyDescent="0.25">
      <c r="A1478" t="s">
        <v>2361</v>
      </c>
      <c r="B1478" t="s">
        <v>2362</v>
      </c>
      <c r="C1478" s="3">
        <v>45884</v>
      </c>
      <c r="D1478">
        <v>28</v>
      </c>
      <c r="E1478" s="3" t="str">
        <f t="shared" si="23"/>
        <v/>
      </c>
      <c r="F1478" s="3" t="str">
        <f>IF(TableRefills3[[#This Row],[prev_refill_days]]="","",TableRefills3[[#This Row],[prev_refill_days]]+TableRefills3[[#This Row],[quantity_days]])</f>
        <v/>
      </c>
      <c r="G1478" t="str">
        <f>IF(TableRefills3[[#This Row],[prev_refill_end]]="","",TableRefills3[[#This Row],[refill_date]]-TableRefills3[[#This Row],[prev_refill_end]])</f>
        <v/>
      </c>
      <c r="H1478" s="10">
        <f>IF(TableRefills3[[#This Row],[gap_days]]="",0,IF(TableRefills3[[#This Row],[gap_days]]&gt;2,1,0))</f>
        <v>0</v>
      </c>
      <c r="I1478">
        <f>_xlfn.MAXIFS(TableRefills3[discountinuation_flag], TableRefills3[patient_id], A1478)</f>
        <v>0</v>
      </c>
    </row>
    <row r="1479" spans="1:9" x14ac:dyDescent="0.25">
      <c r="A1479" t="s">
        <v>2361</v>
      </c>
      <c r="B1479" t="s">
        <v>2362</v>
      </c>
      <c r="C1479" s="3">
        <v>45910</v>
      </c>
      <c r="D1479">
        <v>28</v>
      </c>
      <c r="E1479" s="3">
        <f t="shared" si="23"/>
        <v>45884</v>
      </c>
      <c r="F1479" s="3">
        <f>IF(TableRefills3[[#This Row],[prev_refill_days]]="","",TableRefills3[[#This Row],[prev_refill_days]]+TableRefills3[[#This Row],[quantity_days]])</f>
        <v>45912</v>
      </c>
      <c r="G1479">
        <f>IF(TableRefills3[[#This Row],[prev_refill_end]]="","",TableRefills3[[#This Row],[refill_date]]-TableRefills3[[#This Row],[prev_refill_end]])</f>
        <v>-2</v>
      </c>
      <c r="H1479" s="10">
        <f>IF(TableRefills3[[#This Row],[gap_days]]="",0,IF(TableRefills3[[#This Row],[gap_days]]&gt;2,1,0))</f>
        <v>0</v>
      </c>
      <c r="I1479">
        <f>_xlfn.MAXIFS(TableRefills3[discountinuation_flag], TableRefills3[patient_id], A1479)</f>
        <v>0</v>
      </c>
    </row>
    <row r="1480" spans="1:9" x14ac:dyDescent="0.25">
      <c r="A1480" t="s">
        <v>2361</v>
      </c>
      <c r="B1480" t="s">
        <v>2362</v>
      </c>
      <c r="C1480" s="3">
        <v>45937</v>
      </c>
      <c r="D1480">
        <v>28</v>
      </c>
      <c r="E1480" s="3">
        <f t="shared" si="23"/>
        <v>45910</v>
      </c>
      <c r="F1480" s="3">
        <f>IF(TableRefills3[[#This Row],[prev_refill_days]]="","",TableRefills3[[#This Row],[prev_refill_days]]+TableRefills3[[#This Row],[quantity_days]])</f>
        <v>45938</v>
      </c>
      <c r="G1480">
        <f>IF(TableRefills3[[#This Row],[prev_refill_end]]="","",TableRefills3[[#This Row],[refill_date]]-TableRefills3[[#This Row],[prev_refill_end]])</f>
        <v>-1</v>
      </c>
      <c r="H1480" s="10">
        <f>IF(TableRefills3[[#This Row],[gap_days]]="",0,IF(TableRefills3[[#This Row],[gap_days]]&gt;2,1,0))</f>
        <v>0</v>
      </c>
      <c r="I1480">
        <f>_xlfn.MAXIFS(TableRefills3[discountinuation_flag], TableRefills3[patient_id], A1480)</f>
        <v>0</v>
      </c>
    </row>
    <row r="1481" spans="1:9" x14ac:dyDescent="0.25">
      <c r="A1481" t="s">
        <v>2366</v>
      </c>
      <c r="B1481" t="s">
        <v>2367</v>
      </c>
      <c r="C1481" s="3">
        <v>45918</v>
      </c>
      <c r="D1481">
        <v>56</v>
      </c>
      <c r="E1481" s="3" t="str">
        <f t="shared" si="23"/>
        <v/>
      </c>
      <c r="F1481" s="3" t="str">
        <f>IF(TableRefills3[[#This Row],[prev_refill_days]]="","",TableRefills3[[#This Row],[prev_refill_days]]+TableRefills3[[#This Row],[quantity_days]])</f>
        <v/>
      </c>
      <c r="G1481" t="str">
        <f>IF(TableRefills3[[#This Row],[prev_refill_end]]="","",TableRefills3[[#This Row],[refill_date]]-TableRefills3[[#This Row],[prev_refill_end]])</f>
        <v/>
      </c>
      <c r="H1481" s="10">
        <f>IF(TableRefills3[[#This Row],[gap_days]]="",0,IF(TableRefills3[[#This Row],[gap_days]]&gt;2,1,0))</f>
        <v>0</v>
      </c>
      <c r="I1481">
        <f>_xlfn.MAXIFS(TableRefills3[discountinuation_flag], TableRefills3[patient_id], A1481)</f>
        <v>0</v>
      </c>
    </row>
    <row r="1482" spans="1:9" x14ac:dyDescent="0.25">
      <c r="A1482" t="s">
        <v>2369</v>
      </c>
      <c r="B1482" t="s">
        <v>2370</v>
      </c>
      <c r="C1482" s="3">
        <v>45915</v>
      </c>
      <c r="D1482">
        <v>30</v>
      </c>
      <c r="E1482" s="3" t="str">
        <f t="shared" si="23"/>
        <v/>
      </c>
      <c r="F1482" s="3" t="str">
        <f>IF(TableRefills3[[#This Row],[prev_refill_days]]="","",TableRefills3[[#This Row],[prev_refill_days]]+TableRefills3[[#This Row],[quantity_days]])</f>
        <v/>
      </c>
      <c r="G1482" t="str">
        <f>IF(TableRefills3[[#This Row],[prev_refill_end]]="","",TableRefills3[[#This Row],[refill_date]]-TableRefills3[[#This Row],[prev_refill_end]])</f>
        <v/>
      </c>
      <c r="H1482" s="10">
        <f>IF(TableRefills3[[#This Row],[gap_days]]="",0,IF(TableRefills3[[#This Row],[gap_days]]&gt;2,1,0))</f>
        <v>0</v>
      </c>
      <c r="I1482">
        <f>_xlfn.MAXIFS(TableRefills3[discountinuation_flag], TableRefills3[patient_id], A1482)</f>
        <v>0</v>
      </c>
    </row>
    <row r="1483" spans="1:9" x14ac:dyDescent="0.25">
      <c r="A1483" t="s">
        <v>2369</v>
      </c>
      <c r="B1483" t="s">
        <v>2370</v>
      </c>
      <c r="C1483" s="3">
        <v>45947</v>
      </c>
      <c r="D1483">
        <v>30</v>
      </c>
      <c r="E1483" s="3">
        <f t="shared" si="23"/>
        <v>45915</v>
      </c>
      <c r="F1483" s="3">
        <f>IF(TableRefills3[[#This Row],[prev_refill_days]]="","",TableRefills3[[#This Row],[prev_refill_days]]+TableRefills3[[#This Row],[quantity_days]])</f>
        <v>45945</v>
      </c>
      <c r="G1483">
        <f>IF(TableRefills3[[#This Row],[prev_refill_end]]="","",TableRefills3[[#This Row],[refill_date]]-TableRefills3[[#This Row],[prev_refill_end]])</f>
        <v>2</v>
      </c>
      <c r="H1483" s="10">
        <f>IF(TableRefills3[[#This Row],[gap_days]]="",0,IF(TableRefills3[[#This Row],[gap_days]]&gt;2,1,0))</f>
        <v>0</v>
      </c>
      <c r="I1483">
        <f>_xlfn.MAXIFS(TableRefills3[discountinuation_flag], TableRefills3[patient_id], A1483)</f>
        <v>0</v>
      </c>
    </row>
    <row r="1484" spans="1:9" x14ac:dyDescent="0.25">
      <c r="A1484" t="s">
        <v>2373</v>
      </c>
      <c r="B1484" t="s">
        <v>2374</v>
      </c>
      <c r="C1484" s="3">
        <v>45948</v>
      </c>
      <c r="D1484">
        <v>28</v>
      </c>
      <c r="E1484" s="3" t="str">
        <f t="shared" si="23"/>
        <v/>
      </c>
      <c r="F1484" s="3" t="str">
        <f>IF(TableRefills3[[#This Row],[prev_refill_days]]="","",TableRefills3[[#This Row],[prev_refill_days]]+TableRefills3[[#This Row],[quantity_days]])</f>
        <v/>
      </c>
      <c r="G1484" t="str">
        <f>IF(TableRefills3[[#This Row],[prev_refill_end]]="","",TableRefills3[[#This Row],[refill_date]]-TableRefills3[[#This Row],[prev_refill_end]])</f>
        <v/>
      </c>
      <c r="H1484" s="10">
        <f>IF(TableRefills3[[#This Row],[gap_days]]="",0,IF(TableRefills3[[#This Row],[gap_days]]&gt;2,1,0))</f>
        <v>0</v>
      </c>
      <c r="I1484">
        <f>_xlfn.MAXIFS(TableRefills3[discountinuation_flag], TableRefills3[patient_id], A1484)</f>
        <v>0</v>
      </c>
    </row>
    <row r="1485" spans="1:9" x14ac:dyDescent="0.25">
      <c r="A1485" t="s">
        <v>2376</v>
      </c>
      <c r="B1485" t="s">
        <v>2377</v>
      </c>
      <c r="C1485" s="3">
        <v>45833</v>
      </c>
      <c r="D1485">
        <v>21</v>
      </c>
      <c r="E1485" s="3" t="str">
        <f t="shared" si="23"/>
        <v/>
      </c>
      <c r="F1485" s="3" t="str">
        <f>IF(TableRefills3[[#This Row],[prev_refill_days]]="","",TableRefills3[[#This Row],[prev_refill_days]]+TableRefills3[[#This Row],[quantity_days]])</f>
        <v/>
      </c>
      <c r="G1485" t="str">
        <f>IF(TableRefills3[[#This Row],[prev_refill_end]]="","",TableRefills3[[#This Row],[refill_date]]-TableRefills3[[#This Row],[prev_refill_end]])</f>
        <v/>
      </c>
      <c r="H1485" s="10">
        <f>IF(TableRefills3[[#This Row],[gap_days]]="",0,IF(TableRefills3[[#This Row],[gap_days]]&gt;2,1,0))</f>
        <v>0</v>
      </c>
      <c r="I1485">
        <f>_xlfn.MAXIFS(TableRefills3[discountinuation_flag], TableRefills3[patient_id], A1485)</f>
        <v>1</v>
      </c>
    </row>
    <row r="1486" spans="1:9" x14ac:dyDescent="0.25">
      <c r="A1486" t="s">
        <v>2376</v>
      </c>
      <c r="B1486" t="s">
        <v>2377</v>
      </c>
      <c r="C1486" s="3">
        <v>45857</v>
      </c>
      <c r="D1486">
        <v>21</v>
      </c>
      <c r="E1486" s="3">
        <f t="shared" si="23"/>
        <v>45833</v>
      </c>
      <c r="F1486" s="3">
        <f>IF(TableRefills3[[#This Row],[prev_refill_days]]="","",TableRefills3[[#This Row],[prev_refill_days]]+TableRefills3[[#This Row],[quantity_days]])</f>
        <v>45854</v>
      </c>
      <c r="G1486">
        <f>IF(TableRefills3[[#This Row],[prev_refill_end]]="","",TableRefills3[[#This Row],[refill_date]]-TableRefills3[[#This Row],[prev_refill_end]])</f>
        <v>3</v>
      </c>
      <c r="H1486" s="10">
        <f>IF(TableRefills3[[#This Row],[gap_days]]="",0,IF(TableRefills3[[#This Row],[gap_days]]&gt;2,1,0))</f>
        <v>1</v>
      </c>
      <c r="I1486">
        <f>_xlfn.MAXIFS(TableRefills3[discountinuation_flag], TableRefills3[patient_id], A1486)</f>
        <v>1</v>
      </c>
    </row>
    <row r="1487" spans="1:9" x14ac:dyDescent="0.25">
      <c r="A1487" t="s">
        <v>2376</v>
      </c>
      <c r="B1487" t="s">
        <v>2377</v>
      </c>
      <c r="C1487" s="3">
        <v>45877</v>
      </c>
      <c r="D1487">
        <v>21</v>
      </c>
      <c r="E1487" s="3">
        <f t="shared" si="23"/>
        <v>45857</v>
      </c>
      <c r="F1487" s="3">
        <f>IF(TableRefills3[[#This Row],[prev_refill_days]]="","",TableRefills3[[#This Row],[prev_refill_days]]+TableRefills3[[#This Row],[quantity_days]])</f>
        <v>45878</v>
      </c>
      <c r="G1487">
        <f>IF(TableRefills3[[#This Row],[prev_refill_end]]="","",TableRefills3[[#This Row],[refill_date]]-TableRefills3[[#This Row],[prev_refill_end]])</f>
        <v>-1</v>
      </c>
      <c r="H1487" s="10">
        <f>IF(TableRefills3[[#This Row],[gap_days]]="",0,IF(TableRefills3[[#This Row],[gap_days]]&gt;2,1,0))</f>
        <v>0</v>
      </c>
      <c r="I1487">
        <f>_xlfn.MAXIFS(TableRefills3[discountinuation_flag], TableRefills3[patient_id], A1487)</f>
        <v>1</v>
      </c>
    </row>
    <row r="1488" spans="1:9" x14ac:dyDescent="0.25">
      <c r="A1488" t="s">
        <v>2376</v>
      </c>
      <c r="B1488" t="s">
        <v>2377</v>
      </c>
      <c r="C1488" s="3">
        <v>45899</v>
      </c>
      <c r="D1488">
        <v>21</v>
      </c>
      <c r="E1488" s="3">
        <f t="shared" si="23"/>
        <v>45877</v>
      </c>
      <c r="F1488" s="3">
        <f>IF(TableRefills3[[#This Row],[prev_refill_days]]="","",TableRefills3[[#This Row],[prev_refill_days]]+TableRefills3[[#This Row],[quantity_days]])</f>
        <v>45898</v>
      </c>
      <c r="G1488">
        <f>IF(TableRefills3[[#This Row],[prev_refill_end]]="","",TableRefills3[[#This Row],[refill_date]]-TableRefills3[[#This Row],[prev_refill_end]])</f>
        <v>1</v>
      </c>
      <c r="H1488" s="10">
        <f>IF(TableRefills3[[#This Row],[gap_days]]="",0,IF(TableRefills3[[#This Row],[gap_days]]&gt;2,1,0))</f>
        <v>0</v>
      </c>
      <c r="I1488">
        <f>_xlfn.MAXIFS(TableRefills3[discountinuation_flag], TableRefills3[patient_id], A1488)</f>
        <v>1</v>
      </c>
    </row>
    <row r="1489" spans="1:9" x14ac:dyDescent="0.25">
      <c r="A1489" t="s">
        <v>2376</v>
      </c>
      <c r="B1489" t="s">
        <v>2377</v>
      </c>
      <c r="C1489" s="3">
        <v>45920</v>
      </c>
      <c r="D1489">
        <v>21</v>
      </c>
      <c r="E1489" s="3">
        <f t="shared" si="23"/>
        <v>45899</v>
      </c>
      <c r="F1489" s="3">
        <f>IF(TableRefills3[[#This Row],[prev_refill_days]]="","",TableRefills3[[#This Row],[prev_refill_days]]+TableRefills3[[#This Row],[quantity_days]])</f>
        <v>45920</v>
      </c>
      <c r="G1489">
        <f>IF(TableRefills3[[#This Row],[prev_refill_end]]="","",TableRefills3[[#This Row],[refill_date]]-TableRefills3[[#This Row],[prev_refill_end]])</f>
        <v>0</v>
      </c>
      <c r="H1489" s="10">
        <f>IF(TableRefills3[[#This Row],[gap_days]]="",0,IF(TableRefills3[[#This Row],[gap_days]]&gt;2,1,0))</f>
        <v>0</v>
      </c>
      <c r="I1489">
        <f>_xlfn.MAXIFS(TableRefills3[discountinuation_flag], TableRefills3[patient_id], A1489)</f>
        <v>1</v>
      </c>
    </row>
    <row r="1490" spans="1:9" x14ac:dyDescent="0.25">
      <c r="A1490" t="s">
        <v>2376</v>
      </c>
      <c r="B1490" t="s">
        <v>2377</v>
      </c>
      <c r="C1490" s="3">
        <v>45939</v>
      </c>
      <c r="D1490">
        <v>21</v>
      </c>
      <c r="E1490" s="3">
        <f t="shared" si="23"/>
        <v>45920</v>
      </c>
      <c r="F1490" s="3">
        <f>IF(TableRefills3[[#This Row],[prev_refill_days]]="","",TableRefills3[[#This Row],[prev_refill_days]]+TableRefills3[[#This Row],[quantity_days]])</f>
        <v>45941</v>
      </c>
      <c r="G1490">
        <f>IF(TableRefills3[[#This Row],[prev_refill_end]]="","",TableRefills3[[#This Row],[refill_date]]-TableRefills3[[#This Row],[prev_refill_end]])</f>
        <v>-2</v>
      </c>
      <c r="H1490" s="10">
        <f>IF(TableRefills3[[#This Row],[gap_days]]="",0,IF(TableRefills3[[#This Row],[gap_days]]&gt;2,1,0))</f>
        <v>0</v>
      </c>
      <c r="I1490">
        <f>_xlfn.MAXIFS(TableRefills3[discountinuation_flag], TableRefills3[patient_id], A1490)</f>
        <v>1</v>
      </c>
    </row>
    <row r="1491" spans="1:9" x14ac:dyDescent="0.25">
      <c r="A1491" t="s">
        <v>2384</v>
      </c>
      <c r="B1491" t="s">
        <v>2385</v>
      </c>
      <c r="C1491" s="3">
        <v>45841</v>
      </c>
      <c r="D1491">
        <v>21</v>
      </c>
      <c r="E1491" s="3" t="str">
        <f t="shared" si="23"/>
        <v/>
      </c>
      <c r="F1491" s="3" t="str">
        <f>IF(TableRefills3[[#This Row],[prev_refill_days]]="","",TableRefills3[[#This Row],[prev_refill_days]]+TableRefills3[[#This Row],[quantity_days]])</f>
        <v/>
      </c>
      <c r="G1491" t="str">
        <f>IF(TableRefills3[[#This Row],[prev_refill_end]]="","",TableRefills3[[#This Row],[refill_date]]-TableRefills3[[#This Row],[prev_refill_end]])</f>
        <v/>
      </c>
      <c r="H1491" s="10">
        <f>IF(TableRefills3[[#This Row],[gap_days]]="",0,IF(TableRefills3[[#This Row],[gap_days]]&gt;2,1,0))</f>
        <v>0</v>
      </c>
      <c r="I1491">
        <f>_xlfn.MAXIFS(TableRefills3[discountinuation_flag], TableRefills3[patient_id], A1491)</f>
        <v>0</v>
      </c>
    </row>
    <row r="1492" spans="1:9" x14ac:dyDescent="0.25">
      <c r="A1492" t="s">
        <v>2384</v>
      </c>
      <c r="B1492" t="s">
        <v>2385</v>
      </c>
      <c r="C1492" s="3">
        <v>45860</v>
      </c>
      <c r="D1492">
        <v>21</v>
      </c>
      <c r="E1492" s="3">
        <f t="shared" si="23"/>
        <v>45841</v>
      </c>
      <c r="F1492" s="3">
        <f>IF(TableRefills3[[#This Row],[prev_refill_days]]="","",TableRefills3[[#This Row],[prev_refill_days]]+TableRefills3[[#This Row],[quantity_days]])</f>
        <v>45862</v>
      </c>
      <c r="G1492">
        <f>IF(TableRefills3[[#This Row],[prev_refill_end]]="","",TableRefills3[[#This Row],[refill_date]]-TableRefills3[[#This Row],[prev_refill_end]])</f>
        <v>-2</v>
      </c>
      <c r="H1492" s="10">
        <f>IF(TableRefills3[[#This Row],[gap_days]]="",0,IF(TableRefills3[[#This Row],[gap_days]]&gt;2,1,0))</f>
        <v>0</v>
      </c>
      <c r="I1492">
        <f>_xlfn.MAXIFS(TableRefills3[discountinuation_flag], TableRefills3[patient_id], A1492)</f>
        <v>0</v>
      </c>
    </row>
    <row r="1493" spans="1:9" x14ac:dyDescent="0.25">
      <c r="A1493" t="s">
        <v>2384</v>
      </c>
      <c r="B1493" t="s">
        <v>2385</v>
      </c>
      <c r="C1493" s="3">
        <v>45879</v>
      </c>
      <c r="D1493">
        <v>21</v>
      </c>
      <c r="E1493" s="3">
        <f t="shared" si="23"/>
        <v>45860</v>
      </c>
      <c r="F1493" s="3">
        <f>IF(TableRefills3[[#This Row],[prev_refill_days]]="","",TableRefills3[[#This Row],[prev_refill_days]]+TableRefills3[[#This Row],[quantity_days]])</f>
        <v>45881</v>
      </c>
      <c r="G1493">
        <f>IF(TableRefills3[[#This Row],[prev_refill_end]]="","",TableRefills3[[#This Row],[refill_date]]-TableRefills3[[#This Row],[prev_refill_end]])</f>
        <v>-2</v>
      </c>
      <c r="H1493" s="10">
        <f>IF(TableRefills3[[#This Row],[gap_days]]="",0,IF(TableRefills3[[#This Row],[gap_days]]&gt;2,1,0))</f>
        <v>0</v>
      </c>
      <c r="I1493">
        <f>_xlfn.MAXIFS(TableRefills3[discountinuation_flag], TableRefills3[patient_id], A1493)</f>
        <v>0</v>
      </c>
    </row>
    <row r="1494" spans="1:9" x14ac:dyDescent="0.25">
      <c r="A1494" t="s">
        <v>2384</v>
      </c>
      <c r="B1494" t="s">
        <v>2385</v>
      </c>
      <c r="C1494" s="3">
        <v>45899</v>
      </c>
      <c r="D1494">
        <v>21</v>
      </c>
      <c r="E1494" s="3">
        <f t="shared" si="23"/>
        <v>45879</v>
      </c>
      <c r="F1494" s="3">
        <f>IF(TableRefills3[[#This Row],[prev_refill_days]]="","",TableRefills3[[#This Row],[prev_refill_days]]+TableRefills3[[#This Row],[quantity_days]])</f>
        <v>45900</v>
      </c>
      <c r="G1494">
        <f>IF(TableRefills3[[#This Row],[prev_refill_end]]="","",TableRefills3[[#This Row],[refill_date]]-TableRefills3[[#This Row],[prev_refill_end]])</f>
        <v>-1</v>
      </c>
      <c r="H1494" s="10">
        <f>IF(TableRefills3[[#This Row],[gap_days]]="",0,IF(TableRefills3[[#This Row],[gap_days]]&gt;2,1,0))</f>
        <v>0</v>
      </c>
      <c r="I1494">
        <f>_xlfn.MAXIFS(TableRefills3[discountinuation_flag], TableRefills3[patient_id], A1494)</f>
        <v>0</v>
      </c>
    </row>
    <row r="1495" spans="1:9" x14ac:dyDescent="0.25">
      <c r="A1495" t="s">
        <v>2384</v>
      </c>
      <c r="B1495" t="s">
        <v>2385</v>
      </c>
      <c r="C1495" s="3">
        <v>45922</v>
      </c>
      <c r="D1495">
        <v>21</v>
      </c>
      <c r="E1495" s="3">
        <f t="shared" si="23"/>
        <v>45899</v>
      </c>
      <c r="F1495" s="3">
        <f>IF(TableRefills3[[#This Row],[prev_refill_days]]="","",TableRefills3[[#This Row],[prev_refill_days]]+TableRefills3[[#This Row],[quantity_days]])</f>
        <v>45920</v>
      </c>
      <c r="G1495">
        <f>IF(TableRefills3[[#This Row],[prev_refill_end]]="","",TableRefills3[[#This Row],[refill_date]]-TableRefills3[[#This Row],[prev_refill_end]])</f>
        <v>2</v>
      </c>
      <c r="H1495" s="10">
        <f>IF(TableRefills3[[#This Row],[gap_days]]="",0,IF(TableRefills3[[#This Row],[gap_days]]&gt;2,1,0))</f>
        <v>0</v>
      </c>
      <c r="I1495">
        <f>_xlfn.MAXIFS(TableRefills3[discountinuation_flag], TableRefills3[patient_id], A1495)</f>
        <v>0</v>
      </c>
    </row>
    <row r="1496" spans="1:9" x14ac:dyDescent="0.25">
      <c r="A1496" t="s">
        <v>2384</v>
      </c>
      <c r="B1496" t="s">
        <v>2385</v>
      </c>
      <c r="C1496" s="3">
        <v>45945</v>
      </c>
      <c r="D1496">
        <v>21</v>
      </c>
      <c r="E1496" s="3">
        <f t="shared" si="23"/>
        <v>45922</v>
      </c>
      <c r="F1496" s="3">
        <f>IF(TableRefills3[[#This Row],[prev_refill_days]]="","",TableRefills3[[#This Row],[prev_refill_days]]+TableRefills3[[#This Row],[quantity_days]])</f>
        <v>45943</v>
      </c>
      <c r="G1496">
        <f>IF(TableRefills3[[#This Row],[prev_refill_end]]="","",TableRefills3[[#This Row],[refill_date]]-TableRefills3[[#This Row],[prev_refill_end]])</f>
        <v>2</v>
      </c>
      <c r="H1496" s="10">
        <f>IF(TableRefills3[[#This Row],[gap_days]]="",0,IF(TableRefills3[[#This Row],[gap_days]]&gt;2,1,0))</f>
        <v>0</v>
      </c>
      <c r="I1496">
        <f>_xlfn.MAXIFS(TableRefills3[discountinuation_flag], TableRefills3[patient_id], A1496)</f>
        <v>0</v>
      </c>
    </row>
    <row r="1497" spans="1:9" x14ac:dyDescent="0.25">
      <c r="A1497" t="s">
        <v>2392</v>
      </c>
      <c r="B1497" t="s">
        <v>2393</v>
      </c>
      <c r="C1497" s="3">
        <v>45930</v>
      </c>
      <c r="D1497">
        <v>28</v>
      </c>
      <c r="E1497" s="3" t="str">
        <f t="shared" si="23"/>
        <v/>
      </c>
      <c r="F1497" s="3" t="str">
        <f>IF(TableRefills3[[#This Row],[prev_refill_days]]="","",TableRefills3[[#This Row],[prev_refill_days]]+TableRefills3[[#This Row],[quantity_days]])</f>
        <v/>
      </c>
      <c r="G1497" t="str">
        <f>IF(TableRefills3[[#This Row],[prev_refill_end]]="","",TableRefills3[[#This Row],[refill_date]]-TableRefills3[[#This Row],[prev_refill_end]])</f>
        <v/>
      </c>
      <c r="H1497" s="10">
        <f>IF(TableRefills3[[#This Row],[gap_days]]="",0,IF(TableRefills3[[#This Row],[gap_days]]&gt;2,1,0))</f>
        <v>0</v>
      </c>
      <c r="I1497">
        <f>_xlfn.MAXIFS(TableRefills3[discountinuation_flag], TableRefills3[patient_id], A1497)</f>
        <v>0</v>
      </c>
    </row>
    <row r="1498" spans="1:9" x14ac:dyDescent="0.25">
      <c r="A1498" t="s">
        <v>2392</v>
      </c>
      <c r="B1498" t="s">
        <v>2393</v>
      </c>
      <c r="C1498" s="3">
        <v>45958</v>
      </c>
      <c r="D1498">
        <v>28</v>
      </c>
      <c r="E1498" s="3">
        <f t="shared" si="23"/>
        <v>45930</v>
      </c>
      <c r="F1498" s="3">
        <f>IF(TableRefills3[[#This Row],[prev_refill_days]]="","",TableRefills3[[#This Row],[prev_refill_days]]+TableRefills3[[#This Row],[quantity_days]])</f>
        <v>45958</v>
      </c>
      <c r="G1498">
        <f>IF(TableRefills3[[#This Row],[prev_refill_end]]="","",TableRefills3[[#This Row],[refill_date]]-TableRefills3[[#This Row],[prev_refill_end]])</f>
        <v>0</v>
      </c>
      <c r="H1498" s="10">
        <f>IF(TableRefills3[[#This Row],[gap_days]]="",0,IF(TableRefills3[[#This Row],[gap_days]]&gt;2,1,0))</f>
        <v>0</v>
      </c>
      <c r="I1498">
        <f>_xlfn.MAXIFS(TableRefills3[discountinuation_flag], TableRefills3[patient_id], A1498)</f>
        <v>0</v>
      </c>
    </row>
    <row r="1499" spans="1:9" x14ac:dyDescent="0.25">
      <c r="A1499" t="s">
        <v>2396</v>
      </c>
      <c r="B1499" t="s">
        <v>2397</v>
      </c>
      <c r="C1499" s="3">
        <v>45798</v>
      </c>
      <c r="D1499">
        <v>28</v>
      </c>
      <c r="E1499" s="3" t="str">
        <f t="shared" si="23"/>
        <v/>
      </c>
      <c r="F1499" s="3" t="str">
        <f>IF(TableRefills3[[#This Row],[prev_refill_days]]="","",TableRefills3[[#This Row],[prev_refill_days]]+TableRefills3[[#This Row],[quantity_days]])</f>
        <v/>
      </c>
      <c r="G1499" t="str">
        <f>IF(TableRefills3[[#This Row],[prev_refill_end]]="","",TableRefills3[[#This Row],[refill_date]]-TableRefills3[[#This Row],[prev_refill_end]])</f>
        <v/>
      </c>
      <c r="H1499" s="10">
        <f>IF(TableRefills3[[#This Row],[gap_days]]="",0,IF(TableRefills3[[#This Row],[gap_days]]&gt;2,1,0))</f>
        <v>0</v>
      </c>
      <c r="I1499">
        <f>_xlfn.MAXIFS(TableRefills3[discountinuation_flag], TableRefills3[patient_id], A1499)</f>
        <v>1</v>
      </c>
    </row>
    <row r="1500" spans="1:9" x14ac:dyDescent="0.25">
      <c r="A1500" t="s">
        <v>2396</v>
      </c>
      <c r="B1500" t="s">
        <v>2397</v>
      </c>
      <c r="C1500" s="3">
        <v>45826</v>
      </c>
      <c r="D1500">
        <v>28</v>
      </c>
      <c r="E1500" s="3">
        <f t="shared" si="23"/>
        <v>45798</v>
      </c>
      <c r="F1500" s="3">
        <f>IF(TableRefills3[[#This Row],[prev_refill_days]]="","",TableRefills3[[#This Row],[prev_refill_days]]+TableRefills3[[#This Row],[quantity_days]])</f>
        <v>45826</v>
      </c>
      <c r="G1500">
        <f>IF(TableRefills3[[#This Row],[prev_refill_end]]="","",TableRefills3[[#This Row],[refill_date]]-TableRefills3[[#This Row],[prev_refill_end]])</f>
        <v>0</v>
      </c>
      <c r="H1500" s="10">
        <f>IF(TableRefills3[[#This Row],[gap_days]]="",0,IF(TableRefills3[[#This Row],[gap_days]]&gt;2,1,0))</f>
        <v>0</v>
      </c>
      <c r="I1500">
        <f>_xlfn.MAXIFS(TableRefills3[discountinuation_flag], TableRefills3[patient_id], A1500)</f>
        <v>1</v>
      </c>
    </row>
    <row r="1501" spans="1:9" x14ac:dyDescent="0.25">
      <c r="A1501" t="s">
        <v>2396</v>
      </c>
      <c r="B1501" t="s">
        <v>2397</v>
      </c>
      <c r="C1501" s="3">
        <v>45851</v>
      </c>
      <c r="D1501">
        <v>28</v>
      </c>
      <c r="E1501" s="3">
        <f t="shared" si="23"/>
        <v>45826</v>
      </c>
      <c r="F1501" s="3">
        <f>IF(TableRefills3[[#This Row],[prev_refill_days]]="","",TableRefills3[[#This Row],[prev_refill_days]]+TableRefills3[[#This Row],[quantity_days]])</f>
        <v>45854</v>
      </c>
      <c r="G1501">
        <f>IF(TableRefills3[[#This Row],[prev_refill_end]]="","",TableRefills3[[#This Row],[refill_date]]-TableRefills3[[#This Row],[prev_refill_end]])</f>
        <v>-3</v>
      </c>
      <c r="H1501" s="10">
        <f>IF(TableRefills3[[#This Row],[gap_days]]="",0,IF(TableRefills3[[#This Row],[gap_days]]&gt;2,1,0))</f>
        <v>0</v>
      </c>
      <c r="I1501">
        <f>_xlfn.MAXIFS(TableRefills3[discountinuation_flag], TableRefills3[patient_id], A1501)</f>
        <v>1</v>
      </c>
    </row>
    <row r="1502" spans="1:9" x14ac:dyDescent="0.25">
      <c r="A1502" t="s">
        <v>2396</v>
      </c>
      <c r="B1502" t="s">
        <v>2397</v>
      </c>
      <c r="C1502" s="3">
        <v>45882</v>
      </c>
      <c r="D1502">
        <v>28</v>
      </c>
      <c r="E1502" s="3">
        <f t="shared" si="23"/>
        <v>45851</v>
      </c>
      <c r="F1502" s="3">
        <f>IF(TableRefills3[[#This Row],[prev_refill_days]]="","",TableRefills3[[#This Row],[prev_refill_days]]+TableRefills3[[#This Row],[quantity_days]])</f>
        <v>45879</v>
      </c>
      <c r="G1502">
        <f>IF(TableRefills3[[#This Row],[prev_refill_end]]="","",TableRefills3[[#This Row],[refill_date]]-TableRefills3[[#This Row],[prev_refill_end]])</f>
        <v>3</v>
      </c>
      <c r="H1502" s="10">
        <f>IF(TableRefills3[[#This Row],[gap_days]]="",0,IF(TableRefills3[[#This Row],[gap_days]]&gt;2,1,0))</f>
        <v>1</v>
      </c>
      <c r="I1502">
        <f>_xlfn.MAXIFS(TableRefills3[discountinuation_flag], TableRefills3[patient_id], A1502)</f>
        <v>1</v>
      </c>
    </row>
    <row r="1503" spans="1:9" x14ac:dyDescent="0.25">
      <c r="A1503" t="s">
        <v>2396</v>
      </c>
      <c r="B1503" t="s">
        <v>2397</v>
      </c>
      <c r="C1503" s="3">
        <v>45911</v>
      </c>
      <c r="D1503">
        <v>28</v>
      </c>
      <c r="E1503" s="3">
        <f t="shared" si="23"/>
        <v>45882</v>
      </c>
      <c r="F1503" s="3">
        <f>IF(TableRefills3[[#This Row],[prev_refill_days]]="","",TableRefills3[[#This Row],[prev_refill_days]]+TableRefills3[[#This Row],[quantity_days]])</f>
        <v>45910</v>
      </c>
      <c r="G1503">
        <f>IF(TableRefills3[[#This Row],[prev_refill_end]]="","",TableRefills3[[#This Row],[refill_date]]-TableRefills3[[#This Row],[prev_refill_end]])</f>
        <v>1</v>
      </c>
      <c r="H1503" s="10">
        <f>IF(TableRefills3[[#This Row],[gap_days]]="",0,IF(TableRefills3[[#This Row],[gap_days]]&gt;2,1,0))</f>
        <v>0</v>
      </c>
      <c r="I1503">
        <f>_xlfn.MAXIFS(TableRefills3[discountinuation_flag], TableRefills3[patient_id], A1503)</f>
        <v>1</v>
      </c>
    </row>
    <row r="1504" spans="1:9" x14ac:dyDescent="0.25">
      <c r="A1504" t="s">
        <v>2396</v>
      </c>
      <c r="B1504" t="s">
        <v>2397</v>
      </c>
      <c r="C1504" s="3">
        <v>45936</v>
      </c>
      <c r="D1504">
        <v>28</v>
      </c>
      <c r="E1504" s="3">
        <f t="shared" si="23"/>
        <v>45911</v>
      </c>
      <c r="F1504" s="3">
        <f>IF(TableRefills3[[#This Row],[prev_refill_days]]="","",TableRefills3[[#This Row],[prev_refill_days]]+TableRefills3[[#This Row],[quantity_days]])</f>
        <v>45939</v>
      </c>
      <c r="G1504">
        <f>IF(TableRefills3[[#This Row],[prev_refill_end]]="","",TableRefills3[[#This Row],[refill_date]]-TableRefills3[[#This Row],[prev_refill_end]])</f>
        <v>-3</v>
      </c>
      <c r="H1504" s="10">
        <f>IF(TableRefills3[[#This Row],[gap_days]]="",0,IF(TableRefills3[[#This Row],[gap_days]]&gt;2,1,0))</f>
        <v>0</v>
      </c>
      <c r="I1504">
        <f>_xlfn.MAXIFS(TableRefills3[discountinuation_flag], TableRefills3[patient_id], A1504)</f>
        <v>1</v>
      </c>
    </row>
    <row r="1505" spans="1:9" x14ac:dyDescent="0.25">
      <c r="A1505" t="s">
        <v>2404</v>
      </c>
      <c r="B1505" t="s">
        <v>2405</v>
      </c>
      <c r="C1505" s="3">
        <v>45892</v>
      </c>
      <c r="D1505">
        <v>14</v>
      </c>
      <c r="E1505" s="3" t="str">
        <f t="shared" si="23"/>
        <v/>
      </c>
      <c r="F1505" s="3" t="str">
        <f>IF(TableRefills3[[#This Row],[prev_refill_days]]="","",TableRefills3[[#This Row],[prev_refill_days]]+TableRefills3[[#This Row],[quantity_days]])</f>
        <v/>
      </c>
      <c r="G1505" t="str">
        <f>IF(TableRefills3[[#This Row],[prev_refill_end]]="","",TableRefills3[[#This Row],[refill_date]]-TableRefills3[[#This Row],[prev_refill_end]])</f>
        <v/>
      </c>
      <c r="H1505" s="10">
        <f>IF(TableRefills3[[#This Row],[gap_days]]="",0,IF(TableRefills3[[#This Row],[gap_days]]&gt;2,1,0))</f>
        <v>0</v>
      </c>
      <c r="I1505">
        <f>_xlfn.MAXIFS(TableRefills3[discountinuation_flag], TableRefills3[patient_id], A1505)</f>
        <v>0</v>
      </c>
    </row>
    <row r="1506" spans="1:9" x14ac:dyDescent="0.25">
      <c r="A1506" t="s">
        <v>2404</v>
      </c>
      <c r="B1506" t="s">
        <v>2405</v>
      </c>
      <c r="C1506" s="3">
        <v>45904</v>
      </c>
      <c r="D1506">
        <v>14</v>
      </c>
      <c r="E1506" s="3">
        <f t="shared" si="23"/>
        <v>45892</v>
      </c>
      <c r="F1506" s="3">
        <f>IF(TableRefills3[[#This Row],[prev_refill_days]]="","",TableRefills3[[#This Row],[prev_refill_days]]+TableRefills3[[#This Row],[quantity_days]])</f>
        <v>45906</v>
      </c>
      <c r="G1506">
        <f>IF(TableRefills3[[#This Row],[prev_refill_end]]="","",TableRefills3[[#This Row],[refill_date]]-TableRefills3[[#This Row],[prev_refill_end]])</f>
        <v>-2</v>
      </c>
      <c r="H1506" s="10">
        <f>IF(TableRefills3[[#This Row],[gap_days]]="",0,IF(TableRefills3[[#This Row],[gap_days]]&gt;2,1,0))</f>
        <v>0</v>
      </c>
      <c r="I1506">
        <f>_xlfn.MAXIFS(TableRefills3[discountinuation_flag], TableRefills3[patient_id], A1506)</f>
        <v>0</v>
      </c>
    </row>
    <row r="1507" spans="1:9" x14ac:dyDescent="0.25">
      <c r="A1507" t="s">
        <v>2404</v>
      </c>
      <c r="B1507" t="s">
        <v>2405</v>
      </c>
      <c r="C1507" s="3">
        <v>45920</v>
      </c>
      <c r="D1507">
        <v>14</v>
      </c>
      <c r="E1507" s="3">
        <f t="shared" si="23"/>
        <v>45904</v>
      </c>
      <c r="F1507" s="3">
        <f>IF(TableRefills3[[#This Row],[prev_refill_days]]="","",TableRefills3[[#This Row],[prev_refill_days]]+TableRefills3[[#This Row],[quantity_days]])</f>
        <v>45918</v>
      </c>
      <c r="G1507">
        <f>IF(TableRefills3[[#This Row],[prev_refill_end]]="","",TableRefills3[[#This Row],[refill_date]]-TableRefills3[[#This Row],[prev_refill_end]])</f>
        <v>2</v>
      </c>
      <c r="H1507" s="10">
        <f>IF(TableRefills3[[#This Row],[gap_days]]="",0,IF(TableRefills3[[#This Row],[gap_days]]&gt;2,1,0))</f>
        <v>0</v>
      </c>
      <c r="I1507">
        <f>_xlfn.MAXIFS(TableRefills3[discountinuation_flag], TableRefills3[patient_id], A1507)</f>
        <v>0</v>
      </c>
    </row>
    <row r="1508" spans="1:9" x14ac:dyDescent="0.25">
      <c r="A1508" t="s">
        <v>2404</v>
      </c>
      <c r="B1508" t="s">
        <v>2405</v>
      </c>
      <c r="C1508" s="3">
        <v>45934</v>
      </c>
      <c r="D1508">
        <v>14</v>
      </c>
      <c r="E1508" s="3">
        <f t="shared" si="23"/>
        <v>45920</v>
      </c>
      <c r="F1508" s="3">
        <f>IF(TableRefills3[[#This Row],[prev_refill_days]]="","",TableRefills3[[#This Row],[prev_refill_days]]+TableRefills3[[#This Row],[quantity_days]])</f>
        <v>45934</v>
      </c>
      <c r="G1508">
        <f>IF(TableRefills3[[#This Row],[prev_refill_end]]="","",TableRefills3[[#This Row],[refill_date]]-TableRefills3[[#This Row],[prev_refill_end]])</f>
        <v>0</v>
      </c>
      <c r="H1508" s="10">
        <f>IF(TableRefills3[[#This Row],[gap_days]]="",0,IF(TableRefills3[[#This Row],[gap_days]]&gt;2,1,0))</f>
        <v>0</v>
      </c>
      <c r="I1508">
        <f>_xlfn.MAXIFS(TableRefills3[discountinuation_flag], TableRefills3[patient_id], A1508)</f>
        <v>0</v>
      </c>
    </row>
    <row r="1509" spans="1:9" x14ac:dyDescent="0.25">
      <c r="A1509" t="s">
        <v>2404</v>
      </c>
      <c r="B1509" t="s">
        <v>2405</v>
      </c>
      <c r="C1509" s="3">
        <v>45946</v>
      </c>
      <c r="D1509">
        <v>14</v>
      </c>
      <c r="E1509" s="3">
        <f t="shared" si="23"/>
        <v>45934</v>
      </c>
      <c r="F1509" s="3">
        <f>IF(TableRefills3[[#This Row],[prev_refill_days]]="","",TableRefills3[[#This Row],[prev_refill_days]]+TableRefills3[[#This Row],[quantity_days]])</f>
        <v>45948</v>
      </c>
      <c r="G1509">
        <f>IF(TableRefills3[[#This Row],[prev_refill_end]]="","",TableRefills3[[#This Row],[refill_date]]-TableRefills3[[#This Row],[prev_refill_end]])</f>
        <v>-2</v>
      </c>
      <c r="H1509" s="10">
        <f>IF(TableRefills3[[#This Row],[gap_days]]="",0,IF(TableRefills3[[#This Row],[gap_days]]&gt;2,1,0))</f>
        <v>0</v>
      </c>
      <c r="I1509">
        <f>_xlfn.MAXIFS(TableRefills3[discountinuation_flag], TableRefills3[patient_id], A1509)</f>
        <v>0</v>
      </c>
    </row>
    <row r="1510" spans="1:9" x14ac:dyDescent="0.25">
      <c r="A1510" t="s">
        <v>2411</v>
      </c>
      <c r="B1510" t="s">
        <v>2412</v>
      </c>
      <c r="C1510" s="3">
        <v>45958</v>
      </c>
      <c r="D1510">
        <v>21</v>
      </c>
      <c r="E1510" s="3" t="str">
        <f t="shared" si="23"/>
        <v/>
      </c>
      <c r="F1510" s="3" t="str">
        <f>IF(TableRefills3[[#This Row],[prev_refill_days]]="","",TableRefills3[[#This Row],[prev_refill_days]]+TableRefills3[[#This Row],[quantity_days]])</f>
        <v/>
      </c>
      <c r="G1510" t="str">
        <f>IF(TableRefills3[[#This Row],[prev_refill_end]]="","",TableRefills3[[#This Row],[refill_date]]-TableRefills3[[#This Row],[prev_refill_end]])</f>
        <v/>
      </c>
      <c r="H1510" s="10">
        <f>IF(TableRefills3[[#This Row],[gap_days]]="",0,IF(TableRefills3[[#This Row],[gap_days]]&gt;2,1,0))</f>
        <v>0</v>
      </c>
      <c r="I1510">
        <f>_xlfn.MAXIFS(TableRefills3[discountinuation_flag], TableRefills3[patient_id], A1510)</f>
        <v>0</v>
      </c>
    </row>
    <row r="1511" spans="1:9" x14ac:dyDescent="0.25">
      <c r="A1511" t="s">
        <v>2414</v>
      </c>
      <c r="B1511" t="s">
        <v>2415</v>
      </c>
      <c r="C1511" s="3">
        <v>45797</v>
      </c>
      <c r="D1511">
        <v>56</v>
      </c>
      <c r="E1511" s="3" t="str">
        <f t="shared" si="23"/>
        <v/>
      </c>
      <c r="F1511" s="3" t="str">
        <f>IF(TableRefills3[[#This Row],[prev_refill_days]]="","",TableRefills3[[#This Row],[prev_refill_days]]+TableRefills3[[#This Row],[quantity_days]])</f>
        <v/>
      </c>
      <c r="G1511" t="str">
        <f>IF(TableRefills3[[#This Row],[prev_refill_end]]="","",TableRefills3[[#This Row],[refill_date]]-TableRefills3[[#This Row],[prev_refill_end]])</f>
        <v/>
      </c>
      <c r="H1511" s="10">
        <f>IF(TableRefills3[[#This Row],[gap_days]]="",0,IF(TableRefills3[[#This Row],[gap_days]]&gt;2,1,0))</f>
        <v>0</v>
      </c>
      <c r="I1511">
        <f>_xlfn.MAXIFS(TableRefills3[discountinuation_flag], TableRefills3[patient_id], A1511)</f>
        <v>0</v>
      </c>
    </row>
    <row r="1512" spans="1:9" x14ac:dyDescent="0.25">
      <c r="A1512" t="s">
        <v>2414</v>
      </c>
      <c r="B1512" t="s">
        <v>2415</v>
      </c>
      <c r="C1512" s="3">
        <v>45851</v>
      </c>
      <c r="D1512">
        <v>56</v>
      </c>
      <c r="E1512" s="3">
        <f t="shared" si="23"/>
        <v>45797</v>
      </c>
      <c r="F1512" s="3">
        <f>IF(TableRefills3[[#This Row],[prev_refill_days]]="","",TableRefills3[[#This Row],[prev_refill_days]]+TableRefills3[[#This Row],[quantity_days]])</f>
        <v>45853</v>
      </c>
      <c r="G1512">
        <f>IF(TableRefills3[[#This Row],[prev_refill_end]]="","",TableRefills3[[#This Row],[refill_date]]-TableRefills3[[#This Row],[prev_refill_end]])</f>
        <v>-2</v>
      </c>
      <c r="H1512" s="10">
        <f>IF(TableRefills3[[#This Row],[gap_days]]="",0,IF(TableRefills3[[#This Row],[gap_days]]&gt;2,1,0))</f>
        <v>0</v>
      </c>
      <c r="I1512">
        <f>_xlfn.MAXIFS(TableRefills3[discountinuation_flag], TableRefills3[patient_id], A1512)</f>
        <v>0</v>
      </c>
    </row>
    <row r="1513" spans="1:9" x14ac:dyDescent="0.25">
      <c r="A1513" t="s">
        <v>2414</v>
      </c>
      <c r="B1513" t="s">
        <v>2415</v>
      </c>
      <c r="C1513" s="3">
        <v>45908</v>
      </c>
      <c r="D1513">
        <v>56</v>
      </c>
      <c r="E1513" s="3">
        <f t="shared" si="23"/>
        <v>45851</v>
      </c>
      <c r="F1513" s="3">
        <f>IF(TableRefills3[[#This Row],[prev_refill_days]]="","",TableRefills3[[#This Row],[prev_refill_days]]+TableRefills3[[#This Row],[quantity_days]])</f>
        <v>45907</v>
      </c>
      <c r="G1513">
        <f>IF(TableRefills3[[#This Row],[prev_refill_end]]="","",TableRefills3[[#This Row],[refill_date]]-TableRefills3[[#This Row],[prev_refill_end]])</f>
        <v>1</v>
      </c>
      <c r="H1513" s="10">
        <f>IF(TableRefills3[[#This Row],[gap_days]]="",0,IF(TableRefills3[[#This Row],[gap_days]]&gt;2,1,0))</f>
        <v>0</v>
      </c>
      <c r="I1513">
        <f>_xlfn.MAXIFS(TableRefills3[discountinuation_flag], TableRefills3[patient_id], A1513)</f>
        <v>0</v>
      </c>
    </row>
    <row r="1514" spans="1:9" x14ac:dyDescent="0.25">
      <c r="A1514" t="s">
        <v>2419</v>
      </c>
      <c r="B1514" t="s">
        <v>2420</v>
      </c>
      <c r="C1514" s="3">
        <v>45806</v>
      </c>
      <c r="D1514">
        <v>28</v>
      </c>
      <c r="E1514" s="3" t="str">
        <f t="shared" si="23"/>
        <v/>
      </c>
      <c r="F1514" s="3" t="str">
        <f>IF(TableRefills3[[#This Row],[prev_refill_days]]="","",TableRefills3[[#This Row],[prev_refill_days]]+TableRefills3[[#This Row],[quantity_days]])</f>
        <v/>
      </c>
      <c r="G1514" t="str">
        <f>IF(TableRefills3[[#This Row],[prev_refill_end]]="","",TableRefills3[[#This Row],[refill_date]]-TableRefills3[[#This Row],[prev_refill_end]])</f>
        <v/>
      </c>
      <c r="H1514" s="10">
        <f>IF(TableRefills3[[#This Row],[gap_days]]="",0,IF(TableRefills3[[#This Row],[gap_days]]&gt;2,1,0))</f>
        <v>0</v>
      </c>
      <c r="I1514">
        <f>_xlfn.MAXIFS(TableRefills3[discountinuation_flag], TableRefills3[patient_id], A1514)</f>
        <v>1</v>
      </c>
    </row>
    <row r="1515" spans="1:9" x14ac:dyDescent="0.25">
      <c r="A1515" t="s">
        <v>2419</v>
      </c>
      <c r="B1515" t="s">
        <v>2420</v>
      </c>
      <c r="C1515" s="3">
        <v>45831</v>
      </c>
      <c r="D1515">
        <v>28</v>
      </c>
      <c r="E1515" s="3">
        <f t="shared" si="23"/>
        <v>45806</v>
      </c>
      <c r="F1515" s="3">
        <f>IF(TableRefills3[[#This Row],[prev_refill_days]]="","",TableRefills3[[#This Row],[prev_refill_days]]+TableRefills3[[#This Row],[quantity_days]])</f>
        <v>45834</v>
      </c>
      <c r="G1515">
        <f>IF(TableRefills3[[#This Row],[prev_refill_end]]="","",TableRefills3[[#This Row],[refill_date]]-TableRefills3[[#This Row],[prev_refill_end]])</f>
        <v>-3</v>
      </c>
      <c r="H1515" s="10">
        <f>IF(TableRefills3[[#This Row],[gap_days]]="",0,IF(TableRefills3[[#This Row],[gap_days]]&gt;2,1,0))</f>
        <v>0</v>
      </c>
      <c r="I1515">
        <f>_xlfn.MAXIFS(TableRefills3[discountinuation_flag], TableRefills3[patient_id], A1515)</f>
        <v>1</v>
      </c>
    </row>
    <row r="1516" spans="1:9" x14ac:dyDescent="0.25">
      <c r="A1516" t="s">
        <v>2419</v>
      </c>
      <c r="B1516" t="s">
        <v>2420</v>
      </c>
      <c r="C1516" s="3">
        <v>45858</v>
      </c>
      <c r="D1516">
        <v>28</v>
      </c>
      <c r="E1516" s="3">
        <f t="shared" si="23"/>
        <v>45831</v>
      </c>
      <c r="F1516" s="3">
        <f>IF(TableRefills3[[#This Row],[prev_refill_days]]="","",TableRefills3[[#This Row],[prev_refill_days]]+TableRefills3[[#This Row],[quantity_days]])</f>
        <v>45859</v>
      </c>
      <c r="G1516">
        <f>IF(TableRefills3[[#This Row],[prev_refill_end]]="","",TableRefills3[[#This Row],[refill_date]]-TableRefills3[[#This Row],[prev_refill_end]])</f>
        <v>-1</v>
      </c>
      <c r="H1516" s="10">
        <f>IF(TableRefills3[[#This Row],[gap_days]]="",0,IF(TableRefills3[[#This Row],[gap_days]]&gt;2,1,0))</f>
        <v>0</v>
      </c>
      <c r="I1516">
        <f>_xlfn.MAXIFS(TableRefills3[discountinuation_flag], TableRefills3[patient_id], A1516)</f>
        <v>1</v>
      </c>
    </row>
    <row r="1517" spans="1:9" x14ac:dyDescent="0.25">
      <c r="A1517" t="s">
        <v>2419</v>
      </c>
      <c r="B1517" t="s">
        <v>2420</v>
      </c>
      <c r="C1517" s="3">
        <v>45885</v>
      </c>
      <c r="D1517">
        <v>28</v>
      </c>
      <c r="E1517" s="3">
        <f t="shared" si="23"/>
        <v>45858</v>
      </c>
      <c r="F1517" s="3">
        <f>IF(TableRefills3[[#This Row],[prev_refill_days]]="","",TableRefills3[[#This Row],[prev_refill_days]]+TableRefills3[[#This Row],[quantity_days]])</f>
        <v>45886</v>
      </c>
      <c r="G1517">
        <f>IF(TableRefills3[[#This Row],[prev_refill_end]]="","",TableRefills3[[#This Row],[refill_date]]-TableRefills3[[#This Row],[prev_refill_end]])</f>
        <v>-1</v>
      </c>
      <c r="H1517" s="10">
        <f>IF(TableRefills3[[#This Row],[gap_days]]="",0,IF(TableRefills3[[#This Row],[gap_days]]&gt;2,1,0))</f>
        <v>0</v>
      </c>
      <c r="I1517">
        <f>_xlfn.MAXIFS(TableRefills3[discountinuation_flag], TableRefills3[patient_id], A1517)</f>
        <v>1</v>
      </c>
    </row>
    <row r="1518" spans="1:9" x14ac:dyDescent="0.25">
      <c r="A1518" t="s">
        <v>2419</v>
      </c>
      <c r="B1518" t="s">
        <v>2420</v>
      </c>
      <c r="C1518" s="3">
        <v>45913</v>
      </c>
      <c r="D1518">
        <v>28</v>
      </c>
      <c r="E1518" s="3">
        <f t="shared" si="23"/>
        <v>45885</v>
      </c>
      <c r="F1518" s="3">
        <f>IF(TableRefills3[[#This Row],[prev_refill_days]]="","",TableRefills3[[#This Row],[prev_refill_days]]+TableRefills3[[#This Row],[quantity_days]])</f>
        <v>45913</v>
      </c>
      <c r="G1518">
        <f>IF(TableRefills3[[#This Row],[prev_refill_end]]="","",TableRefills3[[#This Row],[refill_date]]-TableRefills3[[#This Row],[prev_refill_end]])</f>
        <v>0</v>
      </c>
      <c r="H1518" s="10">
        <f>IF(TableRefills3[[#This Row],[gap_days]]="",0,IF(TableRefills3[[#This Row],[gap_days]]&gt;2,1,0))</f>
        <v>0</v>
      </c>
      <c r="I1518">
        <f>_xlfn.MAXIFS(TableRefills3[discountinuation_flag], TableRefills3[patient_id], A1518)</f>
        <v>1</v>
      </c>
    </row>
    <row r="1519" spans="1:9" x14ac:dyDescent="0.25">
      <c r="A1519" t="s">
        <v>2419</v>
      </c>
      <c r="B1519" t="s">
        <v>2420</v>
      </c>
      <c r="C1519" s="3">
        <v>45944</v>
      </c>
      <c r="D1519">
        <v>28</v>
      </c>
      <c r="E1519" s="3">
        <f t="shared" si="23"/>
        <v>45913</v>
      </c>
      <c r="F1519" s="3">
        <f>IF(TableRefills3[[#This Row],[prev_refill_days]]="","",TableRefills3[[#This Row],[prev_refill_days]]+TableRefills3[[#This Row],[quantity_days]])</f>
        <v>45941</v>
      </c>
      <c r="G1519">
        <f>IF(TableRefills3[[#This Row],[prev_refill_end]]="","",TableRefills3[[#This Row],[refill_date]]-TableRefills3[[#This Row],[prev_refill_end]])</f>
        <v>3</v>
      </c>
      <c r="H1519" s="10">
        <f>IF(TableRefills3[[#This Row],[gap_days]]="",0,IF(TableRefills3[[#This Row],[gap_days]]&gt;2,1,0))</f>
        <v>1</v>
      </c>
      <c r="I1519">
        <f>_xlfn.MAXIFS(TableRefills3[discountinuation_flag], TableRefills3[patient_id], A1519)</f>
        <v>1</v>
      </c>
    </row>
    <row r="1520" spans="1:9" x14ac:dyDescent="0.25">
      <c r="A1520" t="s">
        <v>2427</v>
      </c>
      <c r="B1520" t="s">
        <v>2428</v>
      </c>
      <c r="C1520" s="3">
        <v>45918</v>
      </c>
      <c r="D1520">
        <v>28</v>
      </c>
      <c r="E1520" s="3" t="str">
        <f t="shared" si="23"/>
        <v/>
      </c>
      <c r="F1520" s="3" t="str">
        <f>IF(TableRefills3[[#This Row],[prev_refill_days]]="","",TableRefills3[[#This Row],[prev_refill_days]]+TableRefills3[[#This Row],[quantity_days]])</f>
        <v/>
      </c>
      <c r="G1520" t="str">
        <f>IF(TableRefills3[[#This Row],[prev_refill_end]]="","",TableRefills3[[#This Row],[refill_date]]-TableRefills3[[#This Row],[prev_refill_end]])</f>
        <v/>
      </c>
      <c r="H1520" s="10">
        <f>IF(TableRefills3[[#This Row],[gap_days]]="",0,IF(TableRefills3[[#This Row],[gap_days]]&gt;2,1,0))</f>
        <v>0</v>
      </c>
      <c r="I1520">
        <f>_xlfn.MAXIFS(TableRefills3[discountinuation_flag], TableRefills3[patient_id], A1520)</f>
        <v>0</v>
      </c>
    </row>
    <row r="1521" spans="1:9" x14ac:dyDescent="0.25">
      <c r="A1521" t="s">
        <v>2427</v>
      </c>
      <c r="B1521" t="s">
        <v>2428</v>
      </c>
      <c r="C1521" s="3">
        <v>45946</v>
      </c>
      <c r="D1521">
        <v>28</v>
      </c>
      <c r="E1521" s="3">
        <f t="shared" si="23"/>
        <v>45918</v>
      </c>
      <c r="F1521" s="3">
        <f>IF(TableRefills3[[#This Row],[prev_refill_days]]="","",TableRefills3[[#This Row],[prev_refill_days]]+TableRefills3[[#This Row],[quantity_days]])</f>
        <v>45946</v>
      </c>
      <c r="G1521">
        <f>IF(TableRefills3[[#This Row],[prev_refill_end]]="","",TableRefills3[[#This Row],[refill_date]]-TableRefills3[[#This Row],[prev_refill_end]])</f>
        <v>0</v>
      </c>
      <c r="H1521" s="10">
        <f>IF(TableRefills3[[#This Row],[gap_days]]="",0,IF(TableRefills3[[#This Row],[gap_days]]&gt;2,1,0))</f>
        <v>0</v>
      </c>
      <c r="I1521">
        <f>_xlfn.MAXIFS(TableRefills3[discountinuation_flag], TableRefills3[patient_id], A1521)</f>
        <v>0</v>
      </c>
    </row>
    <row r="1522" spans="1:9" x14ac:dyDescent="0.25">
      <c r="A1522" t="s">
        <v>2431</v>
      </c>
      <c r="B1522" t="s">
        <v>2432</v>
      </c>
      <c r="C1522" s="3">
        <v>45829</v>
      </c>
      <c r="D1522">
        <v>28</v>
      </c>
      <c r="E1522" s="3" t="str">
        <f t="shared" si="23"/>
        <v/>
      </c>
      <c r="F1522" s="3" t="str">
        <f>IF(TableRefills3[[#This Row],[prev_refill_days]]="","",TableRefills3[[#This Row],[prev_refill_days]]+TableRefills3[[#This Row],[quantity_days]])</f>
        <v/>
      </c>
      <c r="G1522" t="str">
        <f>IF(TableRefills3[[#This Row],[prev_refill_end]]="","",TableRefills3[[#This Row],[refill_date]]-TableRefills3[[#This Row],[prev_refill_end]])</f>
        <v/>
      </c>
      <c r="H1522" s="10">
        <f>IF(TableRefills3[[#This Row],[gap_days]]="",0,IF(TableRefills3[[#This Row],[gap_days]]&gt;2,1,0))</f>
        <v>0</v>
      </c>
      <c r="I1522">
        <f>_xlfn.MAXIFS(TableRefills3[discountinuation_flag], TableRefills3[patient_id], A1522)</f>
        <v>0</v>
      </c>
    </row>
    <row r="1523" spans="1:9" x14ac:dyDescent="0.25">
      <c r="A1523" t="s">
        <v>2431</v>
      </c>
      <c r="B1523" t="s">
        <v>2432</v>
      </c>
      <c r="C1523" s="3">
        <v>45855</v>
      </c>
      <c r="D1523">
        <v>28</v>
      </c>
      <c r="E1523" s="3">
        <f t="shared" si="23"/>
        <v>45829</v>
      </c>
      <c r="F1523" s="3">
        <f>IF(TableRefills3[[#This Row],[prev_refill_days]]="","",TableRefills3[[#This Row],[prev_refill_days]]+TableRefills3[[#This Row],[quantity_days]])</f>
        <v>45857</v>
      </c>
      <c r="G1523">
        <f>IF(TableRefills3[[#This Row],[prev_refill_end]]="","",TableRefills3[[#This Row],[refill_date]]-TableRefills3[[#This Row],[prev_refill_end]])</f>
        <v>-2</v>
      </c>
      <c r="H1523" s="10">
        <f>IF(TableRefills3[[#This Row],[gap_days]]="",0,IF(TableRefills3[[#This Row],[gap_days]]&gt;2,1,0))</f>
        <v>0</v>
      </c>
      <c r="I1523">
        <f>_xlfn.MAXIFS(TableRefills3[discountinuation_flag], TableRefills3[patient_id], A1523)</f>
        <v>0</v>
      </c>
    </row>
    <row r="1524" spans="1:9" x14ac:dyDescent="0.25">
      <c r="A1524" t="s">
        <v>2431</v>
      </c>
      <c r="B1524" t="s">
        <v>2432</v>
      </c>
      <c r="C1524" s="3">
        <v>45884</v>
      </c>
      <c r="D1524">
        <v>28</v>
      </c>
      <c r="E1524" s="3">
        <f t="shared" si="23"/>
        <v>45855</v>
      </c>
      <c r="F1524" s="3">
        <f>IF(TableRefills3[[#This Row],[prev_refill_days]]="","",TableRefills3[[#This Row],[prev_refill_days]]+TableRefills3[[#This Row],[quantity_days]])</f>
        <v>45883</v>
      </c>
      <c r="G1524">
        <f>IF(TableRefills3[[#This Row],[prev_refill_end]]="","",TableRefills3[[#This Row],[refill_date]]-TableRefills3[[#This Row],[prev_refill_end]])</f>
        <v>1</v>
      </c>
      <c r="H1524" s="10">
        <f>IF(TableRefills3[[#This Row],[gap_days]]="",0,IF(TableRefills3[[#This Row],[gap_days]]&gt;2,1,0))</f>
        <v>0</v>
      </c>
      <c r="I1524">
        <f>_xlfn.MAXIFS(TableRefills3[discountinuation_flag], TableRefills3[patient_id], A1524)</f>
        <v>0</v>
      </c>
    </row>
    <row r="1525" spans="1:9" x14ac:dyDescent="0.25">
      <c r="A1525" t="s">
        <v>2431</v>
      </c>
      <c r="B1525" t="s">
        <v>2432</v>
      </c>
      <c r="C1525" s="3">
        <v>45914</v>
      </c>
      <c r="D1525">
        <v>28</v>
      </c>
      <c r="E1525" s="3">
        <f t="shared" si="23"/>
        <v>45884</v>
      </c>
      <c r="F1525" s="3">
        <f>IF(TableRefills3[[#This Row],[prev_refill_days]]="","",TableRefills3[[#This Row],[prev_refill_days]]+TableRefills3[[#This Row],[quantity_days]])</f>
        <v>45912</v>
      </c>
      <c r="G1525">
        <f>IF(TableRefills3[[#This Row],[prev_refill_end]]="","",TableRefills3[[#This Row],[refill_date]]-TableRefills3[[#This Row],[prev_refill_end]])</f>
        <v>2</v>
      </c>
      <c r="H1525" s="10">
        <f>IF(TableRefills3[[#This Row],[gap_days]]="",0,IF(TableRefills3[[#This Row],[gap_days]]&gt;2,1,0))</f>
        <v>0</v>
      </c>
      <c r="I1525">
        <f>_xlfn.MAXIFS(TableRefills3[discountinuation_flag], TableRefills3[patient_id], A1525)</f>
        <v>0</v>
      </c>
    </row>
    <row r="1526" spans="1:9" x14ac:dyDescent="0.25">
      <c r="A1526" t="s">
        <v>2431</v>
      </c>
      <c r="B1526" t="s">
        <v>2432</v>
      </c>
      <c r="C1526" s="3">
        <v>45944</v>
      </c>
      <c r="D1526">
        <v>28</v>
      </c>
      <c r="E1526" s="3">
        <f t="shared" si="23"/>
        <v>45914</v>
      </c>
      <c r="F1526" s="3">
        <f>IF(TableRefills3[[#This Row],[prev_refill_days]]="","",TableRefills3[[#This Row],[prev_refill_days]]+TableRefills3[[#This Row],[quantity_days]])</f>
        <v>45942</v>
      </c>
      <c r="G1526">
        <f>IF(TableRefills3[[#This Row],[prev_refill_end]]="","",TableRefills3[[#This Row],[refill_date]]-TableRefills3[[#This Row],[prev_refill_end]])</f>
        <v>2</v>
      </c>
      <c r="H1526" s="10">
        <f>IF(TableRefills3[[#This Row],[gap_days]]="",0,IF(TableRefills3[[#This Row],[gap_days]]&gt;2,1,0))</f>
        <v>0</v>
      </c>
      <c r="I1526">
        <f>_xlfn.MAXIFS(TableRefills3[discountinuation_flag], TableRefills3[patient_id], A1526)</f>
        <v>0</v>
      </c>
    </row>
    <row r="1527" spans="1:9" x14ac:dyDescent="0.25">
      <c r="A1527" t="s">
        <v>2438</v>
      </c>
      <c r="B1527" t="s">
        <v>2439</v>
      </c>
      <c r="C1527" s="3">
        <v>45915</v>
      </c>
      <c r="D1527">
        <v>28</v>
      </c>
      <c r="E1527" s="3" t="str">
        <f t="shared" si="23"/>
        <v/>
      </c>
      <c r="F1527" s="3" t="str">
        <f>IF(TableRefills3[[#This Row],[prev_refill_days]]="","",TableRefills3[[#This Row],[prev_refill_days]]+TableRefills3[[#This Row],[quantity_days]])</f>
        <v/>
      </c>
      <c r="G1527" t="str">
        <f>IF(TableRefills3[[#This Row],[prev_refill_end]]="","",TableRefills3[[#This Row],[refill_date]]-TableRefills3[[#This Row],[prev_refill_end]])</f>
        <v/>
      </c>
      <c r="H1527" s="10">
        <f>IF(TableRefills3[[#This Row],[gap_days]]="",0,IF(TableRefills3[[#This Row],[gap_days]]&gt;2,1,0))</f>
        <v>0</v>
      </c>
      <c r="I1527">
        <f>_xlfn.MAXIFS(TableRefills3[discountinuation_flag], TableRefills3[patient_id], A1527)</f>
        <v>0</v>
      </c>
    </row>
    <row r="1528" spans="1:9" x14ac:dyDescent="0.25">
      <c r="A1528" t="s">
        <v>2438</v>
      </c>
      <c r="B1528" t="s">
        <v>2439</v>
      </c>
      <c r="C1528" s="3">
        <v>45944</v>
      </c>
      <c r="D1528">
        <v>28</v>
      </c>
      <c r="E1528" s="3">
        <f t="shared" si="23"/>
        <v>45915</v>
      </c>
      <c r="F1528" s="3">
        <f>IF(TableRefills3[[#This Row],[prev_refill_days]]="","",TableRefills3[[#This Row],[prev_refill_days]]+TableRefills3[[#This Row],[quantity_days]])</f>
        <v>45943</v>
      </c>
      <c r="G1528">
        <f>IF(TableRefills3[[#This Row],[prev_refill_end]]="","",TableRefills3[[#This Row],[refill_date]]-TableRefills3[[#This Row],[prev_refill_end]])</f>
        <v>1</v>
      </c>
      <c r="H1528" s="10">
        <f>IF(TableRefills3[[#This Row],[gap_days]]="",0,IF(TableRefills3[[#This Row],[gap_days]]&gt;2,1,0))</f>
        <v>0</v>
      </c>
      <c r="I1528">
        <f>_xlfn.MAXIFS(TableRefills3[discountinuation_flag], TableRefills3[patient_id], A1528)</f>
        <v>0</v>
      </c>
    </row>
    <row r="1529" spans="1:9" x14ac:dyDescent="0.25">
      <c r="A1529" t="s">
        <v>2442</v>
      </c>
      <c r="B1529" t="s">
        <v>2443</v>
      </c>
      <c r="C1529" s="3">
        <v>45820</v>
      </c>
      <c r="D1529">
        <v>28</v>
      </c>
      <c r="E1529" s="3" t="str">
        <f t="shared" si="23"/>
        <v/>
      </c>
      <c r="F1529" s="3" t="str">
        <f>IF(TableRefills3[[#This Row],[prev_refill_days]]="","",TableRefills3[[#This Row],[prev_refill_days]]+TableRefills3[[#This Row],[quantity_days]])</f>
        <v/>
      </c>
      <c r="G1529" t="str">
        <f>IF(TableRefills3[[#This Row],[prev_refill_end]]="","",TableRefills3[[#This Row],[refill_date]]-TableRefills3[[#This Row],[prev_refill_end]])</f>
        <v/>
      </c>
      <c r="H1529" s="10">
        <f>IF(TableRefills3[[#This Row],[gap_days]]="",0,IF(TableRefills3[[#This Row],[gap_days]]&gt;2,1,0))</f>
        <v>0</v>
      </c>
      <c r="I1529">
        <f>_xlfn.MAXIFS(TableRefills3[discountinuation_flag], TableRefills3[patient_id], A1529)</f>
        <v>1</v>
      </c>
    </row>
    <row r="1530" spans="1:9" x14ac:dyDescent="0.25">
      <c r="A1530" t="s">
        <v>2442</v>
      </c>
      <c r="B1530" t="s">
        <v>2443</v>
      </c>
      <c r="C1530" s="3">
        <v>45847</v>
      </c>
      <c r="D1530">
        <v>28</v>
      </c>
      <c r="E1530" s="3">
        <f t="shared" si="23"/>
        <v>45820</v>
      </c>
      <c r="F1530" s="3">
        <f>IF(TableRefills3[[#This Row],[prev_refill_days]]="","",TableRefills3[[#This Row],[prev_refill_days]]+TableRefills3[[#This Row],[quantity_days]])</f>
        <v>45848</v>
      </c>
      <c r="G1530">
        <f>IF(TableRefills3[[#This Row],[prev_refill_end]]="","",TableRefills3[[#This Row],[refill_date]]-TableRefills3[[#This Row],[prev_refill_end]])</f>
        <v>-1</v>
      </c>
      <c r="H1530" s="10">
        <f>IF(TableRefills3[[#This Row],[gap_days]]="",0,IF(TableRefills3[[#This Row],[gap_days]]&gt;2,1,0))</f>
        <v>0</v>
      </c>
      <c r="I1530">
        <f>_xlfn.MAXIFS(TableRefills3[discountinuation_flag], TableRefills3[patient_id], A1530)</f>
        <v>1</v>
      </c>
    </row>
    <row r="1531" spans="1:9" x14ac:dyDescent="0.25">
      <c r="A1531" t="s">
        <v>2442</v>
      </c>
      <c r="B1531" t="s">
        <v>2443</v>
      </c>
      <c r="C1531" s="3">
        <v>45874</v>
      </c>
      <c r="D1531">
        <v>28</v>
      </c>
      <c r="E1531" s="3">
        <f t="shared" si="23"/>
        <v>45847</v>
      </c>
      <c r="F1531" s="3">
        <f>IF(TableRefills3[[#This Row],[prev_refill_days]]="","",TableRefills3[[#This Row],[prev_refill_days]]+TableRefills3[[#This Row],[quantity_days]])</f>
        <v>45875</v>
      </c>
      <c r="G1531">
        <f>IF(TableRefills3[[#This Row],[prev_refill_end]]="","",TableRefills3[[#This Row],[refill_date]]-TableRefills3[[#This Row],[prev_refill_end]])</f>
        <v>-1</v>
      </c>
      <c r="H1531" s="10">
        <f>IF(TableRefills3[[#This Row],[gap_days]]="",0,IF(TableRefills3[[#This Row],[gap_days]]&gt;2,1,0))</f>
        <v>0</v>
      </c>
      <c r="I1531">
        <f>_xlfn.MAXIFS(TableRefills3[discountinuation_flag], TableRefills3[patient_id], A1531)</f>
        <v>1</v>
      </c>
    </row>
    <row r="1532" spans="1:9" x14ac:dyDescent="0.25">
      <c r="A1532" t="s">
        <v>2442</v>
      </c>
      <c r="B1532" t="s">
        <v>2443</v>
      </c>
      <c r="C1532" s="3">
        <v>45903</v>
      </c>
      <c r="D1532">
        <v>28</v>
      </c>
      <c r="E1532" s="3">
        <f t="shared" si="23"/>
        <v>45874</v>
      </c>
      <c r="F1532" s="3">
        <f>IF(TableRefills3[[#This Row],[prev_refill_days]]="","",TableRefills3[[#This Row],[prev_refill_days]]+TableRefills3[[#This Row],[quantity_days]])</f>
        <v>45902</v>
      </c>
      <c r="G1532">
        <f>IF(TableRefills3[[#This Row],[prev_refill_end]]="","",TableRefills3[[#This Row],[refill_date]]-TableRefills3[[#This Row],[prev_refill_end]])</f>
        <v>1</v>
      </c>
      <c r="H1532" s="10">
        <f>IF(TableRefills3[[#This Row],[gap_days]]="",0,IF(TableRefills3[[#This Row],[gap_days]]&gt;2,1,0))</f>
        <v>0</v>
      </c>
      <c r="I1532">
        <f>_xlfn.MAXIFS(TableRefills3[discountinuation_flag], TableRefills3[patient_id], A1532)</f>
        <v>1</v>
      </c>
    </row>
    <row r="1533" spans="1:9" x14ac:dyDescent="0.25">
      <c r="A1533" t="s">
        <v>2442</v>
      </c>
      <c r="B1533" t="s">
        <v>2443</v>
      </c>
      <c r="C1533" s="3">
        <v>45934</v>
      </c>
      <c r="D1533">
        <v>28</v>
      </c>
      <c r="E1533" s="3">
        <f t="shared" si="23"/>
        <v>45903</v>
      </c>
      <c r="F1533" s="3">
        <f>IF(TableRefills3[[#This Row],[prev_refill_days]]="","",TableRefills3[[#This Row],[prev_refill_days]]+TableRefills3[[#This Row],[quantity_days]])</f>
        <v>45931</v>
      </c>
      <c r="G1533">
        <f>IF(TableRefills3[[#This Row],[prev_refill_end]]="","",TableRefills3[[#This Row],[refill_date]]-TableRefills3[[#This Row],[prev_refill_end]])</f>
        <v>3</v>
      </c>
      <c r="H1533" s="10">
        <f>IF(TableRefills3[[#This Row],[gap_days]]="",0,IF(TableRefills3[[#This Row],[gap_days]]&gt;2,1,0))</f>
        <v>1</v>
      </c>
      <c r="I1533">
        <f>_xlfn.MAXIFS(TableRefills3[discountinuation_flag], TableRefills3[patient_id], A1533)</f>
        <v>1</v>
      </c>
    </row>
    <row r="1534" spans="1:9" x14ac:dyDescent="0.25">
      <c r="A1534" t="s">
        <v>2449</v>
      </c>
      <c r="B1534" t="s">
        <v>2450</v>
      </c>
      <c r="C1534" s="3">
        <v>45911</v>
      </c>
      <c r="D1534">
        <v>21</v>
      </c>
      <c r="E1534" s="3" t="str">
        <f t="shared" si="23"/>
        <v/>
      </c>
      <c r="F1534" s="3" t="str">
        <f>IF(TableRefills3[[#This Row],[prev_refill_days]]="","",TableRefills3[[#This Row],[prev_refill_days]]+TableRefills3[[#This Row],[quantity_days]])</f>
        <v/>
      </c>
      <c r="G1534" t="str">
        <f>IF(TableRefills3[[#This Row],[prev_refill_end]]="","",TableRefills3[[#This Row],[refill_date]]-TableRefills3[[#This Row],[prev_refill_end]])</f>
        <v/>
      </c>
      <c r="H1534" s="10">
        <f>IF(TableRefills3[[#This Row],[gap_days]]="",0,IF(TableRefills3[[#This Row],[gap_days]]&gt;2,1,0))</f>
        <v>0</v>
      </c>
      <c r="I1534">
        <f>_xlfn.MAXIFS(TableRefills3[discountinuation_flag], TableRefills3[patient_id], A1534)</f>
        <v>0</v>
      </c>
    </row>
    <row r="1535" spans="1:9" x14ac:dyDescent="0.25">
      <c r="A1535" t="s">
        <v>2449</v>
      </c>
      <c r="B1535" t="s">
        <v>2450</v>
      </c>
      <c r="C1535" s="3">
        <v>45932</v>
      </c>
      <c r="D1535">
        <v>21</v>
      </c>
      <c r="E1535" s="3">
        <f t="shared" si="23"/>
        <v>45911</v>
      </c>
      <c r="F1535" s="3">
        <f>IF(TableRefills3[[#This Row],[prev_refill_days]]="","",TableRefills3[[#This Row],[prev_refill_days]]+TableRefills3[[#This Row],[quantity_days]])</f>
        <v>45932</v>
      </c>
      <c r="G1535">
        <f>IF(TableRefills3[[#This Row],[prev_refill_end]]="","",TableRefills3[[#This Row],[refill_date]]-TableRefills3[[#This Row],[prev_refill_end]])</f>
        <v>0</v>
      </c>
      <c r="H1535" s="10">
        <f>IF(TableRefills3[[#This Row],[gap_days]]="",0,IF(TableRefills3[[#This Row],[gap_days]]&gt;2,1,0))</f>
        <v>0</v>
      </c>
      <c r="I1535">
        <f>_xlfn.MAXIFS(TableRefills3[discountinuation_flag], TableRefills3[patient_id], A1535)</f>
        <v>0</v>
      </c>
    </row>
    <row r="1536" spans="1:9" x14ac:dyDescent="0.25">
      <c r="A1536" t="s">
        <v>2453</v>
      </c>
      <c r="B1536" t="s">
        <v>2454</v>
      </c>
      <c r="C1536" s="3">
        <v>45807</v>
      </c>
      <c r="D1536">
        <v>28</v>
      </c>
      <c r="E1536" s="3" t="str">
        <f t="shared" si="23"/>
        <v/>
      </c>
      <c r="F1536" s="3" t="str">
        <f>IF(TableRefills3[[#This Row],[prev_refill_days]]="","",TableRefills3[[#This Row],[prev_refill_days]]+TableRefills3[[#This Row],[quantity_days]])</f>
        <v/>
      </c>
      <c r="G1536" t="str">
        <f>IF(TableRefills3[[#This Row],[prev_refill_end]]="","",TableRefills3[[#This Row],[refill_date]]-TableRefills3[[#This Row],[prev_refill_end]])</f>
        <v/>
      </c>
      <c r="H1536" s="10">
        <f>IF(TableRefills3[[#This Row],[gap_days]]="",0,IF(TableRefills3[[#This Row],[gap_days]]&gt;2,1,0))</f>
        <v>0</v>
      </c>
      <c r="I1536">
        <f>_xlfn.MAXIFS(TableRefills3[discountinuation_flag], TableRefills3[patient_id], A1536)</f>
        <v>1</v>
      </c>
    </row>
    <row r="1537" spans="1:9" x14ac:dyDescent="0.25">
      <c r="A1537" t="s">
        <v>2453</v>
      </c>
      <c r="B1537" t="s">
        <v>2454</v>
      </c>
      <c r="C1537" s="3">
        <v>45832</v>
      </c>
      <c r="D1537">
        <v>28</v>
      </c>
      <c r="E1537" s="3">
        <f t="shared" si="23"/>
        <v>45807</v>
      </c>
      <c r="F1537" s="3">
        <f>IF(TableRefills3[[#This Row],[prev_refill_days]]="","",TableRefills3[[#This Row],[prev_refill_days]]+TableRefills3[[#This Row],[quantity_days]])</f>
        <v>45835</v>
      </c>
      <c r="G1537">
        <f>IF(TableRefills3[[#This Row],[prev_refill_end]]="","",TableRefills3[[#This Row],[refill_date]]-TableRefills3[[#This Row],[prev_refill_end]])</f>
        <v>-3</v>
      </c>
      <c r="H1537" s="10">
        <f>IF(TableRefills3[[#This Row],[gap_days]]="",0,IF(TableRefills3[[#This Row],[gap_days]]&gt;2,1,0))</f>
        <v>0</v>
      </c>
      <c r="I1537">
        <f>_xlfn.MAXIFS(TableRefills3[discountinuation_flag], TableRefills3[patient_id], A1537)</f>
        <v>1</v>
      </c>
    </row>
    <row r="1538" spans="1:9" x14ac:dyDescent="0.25">
      <c r="A1538" t="s">
        <v>2453</v>
      </c>
      <c r="B1538" t="s">
        <v>2454</v>
      </c>
      <c r="C1538" s="3">
        <v>45861</v>
      </c>
      <c r="D1538">
        <v>28</v>
      </c>
      <c r="E1538" s="3">
        <f t="shared" ref="E1538:E1601" si="24">IF(A1537=A1538,C1537,"")</f>
        <v>45832</v>
      </c>
      <c r="F1538" s="3">
        <f>IF(TableRefills3[[#This Row],[prev_refill_days]]="","",TableRefills3[[#This Row],[prev_refill_days]]+TableRefills3[[#This Row],[quantity_days]])</f>
        <v>45860</v>
      </c>
      <c r="G1538">
        <f>IF(TableRefills3[[#This Row],[prev_refill_end]]="","",TableRefills3[[#This Row],[refill_date]]-TableRefills3[[#This Row],[prev_refill_end]])</f>
        <v>1</v>
      </c>
      <c r="H1538" s="10">
        <f>IF(TableRefills3[[#This Row],[gap_days]]="",0,IF(TableRefills3[[#This Row],[gap_days]]&gt;2,1,0))</f>
        <v>0</v>
      </c>
      <c r="I1538">
        <f>_xlfn.MAXIFS(TableRefills3[discountinuation_flag], TableRefills3[patient_id], A1538)</f>
        <v>1</v>
      </c>
    </row>
    <row r="1539" spans="1:9" x14ac:dyDescent="0.25">
      <c r="A1539" t="s">
        <v>2453</v>
      </c>
      <c r="B1539" t="s">
        <v>2454</v>
      </c>
      <c r="C1539" s="3">
        <v>45892</v>
      </c>
      <c r="D1539">
        <v>28</v>
      </c>
      <c r="E1539" s="3">
        <f t="shared" si="24"/>
        <v>45861</v>
      </c>
      <c r="F1539" s="3">
        <f>IF(TableRefills3[[#This Row],[prev_refill_days]]="","",TableRefills3[[#This Row],[prev_refill_days]]+TableRefills3[[#This Row],[quantity_days]])</f>
        <v>45889</v>
      </c>
      <c r="G1539">
        <f>IF(TableRefills3[[#This Row],[prev_refill_end]]="","",TableRefills3[[#This Row],[refill_date]]-TableRefills3[[#This Row],[prev_refill_end]])</f>
        <v>3</v>
      </c>
      <c r="H1539" s="10">
        <f>IF(TableRefills3[[#This Row],[gap_days]]="",0,IF(TableRefills3[[#This Row],[gap_days]]&gt;2,1,0))</f>
        <v>1</v>
      </c>
      <c r="I1539">
        <f>_xlfn.MAXIFS(TableRefills3[discountinuation_flag], TableRefills3[patient_id], A1539)</f>
        <v>1</v>
      </c>
    </row>
    <row r="1540" spans="1:9" x14ac:dyDescent="0.25">
      <c r="A1540" t="s">
        <v>2453</v>
      </c>
      <c r="B1540" t="s">
        <v>2454</v>
      </c>
      <c r="C1540" s="3">
        <v>45918</v>
      </c>
      <c r="D1540">
        <v>28</v>
      </c>
      <c r="E1540" s="3">
        <f t="shared" si="24"/>
        <v>45892</v>
      </c>
      <c r="F1540" s="3">
        <f>IF(TableRefills3[[#This Row],[prev_refill_days]]="","",TableRefills3[[#This Row],[prev_refill_days]]+TableRefills3[[#This Row],[quantity_days]])</f>
        <v>45920</v>
      </c>
      <c r="G1540">
        <f>IF(TableRefills3[[#This Row],[prev_refill_end]]="","",TableRefills3[[#This Row],[refill_date]]-TableRefills3[[#This Row],[prev_refill_end]])</f>
        <v>-2</v>
      </c>
      <c r="H1540" s="10">
        <f>IF(TableRefills3[[#This Row],[gap_days]]="",0,IF(TableRefills3[[#This Row],[gap_days]]&gt;2,1,0))</f>
        <v>0</v>
      </c>
      <c r="I1540">
        <f>_xlfn.MAXIFS(TableRefills3[discountinuation_flag], TableRefills3[patient_id], A1540)</f>
        <v>1</v>
      </c>
    </row>
    <row r="1541" spans="1:9" x14ac:dyDescent="0.25">
      <c r="A1541" t="s">
        <v>2453</v>
      </c>
      <c r="B1541" t="s">
        <v>2454</v>
      </c>
      <c r="C1541" s="3">
        <v>45945</v>
      </c>
      <c r="D1541">
        <v>28</v>
      </c>
      <c r="E1541" s="3">
        <f t="shared" si="24"/>
        <v>45918</v>
      </c>
      <c r="F1541" s="3">
        <f>IF(TableRefills3[[#This Row],[prev_refill_days]]="","",TableRefills3[[#This Row],[prev_refill_days]]+TableRefills3[[#This Row],[quantity_days]])</f>
        <v>45946</v>
      </c>
      <c r="G1541">
        <f>IF(TableRefills3[[#This Row],[prev_refill_end]]="","",TableRefills3[[#This Row],[refill_date]]-TableRefills3[[#This Row],[prev_refill_end]])</f>
        <v>-1</v>
      </c>
      <c r="H1541" s="10">
        <f>IF(TableRefills3[[#This Row],[gap_days]]="",0,IF(TableRefills3[[#This Row],[gap_days]]&gt;2,1,0))</f>
        <v>0</v>
      </c>
      <c r="I1541">
        <f>_xlfn.MAXIFS(TableRefills3[discountinuation_flag], TableRefills3[patient_id], A1541)</f>
        <v>1</v>
      </c>
    </row>
    <row r="1542" spans="1:9" x14ac:dyDescent="0.25">
      <c r="A1542" t="s">
        <v>2461</v>
      </c>
      <c r="B1542" t="s">
        <v>2462</v>
      </c>
      <c r="C1542" s="3">
        <v>45830</v>
      </c>
      <c r="D1542">
        <v>28</v>
      </c>
      <c r="E1542" s="3" t="str">
        <f t="shared" si="24"/>
        <v/>
      </c>
      <c r="F1542" s="3" t="str">
        <f>IF(TableRefills3[[#This Row],[prev_refill_days]]="","",TableRefills3[[#This Row],[prev_refill_days]]+TableRefills3[[#This Row],[quantity_days]])</f>
        <v/>
      </c>
      <c r="G1542" t="str">
        <f>IF(TableRefills3[[#This Row],[prev_refill_end]]="","",TableRefills3[[#This Row],[refill_date]]-TableRefills3[[#This Row],[prev_refill_end]])</f>
        <v/>
      </c>
      <c r="H1542" s="10">
        <f>IF(TableRefills3[[#This Row],[gap_days]]="",0,IF(TableRefills3[[#This Row],[gap_days]]&gt;2,1,0))</f>
        <v>0</v>
      </c>
      <c r="I1542">
        <f>_xlfn.MAXIFS(TableRefills3[discountinuation_flag], TableRefills3[patient_id], A1542)</f>
        <v>1</v>
      </c>
    </row>
    <row r="1543" spans="1:9" x14ac:dyDescent="0.25">
      <c r="A1543" t="s">
        <v>2461</v>
      </c>
      <c r="B1543" t="s">
        <v>2462</v>
      </c>
      <c r="C1543" s="3">
        <v>45860</v>
      </c>
      <c r="D1543">
        <v>28</v>
      </c>
      <c r="E1543" s="3">
        <f t="shared" si="24"/>
        <v>45830</v>
      </c>
      <c r="F1543" s="3">
        <f>IF(TableRefills3[[#This Row],[prev_refill_days]]="","",TableRefills3[[#This Row],[prev_refill_days]]+TableRefills3[[#This Row],[quantity_days]])</f>
        <v>45858</v>
      </c>
      <c r="G1543">
        <f>IF(TableRefills3[[#This Row],[prev_refill_end]]="","",TableRefills3[[#This Row],[refill_date]]-TableRefills3[[#This Row],[prev_refill_end]])</f>
        <v>2</v>
      </c>
      <c r="H1543" s="10">
        <f>IF(TableRefills3[[#This Row],[gap_days]]="",0,IF(TableRefills3[[#This Row],[gap_days]]&gt;2,1,0))</f>
        <v>0</v>
      </c>
      <c r="I1543">
        <f>_xlfn.MAXIFS(TableRefills3[discountinuation_flag], TableRefills3[patient_id], A1543)</f>
        <v>1</v>
      </c>
    </row>
    <row r="1544" spans="1:9" x14ac:dyDescent="0.25">
      <c r="A1544" t="s">
        <v>2461</v>
      </c>
      <c r="B1544" t="s">
        <v>2462</v>
      </c>
      <c r="C1544" s="3">
        <v>45888</v>
      </c>
      <c r="D1544">
        <v>28</v>
      </c>
      <c r="E1544" s="3">
        <f t="shared" si="24"/>
        <v>45860</v>
      </c>
      <c r="F1544" s="3">
        <f>IF(TableRefills3[[#This Row],[prev_refill_days]]="","",TableRefills3[[#This Row],[prev_refill_days]]+TableRefills3[[#This Row],[quantity_days]])</f>
        <v>45888</v>
      </c>
      <c r="G1544">
        <f>IF(TableRefills3[[#This Row],[prev_refill_end]]="","",TableRefills3[[#This Row],[refill_date]]-TableRefills3[[#This Row],[prev_refill_end]])</f>
        <v>0</v>
      </c>
      <c r="H1544" s="10">
        <f>IF(TableRefills3[[#This Row],[gap_days]]="",0,IF(TableRefills3[[#This Row],[gap_days]]&gt;2,1,0))</f>
        <v>0</v>
      </c>
      <c r="I1544">
        <f>_xlfn.MAXIFS(TableRefills3[discountinuation_flag], TableRefills3[patient_id], A1544)</f>
        <v>1</v>
      </c>
    </row>
    <row r="1545" spans="1:9" x14ac:dyDescent="0.25">
      <c r="A1545" t="s">
        <v>2461</v>
      </c>
      <c r="B1545" t="s">
        <v>2462</v>
      </c>
      <c r="C1545" s="3">
        <v>45919</v>
      </c>
      <c r="D1545">
        <v>28</v>
      </c>
      <c r="E1545" s="3">
        <f t="shared" si="24"/>
        <v>45888</v>
      </c>
      <c r="F1545" s="3">
        <f>IF(TableRefills3[[#This Row],[prev_refill_days]]="","",TableRefills3[[#This Row],[prev_refill_days]]+TableRefills3[[#This Row],[quantity_days]])</f>
        <v>45916</v>
      </c>
      <c r="G1545">
        <f>IF(TableRefills3[[#This Row],[prev_refill_end]]="","",TableRefills3[[#This Row],[refill_date]]-TableRefills3[[#This Row],[prev_refill_end]])</f>
        <v>3</v>
      </c>
      <c r="H1545" s="10">
        <f>IF(TableRefills3[[#This Row],[gap_days]]="",0,IF(TableRefills3[[#This Row],[gap_days]]&gt;2,1,0))</f>
        <v>1</v>
      </c>
      <c r="I1545">
        <f>_xlfn.MAXIFS(TableRefills3[discountinuation_flag], TableRefills3[patient_id], A1545)</f>
        <v>1</v>
      </c>
    </row>
    <row r="1546" spans="1:9" x14ac:dyDescent="0.25">
      <c r="A1546" t="s">
        <v>2461</v>
      </c>
      <c r="B1546" t="s">
        <v>2462</v>
      </c>
      <c r="C1546" s="3">
        <v>45946</v>
      </c>
      <c r="D1546">
        <v>28</v>
      </c>
      <c r="E1546" s="3">
        <f t="shared" si="24"/>
        <v>45919</v>
      </c>
      <c r="F1546" s="3">
        <f>IF(TableRefills3[[#This Row],[prev_refill_days]]="","",TableRefills3[[#This Row],[prev_refill_days]]+TableRefills3[[#This Row],[quantity_days]])</f>
        <v>45947</v>
      </c>
      <c r="G1546">
        <f>IF(TableRefills3[[#This Row],[prev_refill_end]]="","",TableRefills3[[#This Row],[refill_date]]-TableRefills3[[#This Row],[prev_refill_end]])</f>
        <v>-1</v>
      </c>
      <c r="H1546" s="10">
        <f>IF(TableRefills3[[#This Row],[gap_days]]="",0,IF(TableRefills3[[#This Row],[gap_days]]&gt;2,1,0))</f>
        <v>0</v>
      </c>
      <c r="I1546">
        <f>_xlfn.MAXIFS(TableRefills3[discountinuation_flag], TableRefills3[patient_id], A1546)</f>
        <v>1</v>
      </c>
    </row>
    <row r="1547" spans="1:9" x14ac:dyDescent="0.25">
      <c r="A1547" t="s">
        <v>2468</v>
      </c>
      <c r="B1547" t="s">
        <v>2469</v>
      </c>
      <c r="C1547" s="3">
        <v>45927</v>
      </c>
      <c r="D1547">
        <v>30</v>
      </c>
      <c r="E1547" s="3" t="str">
        <f t="shared" si="24"/>
        <v/>
      </c>
      <c r="F1547" s="3" t="str">
        <f>IF(TableRefills3[[#This Row],[prev_refill_days]]="","",TableRefills3[[#This Row],[prev_refill_days]]+TableRefills3[[#This Row],[quantity_days]])</f>
        <v/>
      </c>
      <c r="G1547" t="str">
        <f>IF(TableRefills3[[#This Row],[prev_refill_end]]="","",TableRefills3[[#This Row],[refill_date]]-TableRefills3[[#This Row],[prev_refill_end]])</f>
        <v/>
      </c>
      <c r="H1547" s="10">
        <f>IF(TableRefills3[[#This Row],[gap_days]]="",0,IF(TableRefills3[[#This Row],[gap_days]]&gt;2,1,0))</f>
        <v>0</v>
      </c>
      <c r="I1547">
        <f>_xlfn.MAXIFS(TableRefills3[discountinuation_flag], TableRefills3[patient_id], A1547)</f>
        <v>1</v>
      </c>
    </row>
    <row r="1548" spans="1:9" x14ac:dyDescent="0.25">
      <c r="A1548" t="s">
        <v>2468</v>
      </c>
      <c r="B1548" t="s">
        <v>2469</v>
      </c>
      <c r="C1548" s="3">
        <v>45960</v>
      </c>
      <c r="D1548">
        <v>30</v>
      </c>
      <c r="E1548" s="3">
        <f t="shared" si="24"/>
        <v>45927</v>
      </c>
      <c r="F1548" s="3">
        <f>IF(TableRefills3[[#This Row],[prev_refill_days]]="","",TableRefills3[[#This Row],[prev_refill_days]]+TableRefills3[[#This Row],[quantity_days]])</f>
        <v>45957</v>
      </c>
      <c r="G1548">
        <f>IF(TableRefills3[[#This Row],[prev_refill_end]]="","",TableRefills3[[#This Row],[refill_date]]-TableRefills3[[#This Row],[prev_refill_end]])</f>
        <v>3</v>
      </c>
      <c r="H1548" s="10">
        <f>IF(TableRefills3[[#This Row],[gap_days]]="",0,IF(TableRefills3[[#This Row],[gap_days]]&gt;2,1,0))</f>
        <v>1</v>
      </c>
      <c r="I1548">
        <f>_xlfn.MAXIFS(TableRefills3[discountinuation_flag], TableRefills3[patient_id], A1548)</f>
        <v>1</v>
      </c>
    </row>
    <row r="1549" spans="1:9" x14ac:dyDescent="0.25">
      <c r="A1549" t="s">
        <v>2472</v>
      </c>
      <c r="B1549" t="s">
        <v>2473</v>
      </c>
      <c r="C1549" s="3">
        <v>45801</v>
      </c>
      <c r="D1549">
        <v>28</v>
      </c>
      <c r="E1549" s="3" t="str">
        <f t="shared" si="24"/>
        <v/>
      </c>
      <c r="F1549" s="3" t="str">
        <f>IF(TableRefills3[[#This Row],[prev_refill_days]]="","",TableRefills3[[#This Row],[prev_refill_days]]+TableRefills3[[#This Row],[quantity_days]])</f>
        <v/>
      </c>
      <c r="G1549" t="str">
        <f>IF(TableRefills3[[#This Row],[prev_refill_end]]="","",TableRefills3[[#This Row],[refill_date]]-TableRefills3[[#This Row],[prev_refill_end]])</f>
        <v/>
      </c>
      <c r="H1549" s="10">
        <f>IF(TableRefills3[[#This Row],[gap_days]]="",0,IF(TableRefills3[[#This Row],[gap_days]]&gt;2,1,0))</f>
        <v>0</v>
      </c>
      <c r="I1549">
        <f>_xlfn.MAXIFS(TableRefills3[discountinuation_flag], TableRefills3[patient_id], A1549)</f>
        <v>0</v>
      </c>
    </row>
    <row r="1550" spans="1:9" x14ac:dyDescent="0.25">
      <c r="A1550" t="s">
        <v>2475</v>
      </c>
      <c r="B1550" t="s">
        <v>2476</v>
      </c>
      <c r="C1550" s="3">
        <v>45892</v>
      </c>
      <c r="D1550">
        <v>21</v>
      </c>
      <c r="E1550" s="3" t="str">
        <f t="shared" si="24"/>
        <v/>
      </c>
      <c r="F1550" s="3" t="str">
        <f>IF(TableRefills3[[#This Row],[prev_refill_days]]="","",TableRefills3[[#This Row],[prev_refill_days]]+TableRefills3[[#This Row],[quantity_days]])</f>
        <v/>
      </c>
      <c r="G1550" t="str">
        <f>IF(TableRefills3[[#This Row],[prev_refill_end]]="","",TableRefills3[[#This Row],[refill_date]]-TableRefills3[[#This Row],[prev_refill_end]])</f>
        <v/>
      </c>
      <c r="H1550" s="10">
        <f>IF(TableRefills3[[#This Row],[gap_days]]="",0,IF(TableRefills3[[#This Row],[gap_days]]&gt;2,1,0))</f>
        <v>0</v>
      </c>
      <c r="I1550">
        <f>_xlfn.MAXIFS(TableRefills3[discountinuation_flag], TableRefills3[patient_id], A1550)</f>
        <v>0</v>
      </c>
    </row>
    <row r="1551" spans="1:9" x14ac:dyDescent="0.25">
      <c r="A1551" t="s">
        <v>2475</v>
      </c>
      <c r="B1551" t="s">
        <v>2476</v>
      </c>
      <c r="C1551" s="3">
        <v>45911</v>
      </c>
      <c r="D1551">
        <v>21</v>
      </c>
      <c r="E1551" s="3">
        <f t="shared" si="24"/>
        <v>45892</v>
      </c>
      <c r="F1551" s="3">
        <f>IF(TableRefills3[[#This Row],[prev_refill_days]]="","",TableRefills3[[#This Row],[prev_refill_days]]+TableRefills3[[#This Row],[quantity_days]])</f>
        <v>45913</v>
      </c>
      <c r="G1551">
        <f>IF(TableRefills3[[#This Row],[prev_refill_end]]="","",TableRefills3[[#This Row],[refill_date]]-TableRefills3[[#This Row],[prev_refill_end]])</f>
        <v>-2</v>
      </c>
      <c r="H1551" s="10">
        <f>IF(TableRefills3[[#This Row],[gap_days]]="",0,IF(TableRefills3[[#This Row],[gap_days]]&gt;2,1,0))</f>
        <v>0</v>
      </c>
      <c r="I1551">
        <f>_xlfn.MAXIFS(TableRefills3[discountinuation_flag], TableRefills3[patient_id], A1551)</f>
        <v>0</v>
      </c>
    </row>
    <row r="1552" spans="1:9" x14ac:dyDescent="0.25">
      <c r="A1552" t="s">
        <v>2475</v>
      </c>
      <c r="B1552" t="s">
        <v>2476</v>
      </c>
      <c r="C1552" s="3">
        <v>45932</v>
      </c>
      <c r="D1552">
        <v>21</v>
      </c>
      <c r="E1552" s="3">
        <f t="shared" si="24"/>
        <v>45911</v>
      </c>
      <c r="F1552" s="3">
        <f>IF(TableRefills3[[#This Row],[prev_refill_days]]="","",TableRefills3[[#This Row],[prev_refill_days]]+TableRefills3[[#This Row],[quantity_days]])</f>
        <v>45932</v>
      </c>
      <c r="G1552">
        <f>IF(TableRefills3[[#This Row],[prev_refill_end]]="","",TableRefills3[[#This Row],[refill_date]]-TableRefills3[[#This Row],[prev_refill_end]])</f>
        <v>0</v>
      </c>
      <c r="H1552" s="10">
        <f>IF(TableRefills3[[#This Row],[gap_days]]="",0,IF(TableRefills3[[#This Row],[gap_days]]&gt;2,1,0))</f>
        <v>0</v>
      </c>
      <c r="I1552">
        <f>_xlfn.MAXIFS(TableRefills3[discountinuation_flag], TableRefills3[patient_id], A1552)</f>
        <v>0</v>
      </c>
    </row>
    <row r="1553" spans="1:9" x14ac:dyDescent="0.25">
      <c r="A1553" t="s">
        <v>2480</v>
      </c>
      <c r="B1553" t="s">
        <v>2481</v>
      </c>
      <c r="C1553" s="3">
        <v>45792</v>
      </c>
      <c r="D1553">
        <v>30</v>
      </c>
      <c r="E1553" s="3" t="str">
        <f t="shared" si="24"/>
        <v/>
      </c>
      <c r="F1553" s="3" t="str">
        <f>IF(TableRefills3[[#This Row],[prev_refill_days]]="","",TableRefills3[[#This Row],[prev_refill_days]]+TableRefills3[[#This Row],[quantity_days]])</f>
        <v/>
      </c>
      <c r="G1553" t="str">
        <f>IF(TableRefills3[[#This Row],[prev_refill_end]]="","",TableRefills3[[#This Row],[refill_date]]-TableRefills3[[#This Row],[prev_refill_end]])</f>
        <v/>
      </c>
      <c r="H1553" s="10">
        <f>IF(TableRefills3[[#This Row],[gap_days]]="",0,IF(TableRefills3[[#This Row],[gap_days]]&gt;2,1,0))</f>
        <v>0</v>
      </c>
      <c r="I1553">
        <f>_xlfn.MAXIFS(TableRefills3[discountinuation_flag], TableRefills3[patient_id], A1553)</f>
        <v>1</v>
      </c>
    </row>
    <row r="1554" spans="1:9" x14ac:dyDescent="0.25">
      <c r="A1554" t="s">
        <v>2480</v>
      </c>
      <c r="B1554" t="s">
        <v>2481</v>
      </c>
      <c r="C1554" s="3">
        <v>45824</v>
      </c>
      <c r="D1554">
        <v>30</v>
      </c>
      <c r="E1554" s="3">
        <f t="shared" si="24"/>
        <v>45792</v>
      </c>
      <c r="F1554" s="3">
        <f>IF(TableRefills3[[#This Row],[prev_refill_days]]="","",TableRefills3[[#This Row],[prev_refill_days]]+TableRefills3[[#This Row],[quantity_days]])</f>
        <v>45822</v>
      </c>
      <c r="G1554">
        <f>IF(TableRefills3[[#This Row],[prev_refill_end]]="","",TableRefills3[[#This Row],[refill_date]]-TableRefills3[[#This Row],[prev_refill_end]])</f>
        <v>2</v>
      </c>
      <c r="H1554" s="10">
        <f>IF(TableRefills3[[#This Row],[gap_days]]="",0,IF(TableRefills3[[#This Row],[gap_days]]&gt;2,1,0))</f>
        <v>0</v>
      </c>
      <c r="I1554">
        <f>_xlfn.MAXIFS(TableRefills3[discountinuation_flag], TableRefills3[patient_id], A1554)</f>
        <v>1</v>
      </c>
    </row>
    <row r="1555" spans="1:9" x14ac:dyDescent="0.25">
      <c r="A1555" t="s">
        <v>2480</v>
      </c>
      <c r="B1555" t="s">
        <v>2481</v>
      </c>
      <c r="C1555" s="3">
        <v>45856</v>
      </c>
      <c r="D1555">
        <v>30</v>
      </c>
      <c r="E1555" s="3">
        <f t="shared" si="24"/>
        <v>45824</v>
      </c>
      <c r="F1555" s="3">
        <f>IF(TableRefills3[[#This Row],[prev_refill_days]]="","",TableRefills3[[#This Row],[prev_refill_days]]+TableRefills3[[#This Row],[quantity_days]])</f>
        <v>45854</v>
      </c>
      <c r="G1555">
        <f>IF(TableRefills3[[#This Row],[prev_refill_end]]="","",TableRefills3[[#This Row],[refill_date]]-TableRefills3[[#This Row],[prev_refill_end]])</f>
        <v>2</v>
      </c>
      <c r="H1555" s="10">
        <f>IF(TableRefills3[[#This Row],[gap_days]]="",0,IF(TableRefills3[[#This Row],[gap_days]]&gt;2,1,0))</f>
        <v>0</v>
      </c>
      <c r="I1555">
        <f>_xlfn.MAXIFS(TableRefills3[discountinuation_flag], TableRefills3[patient_id], A1555)</f>
        <v>1</v>
      </c>
    </row>
    <row r="1556" spans="1:9" x14ac:dyDescent="0.25">
      <c r="A1556" t="s">
        <v>2480</v>
      </c>
      <c r="B1556" t="s">
        <v>2481</v>
      </c>
      <c r="C1556" s="3">
        <v>45889</v>
      </c>
      <c r="D1556">
        <v>30</v>
      </c>
      <c r="E1556" s="3">
        <f t="shared" si="24"/>
        <v>45856</v>
      </c>
      <c r="F1556" s="3">
        <f>IF(TableRefills3[[#This Row],[prev_refill_days]]="","",TableRefills3[[#This Row],[prev_refill_days]]+TableRefills3[[#This Row],[quantity_days]])</f>
        <v>45886</v>
      </c>
      <c r="G1556">
        <f>IF(TableRefills3[[#This Row],[prev_refill_end]]="","",TableRefills3[[#This Row],[refill_date]]-TableRefills3[[#This Row],[prev_refill_end]])</f>
        <v>3</v>
      </c>
      <c r="H1556" s="10">
        <f>IF(TableRefills3[[#This Row],[gap_days]]="",0,IF(TableRefills3[[#This Row],[gap_days]]&gt;2,1,0))</f>
        <v>1</v>
      </c>
      <c r="I1556">
        <f>_xlfn.MAXIFS(TableRefills3[discountinuation_flag], TableRefills3[patient_id], A1556)</f>
        <v>1</v>
      </c>
    </row>
    <row r="1557" spans="1:9" x14ac:dyDescent="0.25">
      <c r="A1557" t="s">
        <v>2480</v>
      </c>
      <c r="B1557" t="s">
        <v>2481</v>
      </c>
      <c r="C1557" s="3">
        <v>45917</v>
      </c>
      <c r="D1557">
        <v>30</v>
      </c>
      <c r="E1557" s="3">
        <f t="shared" si="24"/>
        <v>45889</v>
      </c>
      <c r="F1557" s="3">
        <f>IF(TableRefills3[[#This Row],[prev_refill_days]]="","",TableRefills3[[#This Row],[prev_refill_days]]+TableRefills3[[#This Row],[quantity_days]])</f>
        <v>45919</v>
      </c>
      <c r="G1557">
        <f>IF(TableRefills3[[#This Row],[prev_refill_end]]="","",TableRefills3[[#This Row],[refill_date]]-TableRefills3[[#This Row],[prev_refill_end]])</f>
        <v>-2</v>
      </c>
      <c r="H1557" s="10">
        <f>IF(TableRefills3[[#This Row],[gap_days]]="",0,IF(TableRefills3[[#This Row],[gap_days]]&gt;2,1,0))</f>
        <v>0</v>
      </c>
      <c r="I1557">
        <f>_xlfn.MAXIFS(TableRefills3[discountinuation_flag], TableRefills3[patient_id], A1557)</f>
        <v>1</v>
      </c>
    </row>
    <row r="1558" spans="1:9" x14ac:dyDescent="0.25">
      <c r="A1558" t="s">
        <v>2480</v>
      </c>
      <c r="B1558" t="s">
        <v>2481</v>
      </c>
      <c r="C1558" s="3">
        <v>45944</v>
      </c>
      <c r="D1558">
        <v>30</v>
      </c>
      <c r="E1558" s="3">
        <f t="shared" si="24"/>
        <v>45917</v>
      </c>
      <c r="F1558" s="3">
        <f>IF(TableRefills3[[#This Row],[prev_refill_days]]="","",TableRefills3[[#This Row],[prev_refill_days]]+TableRefills3[[#This Row],[quantity_days]])</f>
        <v>45947</v>
      </c>
      <c r="G1558">
        <f>IF(TableRefills3[[#This Row],[prev_refill_end]]="","",TableRefills3[[#This Row],[refill_date]]-TableRefills3[[#This Row],[prev_refill_end]])</f>
        <v>-3</v>
      </c>
      <c r="H1558" s="10">
        <f>IF(TableRefills3[[#This Row],[gap_days]]="",0,IF(TableRefills3[[#This Row],[gap_days]]&gt;2,1,0))</f>
        <v>0</v>
      </c>
      <c r="I1558">
        <f>_xlfn.MAXIFS(TableRefills3[discountinuation_flag], TableRefills3[patient_id], A1558)</f>
        <v>1</v>
      </c>
    </row>
    <row r="1559" spans="1:9" x14ac:dyDescent="0.25">
      <c r="A1559" t="s">
        <v>2488</v>
      </c>
      <c r="B1559" t="s">
        <v>2489</v>
      </c>
      <c r="C1559" s="3">
        <v>45811</v>
      </c>
      <c r="D1559">
        <v>28</v>
      </c>
      <c r="E1559" s="3" t="str">
        <f t="shared" si="24"/>
        <v/>
      </c>
      <c r="F1559" s="3" t="str">
        <f>IF(TableRefills3[[#This Row],[prev_refill_days]]="","",TableRefills3[[#This Row],[prev_refill_days]]+TableRefills3[[#This Row],[quantity_days]])</f>
        <v/>
      </c>
      <c r="G1559" t="str">
        <f>IF(TableRefills3[[#This Row],[prev_refill_end]]="","",TableRefills3[[#This Row],[refill_date]]-TableRefills3[[#This Row],[prev_refill_end]])</f>
        <v/>
      </c>
      <c r="H1559" s="10">
        <f>IF(TableRefills3[[#This Row],[gap_days]]="",0,IF(TableRefills3[[#This Row],[gap_days]]&gt;2,1,0))</f>
        <v>0</v>
      </c>
      <c r="I1559">
        <f>_xlfn.MAXIFS(TableRefills3[discountinuation_flag], TableRefills3[patient_id], A1559)</f>
        <v>1</v>
      </c>
    </row>
    <row r="1560" spans="1:9" x14ac:dyDescent="0.25">
      <c r="A1560" t="s">
        <v>2488</v>
      </c>
      <c r="B1560" t="s">
        <v>2489</v>
      </c>
      <c r="C1560" s="3">
        <v>45840</v>
      </c>
      <c r="D1560">
        <v>28</v>
      </c>
      <c r="E1560" s="3">
        <f t="shared" si="24"/>
        <v>45811</v>
      </c>
      <c r="F1560" s="3">
        <f>IF(TableRefills3[[#This Row],[prev_refill_days]]="","",TableRefills3[[#This Row],[prev_refill_days]]+TableRefills3[[#This Row],[quantity_days]])</f>
        <v>45839</v>
      </c>
      <c r="G1560">
        <f>IF(TableRefills3[[#This Row],[prev_refill_end]]="","",TableRefills3[[#This Row],[refill_date]]-TableRefills3[[#This Row],[prev_refill_end]])</f>
        <v>1</v>
      </c>
      <c r="H1560" s="10">
        <f>IF(TableRefills3[[#This Row],[gap_days]]="",0,IF(TableRefills3[[#This Row],[gap_days]]&gt;2,1,0))</f>
        <v>0</v>
      </c>
      <c r="I1560">
        <f>_xlfn.MAXIFS(TableRefills3[discountinuation_flag], TableRefills3[patient_id], A1560)</f>
        <v>1</v>
      </c>
    </row>
    <row r="1561" spans="1:9" x14ac:dyDescent="0.25">
      <c r="A1561" t="s">
        <v>2488</v>
      </c>
      <c r="B1561" t="s">
        <v>2489</v>
      </c>
      <c r="C1561" s="3">
        <v>45871</v>
      </c>
      <c r="D1561">
        <v>28</v>
      </c>
      <c r="E1561" s="3">
        <f t="shared" si="24"/>
        <v>45840</v>
      </c>
      <c r="F1561" s="3">
        <f>IF(TableRefills3[[#This Row],[prev_refill_days]]="","",TableRefills3[[#This Row],[prev_refill_days]]+TableRefills3[[#This Row],[quantity_days]])</f>
        <v>45868</v>
      </c>
      <c r="G1561">
        <f>IF(TableRefills3[[#This Row],[prev_refill_end]]="","",TableRefills3[[#This Row],[refill_date]]-TableRefills3[[#This Row],[prev_refill_end]])</f>
        <v>3</v>
      </c>
      <c r="H1561" s="10">
        <f>IF(TableRefills3[[#This Row],[gap_days]]="",0,IF(TableRefills3[[#This Row],[gap_days]]&gt;2,1,0))</f>
        <v>1</v>
      </c>
      <c r="I1561">
        <f>_xlfn.MAXIFS(TableRefills3[discountinuation_flag], TableRefills3[patient_id], A1561)</f>
        <v>1</v>
      </c>
    </row>
    <row r="1562" spans="1:9" x14ac:dyDescent="0.25">
      <c r="A1562" t="s">
        <v>2488</v>
      </c>
      <c r="B1562" t="s">
        <v>2489</v>
      </c>
      <c r="C1562" s="3">
        <v>45900</v>
      </c>
      <c r="D1562">
        <v>28</v>
      </c>
      <c r="E1562" s="3">
        <f t="shared" si="24"/>
        <v>45871</v>
      </c>
      <c r="F1562" s="3">
        <f>IF(TableRefills3[[#This Row],[prev_refill_days]]="","",TableRefills3[[#This Row],[prev_refill_days]]+TableRefills3[[#This Row],[quantity_days]])</f>
        <v>45899</v>
      </c>
      <c r="G1562">
        <f>IF(TableRefills3[[#This Row],[prev_refill_end]]="","",TableRefills3[[#This Row],[refill_date]]-TableRefills3[[#This Row],[prev_refill_end]])</f>
        <v>1</v>
      </c>
      <c r="H1562" s="10">
        <f>IF(TableRefills3[[#This Row],[gap_days]]="",0,IF(TableRefills3[[#This Row],[gap_days]]&gt;2,1,0))</f>
        <v>0</v>
      </c>
      <c r="I1562">
        <f>_xlfn.MAXIFS(TableRefills3[discountinuation_flag], TableRefills3[patient_id], A1562)</f>
        <v>1</v>
      </c>
    </row>
    <row r="1563" spans="1:9" x14ac:dyDescent="0.25">
      <c r="A1563" t="s">
        <v>2488</v>
      </c>
      <c r="B1563" t="s">
        <v>2489</v>
      </c>
      <c r="C1563" s="3">
        <v>45930</v>
      </c>
      <c r="D1563">
        <v>28</v>
      </c>
      <c r="E1563" s="3">
        <f t="shared" si="24"/>
        <v>45900</v>
      </c>
      <c r="F1563" s="3">
        <f>IF(TableRefills3[[#This Row],[prev_refill_days]]="","",TableRefills3[[#This Row],[prev_refill_days]]+TableRefills3[[#This Row],[quantity_days]])</f>
        <v>45928</v>
      </c>
      <c r="G1563">
        <f>IF(TableRefills3[[#This Row],[prev_refill_end]]="","",TableRefills3[[#This Row],[refill_date]]-TableRefills3[[#This Row],[prev_refill_end]])</f>
        <v>2</v>
      </c>
      <c r="H1563" s="10">
        <f>IF(TableRefills3[[#This Row],[gap_days]]="",0,IF(TableRefills3[[#This Row],[gap_days]]&gt;2,1,0))</f>
        <v>0</v>
      </c>
      <c r="I1563">
        <f>_xlfn.MAXIFS(TableRefills3[discountinuation_flag], TableRefills3[patient_id], A1563)</f>
        <v>1</v>
      </c>
    </row>
    <row r="1564" spans="1:9" x14ac:dyDescent="0.25">
      <c r="A1564" t="s">
        <v>2488</v>
      </c>
      <c r="B1564" t="s">
        <v>2489</v>
      </c>
      <c r="C1564" s="3">
        <v>45957</v>
      </c>
      <c r="D1564">
        <v>28</v>
      </c>
      <c r="E1564" s="3">
        <f t="shared" si="24"/>
        <v>45930</v>
      </c>
      <c r="F1564" s="3">
        <f>IF(TableRefills3[[#This Row],[prev_refill_days]]="","",TableRefills3[[#This Row],[prev_refill_days]]+TableRefills3[[#This Row],[quantity_days]])</f>
        <v>45958</v>
      </c>
      <c r="G1564">
        <f>IF(TableRefills3[[#This Row],[prev_refill_end]]="","",TableRefills3[[#This Row],[refill_date]]-TableRefills3[[#This Row],[prev_refill_end]])</f>
        <v>-1</v>
      </c>
      <c r="H1564" s="10">
        <f>IF(TableRefills3[[#This Row],[gap_days]]="",0,IF(TableRefills3[[#This Row],[gap_days]]&gt;2,1,0))</f>
        <v>0</v>
      </c>
      <c r="I1564">
        <f>_xlfn.MAXIFS(TableRefills3[discountinuation_flag], TableRefills3[patient_id], A1564)</f>
        <v>1</v>
      </c>
    </row>
    <row r="1565" spans="1:9" x14ac:dyDescent="0.25">
      <c r="A1565" t="s">
        <v>2496</v>
      </c>
      <c r="B1565" t="s">
        <v>2497</v>
      </c>
      <c r="C1565" s="3">
        <v>45884</v>
      </c>
      <c r="D1565">
        <v>21</v>
      </c>
      <c r="E1565" s="3" t="str">
        <f t="shared" si="24"/>
        <v/>
      </c>
      <c r="F1565" s="3" t="str">
        <f>IF(TableRefills3[[#This Row],[prev_refill_days]]="","",TableRefills3[[#This Row],[prev_refill_days]]+TableRefills3[[#This Row],[quantity_days]])</f>
        <v/>
      </c>
      <c r="G1565" t="str">
        <f>IF(TableRefills3[[#This Row],[prev_refill_end]]="","",TableRefills3[[#This Row],[refill_date]]-TableRefills3[[#This Row],[prev_refill_end]])</f>
        <v/>
      </c>
      <c r="H1565" s="10">
        <f>IF(TableRefills3[[#This Row],[gap_days]]="",0,IF(TableRefills3[[#This Row],[gap_days]]&gt;2,1,0))</f>
        <v>0</v>
      </c>
      <c r="I1565">
        <f>_xlfn.MAXIFS(TableRefills3[discountinuation_flag], TableRefills3[patient_id], A1565)</f>
        <v>0</v>
      </c>
    </row>
    <row r="1566" spans="1:9" x14ac:dyDescent="0.25">
      <c r="A1566" t="s">
        <v>2496</v>
      </c>
      <c r="B1566" t="s">
        <v>2497</v>
      </c>
      <c r="C1566" s="3">
        <v>45906</v>
      </c>
      <c r="D1566">
        <v>21</v>
      </c>
      <c r="E1566" s="3">
        <f t="shared" si="24"/>
        <v>45884</v>
      </c>
      <c r="F1566" s="3">
        <f>IF(TableRefills3[[#This Row],[prev_refill_days]]="","",TableRefills3[[#This Row],[prev_refill_days]]+TableRefills3[[#This Row],[quantity_days]])</f>
        <v>45905</v>
      </c>
      <c r="G1566">
        <f>IF(TableRefills3[[#This Row],[prev_refill_end]]="","",TableRefills3[[#This Row],[refill_date]]-TableRefills3[[#This Row],[prev_refill_end]])</f>
        <v>1</v>
      </c>
      <c r="H1566" s="10">
        <f>IF(TableRefills3[[#This Row],[gap_days]]="",0,IF(TableRefills3[[#This Row],[gap_days]]&gt;2,1,0))</f>
        <v>0</v>
      </c>
      <c r="I1566">
        <f>_xlfn.MAXIFS(TableRefills3[discountinuation_flag], TableRefills3[patient_id], A1566)</f>
        <v>0</v>
      </c>
    </row>
    <row r="1567" spans="1:9" x14ac:dyDescent="0.25">
      <c r="A1567" t="s">
        <v>2496</v>
      </c>
      <c r="B1567" t="s">
        <v>2497</v>
      </c>
      <c r="C1567" s="3">
        <v>45926</v>
      </c>
      <c r="D1567">
        <v>21</v>
      </c>
      <c r="E1567" s="3">
        <f t="shared" si="24"/>
        <v>45906</v>
      </c>
      <c r="F1567" s="3">
        <f>IF(TableRefills3[[#This Row],[prev_refill_days]]="","",TableRefills3[[#This Row],[prev_refill_days]]+TableRefills3[[#This Row],[quantity_days]])</f>
        <v>45927</v>
      </c>
      <c r="G1567">
        <f>IF(TableRefills3[[#This Row],[prev_refill_end]]="","",TableRefills3[[#This Row],[refill_date]]-TableRefills3[[#This Row],[prev_refill_end]])</f>
        <v>-1</v>
      </c>
      <c r="H1567" s="10">
        <f>IF(TableRefills3[[#This Row],[gap_days]]="",0,IF(TableRefills3[[#This Row],[gap_days]]&gt;2,1,0))</f>
        <v>0</v>
      </c>
      <c r="I1567">
        <f>_xlfn.MAXIFS(TableRefills3[discountinuation_flag], TableRefills3[patient_id], A1567)</f>
        <v>0</v>
      </c>
    </row>
    <row r="1568" spans="1:9" x14ac:dyDescent="0.25">
      <c r="A1568" t="s">
        <v>2496</v>
      </c>
      <c r="B1568" t="s">
        <v>2497</v>
      </c>
      <c r="C1568" s="3">
        <v>45945</v>
      </c>
      <c r="D1568">
        <v>21</v>
      </c>
      <c r="E1568" s="3">
        <f t="shared" si="24"/>
        <v>45926</v>
      </c>
      <c r="F1568" s="3">
        <f>IF(TableRefills3[[#This Row],[prev_refill_days]]="","",TableRefills3[[#This Row],[prev_refill_days]]+TableRefills3[[#This Row],[quantity_days]])</f>
        <v>45947</v>
      </c>
      <c r="G1568">
        <f>IF(TableRefills3[[#This Row],[prev_refill_end]]="","",TableRefills3[[#This Row],[refill_date]]-TableRefills3[[#This Row],[prev_refill_end]])</f>
        <v>-2</v>
      </c>
      <c r="H1568" s="10">
        <f>IF(TableRefills3[[#This Row],[gap_days]]="",0,IF(TableRefills3[[#This Row],[gap_days]]&gt;2,1,0))</f>
        <v>0</v>
      </c>
      <c r="I1568">
        <f>_xlfn.MAXIFS(TableRefills3[discountinuation_flag], TableRefills3[patient_id], A1568)</f>
        <v>0</v>
      </c>
    </row>
    <row r="1569" spans="1:9" x14ac:dyDescent="0.25">
      <c r="A1569" t="s">
        <v>2502</v>
      </c>
      <c r="B1569" t="s">
        <v>2503</v>
      </c>
      <c r="C1569" s="3">
        <v>45922</v>
      </c>
      <c r="D1569">
        <v>28</v>
      </c>
      <c r="E1569" s="3" t="str">
        <f t="shared" si="24"/>
        <v/>
      </c>
      <c r="F1569" s="3" t="str">
        <f>IF(TableRefills3[[#This Row],[prev_refill_days]]="","",TableRefills3[[#This Row],[prev_refill_days]]+TableRefills3[[#This Row],[quantity_days]])</f>
        <v/>
      </c>
      <c r="G1569" t="str">
        <f>IF(TableRefills3[[#This Row],[prev_refill_end]]="","",TableRefills3[[#This Row],[refill_date]]-TableRefills3[[#This Row],[prev_refill_end]])</f>
        <v/>
      </c>
      <c r="H1569" s="10">
        <f>IF(TableRefills3[[#This Row],[gap_days]]="",0,IF(TableRefills3[[#This Row],[gap_days]]&gt;2,1,0))</f>
        <v>0</v>
      </c>
      <c r="I1569">
        <f>_xlfn.MAXIFS(TableRefills3[discountinuation_flag], TableRefills3[patient_id], A1569)</f>
        <v>0</v>
      </c>
    </row>
    <row r="1570" spans="1:9" x14ac:dyDescent="0.25">
      <c r="A1570" t="s">
        <v>2505</v>
      </c>
      <c r="B1570" t="s">
        <v>2506</v>
      </c>
      <c r="C1570" s="3">
        <v>45921</v>
      </c>
      <c r="D1570">
        <v>28</v>
      </c>
      <c r="E1570" s="3" t="str">
        <f t="shared" si="24"/>
        <v/>
      </c>
      <c r="F1570" s="3" t="str">
        <f>IF(TableRefills3[[#This Row],[prev_refill_days]]="","",TableRefills3[[#This Row],[prev_refill_days]]+TableRefills3[[#This Row],[quantity_days]])</f>
        <v/>
      </c>
      <c r="G1570" t="str">
        <f>IF(TableRefills3[[#This Row],[prev_refill_end]]="","",TableRefills3[[#This Row],[refill_date]]-TableRefills3[[#This Row],[prev_refill_end]])</f>
        <v/>
      </c>
      <c r="H1570" s="10">
        <f>IF(TableRefills3[[#This Row],[gap_days]]="",0,IF(TableRefills3[[#This Row],[gap_days]]&gt;2,1,0))</f>
        <v>0</v>
      </c>
      <c r="I1570">
        <f>_xlfn.MAXIFS(TableRefills3[discountinuation_flag], TableRefills3[patient_id], A1570)</f>
        <v>0</v>
      </c>
    </row>
    <row r="1571" spans="1:9" x14ac:dyDescent="0.25">
      <c r="A1571" t="s">
        <v>2505</v>
      </c>
      <c r="B1571" t="s">
        <v>2506</v>
      </c>
      <c r="C1571" s="3">
        <v>45946</v>
      </c>
      <c r="D1571">
        <v>28</v>
      </c>
      <c r="E1571" s="3">
        <f t="shared" si="24"/>
        <v>45921</v>
      </c>
      <c r="F1571" s="3">
        <f>IF(TableRefills3[[#This Row],[prev_refill_days]]="","",TableRefills3[[#This Row],[prev_refill_days]]+TableRefills3[[#This Row],[quantity_days]])</f>
        <v>45949</v>
      </c>
      <c r="G1571">
        <f>IF(TableRefills3[[#This Row],[prev_refill_end]]="","",TableRefills3[[#This Row],[refill_date]]-TableRefills3[[#This Row],[prev_refill_end]])</f>
        <v>-3</v>
      </c>
      <c r="H1571" s="10">
        <f>IF(TableRefills3[[#This Row],[gap_days]]="",0,IF(TableRefills3[[#This Row],[gap_days]]&gt;2,1,0))</f>
        <v>0</v>
      </c>
      <c r="I1571">
        <f>_xlfn.MAXIFS(TableRefills3[discountinuation_flag], TableRefills3[patient_id], A1571)</f>
        <v>0</v>
      </c>
    </row>
    <row r="1572" spans="1:9" x14ac:dyDescent="0.25">
      <c r="A1572" t="s">
        <v>2509</v>
      </c>
      <c r="B1572" t="s">
        <v>2510</v>
      </c>
      <c r="C1572" s="3">
        <v>45950</v>
      </c>
      <c r="D1572">
        <v>56</v>
      </c>
      <c r="E1572" s="3" t="str">
        <f t="shared" si="24"/>
        <v/>
      </c>
      <c r="F1572" s="3" t="str">
        <f>IF(TableRefills3[[#This Row],[prev_refill_days]]="","",TableRefills3[[#This Row],[prev_refill_days]]+TableRefills3[[#This Row],[quantity_days]])</f>
        <v/>
      </c>
      <c r="G1572" t="str">
        <f>IF(TableRefills3[[#This Row],[prev_refill_end]]="","",TableRefills3[[#This Row],[refill_date]]-TableRefills3[[#This Row],[prev_refill_end]])</f>
        <v/>
      </c>
      <c r="H1572" s="10">
        <f>IF(TableRefills3[[#This Row],[gap_days]]="",0,IF(TableRefills3[[#This Row],[gap_days]]&gt;2,1,0))</f>
        <v>0</v>
      </c>
      <c r="I1572">
        <f>_xlfn.MAXIFS(TableRefills3[discountinuation_flag], TableRefills3[patient_id], A1572)</f>
        <v>0</v>
      </c>
    </row>
    <row r="1573" spans="1:9" x14ac:dyDescent="0.25">
      <c r="A1573" t="s">
        <v>2512</v>
      </c>
      <c r="B1573" t="s">
        <v>2513</v>
      </c>
      <c r="C1573" s="3">
        <v>45856</v>
      </c>
      <c r="D1573">
        <v>28</v>
      </c>
      <c r="E1573" s="3" t="str">
        <f t="shared" si="24"/>
        <v/>
      </c>
      <c r="F1573" s="3" t="str">
        <f>IF(TableRefills3[[#This Row],[prev_refill_days]]="","",TableRefills3[[#This Row],[prev_refill_days]]+TableRefills3[[#This Row],[quantity_days]])</f>
        <v/>
      </c>
      <c r="G1573" t="str">
        <f>IF(TableRefills3[[#This Row],[prev_refill_end]]="","",TableRefills3[[#This Row],[refill_date]]-TableRefills3[[#This Row],[prev_refill_end]])</f>
        <v/>
      </c>
      <c r="H1573" s="10">
        <f>IF(TableRefills3[[#This Row],[gap_days]]="",0,IF(TableRefills3[[#This Row],[gap_days]]&gt;2,1,0))</f>
        <v>0</v>
      </c>
      <c r="I1573">
        <f>_xlfn.MAXIFS(TableRefills3[discountinuation_flag], TableRefills3[patient_id], A1573)</f>
        <v>0</v>
      </c>
    </row>
    <row r="1574" spans="1:9" x14ac:dyDescent="0.25">
      <c r="A1574" t="s">
        <v>2512</v>
      </c>
      <c r="B1574" t="s">
        <v>2513</v>
      </c>
      <c r="C1574" s="3">
        <v>45886</v>
      </c>
      <c r="D1574">
        <v>28</v>
      </c>
      <c r="E1574" s="3">
        <f t="shared" si="24"/>
        <v>45856</v>
      </c>
      <c r="F1574" s="3">
        <f>IF(TableRefills3[[#This Row],[prev_refill_days]]="","",TableRefills3[[#This Row],[prev_refill_days]]+TableRefills3[[#This Row],[quantity_days]])</f>
        <v>45884</v>
      </c>
      <c r="G1574">
        <f>IF(TableRefills3[[#This Row],[prev_refill_end]]="","",TableRefills3[[#This Row],[refill_date]]-TableRefills3[[#This Row],[prev_refill_end]])</f>
        <v>2</v>
      </c>
      <c r="H1574" s="10">
        <f>IF(TableRefills3[[#This Row],[gap_days]]="",0,IF(TableRefills3[[#This Row],[gap_days]]&gt;2,1,0))</f>
        <v>0</v>
      </c>
      <c r="I1574">
        <f>_xlfn.MAXIFS(TableRefills3[discountinuation_flag], TableRefills3[patient_id], A1574)</f>
        <v>0</v>
      </c>
    </row>
    <row r="1575" spans="1:9" x14ac:dyDescent="0.25">
      <c r="A1575" t="s">
        <v>2512</v>
      </c>
      <c r="B1575" t="s">
        <v>2513</v>
      </c>
      <c r="C1575" s="3">
        <v>45914</v>
      </c>
      <c r="D1575">
        <v>28</v>
      </c>
      <c r="E1575" s="3">
        <f t="shared" si="24"/>
        <v>45886</v>
      </c>
      <c r="F1575" s="3">
        <f>IF(TableRefills3[[#This Row],[prev_refill_days]]="","",TableRefills3[[#This Row],[prev_refill_days]]+TableRefills3[[#This Row],[quantity_days]])</f>
        <v>45914</v>
      </c>
      <c r="G1575">
        <f>IF(TableRefills3[[#This Row],[prev_refill_end]]="","",TableRefills3[[#This Row],[refill_date]]-TableRefills3[[#This Row],[prev_refill_end]])</f>
        <v>0</v>
      </c>
      <c r="H1575" s="10">
        <f>IF(TableRefills3[[#This Row],[gap_days]]="",0,IF(TableRefills3[[#This Row],[gap_days]]&gt;2,1,0))</f>
        <v>0</v>
      </c>
      <c r="I1575">
        <f>_xlfn.MAXIFS(TableRefills3[discountinuation_flag], TableRefills3[patient_id], A1575)</f>
        <v>0</v>
      </c>
    </row>
    <row r="1576" spans="1:9" x14ac:dyDescent="0.25">
      <c r="A1576" t="s">
        <v>2512</v>
      </c>
      <c r="B1576" t="s">
        <v>2513</v>
      </c>
      <c r="C1576" s="3">
        <v>45941</v>
      </c>
      <c r="D1576">
        <v>28</v>
      </c>
      <c r="E1576" s="3">
        <f t="shared" si="24"/>
        <v>45914</v>
      </c>
      <c r="F1576" s="3">
        <f>IF(TableRefills3[[#This Row],[prev_refill_days]]="","",TableRefills3[[#This Row],[prev_refill_days]]+TableRefills3[[#This Row],[quantity_days]])</f>
        <v>45942</v>
      </c>
      <c r="G1576">
        <f>IF(TableRefills3[[#This Row],[prev_refill_end]]="","",TableRefills3[[#This Row],[refill_date]]-TableRefills3[[#This Row],[prev_refill_end]])</f>
        <v>-1</v>
      </c>
      <c r="H1576" s="10">
        <f>IF(TableRefills3[[#This Row],[gap_days]]="",0,IF(TableRefills3[[#This Row],[gap_days]]&gt;2,1,0))</f>
        <v>0</v>
      </c>
      <c r="I1576">
        <f>_xlfn.MAXIFS(TableRefills3[discountinuation_flag], TableRefills3[patient_id], A1576)</f>
        <v>0</v>
      </c>
    </row>
    <row r="1577" spans="1:9" x14ac:dyDescent="0.25">
      <c r="A1577" t="s">
        <v>2518</v>
      </c>
      <c r="B1577" t="s">
        <v>2519</v>
      </c>
      <c r="C1577" s="3">
        <v>45783</v>
      </c>
      <c r="D1577">
        <v>30</v>
      </c>
      <c r="E1577" s="3" t="str">
        <f t="shared" si="24"/>
        <v/>
      </c>
      <c r="F1577" s="3" t="str">
        <f>IF(TableRefills3[[#This Row],[prev_refill_days]]="","",TableRefills3[[#This Row],[prev_refill_days]]+TableRefills3[[#This Row],[quantity_days]])</f>
        <v/>
      </c>
      <c r="G1577" t="str">
        <f>IF(TableRefills3[[#This Row],[prev_refill_end]]="","",TableRefills3[[#This Row],[refill_date]]-TableRefills3[[#This Row],[prev_refill_end]])</f>
        <v/>
      </c>
      <c r="H1577" s="10">
        <f>IF(TableRefills3[[#This Row],[gap_days]]="",0,IF(TableRefills3[[#This Row],[gap_days]]&gt;2,1,0))</f>
        <v>0</v>
      </c>
      <c r="I1577">
        <f>_xlfn.MAXIFS(TableRefills3[discountinuation_flag], TableRefills3[patient_id], A1577)</f>
        <v>0</v>
      </c>
    </row>
    <row r="1578" spans="1:9" x14ac:dyDescent="0.25">
      <c r="A1578" t="s">
        <v>2518</v>
      </c>
      <c r="B1578" t="s">
        <v>2519</v>
      </c>
      <c r="C1578" s="3">
        <v>45814</v>
      </c>
      <c r="D1578">
        <v>30</v>
      </c>
      <c r="E1578" s="3">
        <f t="shared" si="24"/>
        <v>45783</v>
      </c>
      <c r="F1578" s="3">
        <f>IF(TableRefills3[[#This Row],[prev_refill_days]]="","",TableRefills3[[#This Row],[prev_refill_days]]+TableRefills3[[#This Row],[quantity_days]])</f>
        <v>45813</v>
      </c>
      <c r="G1578">
        <f>IF(TableRefills3[[#This Row],[prev_refill_end]]="","",TableRefills3[[#This Row],[refill_date]]-TableRefills3[[#This Row],[prev_refill_end]])</f>
        <v>1</v>
      </c>
      <c r="H1578" s="10">
        <f>IF(TableRefills3[[#This Row],[gap_days]]="",0,IF(TableRefills3[[#This Row],[gap_days]]&gt;2,1,0))</f>
        <v>0</v>
      </c>
      <c r="I1578">
        <f>_xlfn.MAXIFS(TableRefills3[discountinuation_flag], TableRefills3[patient_id], A1578)</f>
        <v>0</v>
      </c>
    </row>
    <row r="1579" spans="1:9" x14ac:dyDescent="0.25">
      <c r="A1579" t="s">
        <v>2518</v>
      </c>
      <c r="B1579" t="s">
        <v>2519</v>
      </c>
      <c r="C1579" s="3">
        <v>45842</v>
      </c>
      <c r="D1579">
        <v>30</v>
      </c>
      <c r="E1579" s="3">
        <f t="shared" si="24"/>
        <v>45814</v>
      </c>
      <c r="F1579" s="3">
        <f>IF(TableRefills3[[#This Row],[prev_refill_days]]="","",TableRefills3[[#This Row],[prev_refill_days]]+TableRefills3[[#This Row],[quantity_days]])</f>
        <v>45844</v>
      </c>
      <c r="G1579">
        <f>IF(TableRefills3[[#This Row],[prev_refill_end]]="","",TableRefills3[[#This Row],[refill_date]]-TableRefills3[[#This Row],[prev_refill_end]])</f>
        <v>-2</v>
      </c>
      <c r="H1579" s="10">
        <f>IF(TableRefills3[[#This Row],[gap_days]]="",0,IF(TableRefills3[[#This Row],[gap_days]]&gt;2,1,0))</f>
        <v>0</v>
      </c>
      <c r="I1579">
        <f>_xlfn.MAXIFS(TableRefills3[discountinuation_flag], TableRefills3[patient_id], A1579)</f>
        <v>0</v>
      </c>
    </row>
    <row r="1580" spans="1:9" x14ac:dyDescent="0.25">
      <c r="A1580" t="s">
        <v>2518</v>
      </c>
      <c r="B1580" t="s">
        <v>2519</v>
      </c>
      <c r="C1580" s="3">
        <v>45871</v>
      </c>
      <c r="D1580">
        <v>30</v>
      </c>
      <c r="E1580" s="3">
        <f t="shared" si="24"/>
        <v>45842</v>
      </c>
      <c r="F1580" s="3">
        <f>IF(TableRefills3[[#This Row],[prev_refill_days]]="","",TableRefills3[[#This Row],[prev_refill_days]]+TableRefills3[[#This Row],[quantity_days]])</f>
        <v>45872</v>
      </c>
      <c r="G1580">
        <f>IF(TableRefills3[[#This Row],[prev_refill_end]]="","",TableRefills3[[#This Row],[refill_date]]-TableRefills3[[#This Row],[prev_refill_end]])</f>
        <v>-1</v>
      </c>
      <c r="H1580" s="10">
        <f>IF(TableRefills3[[#This Row],[gap_days]]="",0,IF(TableRefills3[[#This Row],[gap_days]]&gt;2,1,0))</f>
        <v>0</v>
      </c>
      <c r="I1580">
        <f>_xlfn.MAXIFS(TableRefills3[discountinuation_flag], TableRefills3[patient_id], A1580)</f>
        <v>0</v>
      </c>
    </row>
    <row r="1581" spans="1:9" x14ac:dyDescent="0.25">
      <c r="A1581" t="s">
        <v>2518</v>
      </c>
      <c r="B1581" t="s">
        <v>2519</v>
      </c>
      <c r="C1581" s="3">
        <v>45899</v>
      </c>
      <c r="D1581">
        <v>30</v>
      </c>
      <c r="E1581" s="3">
        <f t="shared" si="24"/>
        <v>45871</v>
      </c>
      <c r="F1581" s="3">
        <f>IF(TableRefills3[[#This Row],[prev_refill_days]]="","",TableRefills3[[#This Row],[prev_refill_days]]+TableRefills3[[#This Row],[quantity_days]])</f>
        <v>45901</v>
      </c>
      <c r="G1581">
        <f>IF(TableRefills3[[#This Row],[prev_refill_end]]="","",TableRefills3[[#This Row],[refill_date]]-TableRefills3[[#This Row],[prev_refill_end]])</f>
        <v>-2</v>
      </c>
      <c r="H1581" s="10">
        <f>IF(TableRefills3[[#This Row],[gap_days]]="",0,IF(TableRefills3[[#This Row],[gap_days]]&gt;2,1,0))</f>
        <v>0</v>
      </c>
      <c r="I1581">
        <f>_xlfn.MAXIFS(TableRefills3[discountinuation_flag], TableRefills3[patient_id], A1581)</f>
        <v>0</v>
      </c>
    </row>
    <row r="1582" spans="1:9" x14ac:dyDescent="0.25">
      <c r="A1582" t="s">
        <v>2518</v>
      </c>
      <c r="B1582" t="s">
        <v>2519</v>
      </c>
      <c r="C1582" s="3">
        <v>45929</v>
      </c>
      <c r="D1582">
        <v>30</v>
      </c>
      <c r="E1582" s="3">
        <f t="shared" si="24"/>
        <v>45899</v>
      </c>
      <c r="F1582" s="3">
        <f>IF(TableRefills3[[#This Row],[prev_refill_days]]="","",TableRefills3[[#This Row],[prev_refill_days]]+TableRefills3[[#This Row],[quantity_days]])</f>
        <v>45929</v>
      </c>
      <c r="G1582">
        <f>IF(TableRefills3[[#This Row],[prev_refill_end]]="","",TableRefills3[[#This Row],[refill_date]]-TableRefills3[[#This Row],[prev_refill_end]])</f>
        <v>0</v>
      </c>
      <c r="H1582" s="10">
        <f>IF(TableRefills3[[#This Row],[gap_days]]="",0,IF(TableRefills3[[#This Row],[gap_days]]&gt;2,1,0))</f>
        <v>0</v>
      </c>
      <c r="I1582">
        <f>_xlfn.MAXIFS(TableRefills3[discountinuation_flag], TableRefills3[patient_id], A1582)</f>
        <v>0</v>
      </c>
    </row>
    <row r="1583" spans="1:9" x14ac:dyDescent="0.25">
      <c r="A1583" t="s">
        <v>2518</v>
      </c>
      <c r="B1583" t="s">
        <v>2519</v>
      </c>
      <c r="C1583" s="3">
        <v>45956</v>
      </c>
      <c r="D1583">
        <v>30</v>
      </c>
      <c r="E1583" s="3">
        <f t="shared" si="24"/>
        <v>45929</v>
      </c>
      <c r="F1583" s="3">
        <f>IF(TableRefills3[[#This Row],[prev_refill_days]]="","",TableRefills3[[#This Row],[prev_refill_days]]+TableRefills3[[#This Row],[quantity_days]])</f>
        <v>45959</v>
      </c>
      <c r="G1583">
        <f>IF(TableRefills3[[#This Row],[prev_refill_end]]="","",TableRefills3[[#This Row],[refill_date]]-TableRefills3[[#This Row],[prev_refill_end]])</f>
        <v>-3</v>
      </c>
      <c r="H1583" s="10">
        <f>IF(TableRefills3[[#This Row],[gap_days]]="",0,IF(TableRefills3[[#This Row],[gap_days]]&gt;2,1,0))</f>
        <v>0</v>
      </c>
      <c r="I1583">
        <f>_xlfn.MAXIFS(TableRefills3[discountinuation_flag], TableRefills3[patient_id], A1583)</f>
        <v>0</v>
      </c>
    </row>
    <row r="1584" spans="1:9" x14ac:dyDescent="0.25">
      <c r="A1584" t="s">
        <v>2527</v>
      </c>
      <c r="B1584" t="s">
        <v>2528</v>
      </c>
      <c r="C1584" s="3">
        <v>45843</v>
      </c>
      <c r="D1584">
        <v>28</v>
      </c>
      <c r="E1584" s="3" t="str">
        <f t="shared" si="24"/>
        <v/>
      </c>
      <c r="F1584" s="3" t="str">
        <f>IF(TableRefills3[[#This Row],[prev_refill_days]]="","",TableRefills3[[#This Row],[prev_refill_days]]+TableRefills3[[#This Row],[quantity_days]])</f>
        <v/>
      </c>
      <c r="G1584" t="str">
        <f>IF(TableRefills3[[#This Row],[prev_refill_end]]="","",TableRefills3[[#This Row],[refill_date]]-TableRefills3[[#This Row],[prev_refill_end]])</f>
        <v/>
      </c>
      <c r="H1584" s="10">
        <f>IF(TableRefills3[[#This Row],[gap_days]]="",0,IF(TableRefills3[[#This Row],[gap_days]]&gt;2,1,0))</f>
        <v>0</v>
      </c>
      <c r="I1584">
        <f>_xlfn.MAXIFS(TableRefills3[discountinuation_flag], TableRefills3[patient_id], A1584)</f>
        <v>1</v>
      </c>
    </row>
    <row r="1585" spans="1:9" x14ac:dyDescent="0.25">
      <c r="A1585" t="s">
        <v>2527</v>
      </c>
      <c r="B1585" t="s">
        <v>2528</v>
      </c>
      <c r="C1585" s="3">
        <v>45868</v>
      </c>
      <c r="D1585">
        <v>28</v>
      </c>
      <c r="E1585" s="3">
        <f t="shared" si="24"/>
        <v>45843</v>
      </c>
      <c r="F1585" s="3">
        <f>IF(TableRefills3[[#This Row],[prev_refill_days]]="","",TableRefills3[[#This Row],[prev_refill_days]]+TableRefills3[[#This Row],[quantity_days]])</f>
        <v>45871</v>
      </c>
      <c r="G1585">
        <f>IF(TableRefills3[[#This Row],[prev_refill_end]]="","",TableRefills3[[#This Row],[refill_date]]-TableRefills3[[#This Row],[prev_refill_end]])</f>
        <v>-3</v>
      </c>
      <c r="H1585" s="10">
        <f>IF(TableRefills3[[#This Row],[gap_days]]="",0,IF(TableRefills3[[#This Row],[gap_days]]&gt;2,1,0))</f>
        <v>0</v>
      </c>
      <c r="I1585">
        <f>_xlfn.MAXIFS(TableRefills3[discountinuation_flag], TableRefills3[patient_id], A1585)</f>
        <v>1</v>
      </c>
    </row>
    <row r="1586" spans="1:9" x14ac:dyDescent="0.25">
      <c r="A1586" t="s">
        <v>2527</v>
      </c>
      <c r="B1586" t="s">
        <v>2528</v>
      </c>
      <c r="C1586" s="3">
        <v>45894</v>
      </c>
      <c r="D1586">
        <v>28</v>
      </c>
      <c r="E1586" s="3">
        <f t="shared" si="24"/>
        <v>45868</v>
      </c>
      <c r="F1586" s="3">
        <f>IF(TableRefills3[[#This Row],[prev_refill_days]]="","",TableRefills3[[#This Row],[prev_refill_days]]+TableRefills3[[#This Row],[quantity_days]])</f>
        <v>45896</v>
      </c>
      <c r="G1586">
        <f>IF(TableRefills3[[#This Row],[prev_refill_end]]="","",TableRefills3[[#This Row],[refill_date]]-TableRefills3[[#This Row],[prev_refill_end]])</f>
        <v>-2</v>
      </c>
      <c r="H1586" s="10">
        <f>IF(TableRefills3[[#This Row],[gap_days]]="",0,IF(TableRefills3[[#This Row],[gap_days]]&gt;2,1,0))</f>
        <v>0</v>
      </c>
      <c r="I1586">
        <f>_xlfn.MAXIFS(TableRefills3[discountinuation_flag], TableRefills3[patient_id], A1586)</f>
        <v>1</v>
      </c>
    </row>
    <row r="1587" spans="1:9" x14ac:dyDescent="0.25">
      <c r="A1587" t="s">
        <v>2527</v>
      </c>
      <c r="B1587" t="s">
        <v>2528</v>
      </c>
      <c r="C1587" s="3">
        <v>45922</v>
      </c>
      <c r="D1587">
        <v>28</v>
      </c>
      <c r="E1587" s="3">
        <f t="shared" si="24"/>
        <v>45894</v>
      </c>
      <c r="F1587" s="3">
        <f>IF(TableRefills3[[#This Row],[prev_refill_days]]="","",TableRefills3[[#This Row],[prev_refill_days]]+TableRefills3[[#This Row],[quantity_days]])</f>
        <v>45922</v>
      </c>
      <c r="G1587">
        <f>IF(TableRefills3[[#This Row],[prev_refill_end]]="","",TableRefills3[[#This Row],[refill_date]]-TableRefills3[[#This Row],[prev_refill_end]])</f>
        <v>0</v>
      </c>
      <c r="H1587" s="10">
        <f>IF(TableRefills3[[#This Row],[gap_days]]="",0,IF(TableRefills3[[#This Row],[gap_days]]&gt;2,1,0))</f>
        <v>0</v>
      </c>
      <c r="I1587">
        <f>_xlfn.MAXIFS(TableRefills3[discountinuation_flag], TableRefills3[patient_id], A1587)</f>
        <v>1</v>
      </c>
    </row>
    <row r="1588" spans="1:9" x14ac:dyDescent="0.25">
      <c r="A1588" t="s">
        <v>2527</v>
      </c>
      <c r="B1588" t="s">
        <v>2528</v>
      </c>
      <c r="C1588" s="3">
        <v>45953</v>
      </c>
      <c r="D1588">
        <v>28</v>
      </c>
      <c r="E1588" s="3">
        <f t="shared" si="24"/>
        <v>45922</v>
      </c>
      <c r="F1588" s="3">
        <f>IF(TableRefills3[[#This Row],[prev_refill_days]]="","",TableRefills3[[#This Row],[prev_refill_days]]+TableRefills3[[#This Row],[quantity_days]])</f>
        <v>45950</v>
      </c>
      <c r="G1588">
        <f>IF(TableRefills3[[#This Row],[prev_refill_end]]="","",TableRefills3[[#This Row],[refill_date]]-TableRefills3[[#This Row],[prev_refill_end]])</f>
        <v>3</v>
      </c>
      <c r="H1588" s="10">
        <f>IF(TableRefills3[[#This Row],[gap_days]]="",0,IF(TableRefills3[[#This Row],[gap_days]]&gt;2,1,0))</f>
        <v>1</v>
      </c>
      <c r="I1588">
        <f>_xlfn.MAXIFS(TableRefills3[discountinuation_flag], TableRefills3[patient_id], A1588)</f>
        <v>1</v>
      </c>
    </row>
    <row r="1589" spans="1:9" x14ac:dyDescent="0.25">
      <c r="A1589" t="s">
        <v>2534</v>
      </c>
      <c r="B1589" t="s">
        <v>2535</v>
      </c>
      <c r="C1589" s="3">
        <v>45778</v>
      </c>
      <c r="D1589">
        <v>28</v>
      </c>
      <c r="E1589" s="3" t="str">
        <f t="shared" si="24"/>
        <v/>
      </c>
      <c r="F1589" s="3" t="str">
        <f>IF(TableRefills3[[#This Row],[prev_refill_days]]="","",TableRefills3[[#This Row],[prev_refill_days]]+TableRefills3[[#This Row],[quantity_days]])</f>
        <v/>
      </c>
      <c r="G1589" t="str">
        <f>IF(TableRefills3[[#This Row],[prev_refill_end]]="","",TableRefills3[[#This Row],[refill_date]]-TableRefills3[[#This Row],[prev_refill_end]])</f>
        <v/>
      </c>
      <c r="H1589" s="10">
        <f>IF(TableRefills3[[#This Row],[gap_days]]="",0,IF(TableRefills3[[#This Row],[gap_days]]&gt;2,1,0))</f>
        <v>0</v>
      </c>
      <c r="I1589">
        <f>_xlfn.MAXIFS(TableRefills3[discountinuation_flag], TableRefills3[patient_id], A1589)</f>
        <v>0</v>
      </c>
    </row>
    <row r="1590" spans="1:9" x14ac:dyDescent="0.25">
      <c r="A1590" t="s">
        <v>2534</v>
      </c>
      <c r="B1590" t="s">
        <v>2535</v>
      </c>
      <c r="C1590" s="3">
        <v>45808</v>
      </c>
      <c r="D1590">
        <v>28</v>
      </c>
      <c r="E1590" s="3">
        <f t="shared" si="24"/>
        <v>45778</v>
      </c>
      <c r="F1590" s="3">
        <f>IF(TableRefills3[[#This Row],[prev_refill_days]]="","",TableRefills3[[#This Row],[prev_refill_days]]+TableRefills3[[#This Row],[quantity_days]])</f>
        <v>45806</v>
      </c>
      <c r="G1590">
        <f>IF(TableRefills3[[#This Row],[prev_refill_end]]="","",TableRefills3[[#This Row],[refill_date]]-TableRefills3[[#This Row],[prev_refill_end]])</f>
        <v>2</v>
      </c>
      <c r="H1590" s="10">
        <f>IF(TableRefills3[[#This Row],[gap_days]]="",0,IF(TableRefills3[[#This Row],[gap_days]]&gt;2,1,0))</f>
        <v>0</v>
      </c>
      <c r="I1590">
        <f>_xlfn.MAXIFS(TableRefills3[discountinuation_flag], TableRefills3[patient_id], A1590)</f>
        <v>0</v>
      </c>
    </row>
    <row r="1591" spans="1:9" x14ac:dyDescent="0.25">
      <c r="A1591" t="s">
        <v>2538</v>
      </c>
      <c r="B1591" t="s">
        <v>2539</v>
      </c>
      <c r="C1591" s="3">
        <v>45833</v>
      </c>
      <c r="D1591">
        <v>28</v>
      </c>
      <c r="E1591" s="3" t="str">
        <f t="shared" si="24"/>
        <v/>
      </c>
      <c r="F1591" s="3" t="str">
        <f>IF(TableRefills3[[#This Row],[prev_refill_days]]="","",TableRefills3[[#This Row],[prev_refill_days]]+TableRefills3[[#This Row],[quantity_days]])</f>
        <v/>
      </c>
      <c r="G1591" t="str">
        <f>IF(TableRefills3[[#This Row],[prev_refill_end]]="","",TableRefills3[[#This Row],[refill_date]]-TableRefills3[[#This Row],[prev_refill_end]])</f>
        <v/>
      </c>
      <c r="H1591" s="10">
        <f>IF(TableRefills3[[#This Row],[gap_days]]="",0,IF(TableRefills3[[#This Row],[gap_days]]&gt;2,1,0))</f>
        <v>0</v>
      </c>
      <c r="I1591">
        <f>_xlfn.MAXIFS(TableRefills3[discountinuation_flag], TableRefills3[patient_id], A1591)</f>
        <v>1</v>
      </c>
    </row>
    <row r="1592" spans="1:9" x14ac:dyDescent="0.25">
      <c r="A1592" t="s">
        <v>2538</v>
      </c>
      <c r="B1592" t="s">
        <v>2539</v>
      </c>
      <c r="C1592" s="3">
        <v>45858</v>
      </c>
      <c r="D1592">
        <v>28</v>
      </c>
      <c r="E1592" s="3">
        <f t="shared" si="24"/>
        <v>45833</v>
      </c>
      <c r="F1592" s="3">
        <f>IF(TableRefills3[[#This Row],[prev_refill_days]]="","",TableRefills3[[#This Row],[prev_refill_days]]+TableRefills3[[#This Row],[quantity_days]])</f>
        <v>45861</v>
      </c>
      <c r="G1592">
        <f>IF(TableRefills3[[#This Row],[prev_refill_end]]="","",TableRefills3[[#This Row],[refill_date]]-TableRefills3[[#This Row],[prev_refill_end]])</f>
        <v>-3</v>
      </c>
      <c r="H1592" s="10">
        <f>IF(TableRefills3[[#This Row],[gap_days]]="",0,IF(TableRefills3[[#This Row],[gap_days]]&gt;2,1,0))</f>
        <v>0</v>
      </c>
      <c r="I1592">
        <f>_xlfn.MAXIFS(TableRefills3[discountinuation_flag], TableRefills3[patient_id], A1592)</f>
        <v>1</v>
      </c>
    </row>
    <row r="1593" spans="1:9" x14ac:dyDescent="0.25">
      <c r="A1593" t="s">
        <v>2538</v>
      </c>
      <c r="B1593" t="s">
        <v>2539</v>
      </c>
      <c r="C1593" s="3">
        <v>45889</v>
      </c>
      <c r="D1593">
        <v>28</v>
      </c>
      <c r="E1593" s="3">
        <f t="shared" si="24"/>
        <v>45858</v>
      </c>
      <c r="F1593" s="3">
        <f>IF(TableRefills3[[#This Row],[prev_refill_days]]="","",TableRefills3[[#This Row],[prev_refill_days]]+TableRefills3[[#This Row],[quantity_days]])</f>
        <v>45886</v>
      </c>
      <c r="G1593">
        <f>IF(TableRefills3[[#This Row],[prev_refill_end]]="","",TableRefills3[[#This Row],[refill_date]]-TableRefills3[[#This Row],[prev_refill_end]])</f>
        <v>3</v>
      </c>
      <c r="H1593" s="10">
        <f>IF(TableRefills3[[#This Row],[gap_days]]="",0,IF(TableRefills3[[#This Row],[gap_days]]&gt;2,1,0))</f>
        <v>1</v>
      </c>
      <c r="I1593">
        <f>_xlfn.MAXIFS(TableRefills3[discountinuation_flag], TableRefills3[patient_id], A1593)</f>
        <v>1</v>
      </c>
    </row>
    <row r="1594" spans="1:9" x14ac:dyDescent="0.25">
      <c r="A1594" t="s">
        <v>2538</v>
      </c>
      <c r="B1594" t="s">
        <v>2539</v>
      </c>
      <c r="C1594" s="3">
        <v>45915</v>
      </c>
      <c r="D1594">
        <v>28</v>
      </c>
      <c r="E1594" s="3">
        <f t="shared" si="24"/>
        <v>45889</v>
      </c>
      <c r="F1594" s="3">
        <f>IF(TableRefills3[[#This Row],[prev_refill_days]]="","",TableRefills3[[#This Row],[prev_refill_days]]+TableRefills3[[#This Row],[quantity_days]])</f>
        <v>45917</v>
      </c>
      <c r="G1594">
        <f>IF(TableRefills3[[#This Row],[prev_refill_end]]="","",TableRefills3[[#This Row],[refill_date]]-TableRefills3[[#This Row],[prev_refill_end]])</f>
        <v>-2</v>
      </c>
      <c r="H1594" s="10">
        <f>IF(TableRefills3[[#This Row],[gap_days]]="",0,IF(TableRefills3[[#This Row],[gap_days]]&gt;2,1,0))</f>
        <v>0</v>
      </c>
      <c r="I1594">
        <f>_xlfn.MAXIFS(TableRefills3[discountinuation_flag], TableRefills3[patient_id], A1594)</f>
        <v>1</v>
      </c>
    </row>
    <row r="1595" spans="1:9" x14ac:dyDescent="0.25">
      <c r="A1595" t="s">
        <v>2538</v>
      </c>
      <c r="B1595" t="s">
        <v>2539</v>
      </c>
      <c r="C1595" s="3">
        <v>45942</v>
      </c>
      <c r="D1595">
        <v>28</v>
      </c>
      <c r="E1595" s="3">
        <f t="shared" si="24"/>
        <v>45915</v>
      </c>
      <c r="F1595" s="3">
        <f>IF(TableRefills3[[#This Row],[prev_refill_days]]="","",TableRefills3[[#This Row],[prev_refill_days]]+TableRefills3[[#This Row],[quantity_days]])</f>
        <v>45943</v>
      </c>
      <c r="G1595">
        <f>IF(TableRefills3[[#This Row],[prev_refill_end]]="","",TableRefills3[[#This Row],[refill_date]]-TableRefills3[[#This Row],[prev_refill_end]])</f>
        <v>-1</v>
      </c>
      <c r="H1595" s="10">
        <f>IF(TableRefills3[[#This Row],[gap_days]]="",0,IF(TableRefills3[[#This Row],[gap_days]]&gt;2,1,0))</f>
        <v>0</v>
      </c>
      <c r="I1595">
        <f>_xlfn.MAXIFS(TableRefills3[discountinuation_flag], TableRefills3[patient_id], A1595)</f>
        <v>1</v>
      </c>
    </row>
    <row r="1596" spans="1:9" x14ac:dyDescent="0.25">
      <c r="A1596" t="s">
        <v>2545</v>
      </c>
      <c r="B1596" t="s">
        <v>2546</v>
      </c>
      <c r="C1596" s="3">
        <v>45796</v>
      </c>
      <c r="D1596">
        <v>14</v>
      </c>
      <c r="E1596" s="3" t="str">
        <f t="shared" si="24"/>
        <v/>
      </c>
      <c r="F1596" s="3" t="str">
        <f>IF(TableRefills3[[#This Row],[prev_refill_days]]="","",TableRefills3[[#This Row],[prev_refill_days]]+TableRefills3[[#This Row],[quantity_days]])</f>
        <v/>
      </c>
      <c r="G1596" t="str">
        <f>IF(TableRefills3[[#This Row],[prev_refill_end]]="","",TableRefills3[[#This Row],[refill_date]]-TableRefills3[[#This Row],[prev_refill_end]])</f>
        <v/>
      </c>
      <c r="H1596" s="10">
        <f>IF(TableRefills3[[#This Row],[gap_days]]="",0,IF(TableRefills3[[#This Row],[gap_days]]&gt;2,1,0))</f>
        <v>0</v>
      </c>
      <c r="I1596">
        <f>_xlfn.MAXIFS(TableRefills3[discountinuation_flag], TableRefills3[patient_id], A1596)</f>
        <v>1</v>
      </c>
    </row>
    <row r="1597" spans="1:9" x14ac:dyDescent="0.25">
      <c r="A1597" t="s">
        <v>2545</v>
      </c>
      <c r="B1597" t="s">
        <v>2546</v>
      </c>
      <c r="C1597" s="3">
        <v>45811</v>
      </c>
      <c r="D1597">
        <v>14</v>
      </c>
      <c r="E1597" s="3">
        <f t="shared" si="24"/>
        <v>45796</v>
      </c>
      <c r="F1597" s="3">
        <f>IF(TableRefills3[[#This Row],[prev_refill_days]]="","",TableRefills3[[#This Row],[prev_refill_days]]+TableRefills3[[#This Row],[quantity_days]])</f>
        <v>45810</v>
      </c>
      <c r="G1597">
        <f>IF(TableRefills3[[#This Row],[prev_refill_end]]="","",TableRefills3[[#This Row],[refill_date]]-TableRefills3[[#This Row],[prev_refill_end]])</f>
        <v>1</v>
      </c>
      <c r="H1597" s="10">
        <f>IF(TableRefills3[[#This Row],[gap_days]]="",0,IF(TableRefills3[[#This Row],[gap_days]]&gt;2,1,0))</f>
        <v>0</v>
      </c>
      <c r="I1597">
        <f>_xlfn.MAXIFS(TableRefills3[discountinuation_flag], TableRefills3[patient_id], A1597)</f>
        <v>1</v>
      </c>
    </row>
    <row r="1598" spans="1:9" x14ac:dyDescent="0.25">
      <c r="A1598" t="s">
        <v>2545</v>
      </c>
      <c r="B1598" t="s">
        <v>2546</v>
      </c>
      <c r="C1598" s="3">
        <v>45823</v>
      </c>
      <c r="D1598">
        <v>14</v>
      </c>
      <c r="E1598" s="3">
        <f t="shared" si="24"/>
        <v>45811</v>
      </c>
      <c r="F1598" s="3">
        <f>IF(TableRefills3[[#This Row],[prev_refill_days]]="","",TableRefills3[[#This Row],[prev_refill_days]]+TableRefills3[[#This Row],[quantity_days]])</f>
        <v>45825</v>
      </c>
      <c r="G1598">
        <f>IF(TableRefills3[[#This Row],[prev_refill_end]]="","",TableRefills3[[#This Row],[refill_date]]-TableRefills3[[#This Row],[prev_refill_end]])</f>
        <v>-2</v>
      </c>
      <c r="H1598" s="10">
        <f>IF(TableRefills3[[#This Row],[gap_days]]="",0,IF(TableRefills3[[#This Row],[gap_days]]&gt;2,1,0))</f>
        <v>0</v>
      </c>
      <c r="I1598">
        <f>_xlfn.MAXIFS(TableRefills3[discountinuation_flag], TableRefills3[patient_id], A1598)</f>
        <v>1</v>
      </c>
    </row>
    <row r="1599" spans="1:9" x14ac:dyDescent="0.25">
      <c r="A1599" t="s">
        <v>2545</v>
      </c>
      <c r="B1599" t="s">
        <v>2546</v>
      </c>
      <c r="C1599" s="3">
        <v>45840</v>
      </c>
      <c r="D1599">
        <v>14</v>
      </c>
      <c r="E1599" s="3">
        <f t="shared" si="24"/>
        <v>45823</v>
      </c>
      <c r="F1599" s="3">
        <f>IF(TableRefills3[[#This Row],[prev_refill_days]]="","",TableRefills3[[#This Row],[prev_refill_days]]+TableRefills3[[#This Row],[quantity_days]])</f>
        <v>45837</v>
      </c>
      <c r="G1599">
        <f>IF(TableRefills3[[#This Row],[prev_refill_end]]="","",TableRefills3[[#This Row],[refill_date]]-TableRefills3[[#This Row],[prev_refill_end]])</f>
        <v>3</v>
      </c>
      <c r="H1599" s="10">
        <f>IF(TableRefills3[[#This Row],[gap_days]]="",0,IF(TableRefills3[[#This Row],[gap_days]]&gt;2,1,0))</f>
        <v>1</v>
      </c>
      <c r="I1599">
        <f>_xlfn.MAXIFS(TableRefills3[discountinuation_flag], TableRefills3[patient_id], A1599)</f>
        <v>1</v>
      </c>
    </row>
    <row r="1600" spans="1:9" x14ac:dyDescent="0.25">
      <c r="A1600" t="s">
        <v>2545</v>
      </c>
      <c r="B1600" t="s">
        <v>2546</v>
      </c>
      <c r="C1600" s="3">
        <v>45857</v>
      </c>
      <c r="D1600">
        <v>14</v>
      </c>
      <c r="E1600" s="3">
        <f t="shared" si="24"/>
        <v>45840</v>
      </c>
      <c r="F1600" s="3">
        <f>IF(TableRefills3[[#This Row],[prev_refill_days]]="","",TableRefills3[[#This Row],[prev_refill_days]]+TableRefills3[[#This Row],[quantity_days]])</f>
        <v>45854</v>
      </c>
      <c r="G1600">
        <f>IF(TableRefills3[[#This Row],[prev_refill_end]]="","",TableRefills3[[#This Row],[refill_date]]-TableRefills3[[#This Row],[prev_refill_end]])</f>
        <v>3</v>
      </c>
      <c r="H1600" s="10">
        <f>IF(TableRefills3[[#This Row],[gap_days]]="",0,IF(TableRefills3[[#This Row],[gap_days]]&gt;2,1,0))</f>
        <v>1</v>
      </c>
      <c r="I1600">
        <f>_xlfn.MAXIFS(TableRefills3[discountinuation_flag], TableRefills3[patient_id], A1600)</f>
        <v>1</v>
      </c>
    </row>
    <row r="1601" spans="1:9" x14ac:dyDescent="0.25">
      <c r="A1601" t="s">
        <v>2545</v>
      </c>
      <c r="B1601" t="s">
        <v>2546</v>
      </c>
      <c r="C1601" s="3">
        <v>45874</v>
      </c>
      <c r="D1601">
        <v>14</v>
      </c>
      <c r="E1601" s="3">
        <f t="shared" si="24"/>
        <v>45857</v>
      </c>
      <c r="F1601" s="3">
        <f>IF(TableRefills3[[#This Row],[prev_refill_days]]="","",TableRefills3[[#This Row],[prev_refill_days]]+TableRefills3[[#This Row],[quantity_days]])</f>
        <v>45871</v>
      </c>
      <c r="G1601">
        <f>IF(TableRefills3[[#This Row],[prev_refill_end]]="","",TableRefills3[[#This Row],[refill_date]]-TableRefills3[[#This Row],[prev_refill_end]])</f>
        <v>3</v>
      </c>
      <c r="H1601" s="10">
        <f>IF(TableRefills3[[#This Row],[gap_days]]="",0,IF(TableRefills3[[#This Row],[gap_days]]&gt;2,1,0))</f>
        <v>1</v>
      </c>
      <c r="I1601">
        <f>_xlfn.MAXIFS(TableRefills3[discountinuation_flag], TableRefills3[patient_id], A1601)</f>
        <v>1</v>
      </c>
    </row>
    <row r="1602" spans="1:9" x14ac:dyDescent="0.25">
      <c r="A1602" t="s">
        <v>2545</v>
      </c>
      <c r="B1602" t="s">
        <v>2546</v>
      </c>
      <c r="C1602" s="3">
        <v>45885</v>
      </c>
      <c r="D1602">
        <v>14</v>
      </c>
      <c r="E1602" s="3">
        <f t="shared" ref="E1602:E1665" si="25">IF(A1601=A1602,C1601,"")</f>
        <v>45874</v>
      </c>
      <c r="F1602" s="3">
        <f>IF(TableRefills3[[#This Row],[prev_refill_days]]="","",TableRefills3[[#This Row],[prev_refill_days]]+TableRefills3[[#This Row],[quantity_days]])</f>
        <v>45888</v>
      </c>
      <c r="G1602">
        <f>IF(TableRefills3[[#This Row],[prev_refill_end]]="","",TableRefills3[[#This Row],[refill_date]]-TableRefills3[[#This Row],[prev_refill_end]])</f>
        <v>-3</v>
      </c>
      <c r="H1602" s="10">
        <f>IF(TableRefills3[[#This Row],[gap_days]]="",0,IF(TableRefills3[[#This Row],[gap_days]]&gt;2,1,0))</f>
        <v>0</v>
      </c>
      <c r="I1602">
        <f>_xlfn.MAXIFS(TableRefills3[discountinuation_flag], TableRefills3[patient_id], A1602)</f>
        <v>1</v>
      </c>
    </row>
    <row r="1603" spans="1:9" x14ac:dyDescent="0.25">
      <c r="A1603" t="s">
        <v>2545</v>
      </c>
      <c r="B1603" t="s">
        <v>2546</v>
      </c>
      <c r="C1603" s="3">
        <v>45901</v>
      </c>
      <c r="D1603">
        <v>14</v>
      </c>
      <c r="E1603" s="3">
        <f t="shared" si="25"/>
        <v>45885</v>
      </c>
      <c r="F1603" s="3">
        <f>IF(TableRefills3[[#This Row],[prev_refill_days]]="","",TableRefills3[[#This Row],[prev_refill_days]]+TableRefills3[[#This Row],[quantity_days]])</f>
        <v>45899</v>
      </c>
      <c r="G1603">
        <f>IF(TableRefills3[[#This Row],[prev_refill_end]]="","",TableRefills3[[#This Row],[refill_date]]-TableRefills3[[#This Row],[prev_refill_end]])</f>
        <v>2</v>
      </c>
      <c r="H1603" s="10">
        <f>IF(TableRefills3[[#This Row],[gap_days]]="",0,IF(TableRefills3[[#This Row],[gap_days]]&gt;2,1,0))</f>
        <v>0</v>
      </c>
      <c r="I1603">
        <f>_xlfn.MAXIFS(TableRefills3[discountinuation_flag], TableRefills3[patient_id], A1603)</f>
        <v>1</v>
      </c>
    </row>
    <row r="1604" spans="1:9" x14ac:dyDescent="0.25">
      <c r="A1604" t="s">
        <v>2545</v>
      </c>
      <c r="B1604" t="s">
        <v>2546</v>
      </c>
      <c r="C1604" s="3">
        <v>45915</v>
      </c>
      <c r="D1604">
        <v>14</v>
      </c>
      <c r="E1604" s="3">
        <f t="shared" si="25"/>
        <v>45901</v>
      </c>
      <c r="F1604" s="3">
        <f>IF(TableRefills3[[#This Row],[prev_refill_days]]="","",TableRefills3[[#This Row],[prev_refill_days]]+TableRefills3[[#This Row],[quantity_days]])</f>
        <v>45915</v>
      </c>
      <c r="G1604">
        <f>IF(TableRefills3[[#This Row],[prev_refill_end]]="","",TableRefills3[[#This Row],[refill_date]]-TableRefills3[[#This Row],[prev_refill_end]])</f>
        <v>0</v>
      </c>
      <c r="H1604" s="10">
        <f>IF(TableRefills3[[#This Row],[gap_days]]="",0,IF(TableRefills3[[#This Row],[gap_days]]&gt;2,1,0))</f>
        <v>0</v>
      </c>
      <c r="I1604">
        <f>_xlfn.MAXIFS(TableRefills3[discountinuation_flag], TableRefills3[patient_id], A1604)</f>
        <v>1</v>
      </c>
    </row>
    <row r="1605" spans="1:9" x14ac:dyDescent="0.25">
      <c r="A1605" t="s">
        <v>2545</v>
      </c>
      <c r="B1605" t="s">
        <v>2546</v>
      </c>
      <c r="C1605" s="3">
        <v>45929</v>
      </c>
      <c r="D1605">
        <v>14</v>
      </c>
      <c r="E1605" s="3">
        <f t="shared" si="25"/>
        <v>45915</v>
      </c>
      <c r="F1605" s="3">
        <f>IF(TableRefills3[[#This Row],[prev_refill_days]]="","",TableRefills3[[#This Row],[prev_refill_days]]+TableRefills3[[#This Row],[quantity_days]])</f>
        <v>45929</v>
      </c>
      <c r="G1605">
        <f>IF(TableRefills3[[#This Row],[prev_refill_end]]="","",TableRefills3[[#This Row],[refill_date]]-TableRefills3[[#This Row],[prev_refill_end]])</f>
        <v>0</v>
      </c>
      <c r="H1605" s="10">
        <f>IF(TableRefills3[[#This Row],[gap_days]]="",0,IF(TableRefills3[[#This Row],[gap_days]]&gt;2,1,0))</f>
        <v>0</v>
      </c>
      <c r="I1605">
        <f>_xlfn.MAXIFS(TableRefills3[discountinuation_flag], TableRefills3[patient_id], A1605)</f>
        <v>1</v>
      </c>
    </row>
    <row r="1606" spans="1:9" x14ac:dyDescent="0.25">
      <c r="A1606" t="s">
        <v>2545</v>
      </c>
      <c r="B1606" t="s">
        <v>2546</v>
      </c>
      <c r="C1606" s="3">
        <v>45945</v>
      </c>
      <c r="D1606">
        <v>14</v>
      </c>
      <c r="E1606" s="3">
        <f t="shared" si="25"/>
        <v>45929</v>
      </c>
      <c r="F1606" s="3">
        <f>IF(TableRefills3[[#This Row],[prev_refill_days]]="","",TableRefills3[[#This Row],[prev_refill_days]]+TableRefills3[[#This Row],[quantity_days]])</f>
        <v>45943</v>
      </c>
      <c r="G1606">
        <f>IF(TableRefills3[[#This Row],[prev_refill_end]]="","",TableRefills3[[#This Row],[refill_date]]-TableRefills3[[#This Row],[prev_refill_end]])</f>
        <v>2</v>
      </c>
      <c r="H1606" s="10">
        <f>IF(TableRefills3[[#This Row],[gap_days]]="",0,IF(TableRefills3[[#This Row],[gap_days]]&gt;2,1,0))</f>
        <v>0</v>
      </c>
      <c r="I1606">
        <f>_xlfn.MAXIFS(TableRefills3[discountinuation_flag], TableRefills3[patient_id], A1606)</f>
        <v>1</v>
      </c>
    </row>
    <row r="1607" spans="1:9" x14ac:dyDescent="0.25">
      <c r="A1607" t="s">
        <v>2545</v>
      </c>
      <c r="B1607" t="s">
        <v>2546</v>
      </c>
      <c r="C1607" s="3">
        <v>45957</v>
      </c>
      <c r="D1607">
        <v>14</v>
      </c>
      <c r="E1607" s="3">
        <f t="shared" si="25"/>
        <v>45945</v>
      </c>
      <c r="F1607" s="3">
        <f>IF(TableRefills3[[#This Row],[prev_refill_days]]="","",TableRefills3[[#This Row],[prev_refill_days]]+TableRefills3[[#This Row],[quantity_days]])</f>
        <v>45959</v>
      </c>
      <c r="G1607">
        <f>IF(TableRefills3[[#This Row],[prev_refill_end]]="","",TableRefills3[[#This Row],[refill_date]]-TableRefills3[[#This Row],[prev_refill_end]])</f>
        <v>-2</v>
      </c>
      <c r="H1607" s="10">
        <f>IF(TableRefills3[[#This Row],[gap_days]]="",0,IF(TableRefills3[[#This Row],[gap_days]]&gt;2,1,0))</f>
        <v>0</v>
      </c>
      <c r="I1607">
        <f>_xlfn.MAXIFS(TableRefills3[discountinuation_flag], TableRefills3[patient_id], A1607)</f>
        <v>1</v>
      </c>
    </row>
    <row r="1608" spans="1:9" x14ac:dyDescent="0.25">
      <c r="A1608" t="s">
        <v>2559</v>
      </c>
      <c r="B1608" t="s">
        <v>2560</v>
      </c>
      <c r="C1608" s="3">
        <v>45886</v>
      </c>
      <c r="D1608">
        <v>28</v>
      </c>
      <c r="E1608" s="3" t="str">
        <f t="shared" si="25"/>
        <v/>
      </c>
      <c r="F1608" s="3" t="str">
        <f>IF(TableRefills3[[#This Row],[prev_refill_days]]="","",TableRefills3[[#This Row],[prev_refill_days]]+TableRefills3[[#This Row],[quantity_days]])</f>
        <v/>
      </c>
      <c r="G1608" t="str">
        <f>IF(TableRefills3[[#This Row],[prev_refill_end]]="","",TableRefills3[[#This Row],[refill_date]]-TableRefills3[[#This Row],[prev_refill_end]])</f>
        <v/>
      </c>
      <c r="H1608" s="10">
        <f>IF(TableRefills3[[#This Row],[gap_days]]="",0,IF(TableRefills3[[#This Row],[gap_days]]&gt;2,1,0))</f>
        <v>0</v>
      </c>
      <c r="I1608">
        <f>_xlfn.MAXIFS(TableRefills3[discountinuation_flag], TableRefills3[patient_id], A1608)</f>
        <v>0</v>
      </c>
    </row>
    <row r="1609" spans="1:9" x14ac:dyDescent="0.25">
      <c r="A1609" t="s">
        <v>2559</v>
      </c>
      <c r="B1609" t="s">
        <v>2560</v>
      </c>
      <c r="C1609" s="3">
        <v>45911</v>
      </c>
      <c r="D1609">
        <v>28</v>
      </c>
      <c r="E1609" s="3">
        <f t="shared" si="25"/>
        <v>45886</v>
      </c>
      <c r="F1609" s="3">
        <f>IF(TableRefills3[[#This Row],[prev_refill_days]]="","",TableRefills3[[#This Row],[prev_refill_days]]+TableRefills3[[#This Row],[quantity_days]])</f>
        <v>45914</v>
      </c>
      <c r="G1609">
        <f>IF(TableRefills3[[#This Row],[prev_refill_end]]="","",TableRefills3[[#This Row],[refill_date]]-TableRefills3[[#This Row],[prev_refill_end]])</f>
        <v>-3</v>
      </c>
      <c r="H1609" s="10">
        <f>IF(TableRefills3[[#This Row],[gap_days]]="",0,IF(TableRefills3[[#This Row],[gap_days]]&gt;2,1,0))</f>
        <v>0</v>
      </c>
      <c r="I1609">
        <f>_xlfn.MAXIFS(TableRefills3[discountinuation_flag], TableRefills3[patient_id], A1609)</f>
        <v>0</v>
      </c>
    </row>
    <row r="1610" spans="1:9" x14ac:dyDescent="0.25">
      <c r="A1610" t="s">
        <v>2559</v>
      </c>
      <c r="B1610" t="s">
        <v>2560</v>
      </c>
      <c r="C1610" s="3">
        <v>45941</v>
      </c>
      <c r="D1610">
        <v>28</v>
      </c>
      <c r="E1610" s="3">
        <f t="shared" si="25"/>
        <v>45911</v>
      </c>
      <c r="F1610" s="3">
        <f>IF(TableRefills3[[#This Row],[prev_refill_days]]="","",TableRefills3[[#This Row],[prev_refill_days]]+TableRefills3[[#This Row],[quantity_days]])</f>
        <v>45939</v>
      </c>
      <c r="G1610">
        <f>IF(TableRefills3[[#This Row],[prev_refill_end]]="","",TableRefills3[[#This Row],[refill_date]]-TableRefills3[[#This Row],[prev_refill_end]])</f>
        <v>2</v>
      </c>
      <c r="H1610" s="10">
        <f>IF(TableRefills3[[#This Row],[gap_days]]="",0,IF(TableRefills3[[#This Row],[gap_days]]&gt;2,1,0))</f>
        <v>0</v>
      </c>
      <c r="I1610">
        <f>_xlfn.MAXIFS(TableRefills3[discountinuation_flag], TableRefills3[patient_id], A1610)</f>
        <v>0</v>
      </c>
    </row>
    <row r="1611" spans="1:9" x14ac:dyDescent="0.25">
      <c r="A1611" t="s">
        <v>2564</v>
      </c>
      <c r="B1611" t="s">
        <v>2565</v>
      </c>
      <c r="C1611" s="3">
        <v>45957</v>
      </c>
      <c r="D1611">
        <v>28</v>
      </c>
      <c r="E1611" s="3" t="str">
        <f t="shared" si="25"/>
        <v/>
      </c>
      <c r="F1611" s="3" t="str">
        <f>IF(TableRefills3[[#This Row],[prev_refill_days]]="","",TableRefills3[[#This Row],[prev_refill_days]]+TableRefills3[[#This Row],[quantity_days]])</f>
        <v/>
      </c>
      <c r="G1611" t="str">
        <f>IF(TableRefills3[[#This Row],[prev_refill_end]]="","",TableRefills3[[#This Row],[refill_date]]-TableRefills3[[#This Row],[prev_refill_end]])</f>
        <v/>
      </c>
      <c r="H1611" s="10">
        <f>IF(TableRefills3[[#This Row],[gap_days]]="",0,IF(TableRefills3[[#This Row],[gap_days]]&gt;2,1,0))</f>
        <v>0</v>
      </c>
      <c r="I1611">
        <f>_xlfn.MAXIFS(TableRefills3[discountinuation_flag], TableRefills3[patient_id], A1611)</f>
        <v>0</v>
      </c>
    </row>
    <row r="1612" spans="1:9" x14ac:dyDescent="0.25">
      <c r="A1612" t="s">
        <v>2567</v>
      </c>
      <c r="B1612" t="s">
        <v>2568</v>
      </c>
      <c r="C1612" s="3">
        <v>45916</v>
      </c>
      <c r="D1612">
        <v>30</v>
      </c>
      <c r="E1612" s="3" t="str">
        <f t="shared" si="25"/>
        <v/>
      </c>
      <c r="F1612" s="3" t="str">
        <f>IF(TableRefills3[[#This Row],[prev_refill_days]]="","",TableRefills3[[#This Row],[prev_refill_days]]+TableRefills3[[#This Row],[quantity_days]])</f>
        <v/>
      </c>
      <c r="G1612" t="str">
        <f>IF(TableRefills3[[#This Row],[prev_refill_end]]="","",TableRefills3[[#This Row],[refill_date]]-TableRefills3[[#This Row],[prev_refill_end]])</f>
        <v/>
      </c>
      <c r="H1612" s="10">
        <f>IF(TableRefills3[[#This Row],[gap_days]]="",0,IF(TableRefills3[[#This Row],[gap_days]]&gt;2,1,0))</f>
        <v>0</v>
      </c>
      <c r="I1612">
        <f>_xlfn.MAXIFS(TableRefills3[discountinuation_flag], TableRefills3[patient_id], A1612)</f>
        <v>0</v>
      </c>
    </row>
    <row r="1613" spans="1:9" x14ac:dyDescent="0.25">
      <c r="A1613" t="s">
        <v>2567</v>
      </c>
      <c r="B1613" t="s">
        <v>2568</v>
      </c>
      <c r="C1613" s="3">
        <v>45945</v>
      </c>
      <c r="D1613">
        <v>30</v>
      </c>
      <c r="E1613" s="3">
        <f t="shared" si="25"/>
        <v>45916</v>
      </c>
      <c r="F1613" s="3">
        <f>IF(TableRefills3[[#This Row],[prev_refill_days]]="","",TableRefills3[[#This Row],[prev_refill_days]]+TableRefills3[[#This Row],[quantity_days]])</f>
        <v>45946</v>
      </c>
      <c r="G1613">
        <f>IF(TableRefills3[[#This Row],[prev_refill_end]]="","",TableRefills3[[#This Row],[refill_date]]-TableRefills3[[#This Row],[prev_refill_end]])</f>
        <v>-1</v>
      </c>
      <c r="H1613" s="10">
        <f>IF(TableRefills3[[#This Row],[gap_days]]="",0,IF(TableRefills3[[#This Row],[gap_days]]&gt;2,1,0))</f>
        <v>0</v>
      </c>
      <c r="I1613">
        <f>_xlfn.MAXIFS(TableRefills3[discountinuation_flag], TableRefills3[patient_id], A1613)</f>
        <v>0</v>
      </c>
    </row>
    <row r="1614" spans="1:9" x14ac:dyDescent="0.25">
      <c r="A1614" t="s">
        <v>2571</v>
      </c>
      <c r="B1614" t="s">
        <v>2572</v>
      </c>
      <c r="C1614" s="3">
        <v>45795</v>
      </c>
      <c r="D1614">
        <v>28</v>
      </c>
      <c r="E1614" s="3" t="str">
        <f t="shared" si="25"/>
        <v/>
      </c>
      <c r="F1614" s="3" t="str">
        <f>IF(TableRefills3[[#This Row],[prev_refill_days]]="","",TableRefills3[[#This Row],[prev_refill_days]]+TableRefills3[[#This Row],[quantity_days]])</f>
        <v/>
      </c>
      <c r="G1614" t="str">
        <f>IF(TableRefills3[[#This Row],[prev_refill_end]]="","",TableRefills3[[#This Row],[refill_date]]-TableRefills3[[#This Row],[prev_refill_end]])</f>
        <v/>
      </c>
      <c r="H1614" s="10">
        <f>IF(TableRefills3[[#This Row],[gap_days]]="",0,IF(TableRefills3[[#This Row],[gap_days]]&gt;2,1,0))</f>
        <v>0</v>
      </c>
      <c r="I1614">
        <f>_xlfn.MAXIFS(TableRefills3[discountinuation_flag], TableRefills3[patient_id], A1614)</f>
        <v>0</v>
      </c>
    </row>
    <row r="1615" spans="1:9" x14ac:dyDescent="0.25">
      <c r="A1615" t="s">
        <v>2571</v>
      </c>
      <c r="B1615" t="s">
        <v>2572</v>
      </c>
      <c r="C1615" s="3">
        <v>45820</v>
      </c>
      <c r="D1615">
        <v>28</v>
      </c>
      <c r="E1615" s="3">
        <f t="shared" si="25"/>
        <v>45795</v>
      </c>
      <c r="F1615" s="3">
        <f>IF(TableRefills3[[#This Row],[prev_refill_days]]="","",TableRefills3[[#This Row],[prev_refill_days]]+TableRefills3[[#This Row],[quantity_days]])</f>
        <v>45823</v>
      </c>
      <c r="G1615">
        <f>IF(TableRefills3[[#This Row],[prev_refill_end]]="","",TableRefills3[[#This Row],[refill_date]]-TableRefills3[[#This Row],[prev_refill_end]])</f>
        <v>-3</v>
      </c>
      <c r="H1615" s="10">
        <f>IF(TableRefills3[[#This Row],[gap_days]]="",0,IF(TableRefills3[[#This Row],[gap_days]]&gt;2,1,0))</f>
        <v>0</v>
      </c>
      <c r="I1615">
        <f>_xlfn.MAXIFS(TableRefills3[discountinuation_flag], TableRefills3[patient_id], A1615)</f>
        <v>0</v>
      </c>
    </row>
    <row r="1616" spans="1:9" x14ac:dyDescent="0.25">
      <c r="A1616" t="s">
        <v>2571</v>
      </c>
      <c r="B1616" t="s">
        <v>2572</v>
      </c>
      <c r="C1616" s="3">
        <v>45849</v>
      </c>
      <c r="D1616">
        <v>28</v>
      </c>
      <c r="E1616" s="3">
        <f t="shared" si="25"/>
        <v>45820</v>
      </c>
      <c r="F1616" s="3">
        <f>IF(TableRefills3[[#This Row],[prev_refill_days]]="","",TableRefills3[[#This Row],[prev_refill_days]]+TableRefills3[[#This Row],[quantity_days]])</f>
        <v>45848</v>
      </c>
      <c r="G1616">
        <f>IF(TableRefills3[[#This Row],[prev_refill_end]]="","",TableRefills3[[#This Row],[refill_date]]-TableRefills3[[#This Row],[prev_refill_end]])</f>
        <v>1</v>
      </c>
      <c r="H1616" s="10">
        <f>IF(TableRefills3[[#This Row],[gap_days]]="",0,IF(TableRefills3[[#This Row],[gap_days]]&gt;2,1,0))</f>
        <v>0</v>
      </c>
      <c r="I1616">
        <f>_xlfn.MAXIFS(TableRefills3[discountinuation_flag], TableRefills3[patient_id], A1616)</f>
        <v>0</v>
      </c>
    </row>
    <row r="1617" spans="1:9" x14ac:dyDescent="0.25">
      <c r="A1617" t="s">
        <v>2571</v>
      </c>
      <c r="B1617" t="s">
        <v>2572</v>
      </c>
      <c r="C1617" s="3">
        <v>45874</v>
      </c>
      <c r="D1617">
        <v>28</v>
      </c>
      <c r="E1617" s="3">
        <f t="shared" si="25"/>
        <v>45849</v>
      </c>
      <c r="F1617" s="3">
        <f>IF(TableRefills3[[#This Row],[prev_refill_days]]="","",TableRefills3[[#This Row],[prev_refill_days]]+TableRefills3[[#This Row],[quantity_days]])</f>
        <v>45877</v>
      </c>
      <c r="G1617">
        <f>IF(TableRefills3[[#This Row],[prev_refill_end]]="","",TableRefills3[[#This Row],[refill_date]]-TableRefills3[[#This Row],[prev_refill_end]])</f>
        <v>-3</v>
      </c>
      <c r="H1617" s="10">
        <f>IF(TableRefills3[[#This Row],[gap_days]]="",0,IF(TableRefills3[[#This Row],[gap_days]]&gt;2,1,0))</f>
        <v>0</v>
      </c>
      <c r="I1617">
        <f>_xlfn.MAXIFS(TableRefills3[discountinuation_flag], TableRefills3[patient_id], A1617)</f>
        <v>0</v>
      </c>
    </row>
    <row r="1618" spans="1:9" x14ac:dyDescent="0.25">
      <c r="A1618" t="s">
        <v>2571</v>
      </c>
      <c r="B1618" t="s">
        <v>2572</v>
      </c>
      <c r="C1618" s="3">
        <v>45902</v>
      </c>
      <c r="D1618">
        <v>28</v>
      </c>
      <c r="E1618" s="3">
        <f t="shared" si="25"/>
        <v>45874</v>
      </c>
      <c r="F1618" s="3">
        <f>IF(TableRefills3[[#This Row],[prev_refill_days]]="","",TableRefills3[[#This Row],[prev_refill_days]]+TableRefills3[[#This Row],[quantity_days]])</f>
        <v>45902</v>
      </c>
      <c r="G1618">
        <f>IF(TableRefills3[[#This Row],[prev_refill_end]]="","",TableRefills3[[#This Row],[refill_date]]-TableRefills3[[#This Row],[prev_refill_end]])</f>
        <v>0</v>
      </c>
      <c r="H1618" s="10">
        <f>IF(TableRefills3[[#This Row],[gap_days]]="",0,IF(TableRefills3[[#This Row],[gap_days]]&gt;2,1,0))</f>
        <v>0</v>
      </c>
      <c r="I1618">
        <f>_xlfn.MAXIFS(TableRefills3[discountinuation_flag], TableRefills3[patient_id], A1618)</f>
        <v>0</v>
      </c>
    </row>
    <row r="1619" spans="1:9" x14ac:dyDescent="0.25">
      <c r="A1619" t="s">
        <v>2571</v>
      </c>
      <c r="B1619" t="s">
        <v>2572</v>
      </c>
      <c r="C1619" s="3">
        <v>45929</v>
      </c>
      <c r="D1619">
        <v>28</v>
      </c>
      <c r="E1619" s="3">
        <f t="shared" si="25"/>
        <v>45902</v>
      </c>
      <c r="F1619" s="3">
        <f>IF(TableRefills3[[#This Row],[prev_refill_days]]="","",TableRefills3[[#This Row],[prev_refill_days]]+TableRefills3[[#This Row],[quantity_days]])</f>
        <v>45930</v>
      </c>
      <c r="G1619">
        <f>IF(TableRefills3[[#This Row],[prev_refill_end]]="","",TableRefills3[[#This Row],[refill_date]]-TableRefills3[[#This Row],[prev_refill_end]])</f>
        <v>-1</v>
      </c>
      <c r="H1619" s="10">
        <f>IF(TableRefills3[[#This Row],[gap_days]]="",0,IF(TableRefills3[[#This Row],[gap_days]]&gt;2,1,0))</f>
        <v>0</v>
      </c>
      <c r="I1619">
        <f>_xlfn.MAXIFS(TableRefills3[discountinuation_flag], TableRefills3[patient_id], A1619)</f>
        <v>0</v>
      </c>
    </row>
    <row r="1620" spans="1:9" x14ac:dyDescent="0.25">
      <c r="A1620" t="s">
        <v>2571</v>
      </c>
      <c r="B1620" t="s">
        <v>2572</v>
      </c>
      <c r="C1620" s="3">
        <v>45956</v>
      </c>
      <c r="D1620">
        <v>28</v>
      </c>
      <c r="E1620" s="3">
        <f t="shared" si="25"/>
        <v>45929</v>
      </c>
      <c r="F1620" s="3">
        <f>IF(TableRefills3[[#This Row],[prev_refill_days]]="","",TableRefills3[[#This Row],[prev_refill_days]]+TableRefills3[[#This Row],[quantity_days]])</f>
        <v>45957</v>
      </c>
      <c r="G1620">
        <f>IF(TableRefills3[[#This Row],[prev_refill_end]]="","",TableRefills3[[#This Row],[refill_date]]-TableRefills3[[#This Row],[prev_refill_end]])</f>
        <v>-1</v>
      </c>
      <c r="H1620" s="10">
        <f>IF(TableRefills3[[#This Row],[gap_days]]="",0,IF(TableRefills3[[#This Row],[gap_days]]&gt;2,1,0))</f>
        <v>0</v>
      </c>
      <c r="I1620">
        <f>_xlfn.MAXIFS(TableRefills3[discountinuation_flag], TableRefills3[patient_id], A1620)</f>
        <v>0</v>
      </c>
    </row>
    <row r="1621" spans="1:9" x14ac:dyDescent="0.25">
      <c r="A1621" t="s">
        <v>2580</v>
      </c>
      <c r="B1621" t="s">
        <v>2581</v>
      </c>
      <c r="C1621" s="3">
        <v>45786</v>
      </c>
      <c r="D1621">
        <v>30</v>
      </c>
      <c r="E1621" s="3" t="str">
        <f t="shared" si="25"/>
        <v/>
      </c>
      <c r="F1621" s="3" t="str">
        <f>IF(TableRefills3[[#This Row],[prev_refill_days]]="","",TableRefills3[[#This Row],[prev_refill_days]]+TableRefills3[[#This Row],[quantity_days]])</f>
        <v/>
      </c>
      <c r="G1621" t="str">
        <f>IF(TableRefills3[[#This Row],[prev_refill_end]]="","",TableRefills3[[#This Row],[refill_date]]-TableRefills3[[#This Row],[prev_refill_end]])</f>
        <v/>
      </c>
      <c r="H1621" s="10">
        <f>IF(TableRefills3[[#This Row],[gap_days]]="",0,IF(TableRefills3[[#This Row],[gap_days]]&gt;2,1,0))</f>
        <v>0</v>
      </c>
      <c r="I1621">
        <f>_xlfn.MAXIFS(TableRefills3[discountinuation_flag], TableRefills3[patient_id], A1621)</f>
        <v>0</v>
      </c>
    </row>
    <row r="1622" spans="1:9" x14ac:dyDescent="0.25">
      <c r="A1622" t="s">
        <v>2580</v>
      </c>
      <c r="B1622" t="s">
        <v>2581</v>
      </c>
      <c r="C1622" s="3">
        <v>45814</v>
      </c>
      <c r="D1622">
        <v>30</v>
      </c>
      <c r="E1622" s="3">
        <f t="shared" si="25"/>
        <v>45786</v>
      </c>
      <c r="F1622" s="3">
        <f>IF(TableRefills3[[#This Row],[prev_refill_days]]="","",TableRefills3[[#This Row],[prev_refill_days]]+TableRefills3[[#This Row],[quantity_days]])</f>
        <v>45816</v>
      </c>
      <c r="G1622">
        <f>IF(TableRefills3[[#This Row],[prev_refill_end]]="","",TableRefills3[[#This Row],[refill_date]]-TableRefills3[[#This Row],[prev_refill_end]])</f>
        <v>-2</v>
      </c>
      <c r="H1622" s="10">
        <f>IF(TableRefills3[[#This Row],[gap_days]]="",0,IF(TableRefills3[[#This Row],[gap_days]]&gt;2,1,0))</f>
        <v>0</v>
      </c>
      <c r="I1622">
        <f>_xlfn.MAXIFS(TableRefills3[discountinuation_flag], TableRefills3[patient_id], A1622)</f>
        <v>0</v>
      </c>
    </row>
    <row r="1623" spans="1:9" x14ac:dyDescent="0.25">
      <c r="A1623" t="s">
        <v>2584</v>
      </c>
      <c r="B1623" t="s">
        <v>2585</v>
      </c>
      <c r="C1623" s="3">
        <v>45882</v>
      </c>
      <c r="D1623">
        <v>28</v>
      </c>
      <c r="E1623" s="3" t="str">
        <f t="shared" si="25"/>
        <v/>
      </c>
      <c r="F1623" s="3" t="str">
        <f>IF(TableRefills3[[#This Row],[prev_refill_days]]="","",TableRefills3[[#This Row],[prev_refill_days]]+TableRefills3[[#This Row],[quantity_days]])</f>
        <v/>
      </c>
      <c r="G1623" t="str">
        <f>IF(TableRefills3[[#This Row],[prev_refill_end]]="","",TableRefills3[[#This Row],[refill_date]]-TableRefills3[[#This Row],[prev_refill_end]])</f>
        <v/>
      </c>
      <c r="H1623" s="10">
        <f>IF(TableRefills3[[#This Row],[gap_days]]="",0,IF(TableRefills3[[#This Row],[gap_days]]&gt;2,1,0))</f>
        <v>0</v>
      </c>
      <c r="I1623">
        <f>_xlfn.MAXIFS(TableRefills3[discountinuation_flag], TableRefills3[patient_id], A1623)</f>
        <v>0</v>
      </c>
    </row>
    <row r="1624" spans="1:9" x14ac:dyDescent="0.25">
      <c r="A1624" t="s">
        <v>2584</v>
      </c>
      <c r="B1624" t="s">
        <v>2585</v>
      </c>
      <c r="C1624" s="3">
        <v>45910</v>
      </c>
      <c r="D1624">
        <v>28</v>
      </c>
      <c r="E1624" s="3">
        <f t="shared" si="25"/>
        <v>45882</v>
      </c>
      <c r="F1624" s="3">
        <f>IF(TableRefills3[[#This Row],[prev_refill_days]]="","",TableRefills3[[#This Row],[prev_refill_days]]+TableRefills3[[#This Row],[quantity_days]])</f>
        <v>45910</v>
      </c>
      <c r="G1624">
        <f>IF(TableRefills3[[#This Row],[prev_refill_end]]="","",TableRefills3[[#This Row],[refill_date]]-TableRefills3[[#This Row],[prev_refill_end]])</f>
        <v>0</v>
      </c>
      <c r="H1624" s="10">
        <f>IF(TableRefills3[[#This Row],[gap_days]]="",0,IF(TableRefills3[[#This Row],[gap_days]]&gt;2,1,0))</f>
        <v>0</v>
      </c>
      <c r="I1624">
        <f>_xlfn.MAXIFS(TableRefills3[discountinuation_flag], TableRefills3[patient_id], A1624)</f>
        <v>0</v>
      </c>
    </row>
    <row r="1625" spans="1:9" x14ac:dyDescent="0.25">
      <c r="A1625" t="s">
        <v>2584</v>
      </c>
      <c r="B1625" t="s">
        <v>2585</v>
      </c>
      <c r="C1625" s="3">
        <v>45935</v>
      </c>
      <c r="D1625">
        <v>28</v>
      </c>
      <c r="E1625" s="3">
        <f t="shared" si="25"/>
        <v>45910</v>
      </c>
      <c r="F1625" s="3">
        <f>IF(TableRefills3[[#This Row],[prev_refill_days]]="","",TableRefills3[[#This Row],[prev_refill_days]]+TableRefills3[[#This Row],[quantity_days]])</f>
        <v>45938</v>
      </c>
      <c r="G1625">
        <f>IF(TableRefills3[[#This Row],[prev_refill_end]]="","",TableRefills3[[#This Row],[refill_date]]-TableRefills3[[#This Row],[prev_refill_end]])</f>
        <v>-3</v>
      </c>
      <c r="H1625" s="10">
        <f>IF(TableRefills3[[#This Row],[gap_days]]="",0,IF(TableRefills3[[#This Row],[gap_days]]&gt;2,1,0))</f>
        <v>0</v>
      </c>
      <c r="I1625">
        <f>_xlfn.MAXIFS(TableRefills3[discountinuation_flag], TableRefills3[patient_id], A1625)</f>
        <v>0</v>
      </c>
    </row>
    <row r="1626" spans="1:9" x14ac:dyDescent="0.25">
      <c r="A1626" t="s">
        <v>2589</v>
      </c>
      <c r="B1626" t="s">
        <v>2590</v>
      </c>
      <c r="C1626" s="3">
        <v>45812</v>
      </c>
      <c r="D1626">
        <v>28</v>
      </c>
      <c r="E1626" s="3" t="str">
        <f t="shared" si="25"/>
        <v/>
      </c>
      <c r="F1626" s="3" t="str">
        <f>IF(TableRefills3[[#This Row],[prev_refill_days]]="","",TableRefills3[[#This Row],[prev_refill_days]]+TableRefills3[[#This Row],[quantity_days]])</f>
        <v/>
      </c>
      <c r="G1626" t="str">
        <f>IF(TableRefills3[[#This Row],[prev_refill_end]]="","",TableRefills3[[#This Row],[refill_date]]-TableRefills3[[#This Row],[prev_refill_end]])</f>
        <v/>
      </c>
      <c r="H1626" s="10">
        <f>IF(TableRefills3[[#This Row],[gap_days]]="",0,IF(TableRefills3[[#This Row],[gap_days]]&gt;2,1,0))</f>
        <v>0</v>
      </c>
      <c r="I1626">
        <f>_xlfn.MAXIFS(TableRefills3[discountinuation_flag], TableRefills3[patient_id], A1626)</f>
        <v>0</v>
      </c>
    </row>
    <row r="1627" spans="1:9" x14ac:dyDescent="0.25">
      <c r="A1627" t="s">
        <v>2589</v>
      </c>
      <c r="B1627" t="s">
        <v>2590</v>
      </c>
      <c r="C1627" s="3">
        <v>45837</v>
      </c>
      <c r="D1627">
        <v>28</v>
      </c>
      <c r="E1627" s="3">
        <f t="shared" si="25"/>
        <v>45812</v>
      </c>
      <c r="F1627" s="3">
        <f>IF(TableRefills3[[#This Row],[prev_refill_days]]="","",TableRefills3[[#This Row],[prev_refill_days]]+TableRefills3[[#This Row],[quantity_days]])</f>
        <v>45840</v>
      </c>
      <c r="G1627">
        <f>IF(TableRefills3[[#This Row],[prev_refill_end]]="","",TableRefills3[[#This Row],[refill_date]]-TableRefills3[[#This Row],[prev_refill_end]])</f>
        <v>-3</v>
      </c>
      <c r="H1627" s="10">
        <f>IF(TableRefills3[[#This Row],[gap_days]]="",0,IF(TableRefills3[[#This Row],[gap_days]]&gt;2,1,0))</f>
        <v>0</v>
      </c>
      <c r="I1627">
        <f>_xlfn.MAXIFS(TableRefills3[discountinuation_flag], TableRefills3[patient_id], A1627)</f>
        <v>0</v>
      </c>
    </row>
    <row r="1628" spans="1:9" x14ac:dyDescent="0.25">
      <c r="A1628" t="s">
        <v>2593</v>
      </c>
      <c r="B1628" t="s">
        <v>2594</v>
      </c>
      <c r="C1628" s="3">
        <v>45942</v>
      </c>
      <c r="D1628">
        <v>28</v>
      </c>
      <c r="E1628" s="3" t="str">
        <f t="shared" si="25"/>
        <v/>
      </c>
      <c r="F1628" s="3" t="str">
        <f>IF(TableRefills3[[#This Row],[prev_refill_days]]="","",TableRefills3[[#This Row],[prev_refill_days]]+TableRefills3[[#This Row],[quantity_days]])</f>
        <v/>
      </c>
      <c r="G1628" t="str">
        <f>IF(TableRefills3[[#This Row],[prev_refill_end]]="","",TableRefills3[[#This Row],[refill_date]]-TableRefills3[[#This Row],[prev_refill_end]])</f>
        <v/>
      </c>
      <c r="H1628" s="10">
        <f>IF(TableRefills3[[#This Row],[gap_days]]="",0,IF(TableRefills3[[#This Row],[gap_days]]&gt;2,1,0))</f>
        <v>0</v>
      </c>
      <c r="I1628">
        <f>_xlfn.MAXIFS(TableRefills3[discountinuation_flag], TableRefills3[patient_id], A1628)</f>
        <v>0</v>
      </c>
    </row>
    <row r="1629" spans="1:9" x14ac:dyDescent="0.25">
      <c r="A1629" t="s">
        <v>2596</v>
      </c>
      <c r="B1629" t="s">
        <v>2597</v>
      </c>
      <c r="C1629" s="3">
        <v>45943</v>
      </c>
      <c r="D1629">
        <v>30</v>
      </c>
      <c r="E1629" s="3" t="str">
        <f t="shared" si="25"/>
        <v/>
      </c>
      <c r="F1629" s="3" t="str">
        <f>IF(TableRefills3[[#This Row],[prev_refill_days]]="","",TableRefills3[[#This Row],[prev_refill_days]]+TableRefills3[[#This Row],[quantity_days]])</f>
        <v/>
      </c>
      <c r="G1629" t="str">
        <f>IF(TableRefills3[[#This Row],[prev_refill_end]]="","",TableRefills3[[#This Row],[refill_date]]-TableRefills3[[#This Row],[prev_refill_end]])</f>
        <v/>
      </c>
      <c r="H1629" s="10">
        <f>IF(TableRefills3[[#This Row],[gap_days]]="",0,IF(TableRefills3[[#This Row],[gap_days]]&gt;2,1,0))</f>
        <v>0</v>
      </c>
      <c r="I1629">
        <f>_xlfn.MAXIFS(TableRefills3[discountinuation_flag], TableRefills3[patient_id], A1629)</f>
        <v>0</v>
      </c>
    </row>
    <row r="1630" spans="1:9" x14ac:dyDescent="0.25">
      <c r="A1630" t="s">
        <v>2599</v>
      </c>
      <c r="B1630" t="s">
        <v>2600</v>
      </c>
      <c r="C1630" s="3">
        <v>45873</v>
      </c>
      <c r="D1630">
        <v>30</v>
      </c>
      <c r="E1630" s="3" t="str">
        <f t="shared" si="25"/>
        <v/>
      </c>
      <c r="F1630" s="3" t="str">
        <f>IF(TableRefills3[[#This Row],[prev_refill_days]]="","",TableRefills3[[#This Row],[prev_refill_days]]+TableRefills3[[#This Row],[quantity_days]])</f>
        <v/>
      </c>
      <c r="G1630" t="str">
        <f>IF(TableRefills3[[#This Row],[prev_refill_end]]="","",TableRefills3[[#This Row],[refill_date]]-TableRefills3[[#This Row],[prev_refill_end]])</f>
        <v/>
      </c>
      <c r="H1630" s="10">
        <f>IF(TableRefills3[[#This Row],[gap_days]]="",0,IF(TableRefills3[[#This Row],[gap_days]]&gt;2,1,0))</f>
        <v>0</v>
      </c>
      <c r="I1630">
        <f>_xlfn.MAXIFS(TableRefills3[discountinuation_flag], TableRefills3[patient_id], A1630)</f>
        <v>0</v>
      </c>
    </row>
    <row r="1631" spans="1:9" x14ac:dyDescent="0.25">
      <c r="A1631" t="s">
        <v>2599</v>
      </c>
      <c r="B1631" t="s">
        <v>2600</v>
      </c>
      <c r="C1631" s="3">
        <v>45905</v>
      </c>
      <c r="D1631">
        <v>30</v>
      </c>
      <c r="E1631" s="3">
        <f t="shared" si="25"/>
        <v>45873</v>
      </c>
      <c r="F1631" s="3">
        <f>IF(TableRefills3[[#This Row],[prev_refill_days]]="","",TableRefills3[[#This Row],[prev_refill_days]]+TableRefills3[[#This Row],[quantity_days]])</f>
        <v>45903</v>
      </c>
      <c r="G1631">
        <f>IF(TableRefills3[[#This Row],[prev_refill_end]]="","",TableRefills3[[#This Row],[refill_date]]-TableRefills3[[#This Row],[prev_refill_end]])</f>
        <v>2</v>
      </c>
      <c r="H1631" s="10">
        <f>IF(TableRefills3[[#This Row],[gap_days]]="",0,IF(TableRefills3[[#This Row],[gap_days]]&gt;2,1,0))</f>
        <v>0</v>
      </c>
      <c r="I1631">
        <f>_xlfn.MAXIFS(TableRefills3[discountinuation_flag], TableRefills3[patient_id], A1631)</f>
        <v>0</v>
      </c>
    </row>
    <row r="1632" spans="1:9" x14ac:dyDescent="0.25">
      <c r="A1632" t="s">
        <v>2603</v>
      </c>
      <c r="B1632" t="s">
        <v>2604</v>
      </c>
      <c r="C1632" s="3">
        <v>45892</v>
      </c>
      <c r="D1632">
        <v>30</v>
      </c>
      <c r="E1632" s="3" t="str">
        <f t="shared" si="25"/>
        <v/>
      </c>
      <c r="F1632" s="3" t="str">
        <f>IF(TableRefills3[[#This Row],[prev_refill_days]]="","",TableRefills3[[#This Row],[prev_refill_days]]+TableRefills3[[#This Row],[quantity_days]])</f>
        <v/>
      </c>
      <c r="G1632" t="str">
        <f>IF(TableRefills3[[#This Row],[prev_refill_end]]="","",TableRefills3[[#This Row],[refill_date]]-TableRefills3[[#This Row],[prev_refill_end]])</f>
        <v/>
      </c>
      <c r="H1632" s="10">
        <f>IF(TableRefills3[[#This Row],[gap_days]]="",0,IF(TableRefills3[[#This Row],[gap_days]]&gt;2,1,0))</f>
        <v>0</v>
      </c>
      <c r="I1632">
        <f>_xlfn.MAXIFS(TableRefills3[discountinuation_flag], TableRefills3[patient_id], A1632)</f>
        <v>0</v>
      </c>
    </row>
    <row r="1633" spans="1:9" x14ac:dyDescent="0.25">
      <c r="A1633" t="s">
        <v>2606</v>
      </c>
      <c r="B1633" t="s">
        <v>2607</v>
      </c>
      <c r="C1633" s="3">
        <v>45874</v>
      </c>
      <c r="D1633">
        <v>28</v>
      </c>
      <c r="E1633" s="3" t="str">
        <f t="shared" si="25"/>
        <v/>
      </c>
      <c r="F1633" s="3" t="str">
        <f>IF(TableRefills3[[#This Row],[prev_refill_days]]="","",TableRefills3[[#This Row],[prev_refill_days]]+TableRefills3[[#This Row],[quantity_days]])</f>
        <v/>
      </c>
      <c r="G1633" t="str">
        <f>IF(TableRefills3[[#This Row],[prev_refill_end]]="","",TableRefills3[[#This Row],[refill_date]]-TableRefills3[[#This Row],[prev_refill_end]])</f>
        <v/>
      </c>
      <c r="H1633" s="10">
        <f>IF(TableRefills3[[#This Row],[gap_days]]="",0,IF(TableRefills3[[#This Row],[gap_days]]&gt;2,1,0))</f>
        <v>0</v>
      </c>
      <c r="I1633">
        <f>_xlfn.MAXIFS(TableRefills3[discountinuation_flag], TableRefills3[patient_id], A1633)</f>
        <v>0</v>
      </c>
    </row>
    <row r="1634" spans="1:9" x14ac:dyDescent="0.25">
      <c r="A1634" t="s">
        <v>2606</v>
      </c>
      <c r="B1634" t="s">
        <v>2607</v>
      </c>
      <c r="C1634" s="3">
        <v>45900</v>
      </c>
      <c r="D1634">
        <v>28</v>
      </c>
      <c r="E1634" s="3">
        <f t="shared" si="25"/>
        <v>45874</v>
      </c>
      <c r="F1634" s="3">
        <f>IF(TableRefills3[[#This Row],[prev_refill_days]]="","",TableRefills3[[#This Row],[prev_refill_days]]+TableRefills3[[#This Row],[quantity_days]])</f>
        <v>45902</v>
      </c>
      <c r="G1634">
        <f>IF(TableRefills3[[#This Row],[prev_refill_end]]="","",TableRefills3[[#This Row],[refill_date]]-TableRefills3[[#This Row],[prev_refill_end]])</f>
        <v>-2</v>
      </c>
      <c r="H1634" s="10">
        <f>IF(TableRefills3[[#This Row],[gap_days]]="",0,IF(TableRefills3[[#This Row],[gap_days]]&gt;2,1,0))</f>
        <v>0</v>
      </c>
      <c r="I1634">
        <f>_xlfn.MAXIFS(TableRefills3[discountinuation_flag], TableRefills3[patient_id], A1634)</f>
        <v>0</v>
      </c>
    </row>
    <row r="1635" spans="1:9" x14ac:dyDescent="0.25">
      <c r="A1635" t="s">
        <v>2606</v>
      </c>
      <c r="B1635" t="s">
        <v>2607</v>
      </c>
      <c r="C1635" s="3">
        <v>45925</v>
      </c>
      <c r="D1635">
        <v>28</v>
      </c>
      <c r="E1635" s="3">
        <f t="shared" si="25"/>
        <v>45900</v>
      </c>
      <c r="F1635" s="3">
        <f>IF(TableRefills3[[#This Row],[prev_refill_days]]="","",TableRefills3[[#This Row],[prev_refill_days]]+TableRefills3[[#This Row],[quantity_days]])</f>
        <v>45928</v>
      </c>
      <c r="G1635">
        <f>IF(TableRefills3[[#This Row],[prev_refill_end]]="","",TableRefills3[[#This Row],[refill_date]]-TableRefills3[[#This Row],[prev_refill_end]])</f>
        <v>-3</v>
      </c>
      <c r="H1635" s="10">
        <f>IF(TableRefills3[[#This Row],[gap_days]]="",0,IF(TableRefills3[[#This Row],[gap_days]]&gt;2,1,0))</f>
        <v>0</v>
      </c>
      <c r="I1635">
        <f>_xlfn.MAXIFS(TableRefills3[discountinuation_flag], TableRefills3[patient_id], A1635)</f>
        <v>0</v>
      </c>
    </row>
    <row r="1636" spans="1:9" x14ac:dyDescent="0.25">
      <c r="A1636" t="s">
        <v>2606</v>
      </c>
      <c r="B1636" t="s">
        <v>2607</v>
      </c>
      <c r="C1636" s="3">
        <v>45954</v>
      </c>
      <c r="D1636">
        <v>28</v>
      </c>
      <c r="E1636" s="3">
        <f t="shared" si="25"/>
        <v>45925</v>
      </c>
      <c r="F1636" s="3">
        <f>IF(TableRefills3[[#This Row],[prev_refill_days]]="","",TableRefills3[[#This Row],[prev_refill_days]]+TableRefills3[[#This Row],[quantity_days]])</f>
        <v>45953</v>
      </c>
      <c r="G1636">
        <f>IF(TableRefills3[[#This Row],[prev_refill_end]]="","",TableRefills3[[#This Row],[refill_date]]-TableRefills3[[#This Row],[prev_refill_end]])</f>
        <v>1</v>
      </c>
      <c r="H1636" s="10">
        <f>IF(TableRefills3[[#This Row],[gap_days]]="",0,IF(TableRefills3[[#This Row],[gap_days]]&gt;2,1,0))</f>
        <v>0</v>
      </c>
      <c r="I1636">
        <f>_xlfn.MAXIFS(TableRefills3[discountinuation_flag], TableRefills3[patient_id], A1636)</f>
        <v>0</v>
      </c>
    </row>
    <row r="1637" spans="1:9" x14ac:dyDescent="0.25">
      <c r="A1637" t="s">
        <v>2612</v>
      </c>
      <c r="B1637" t="s">
        <v>2613</v>
      </c>
      <c r="C1637" s="3">
        <v>45952</v>
      </c>
      <c r="D1637">
        <v>14</v>
      </c>
      <c r="E1637" s="3" t="str">
        <f t="shared" si="25"/>
        <v/>
      </c>
      <c r="F1637" s="3" t="str">
        <f>IF(TableRefills3[[#This Row],[prev_refill_days]]="","",TableRefills3[[#This Row],[prev_refill_days]]+TableRefills3[[#This Row],[quantity_days]])</f>
        <v/>
      </c>
      <c r="G1637" t="str">
        <f>IF(TableRefills3[[#This Row],[prev_refill_end]]="","",TableRefills3[[#This Row],[refill_date]]-TableRefills3[[#This Row],[prev_refill_end]])</f>
        <v/>
      </c>
      <c r="H1637" s="10">
        <f>IF(TableRefills3[[#This Row],[gap_days]]="",0,IF(TableRefills3[[#This Row],[gap_days]]&gt;2,1,0))</f>
        <v>0</v>
      </c>
      <c r="I1637">
        <f>_xlfn.MAXIFS(TableRefills3[discountinuation_flag], TableRefills3[patient_id], A1637)</f>
        <v>0</v>
      </c>
    </row>
    <row r="1638" spans="1:9" x14ac:dyDescent="0.25">
      <c r="A1638" t="s">
        <v>2615</v>
      </c>
      <c r="B1638" t="s">
        <v>2616</v>
      </c>
      <c r="C1638" s="3">
        <v>45916</v>
      </c>
      <c r="D1638">
        <v>21</v>
      </c>
      <c r="E1638" s="3" t="str">
        <f t="shared" si="25"/>
        <v/>
      </c>
      <c r="F1638" s="3" t="str">
        <f>IF(TableRefills3[[#This Row],[prev_refill_days]]="","",TableRefills3[[#This Row],[prev_refill_days]]+TableRefills3[[#This Row],[quantity_days]])</f>
        <v/>
      </c>
      <c r="G1638" t="str">
        <f>IF(TableRefills3[[#This Row],[prev_refill_end]]="","",TableRefills3[[#This Row],[refill_date]]-TableRefills3[[#This Row],[prev_refill_end]])</f>
        <v/>
      </c>
      <c r="H1638" s="10">
        <f>IF(TableRefills3[[#This Row],[gap_days]]="",0,IF(TableRefills3[[#This Row],[gap_days]]&gt;2,1,0))</f>
        <v>0</v>
      </c>
      <c r="I1638">
        <f>_xlfn.MAXIFS(TableRefills3[discountinuation_flag], TableRefills3[patient_id], A1638)</f>
        <v>0</v>
      </c>
    </row>
    <row r="1639" spans="1:9" x14ac:dyDescent="0.25">
      <c r="A1639" t="s">
        <v>2615</v>
      </c>
      <c r="B1639" t="s">
        <v>2616</v>
      </c>
      <c r="C1639" s="3">
        <v>45939</v>
      </c>
      <c r="D1639">
        <v>21</v>
      </c>
      <c r="E1639" s="3">
        <f t="shared" si="25"/>
        <v>45916</v>
      </c>
      <c r="F1639" s="3">
        <f>IF(TableRefills3[[#This Row],[prev_refill_days]]="","",TableRefills3[[#This Row],[prev_refill_days]]+TableRefills3[[#This Row],[quantity_days]])</f>
        <v>45937</v>
      </c>
      <c r="G1639">
        <f>IF(TableRefills3[[#This Row],[prev_refill_end]]="","",TableRefills3[[#This Row],[refill_date]]-TableRefills3[[#This Row],[prev_refill_end]])</f>
        <v>2</v>
      </c>
      <c r="H1639" s="10">
        <f>IF(TableRefills3[[#This Row],[gap_days]]="",0,IF(TableRefills3[[#This Row],[gap_days]]&gt;2,1,0))</f>
        <v>0</v>
      </c>
      <c r="I1639">
        <f>_xlfn.MAXIFS(TableRefills3[discountinuation_flag], TableRefills3[patient_id], A1639)</f>
        <v>0</v>
      </c>
    </row>
    <row r="1640" spans="1:9" x14ac:dyDescent="0.25">
      <c r="A1640" t="s">
        <v>2615</v>
      </c>
      <c r="B1640" t="s">
        <v>2616</v>
      </c>
      <c r="C1640" s="3">
        <v>45961</v>
      </c>
      <c r="D1640">
        <v>21</v>
      </c>
      <c r="E1640" s="3">
        <f t="shared" si="25"/>
        <v>45939</v>
      </c>
      <c r="F1640" s="3">
        <f>IF(TableRefills3[[#This Row],[prev_refill_days]]="","",TableRefills3[[#This Row],[prev_refill_days]]+TableRefills3[[#This Row],[quantity_days]])</f>
        <v>45960</v>
      </c>
      <c r="G1640">
        <f>IF(TableRefills3[[#This Row],[prev_refill_end]]="","",TableRefills3[[#This Row],[refill_date]]-TableRefills3[[#This Row],[prev_refill_end]])</f>
        <v>1</v>
      </c>
      <c r="H1640" s="10">
        <f>IF(TableRefills3[[#This Row],[gap_days]]="",0,IF(TableRefills3[[#This Row],[gap_days]]&gt;2,1,0))</f>
        <v>0</v>
      </c>
      <c r="I1640">
        <f>_xlfn.MAXIFS(TableRefills3[discountinuation_flag], TableRefills3[patient_id], A1640)</f>
        <v>0</v>
      </c>
    </row>
    <row r="1641" spans="1:9" x14ac:dyDescent="0.25">
      <c r="A1641" t="s">
        <v>2620</v>
      </c>
      <c r="B1641" t="s">
        <v>2621</v>
      </c>
      <c r="C1641" s="3">
        <v>45945</v>
      </c>
      <c r="D1641">
        <v>21</v>
      </c>
      <c r="E1641" s="3" t="str">
        <f t="shared" si="25"/>
        <v/>
      </c>
      <c r="F1641" s="3" t="str">
        <f>IF(TableRefills3[[#This Row],[prev_refill_days]]="","",TableRefills3[[#This Row],[prev_refill_days]]+TableRefills3[[#This Row],[quantity_days]])</f>
        <v/>
      </c>
      <c r="G1641" t="str">
        <f>IF(TableRefills3[[#This Row],[prev_refill_end]]="","",TableRefills3[[#This Row],[refill_date]]-TableRefills3[[#This Row],[prev_refill_end]])</f>
        <v/>
      </c>
      <c r="H1641" s="10">
        <f>IF(TableRefills3[[#This Row],[gap_days]]="",0,IF(TableRefills3[[#This Row],[gap_days]]&gt;2,1,0))</f>
        <v>0</v>
      </c>
      <c r="I1641">
        <f>_xlfn.MAXIFS(TableRefills3[discountinuation_flag], TableRefills3[patient_id], A1641)</f>
        <v>0</v>
      </c>
    </row>
    <row r="1642" spans="1:9" x14ac:dyDescent="0.25">
      <c r="A1642" t="s">
        <v>2623</v>
      </c>
      <c r="B1642" t="s">
        <v>2624</v>
      </c>
      <c r="C1642" s="3">
        <v>45808</v>
      </c>
      <c r="D1642">
        <v>28</v>
      </c>
      <c r="E1642" s="3" t="str">
        <f t="shared" si="25"/>
        <v/>
      </c>
      <c r="F1642" s="3" t="str">
        <f>IF(TableRefills3[[#This Row],[prev_refill_days]]="","",TableRefills3[[#This Row],[prev_refill_days]]+TableRefills3[[#This Row],[quantity_days]])</f>
        <v/>
      </c>
      <c r="G1642" t="str">
        <f>IF(TableRefills3[[#This Row],[prev_refill_end]]="","",TableRefills3[[#This Row],[refill_date]]-TableRefills3[[#This Row],[prev_refill_end]])</f>
        <v/>
      </c>
      <c r="H1642" s="10">
        <f>IF(TableRefills3[[#This Row],[gap_days]]="",0,IF(TableRefills3[[#This Row],[gap_days]]&gt;2,1,0))</f>
        <v>0</v>
      </c>
      <c r="I1642">
        <f>_xlfn.MAXIFS(TableRefills3[discountinuation_flag], TableRefills3[patient_id], A1642)</f>
        <v>1</v>
      </c>
    </row>
    <row r="1643" spans="1:9" x14ac:dyDescent="0.25">
      <c r="A1643" t="s">
        <v>2623</v>
      </c>
      <c r="B1643" t="s">
        <v>2624</v>
      </c>
      <c r="C1643" s="3">
        <v>45835</v>
      </c>
      <c r="D1643">
        <v>28</v>
      </c>
      <c r="E1643" s="3">
        <f t="shared" si="25"/>
        <v>45808</v>
      </c>
      <c r="F1643" s="3">
        <f>IF(TableRefills3[[#This Row],[prev_refill_days]]="","",TableRefills3[[#This Row],[prev_refill_days]]+TableRefills3[[#This Row],[quantity_days]])</f>
        <v>45836</v>
      </c>
      <c r="G1643">
        <f>IF(TableRefills3[[#This Row],[prev_refill_end]]="","",TableRefills3[[#This Row],[refill_date]]-TableRefills3[[#This Row],[prev_refill_end]])</f>
        <v>-1</v>
      </c>
      <c r="H1643" s="10">
        <f>IF(TableRefills3[[#This Row],[gap_days]]="",0,IF(TableRefills3[[#This Row],[gap_days]]&gt;2,1,0))</f>
        <v>0</v>
      </c>
      <c r="I1643">
        <f>_xlfn.MAXIFS(TableRefills3[discountinuation_flag], TableRefills3[patient_id], A1643)</f>
        <v>1</v>
      </c>
    </row>
    <row r="1644" spans="1:9" x14ac:dyDescent="0.25">
      <c r="A1644" t="s">
        <v>2623</v>
      </c>
      <c r="B1644" t="s">
        <v>2624</v>
      </c>
      <c r="C1644" s="3">
        <v>45866</v>
      </c>
      <c r="D1644">
        <v>28</v>
      </c>
      <c r="E1644" s="3">
        <f t="shared" si="25"/>
        <v>45835</v>
      </c>
      <c r="F1644" s="3">
        <f>IF(TableRefills3[[#This Row],[prev_refill_days]]="","",TableRefills3[[#This Row],[prev_refill_days]]+TableRefills3[[#This Row],[quantity_days]])</f>
        <v>45863</v>
      </c>
      <c r="G1644">
        <f>IF(TableRefills3[[#This Row],[prev_refill_end]]="","",TableRefills3[[#This Row],[refill_date]]-TableRefills3[[#This Row],[prev_refill_end]])</f>
        <v>3</v>
      </c>
      <c r="H1644" s="10">
        <f>IF(TableRefills3[[#This Row],[gap_days]]="",0,IF(TableRefills3[[#This Row],[gap_days]]&gt;2,1,0))</f>
        <v>1</v>
      </c>
      <c r="I1644">
        <f>_xlfn.MAXIFS(TableRefills3[discountinuation_flag], TableRefills3[patient_id], A1644)</f>
        <v>1</v>
      </c>
    </row>
    <row r="1645" spans="1:9" x14ac:dyDescent="0.25">
      <c r="A1645" t="s">
        <v>2623</v>
      </c>
      <c r="B1645" t="s">
        <v>2624</v>
      </c>
      <c r="C1645" s="3">
        <v>45897</v>
      </c>
      <c r="D1645">
        <v>28</v>
      </c>
      <c r="E1645" s="3">
        <f t="shared" si="25"/>
        <v>45866</v>
      </c>
      <c r="F1645" s="3">
        <f>IF(TableRefills3[[#This Row],[prev_refill_days]]="","",TableRefills3[[#This Row],[prev_refill_days]]+TableRefills3[[#This Row],[quantity_days]])</f>
        <v>45894</v>
      </c>
      <c r="G1645">
        <f>IF(TableRefills3[[#This Row],[prev_refill_end]]="","",TableRefills3[[#This Row],[refill_date]]-TableRefills3[[#This Row],[prev_refill_end]])</f>
        <v>3</v>
      </c>
      <c r="H1645" s="10">
        <f>IF(TableRefills3[[#This Row],[gap_days]]="",0,IF(TableRefills3[[#This Row],[gap_days]]&gt;2,1,0))</f>
        <v>1</v>
      </c>
      <c r="I1645">
        <f>_xlfn.MAXIFS(TableRefills3[discountinuation_flag], TableRefills3[patient_id], A1645)</f>
        <v>1</v>
      </c>
    </row>
    <row r="1646" spans="1:9" x14ac:dyDescent="0.25">
      <c r="A1646" t="s">
        <v>2623</v>
      </c>
      <c r="B1646" t="s">
        <v>2624</v>
      </c>
      <c r="C1646" s="3">
        <v>45928</v>
      </c>
      <c r="D1646">
        <v>28</v>
      </c>
      <c r="E1646" s="3">
        <f t="shared" si="25"/>
        <v>45897</v>
      </c>
      <c r="F1646" s="3">
        <f>IF(TableRefills3[[#This Row],[prev_refill_days]]="","",TableRefills3[[#This Row],[prev_refill_days]]+TableRefills3[[#This Row],[quantity_days]])</f>
        <v>45925</v>
      </c>
      <c r="G1646">
        <f>IF(TableRefills3[[#This Row],[prev_refill_end]]="","",TableRefills3[[#This Row],[refill_date]]-TableRefills3[[#This Row],[prev_refill_end]])</f>
        <v>3</v>
      </c>
      <c r="H1646" s="10">
        <f>IF(TableRefills3[[#This Row],[gap_days]]="",0,IF(TableRefills3[[#This Row],[gap_days]]&gt;2,1,0))</f>
        <v>1</v>
      </c>
      <c r="I1646">
        <f>_xlfn.MAXIFS(TableRefills3[discountinuation_flag], TableRefills3[patient_id], A1646)</f>
        <v>1</v>
      </c>
    </row>
    <row r="1647" spans="1:9" x14ac:dyDescent="0.25">
      <c r="A1647" t="s">
        <v>2623</v>
      </c>
      <c r="B1647" t="s">
        <v>2624</v>
      </c>
      <c r="C1647" s="3">
        <v>45956</v>
      </c>
      <c r="D1647">
        <v>28</v>
      </c>
      <c r="E1647" s="3">
        <f t="shared" si="25"/>
        <v>45928</v>
      </c>
      <c r="F1647" s="3">
        <f>IF(TableRefills3[[#This Row],[prev_refill_days]]="","",TableRefills3[[#This Row],[prev_refill_days]]+TableRefills3[[#This Row],[quantity_days]])</f>
        <v>45956</v>
      </c>
      <c r="G1647">
        <f>IF(TableRefills3[[#This Row],[prev_refill_end]]="","",TableRefills3[[#This Row],[refill_date]]-TableRefills3[[#This Row],[prev_refill_end]])</f>
        <v>0</v>
      </c>
      <c r="H1647" s="10">
        <f>IF(TableRefills3[[#This Row],[gap_days]]="",0,IF(TableRefills3[[#This Row],[gap_days]]&gt;2,1,0))</f>
        <v>0</v>
      </c>
      <c r="I1647">
        <f>_xlfn.MAXIFS(TableRefills3[discountinuation_flag], TableRefills3[patient_id], A1647)</f>
        <v>1</v>
      </c>
    </row>
    <row r="1648" spans="1:9" x14ac:dyDescent="0.25">
      <c r="A1648" t="s">
        <v>2631</v>
      </c>
      <c r="B1648" t="s">
        <v>2632</v>
      </c>
      <c r="C1648" s="3">
        <v>45915</v>
      </c>
      <c r="D1648">
        <v>30</v>
      </c>
      <c r="E1648" s="3" t="str">
        <f t="shared" si="25"/>
        <v/>
      </c>
      <c r="F1648" s="3" t="str">
        <f>IF(TableRefills3[[#This Row],[prev_refill_days]]="","",TableRefills3[[#This Row],[prev_refill_days]]+TableRefills3[[#This Row],[quantity_days]])</f>
        <v/>
      </c>
      <c r="G1648" t="str">
        <f>IF(TableRefills3[[#This Row],[prev_refill_end]]="","",TableRefills3[[#This Row],[refill_date]]-TableRefills3[[#This Row],[prev_refill_end]])</f>
        <v/>
      </c>
      <c r="H1648" s="10">
        <f>IF(TableRefills3[[#This Row],[gap_days]]="",0,IF(TableRefills3[[#This Row],[gap_days]]&gt;2,1,0))</f>
        <v>0</v>
      </c>
      <c r="I1648">
        <f>_xlfn.MAXIFS(TableRefills3[discountinuation_flag], TableRefills3[patient_id], A1648)</f>
        <v>0</v>
      </c>
    </row>
    <row r="1649" spans="1:9" x14ac:dyDescent="0.25">
      <c r="A1649" t="s">
        <v>2631</v>
      </c>
      <c r="B1649" t="s">
        <v>2632</v>
      </c>
      <c r="C1649" s="3">
        <v>45947</v>
      </c>
      <c r="D1649">
        <v>30</v>
      </c>
      <c r="E1649" s="3">
        <f t="shared" si="25"/>
        <v>45915</v>
      </c>
      <c r="F1649" s="3">
        <f>IF(TableRefills3[[#This Row],[prev_refill_days]]="","",TableRefills3[[#This Row],[prev_refill_days]]+TableRefills3[[#This Row],[quantity_days]])</f>
        <v>45945</v>
      </c>
      <c r="G1649">
        <f>IF(TableRefills3[[#This Row],[prev_refill_end]]="","",TableRefills3[[#This Row],[refill_date]]-TableRefills3[[#This Row],[prev_refill_end]])</f>
        <v>2</v>
      </c>
      <c r="H1649" s="10">
        <f>IF(TableRefills3[[#This Row],[gap_days]]="",0,IF(TableRefills3[[#This Row],[gap_days]]&gt;2,1,0))</f>
        <v>0</v>
      </c>
      <c r="I1649">
        <f>_xlfn.MAXIFS(TableRefills3[discountinuation_flag], TableRefills3[patient_id], A1649)</f>
        <v>0</v>
      </c>
    </row>
    <row r="1650" spans="1:9" x14ac:dyDescent="0.25">
      <c r="A1650" t="s">
        <v>2635</v>
      </c>
      <c r="B1650" t="s">
        <v>2636</v>
      </c>
      <c r="C1650" s="3">
        <v>45913</v>
      </c>
      <c r="D1650">
        <v>14</v>
      </c>
      <c r="E1650" s="3" t="str">
        <f t="shared" si="25"/>
        <v/>
      </c>
      <c r="F1650" s="3" t="str">
        <f>IF(TableRefills3[[#This Row],[prev_refill_days]]="","",TableRefills3[[#This Row],[prev_refill_days]]+TableRefills3[[#This Row],[quantity_days]])</f>
        <v/>
      </c>
      <c r="G1650" t="str">
        <f>IF(TableRefills3[[#This Row],[prev_refill_end]]="","",TableRefills3[[#This Row],[refill_date]]-TableRefills3[[#This Row],[prev_refill_end]])</f>
        <v/>
      </c>
      <c r="H1650" s="10">
        <f>IF(TableRefills3[[#This Row],[gap_days]]="",0,IF(TableRefills3[[#This Row],[gap_days]]&gt;2,1,0))</f>
        <v>0</v>
      </c>
      <c r="I1650">
        <f>_xlfn.MAXIFS(TableRefills3[discountinuation_flag], TableRefills3[patient_id], A1650)</f>
        <v>0</v>
      </c>
    </row>
    <row r="1651" spans="1:9" x14ac:dyDescent="0.25">
      <c r="A1651" t="s">
        <v>2635</v>
      </c>
      <c r="B1651" t="s">
        <v>2636</v>
      </c>
      <c r="C1651" s="3">
        <v>45925</v>
      </c>
      <c r="D1651">
        <v>14</v>
      </c>
      <c r="E1651" s="3">
        <f t="shared" si="25"/>
        <v>45913</v>
      </c>
      <c r="F1651" s="3">
        <f>IF(TableRefills3[[#This Row],[prev_refill_days]]="","",TableRefills3[[#This Row],[prev_refill_days]]+TableRefills3[[#This Row],[quantity_days]])</f>
        <v>45927</v>
      </c>
      <c r="G1651">
        <f>IF(TableRefills3[[#This Row],[prev_refill_end]]="","",TableRefills3[[#This Row],[refill_date]]-TableRefills3[[#This Row],[prev_refill_end]])</f>
        <v>-2</v>
      </c>
      <c r="H1651" s="10">
        <f>IF(TableRefills3[[#This Row],[gap_days]]="",0,IF(TableRefills3[[#This Row],[gap_days]]&gt;2,1,0))</f>
        <v>0</v>
      </c>
      <c r="I1651">
        <f>_xlfn.MAXIFS(TableRefills3[discountinuation_flag], TableRefills3[patient_id], A1651)</f>
        <v>0</v>
      </c>
    </row>
    <row r="1652" spans="1:9" x14ac:dyDescent="0.25">
      <c r="A1652" t="s">
        <v>2635</v>
      </c>
      <c r="B1652" t="s">
        <v>2636</v>
      </c>
      <c r="C1652" s="3">
        <v>45936</v>
      </c>
      <c r="D1652">
        <v>14</v>
      </c>
      <c r="E1652" s="3">
        <f t="shared" si="25"/>
        <v>45925</v>
      </c>
      <c r="F1652" s="3">
        <f>IF(TableRefills3[[#This Row],[prev_refill_days]]="","",TableRefills3[[#This Row],[prev_refill_days]]+TableRefills3[[#This Row],[quantity_days]])</f>
        <v>45939</v>
      </c>
      <c r="G1652">
        <f>IF(TableRefills3[[#This Row],[prev_refill_end]]="","",TableRefills3[[#This Row],[refill_date]]-TableRefills3[[#This Row],[prev_refill_end]])</f>
        <v>-3</v>
      </c>
      <c r="H1652" s="10">
        <f>IF(TableRefills3[[#This Row],[gap_days]]="",0,IF(TableRefills3[[#This Row],[gap_days]]&gt;2,1,0))</f>
        <v>0</v>
      </c>
      <c r="I1652">
        <f>_xlfn.MAXIFS(TableRefills3[discountinuation_flag], TableRefills3[patient_id], A1652)</f>
        <v>0</v>
      </c>
    </row>
    <row r="1653" spans="1:9" x14ac:dyDescent="0.25">
      <c r="A1653" t="s">
        <v>2635</v>
      </c>
      <c r="B1653" t="s">
        <v>2636</v>
      </c>
      <c r="C1653" s="3">
        <v>45952</v>
      </c>
      <c r="D1653">
        <v>14</v>
      </c>
      <c r="E1653" s="3">
        <f t="shared" si="25"/>
        <v>45936</v>
      </c>
      <c r="F1653" s="3">
        <f>IF(TableRefills3[[#This Row],[prev_refill_days]]="","",TableRefills3[[#This Row],[prev_refill_days]]+TableRefills3[[#This Row],[quantity_days]])</f>
        <v>45950</v>
      </c>
      <c r="G1653">
        <f>IF(TableRefills3[[#This Row],[prev_refill_end]]="","",TableRefills3[[#This Row],[refill_date]]-TableRefills3[[#This Row],[prev_refill_end]])</f>
        <v>2</v>
      </c>
      <c r="H1653" s="10">
        <f>IF(TableRefills3[[#This Row],[gap_days]]="",0,IF(TableRefills3[[#This Row],[gap_days]]&gt;2,1,0))</f>
        <v>0</v>
      </c>
      <c r="I1653">
        <f>_xlfn.MAXIFS(TableRefills3[discountinuation_flag], TableRefills3[patient_id], A1653)</f>
        <v>0</v>
      </c>
    </row>
    <row r="1654" spans="1:9" x14ac:dyDescent="0.25">
      <c r="A1654" t="s">
        <v>2641</v>
      </c>
      <c r="B1654" t="s">
        <v>2642</v>
      </c>
      <c r="C1654" s="3">
        <v>45835</v>
      </c>
      <c r="D1654">
        <v>28</v>
      </c>
      <c r="E1654" s="3" t="str">
        <f t="shared" si="25"/>
        <v/>
      </c>
      <c r="F1654" s="3" t="str">
        <f>IF(TableRefills3[[#This Row],[prev_refill_days]]="","",TableRefills3[[#This Row],[prev_refill_days]]+TableRefills3[[#This Row],[quantity_days]])</f>
        <v/>
      </c>
      <c r="G1654" t="str">
        <f>IF(TableRefills3[[#This Row],[prev_refill_end]]="","",TableRefills3[[#This Row],[refill_date]]-TableRefills3[[#This Row],[prev_refill_end]])</f>
        <v/>
      </c>
      <c r="H1654" s="10">
        <f>IF(TableRefills3[[#This Row],[gap_days]]="",0,IF(TableRefills3[[#This Row],[gap_days]]&gt;2,1,0))</f>
        <v>0</v>
      </c>
      <c r="I1654">
        <f>_xlfn.MAXIFS(TableRefills3[discountinuation_flag], TableRefills3[patient_id], A1654)</f>
        <v>0</v>
      </c>
    </row>
    <row r="1655" spans="1:9" x14ac:dyDescent="0.25">
      <c r="A1655" t="s">
        <v>2641</v>
      </c>
      <c r="B1655" t="s">
        <v>2642</v>
      </c>
      <c r="C1655" s="3">
        <v>45864</v>
      </c>
      <c r="D1655">
        <v>28</v>
      </c>
      <c r="E1655" s="3">
        <f t="shared" si="25"/>
        <v>45835</v>
      </c>
      <c r="F1655" s="3">
        <f>IF(TableRefills3[[#This Row],[prev_refill_days]]="","",TableRefills3[[#This Row],[prev_refill_days]]+TableRefills3[[#This Row],[quantity_days]])</f>
        <v>45863</v>
      </c>
      <c r="G1655">
        <f>IF(TableRefills3[[#This Row],[prev_refill_end]]="","",TableRefills3[[#This Row],[refill_date]]-TableRefills3[[#This Row],[prev_refill_end]])</f>
        <v>1</v>
      </c>
      <c r="H1655" s="10">
        <f>IF(TableRefills3[[#This Row],[gap_days]]="",0,IF(TableRefills3[[#This Row],[gap_days]]&gt;2,1,0))</f>
        <v>0</v>
      </c>
      <c r="I1655">
        <f>_xlfn.MAXIFS(TableRefills3[discountinuation_flag], TableRefills3[patient_id], A1655)</f>
        <v>0</v>
      </c>
    </row>
    <row r="1656" spans="1:9" x14ac:dyDescent="0.25">
      <c r="A1656" t="s">
        <v>2641</v>
      </c>
      <c r="B1656" t="s">
        <v>2642</v>
      </c>
      <c r="C1656" s="3">
        <v>45892</v>
      </c>
      <c r="D1656">
        <v>28</v>
      </c>
      <c r="E1656" s="3">
        <f t="shared" si="25"/>
        <v>45864</v>
      </c>
      <c r="F1656" s="3">
        <f>IF(TableRefills3[[#This Row],[prev_refill_days]]="","",TableRefills3[[#This Row],[prev_refill_days]]+TableRefills3[[#This Row],[quantity_days]])</f>
        <v>45892</v>
      </c>
      <c r="G1656">
        <f>IF(TableRefills3[[#This Row],[prev_refill_end]]="","",TableRefills3[[#This Row],[refill_date]]-TableRefills3[[#This Row],[prev_refill_end]])</f>
        <v>0</v>
      </c>
      <c r="H1656" s="10">
        <f>IF(TableRefills3[[#This Row],[gap_days]]="",0,IF(TableRefills3[[#This Row],[gap_days]]&gt;2,1,0))</f>
        <v>0</v>
      </c>
      <c r="I1656">
        <f>_xlfn.MAXIFS(TableRefills3[discountinuation_flag], TableRefills3[patient_id], A1656)</f>
        <v>0</v>
      </c>
    </row>
    <row r="1657" spans="1:9" x14ac:dyDescent="0.25">
      <c r="A1657" t="s">
        <v>2641</v>
      </c>
      <c r="B1657" t="s">
        <v>2642</v>
      </c>
      <c r="C1657" s="3">
        <v>45921</v>
      </c>
      <c r="D1657">
        <v>28</v>
      </c>
      <c r="E1657" s="3">
        <f t="shared" si="25"/>
        <v>45892</v>
      </c>
      <c r="F1657" s="3">
        <f>IF(TableRefills3[[#This Row],[prev_refill_days]]="","",TableRefills3[[#This Row],[prev_refill_days]]+TableRefills3[[#This Row],[quantity_days]])</f>
        <v>45920</v>
      </c>
      <c r="G1657">
        <f>IF(TableRefills3[[#This Row],[prev_refill_end]]="","",TableRefills3[[#This Row],[refill_date]]-TableRefills3[[#This Row],[prev_refill_end]])</f>
        <v>1</v>
      </c>
      <c r="H1657" s="10">
        <f>IF(TableRefills3[[#This Row],[gap_days]]="",0,IF(TableRefills3[[#This Row],[gap_days]]&gt;2,1,0))</f>
        <v>0</v>
      </c>
      <c r="I1657">
        <f>_xlfn.MAXIFS(TableRefills3[discountinuation_flag], TableRefills3[patient_id], A1657)</f>
        <v>0</v>
      </c>
    </row>
    <row r="1658" spans="1:9" x14ac:dyDescent="0.25">
      <c r="A1658" t="s">
        <v>2641</v>
      </c>
      <c r="B1658" t="s">
        <v>2642</v>
      </c>
      <c r="C1658" s="3">
        <v>45950</v>
      </c>
      <c r="D1658">
        <v>28</v>
      </c>
      <c r="E1658" s="3">
        <f t="shared" si="25"/>
        <v>45921</v>
      </c>
      <c r="F1658" s="3">
        <f>IF(TableRefills3[[#This Row],[prev_refill_days]]="","",TableRefills3[[#This Row],[prev_refill_days]]+TableRefills3[[#This Row],[quantity_days]])</f>
        <v>45949</v>
      </c>
      <c r="G1658">
        <f>IF(TableRefills3[[#This Row],[prev_refill_end]]="","",TableRefills3[[#This Row],[refill_date]]-TableRefills3[[#This Row],[prev_refill_end]])</f>
        <v>1</v>
      </c>
      <c r="H1658" s="10">
        <f>IF(TableRefills3[[#This Row],[gap_days]]="",0,IF(TableRefills3[[#This Row],[gap_days]]&gt;2,1,0))</f>
        <v>0</v>
      </c>
      <c r="I1658">
        <f>_xlfn.MAXIFS(TableRefills3[discountinuation_flag], TableRefills3[patient_id], A1658)</f>
        <v>0</v>
      </c>
    </row>
    <row r="1659" spans="1:9" x14ac:dyDescent="0.25">
      <c r="A1659" t="s">
        <v>2648</v>
      </c>
      <c r="B1659" t="s">
        <v>2649</v>
      </c>
      <c r="C1659" s="3">
        <v>45778</v>
      </c>
      <c r="D1659">
        <v>28</v>
      </c>
      <c r="E1659" s="3" t="str">
        <f t="shared" si="25"/>
        <v/>
      </c>
      <c r="F1659" s="3" t="str">
        <f>IF(TableRefills3[[#This Row],[prev_refill_days]]="","",TableRefills3[[#This Row],[prev_refill_days]]+TableRefills3[[#This Row],[quantity_days]])</f>
        <v/>
      </c>
      <c r="G1659" t="str">
        <f>IF(TableRefills3[[#This Row],[prev_refill_end]]="","",TableRefills3[[#This Row],[refill_date]]-TableRefills3[[#This Row],[prev_refill_end]])</f>
        <v/>
      </c>
      <c r="H1659" s="10">
        <f>IF(TableRefills3[[#This Row],[gap_days]]="",0,IF(TableRefills3[[#This Row],[gap_days]]&gt;2,1,0))</f>
        <v>0</v>
      </c>
      <c r="I1659">
        <f>_xlfn.MAXIFS(TableRefills3[discountinuation_flag], TableRefills3[patient_id], A1659)</f>
        <v>1</v>
      </c>
    </row>
    <row r="1660" spans="1:9" x14ac:dyDescent="0.25">
      <c r="A1660" t="s">
        <v>2648</v>
      </c>
      <c r="B1660" t="s">
        <v>2649</v>
      </c>
      <c r="C1660" s="3">
        <v>45805</v>
      </c>
      <c r="D1660">
        <v>28</v>
      </c>
      <c r="E1660" s="3">
        <f t="shared" si="25"/>
        <v>45778</v>
      </c>
      <c r="F1660" s="3">
        <f>IF(TableRefills3[[#This Row],[prev_refill_days]]="","",TableRefills3[[#This Row],[prev_refill_days]]+TableRefills3[[#This Row],[quantity_days]])</f>
        <v>45806</v>
      </c>
      <c r="G1660">
        <f>IF(TableRefills3[[#This Row],[prev_refill_end]]="","",TableRefills3[[#This Row],[refill_date]]-TableRefills3[[#This Row],[prev_refill_end]])</f>
        <v>-1</v>
      </c>
      <c r="H1660" s="10">
        <f>IF(TableRefills3[[#This Row],[gap_days]]="",0,IF(TableRefills3[[#This Row],[gap_days]]&gt;2,1,0))</f>
        <v>0</v>
      </c>
      <c r="I1660">
        <f>_xlfn.MAXIFS(TableRefills3[discountinuation_flag], TableRefills3[patient_id], A1660)</f>
        <v>1</v>
      </c>
    </row>
    <row r="1661" spans="1:9" x14ac:dyDescent="0.25">
      <c r="A1661" t="s">
        <v>2648</v>
      </c>
      <c r="B1661" t="s">
        <v>2649</v>
      </c>
      <c r="C1661" s="3">
        <v>45836</v>
      </c>
      <c r="D1661">
        <v>28</v>
      </c>
      <c r="E1661" s="3">
        <f t="shared" si="25"/>
        <v>45805</v>
      </c>
      <c r="F1661" s="3">
        <f>IF(TableRefills3[[#This Row],[prev_refill_days]]="","",TableRefills3[[#This Row],[prev_refill_days]]+TableRefills3[[#This Row],[quantity_days]])</f>
        <v>45833</v>
      </c>
      <c r="G1661">
        <f>IF(TableRefills3[[#This Row],[prev_refill_end]]="","",TableRefills3[[#This Row],[refill_date]]-TableRefills3[[#This Row],[prev_refill_end]])</f>
        <v>3</v>
      </c>
      <c r="H1661" s="10">
        <f>IF(TableRefills3[[#This Row],[gap_days]]="",0,IF(TableRefills3[[#This Row],[gap_days]]&gt;2,1,0))</f>
        <v>1</v>
      </c>
      <c r="I1661">
        <f>_xlfn.MAXIFS(TableRefills3[discountinuation_flag], TableRefills3[patient_id], A1661)</f>
        <v>1</v>
      </c>
    </row>
    <row r="1662" spans="1:9" x14ac:dyDescent="0.25">
      <c r="A1662" t="s">
        <v>2653</v>
      </c>
      <c r="B1662" t="s">
        <v>2654</v>
      </c>
      <c r="C1662" s="3">
        <v>45783</v>
      </c>
      <c r="D1662">
        <v>28</v>
      </c>
      <c r="E1662" s="3" t="str">
        <f t="shared" si="25"/>
        <v/>
      </c>
      <c r="F1662" s="3" t="str">
        <f>IF(TableRefills3[[#This Row],[prev_refill_days]]="","",TableRefills3[[#This Row],[prev_refill_days]]+TableRefills3[[#This Row],[quantity_days]])</f>
        <v/>
      </c>
      <c r="G1662" t="str">
        <f>IF(TableRefills3[[#This Row],[prev_refill_end]]="","",TableRefills3[[#This Row],[refill_date]]-TableRefills3[[#This Row],[prev_refill_end]])</f>
        <v/>
      </c>
      <c r="H1662" s="10">
        <f>IF(TableRefills3[[#This Row],[gap_days]]="",0,IF(TableRefills3[[#This Row],[gap_days]]&gt;2,1,0))</f>
        <v>0</v>
      </c>
      <c r="I1662">
        <f>_xlfn.MAXIFS(TableRefills3[discountinuation_flag], TableRefills3[patient_id], A1662)</f>
        <v>1</v>
      </c>
    </row>
    <row r="1663" spans="1:9" x14ac:dyDescent="0.25">
      <c r="A1663" t="s">
        <v>2653</v>
      </c>
      <c r="B1663" t="s">
        <v>2654</v>
      </c>
      <c r="C1663" s="3">
        <v>45812</v>
      </c>
      <c r="D1663">
        <v>28</v>
      </c>
      <c r="E1663" s="3">
        <f t="shared" si="25"/>
        <v>45783</v>
      </c>
      <c r="F1663" s="3">
        <f>IF(TableRefills3[[#This Row],[prev_refill_days]]="","",TableRefills3[[#This Row],[prev_refill_days]]+TableRefills3[[#This Row],[quantity_days]])</f>
        <v>45811</v>
      </c>
      <c r="G1663">
        <f>IF(TableRefills3[[#This Row],[prev_refill_end]]="","",TableRefills3[[#This Row],[refill_date]]-TableRefills3[[#This Row],[prev_refill_end]])</f>
        <v>1</v>
      </c>
      <c r="H1663" s="10">
        <f>IF(TableRefills3[[#This Row],[gap_days]]="",0,IF(TableRefills3[[#This Row],[gap_days]]&gt;2,1,0))</f>
        <v>0</v>
      </c>
      <c r="I1663">
        <f>_xlfn.MAXIFS(TableRefills3[discountinuation_flag], TableRefills3[patient_id], A1663)</f>
        <v>1</v>
      </c>
    </row>
    <row r="1664" spans="1:9" x14ac:dyDescent="0.25">
      <c r="A1664" t="s">
        <v>2653</v>
      </c>
      <c r="B1664" t="s">
        <v>2654</v>
      </c>
      <c r="C1664" s="3">
        <v>45840</v>
      </c>
      <c r="D1664">
        <v>28</v>
      </c>
      <c r="E1664" s="3">
        <f t="shared" si="25"/>
        <v>45812</v>
      </c>
      <c r="F1664" s="3">
        <f>IF(TableRefills3[[#This Row],[prev_refill_days]]="","",TableRefills3[[#This Row],[prev_refill_days]]+TableRefills3[[#This Row],[quantity_days]])</f>
        <v>45840</v>
      </c>
      <c r="G1664">
        <f>IF(TableRefills3[[#This Row],[prev_refill_end]]="","",TableRefills3[[#This Row],[refill_date]]-TableRefills3[[#This Row],[prev_refill_end]])</f>
        <v>0</v>
      </c>
      <c r="H1664" s="10">
        <f>IF(TableRefills3[[#This Row],[gap_days]]="",0,IF(TableRefills3[[#This Row],[gap_days]]&gt;2,1,0))</f>
        <v>0</v>
      </c>
      <c r="I1664">
        <f>_xlfn.MAXIFS(TableRefills3[discountinuation_flag], TableRefills3[patient_id], A1664)</f>
        <v>1</v>
      </c>
    </row>
    <row r="1665" spans="1:9" x14ac:dyDescent="0.25">
      <c r="A1665" t="s">
        <v>2653</v>
      </c>
      <c r="B1665" t="s">
        <v>2654</v>
      </c>
      <c r="C1665" s="3">
        <v>45871</v>
      </c>
      <c r="D1665">
        <v>28</v>
      </c>
      <c r="E1665" s="3">
        <f t="shared" si="25"/>
        <v>45840</v>
      </c>
      <c r="F1665" s="3">
        <f>IF(TableRefills3[[#This Row],[prev_refill_days]]="","",TableRefills3[[#This Row],[prev_refill_days]]+TableRefills3[[#This Row],[quantity_days]])</f>
        <v>45868</v>
      </c>
      <c r="G1665">
        <f>IF(TableRefills3[[#This Row],[prev_refill_end]]="","",TableRefills3[[#This Row],[refill_date]]-TableRefills3[[#This Row],[prev_refill_end]])</f>
        <v>3</v>
      </c>
      <c r="H1665" s="10">
        <f>IF(TableRefills3[[#This Row],[gap_days]]="",0,IF(TableRefills3[[#This Row],[gap_days]]&gt;2,1,0))</f>
        <v>1</v>
      </c>
      <c r="I1665">
        <f>_xlfn.MAXIFS(TableRefills3[discountinuation_flag], TableRefills3[patient_id], A1665)</f>
        <v>1</v>
      </c>
    </row>
    <row r="1666" spans="1:9" x14ac:dyDescent="0.25">
      <c r="A1666" t="s">
        <v>2653</v>
      </c>
      <c r="B1666" t="s">
        <v>2654</v>
      </c>
      <c r="C1666" s="3">
        <v>45900</v>
      </c>
      <c r="D1666">
        <v>28</v>
      </c>
      <c r="E1666" s="3">
        <f t="shared" ref="E1666:E1729" si="26">IF(A1665=A1666,C1665,"")</f>
        <v>45871</v>
      </c>
      <c r="F1666" s="3">
        <f>IF(TableRefills3[[#This Row],[prev_refill_days]]="","",TableRefills3[[#This Row],[prev_refill_days]]+TableRefills3[[#This Row],[quantity_days]])</f>
        <v>45899</v>
      </c>
      <c r="G1666">
        <f>IF(TableRefills3[[#This Row],[prev_refill_end]]="","",TableRefills3[[#This Row],[refill_date]]-TableRefills3[[#This Row],[prev_refill_end]])</f>
        <v>1</v>
      </c>
      <c r="H1666" s="10">
        <f>IF(TableRefills3[[#This Row],[gap_days]]="",0,IF(TableRefills3[[#This Row],[gap_days]]&gt;2,1,0))</f>
        <v>0</v>
      </c>
      <c r="I1666">
        <f>_xlfn.MAXIFS(TableRefills3[discountinuation_flag], TableRefills3[patient_id], A1666)</f>
        <v>1</v>
      </c>
    </row>
    <row r="1667" spans="1:9" x14ac:dyDescent="0.25">
      <c r="A1667" t="s">
        <v>2653</v>
      </c>
      <c r="B1667" t="s">
        <v>2654</v>
      </c>
      <c r="C1667" s="3">
        <v>45928</v>
      </c>
      <c r="D1667">
        <v>28</v>
      </c>
      <c r="E1667" s="3">
        <f t="shared" si="26"/>
        <v>45900</v>
      </c>
      <c r="F1667" s="3">
        <f>IF(TableRefills3[[#This Row],[prev_refill_days]]="","",TableRefills3[[#This Row],[prev_refill_days]]+TableRefills3[[#This Row],[quantity_days]])</f>
        <v>45928</v>
      </c>
      <c r="G1667">
        <f>IF(TableRefills3[[#This Row],[prev_refill_end]]="","",TableRefills3[[#This Row],[refill_date]]-TableRefills3[[#This Row],[prev_refill_end]])</f>
        <v>0</v>
      </c>
      <c r="H1667" s="10">
        <f>IF(TableRefills3[[#This Row],[gap_days]]="",0,IF(TableRefills3[[#This Row],[gap_days]]&gt;2,1,0))</f>
        <v>0</v>
      </c>
      <c r="I1667">
        <f>_xlfn.MAXIFS(TableRefills3[discountinuation_flag], TableRefills3[patient_id], A1667)</f>
        <v>1</v>
      </c>
    </row>
    <row r="1668" spans="1:9" x14ac:dyDescent="0.25">
      <c r="A1668" t="s">
        <v>2653</v>
      </c>
      <c r="B1668" t="s">
        <v>2654</v>
      </c>
      <c r="C1668" s="3">
        <v>45959</v>
      </c>
      <c r="D1668">
        <v>28</v>
      </c>
      <c r="E1668" s="3">
        <f t="shared" si="26"/>
        <v>45928</v>
      </c>
      <c r="F1668" s="3">
        <f>IF(TableRefills3[[#This Row],[prev_refill_days]]="","",TableRefills3[[#This Row],[prev_refill_days]]+TableRefills3[[#This Row],[quantity_days]])</f>
        <v>45956</v>
      </c>
      <c r="G1668">
        <f>IF(TableRefills3[[#This Row],[prev_refill_end]]="","",TableRefills3[[#This Row],[refill_date]]-TableRefills3[[#This Row],[prev_refill_end]])</f>
        <v>3</v>
      </c>
      <c r="H1668" s="10">
        <f>IF(TableRefills3[[#This Row],[gap_days]]="",0,IF(TableRefills3[[#This Row],[gap_days]]&gt;2,1,0))</f>
        <v>1</v>
      </c>
      <c r="I1668">
        <f>_xlfn.MAXIFS(TableRefills3[discountinuation_flag], TableRefills3[patient_id], A1668)</f>
        <v>1</v>
      </c>
    </row>
    <row r="1669" spans="1:9" x14ac:dyDescent="0.25">
      <c r="A1669" t="s">
        <v>2662</v>
      </c>
      <c r="B1669" t="s">
        <v>2663</v>
      </c>
      <c r="C1669" s="3">
        <v>45896</v>
      </c>
      <c r="D1669">
        <v>28</v>
      </c>
      <c r="E1669" s="3" t="str">
        <f t="shared" si="26"/>
        <v/>
      </c>
      <c r="F1669" s="3" t="str">
        <f>IF(TableRefills3[[#This Row],[prev_refill_days]]="","",TableRefills3[[#This Row],[prev_refill_days]]+TableRefills3[[#This Row],[quantity_days]])</f>
        <v/>
      </c>
      <c r="G1669" t="str">
        <f>IF(TableRefills3[[#This Row],[prev_refill_end]]="","",TableRefills3[[#This Row],[refill_date]]-TableRefills3[[#This Row],[prev_refill_end]])</f>
        <v/>
      </c>
      <c r="H1669" s="10">
        <f>IF(TableRefills3[[#This Row],[gap_days]]="",0,IF(TableRefills3[[#This Row],[gap_days]]&gt;2,1,0))</f>
        <v>0</v>
      </c>
      <c r="I1669">
        <f>_xlfn.MAXIFS(TableRefills3[discountinuation_flag], TableRefills3[patient_id], A1669)</f>
        <v>0</v>
      </c>
    </row>
    <row r="1670" spans="1:9" x14ac:dyDescent="0.25">
      <c r="A1670" t="s">
        <v>2662</v>
      </c>
      <c r="B1670" t="s">
        <v>2663</v>
      </c>
      <c r="C1670" s="3">
        <v>45926</v>
      </c>
      <c r="D1670">
        <v>28</v>
      </c>
      <c r="E1670" s="3">
        <f t="shared" si="26"/>
        <v>45896</v>
      </c>
      <c r="F1670" s="3">
        <f>IF(TableRefills3[[#This Row],[prev_refill_days]]="","",TableRefills3[[#This Row],[prev_refill_days]]+TableRefills3[[#This Row],[quantity_days]])</f>
        <v>45924</v>
      </c>
      <c r="G1670">
        <f>IF(TableRefills3[[#This Row],[prev_refill_end]]="","",TableRefills3[[#This Row],[refill_date]]-TableRefills3[[#This Row],[prev_refill_end]])</f>
        <v>2</v>
      </c>
      <c r="H1670" s="10">
        <f>IF(TableRefills3[[#This Row],[gap_days]]="",0,IF(TableRefills3[[#This Row],[gap_days]]&gt;2,1,0))</f>
        <v>0</v>
      </c>
      <c r="I1670">
        <f>_xlfn.MAXIFS(TableRefills3[discountinuation_flag], TableRefills3[patient_id], A1670)</f>
        <v>0</v>
      </c>
    </row>
    <row r="1671" spans="1:9" x14ac:dyDescent="0.25">
      <c r="A1671" t="s">
        <v>2662</v>
      </c>
      <c r="B1671" t="s">
        <v>2663</v>
      </c>
      <c r="C1671" s="3">
        <v>45951</v>
      </c>
      <c r="D1671">
        <v>28</v>
      </c>
      <c r="E1671" s="3">
        <f t="shared" si="26"/>
        <v>45926</v>
      </c>
      <c r="F1671" s="3">
        <f>IF(TableRefills3[[#This Row],[prev_refill_days]]="","",TableRefills3[[#This Row],[prev_refill_days]]+TableRefills3[[#This Row],[quantity_days]])</f>
        <v>45954</v>
      </c>
      <c r="G1671">
        <f>IF(TableRefills3[[#This Row],[prev_refill_end]]="","",TableRefills3[[#This Row],[refill_date]]-TableRefills3[[#This Row],[prev_refill_end]])</f>
        <v>-3</v>
      </c>
      <c r="H1671" s="10">
        <f>IF(TableRefills3[[#This Row],[gap_days]]="",0,IF(TableRefills3[[#This Row],[gap_days]]&gt;2,1,0))</f>
        <v>0</v>
      </c>
      <c r="I1671">
        <f>_xlfn.MAXIFS(TableRefills3[discountinuation_flag], TableRefills3[patient_id], A1671)</f>
        <v>0</v>
      </c>
    </row>
    <row r="1672" spans="1:9" x14ac:dyDescent="0.25">
      <c r="A1672" t="s">
        <v>2667</v>
      </c>
      <c r="B1672" t="s">
        <v>2668</v>
      </c>
      <c r="C1672" s="3">
        <v>45917</v>
      </c>
      <c r="D1672">
        <v>56</v>
      </c>
      <c r="E1672" s="3" t="str">
        <f t="shared" si="26"/>
        <v/>
      </c>
      <c r="F1672" s="3" t="str">
        <f>IF(TableRefills3[[#This Row],[prev_refill_days]]="","",TableRefills3[[#This Row],[prev_refill_days]]+TableRefills3[[#This Row],[quantity_days]])</f>
        <v/>
      </c>
      <c r="G1672" t="str">
        <f>IF(TableRefills3[[#This Row],[prev_refill_end]]="","",TableRefills3[[#This Row],[refill_date]]-TableRefills3[[#This Row],[prev_refill_end]])</f>
        <v/>
      </c>
      <c r="H1672" s="10">
        <f>IF(TableRefills3[[#This Row],[gap_days]]="",0,IF(TableRefills3[[#This Row],[gap_days]]&gt;2,1,0))</f>
        <v>0</v>
      </c>
      <c r="I1672">
        <f>_xlfn.MAXIFS(TableRefills3[discountinuation_flag], TableRefills3[patient_id], A1672)</f>
        <v>0</v>
      </c>
    </row>
    <row r="1673" spans="1:9" x14ac:dyDescent="0.25">
      <c r="A1673" t="s">
        <v>2670</v>
      </c>
      <c r="B1673" t="s">
        <v>2671</v>
      </c>
      <c r="C1673" s="3">
        <v>45914</v>
      </c>
      <c r="D1673">
        <v>28</v>
      </c>
      <c r="E1673" s="3" t="str">
        <f t="shared" si="26"/>
        <v/>
      </c>
      <c r="F1673" s="3" t="str">
        <f>IF(TableRefills3[[#This Row],[prev_refill_days]]="","",TableRefills3[[#This Row],[prev_refill_days]]+TableRefills3[[#This Row],[quantity_days]])</f>
        <v/>
      </c>
      <c r="G1673" t="str">
        <f>IF(TableRefills3[[#This Row],[prev_refill_end]]="","",TableRefills3[[#This Row],[refill_date]]-TableRefills3[[#This Row],[prev_refill_end]])</f>
        <v/>
      </c>
      <c r="H1673" s="10">
        <f>IF(TableRefills3[[#This Row],[gap_days]]="",0,IF(TableRefills3[[#This Row],[gap_days]]&gt;2,1,0))</f>
        <v>0</v>
      </c>
      <c r="I1673">
        <f>_xlfn.MAXIFS(TableRefills3[discountinuation_flag], TableRefills3[patient_id], A1673)</f>
        <v>0</v>
      </c>
    </row>
    <row r="1674" spans="1:9" x14ac:dyDescent="0.25">
      <c r="A1674" t="s">
        <v>2670</v>
      </c>
      <c r="B1674" t="s">
        <v>2671</v>
      </c>
      <c r="C1674" s="3">
        <v>45940</v>
      </c>
      <c r="D1674">
        <v>28</v>
      </c>
      <c r="E1674" s="3">
        <f t="shared" si="26"/>
        <v>45914</v>
      </c>
      <c r="F1674" s="3">
        <f>IF(TableRefills3[[#This Row],[prev_refill_days]]="","",TableRefills3[[#This Row],[prev_refill_days]]+TableRefills3[[#This Row],[quantity_days]])</f>
        <v>45942</v>
      </c>
      <c r="G1674">
        <f>IF(TableRefills3[[#This Row],[prev_refill_end]]="","",TableRefills3[[#This Row],[refill_date]]-TableRefills3[[#This Row],[prev_refill_end]])</f>
        <v>-2</v>
      </c>
      <c r="H1674" s="10">
        <f>IF(TableRefills3[[#This Row],[gap_days]]="",0,IF(TableRefills3[[#This Row],[gap_days]]&gt;2,1,0))</f>
        <v>0</v>
      </c>
      <c r="I1674">
        <f>_xlfn.MAXIFS(TableRefills3[discountinuation_flag], TableRefills3[patient_id], A1674)</f>
        <v>0</v>
      </c>
    </row>
    <row r="1675" spans="1:9" x14ac:dyDescent="0.25">
      <c r="A1675" t="s">
        <v>2674</v>
      </c>
      <c r="B1675" t="s">
        <v>2675</v>
      </c>
      <c r="C1675" s="3">
        <v>45836</v>
      </c>
      <c r="D1675">
        <v>28</v>
      </c>
      <c r="E1675" s="3" t="str">
        <f t="shared" si="26"/>
        <v/>
      </c>
      <c r="F1675" s="3" t="str">
        <f>IF(TableRefills3[[#This Row],[prev_refill_days]]="","",TableRefills3[[#This Row],[prev_refill_days]]+TableRefills3[[#This Row],[quantity_days]])</f>
        <v/>
      </c>
      <c r="G1675" t="str">
        <f>IF(TableRefills3[[#This Row],[prev_refill_end]]="","",TableRefills3[[#This Row],[refill_date]]-TableRefills3[[#This Row],[prev_refill_end]])</f>
        <v/>
      </c>
      <c r="H1675" s="10">
        <f>IF(TableRefills3[[#This Row],[gap_days]]="",0,IF(TableRefills3[[#This Row],[gap_days]]&gt;2,1,0))</f>
        <v>0</v>
      </c>
      <c r="I1675">
        <f>_xlfn.MAXIFS(TableRefills3[discountinuation_flag], TableRefills3[patient_id], A1675)</f>
        <v>1</v>
      </c>
    </row>
    <row r="1676" spans="1:9" x14ac:dyDescent="0.25">
      <c r="A1676" t="s">
        <v>2674</v>
      </c>
      <c r="B1676" t="s">
        <v>2675</v>
      </c>
      <c r="C1676" s="3">
        <v>45866</v>
      </c>
      <c r="D1676">
        <v>28</v>
      </c>
      <c r="E1676" s="3">
        <f t="shared" si="26"/>
        <v>45836</v>
      </c>
      <c r="F1676" s="3">
        <f>IF(TableRefills3[[#This Row],[prev_refill_days]]="","",TableRefills3[[#This Row],[prev_refill_days]]+TableRefills3[[#This Row],[quantity_days]])</f>
        <v>45864</v>
      </c>
      <c r="G1676">
        <f>IF(TableRefills3[[#This Row],[prev_refill_end]]="","",TableRefills3[[#This Row],[refill_date]]-TableRefills3[[#This Row],[prev_refill_end]])</f>
        <v>2</v>
      </c>
      <c r="H1676" s="10">
        <f>IF(TableRefills3[[#This Row],[gap_days]]="",0,IF(TableRefills3[[#This Row],[gap_days]]&gt;2,1,0))</f>
        <v>0</v>
      </c>
      <c r="I1676">
        <f>_xlfn.MAXIFS(TableRefills3[discountinuation_flag], TableRefills3[patient_id], A1676)</f>
        <v>1</v>
      </c>
    </row>
    <row r="1677" spans="1:9" x14ac:dyDescent="0.25">
      <c r="A1677" t="s">
        <v>2674</v>
      </c>
      <c r="B1677" t="s">
        <v>2675</v>
      </c>
      <c r="C1677" s="3">
        <v>45897</v>
      </c>
      <c r="D1677">
        <v>28</v>
      </c>
      <c r="E1677" s="3">
        <f t="shared" si="26"/>
        <v>45866</v>
      </c>
      <c r="F1677" s="3">
        <f>IF(TableRefills3[[#This Row],[prev_refill_days]]="","",TableRefills3[[#This Row],[prev_refill_days]]+TableRefills3[[#This Row],[quantity_days]])</f>
        <v>45894</v>
      </c>
      <c r="G1677">
        <f>IF(TableRefills3[[#This Row],[prev_refill_end]]="","",TableRefills3[[#This Row],[refill_date]]-TableRefills3[[#This Row],[prev_refill_end]])</f>
        <v>3</v>
      </c>
      <c r="H1677" s="10">
        <f>IF(TableRefills3[[#This Row],[gap_days]]="",0,IF(TableRefills3[[#This Row],[gap_days]]&gt;2,1,0))</f>
        <v>1</v>
      </c>
      <c r="I1677">
        <f>_xlfn.MAXIFS(TableRefills3[discountinuation_flag], TableRefills3[patient_id], A1677)</f>
        <v>1</v>
      </c>
    </row>
    <row r="1678" spans="1:9" x14ac:dyDescent="0.25">
      <c r="A1678" t="s">
        <v>2674</v>
      </c>
      <c r="B1678" t="s">
        <v>2675</v>
      </c>
      <c r="C1678" s="3">
        <v>45923</v>
      </c>
      <c r="D1678">
        <v>28</v>
      </c>
      <c r="E1678" s="3">
        <f t="shared" si="26"/>
        <v>45897</v>
      </c>
      <c r="F1678" s="3">
        <f>IF(TableRefills3[[#This Row],[prev_refill_days]]="","",TableRefills3[[#This Row],[prev_refill_days]]+TableRefills3[[#This Row],[quantity_days]])</f>
        <v>45925</v>
      </c>
      <c r="G1678">
        <f>IF(TableRefills3[[#This Row],[prev_refill_end]]="","",TableRefills3[[#This Row],[refill_date]]-TableRefills3[[#This Row],[prev_refill_end]])</f>
        <v>-2</v>
      </c>
      <c r="H1678" s="10">
        <f>IF(TableRefills3[[#This Row],[gap_days]]="",0,IF(TableRefills3[[#This Row],[gap_days]]&gt;2,1,0))</f>
        <v>0</v>
      </c>
      <c r="I1678">
        <f>_xlfn.MAXIFS(TableRefills3[discountinuation_flag], TableRefills3[patient_id], A1678)</f>
        <v>1</v>
      </c>
    </row>
    <row r="1679" spans="1:9" x14ac:dyDescent="0.25">
      <c r="A1679" t="s">
        <v>2674</v>
      </c>
      <c r="B1679" t="s">
        <v>2675</v>
      </c>
      <c r="C1679" s="3">
        <v>45953</v>
      </c>
      <c r="D1679">
        <v>28</v>
      </c>
      <c r="E1679" s="3">
        <f t="shared" si="26"/>
        <v>45923</v>
      </c>
      <c r="F1679" s="3">
        <f>IF(TableRefills3[[#This Row],[prev_refill_days]]="","",TableRefills3[[#This Row],[prev_refill_days]]+TableRefills3[[#This Row],[quantity_days]])</f>
        <v>45951</v>
      </c>
      <c r="G1679">
        <f>IF(TableRefills3[[#This Row],[prev_refill_end]]="","",TableRefills3[[#This Row],[refill_date]]-TableRefills3[[#This Row],[prev_refill_end]])</f>
        <v>2</v>
      </c>
      <c r="H1679" s="10">
        <f>IF(TableRefills3[[#This Row],[gap_days]]="",0,IF(TableRefills3[[#This Row],[gap_days]]&gt;2,1,0))</f>
        <v>0</v>
      </c>
      <c r="I1679">
        <f>_xlfn.MAXIFS(TableRefills3[discountinuation_flag], TableRefills3[patient_id], A1679)</f>
        <v>1</v>
      </c>
    </row>
    <row r="1680" spans="1:9" x14ac:dyDescent="0.25">
      <c r="A1680" t="s">
        <v>2681</v>
      </c>
      <c r="B1680" t="s">
        <v>2682</v>
      </c>
      <c r="C1680" s="3">
        <v>45895</v>
      </c>
      <c r="D1680">
        <v>30</v>
      </c>
      <c r="E1680" s="3" t="str">
        <f t="shared" si="26"/>
        <v/>
      </c>
      <c r="F1680" s="3" t="str">
        <f>IF(TableRefills3[[#This Row],[prev_refill_days]]="","",TableRefills3[[#This Row],[prev_refill_days]]+TableRefills3[[#This Row],[quantity_days]])</f>
        <v/>
      </c>
      <c r="G1680" t="str">
        <f>IF(TableRefills3[[#This Row],[prev_refill_end]]="","",TableRefills3[[#This Row],[refill_date]]-TableRefills3[[#This Row],[prev_refill_end]])</f>
        <v/>
      </c>
      <c r="H1680" s="10">
        <f>IF(TableRefills3[[#This Row],[gap_days]]="",0,IF(TableRefills3[[#This Row],[gap_days]]&gt;2,1,0))</f>
        <v>0</v>
      </c>
      <c r="I1680">
        <f>_xlfn.MAXIFS(TableRefills3[discountinuation_flag], TableRefills3[patient_id], A1680)</f>
        <v>0</v>
      </c>
    </row>
    <row r="1681" spans="1:9" x14ac:dyDescent="0.25">
      <c r="A1681" t="s">
        <v>2681</v>
      </c>
      <c r="B1681" t="s">
        <v>2682</v>
      </c>
      <c r="C1681" s="3">
        <v>45923</v>
      </c>
      <c r="D1681">
        <v>30</v>
      </c>
      <c r="E1681" s="3">
        <f t="shared" si="26"/>
        <v>45895</v>
      </c>
      <c r="F1681" s="3">
        <f>IF(TableRefills3[[#This Row],[prev_refill_days]]="","",TableRefills3[[#This Row],[prev_refill_days]]+TableRefills3[[#This Row],[quantity_days]])</f>
        <v>45925</v>
      </c>
      <c r="G1681">
        <f>IF(TableRefills3[[#This Row],[prev_refill_end]]="","",TableRefills3[[#This Row],[refill_date]]-TableRefills3[[#This Row],[prev_refill_end]])</f>
        <v>-2</v>
      </c>
      <c r="H1681" s="10">
        <f>IF(TableRefills3[[#This Row],[gap_days]]="",0,IF(TableRefills3[[#This Row],[gap_days]]&gt;2,1,0))</f>
        <v>0</v>
      </c>
      <c r="I1681">
        <f>_xlfn.MAXIFS(TableRefills3[discountinuation_flag], TableRefills3[patient_id], A1681)</f>
        <v>0</v>
      </c>
    </row>
    <row r="1682" spans="1:9" x14ac:dyDescent="0.25">
      <c r="A1682" t="s">
        <v>2681</v>
      </c>
      <c r="B1682" t="s">
        <v>2682</v>
      </c>
      <c r="C1682" s="3">
        <v>45952</v>
      </c>
      <c r="D1682">
        <v>30</v>
      </c>
      <c r="E1682" s="3">
        <f t="shared" si="26"/>
        <v>45923</v>
      </c>
      <c r="F1682" s="3">
        <f>IF(TableRefills3[[#This Row],[prev_refill_days]]="","",TableRefills3[[#This Row],[prev_refill_days]]+TableRefills3[[#This Row],[quantity_days]])</f>
        <v>45953</v>
      </c>
      <c r="G1682">
        <f>IF(TableRefills3[[#This Row],[prev_refill_end]]="","",TableRefills3[[#This Row],[refill_date]]-TableRefills3[[#This Row],[prev_refill_end]])</f>
        <v>-1</v>
      </c>
      <c r="H1682" s="10">
        <f>IF(TableRefills3[[#This Row],[gap_days]]="",0,IF(TableRefills3[[#This Row],[gap_days]]&gt;2,1,0))</f>
        <v>0</v>
      </c>
      <c r="I1682">
        <f>_xlfn.MAXIFS(TableRefills3[discountinuation_flag], TableRefills3[patient_id], A1682)</f>
        <v>0</v>
      </c>
    </row>
    <row r="1683" spans="1:9" x14ac:dyDescent="0.25">
      <c r="A1683" t="s">
        <v>2686</v>
      </c>
      <c r="B1683" t="s">
        <v>2687</v>
      </c>
      <c r="C1683" s="3">
        <v>45817</v>
      </c>
      <c r="D1683">
        <v>28</v>
      </c>
      <c r="E1683" s="3" t="str">
        <f t="shared" si="26"/>
        <v/>
      </c>
      <c r="F1683" s="3" t="str">
        <f>IF(TableRefills3[[#This Row],[prev_refill_days]]="","",TableRefills3[[#This Row],[prev_refill_days]]+TableRefills3[[#This Row],[quantity_days]])</f>
        <v/>
      </c>
      <c r="G1683" t="str">
        <f>IF(TableRefills3[[#This Row],[prev_refill_end]]="","",TableRefills3[[#This Row],[refill_date]]-TableRefills3[[#This Row],[prev_refill_end]])</f>
        <v/>
      </c>
      <c r="H1683" s="10">
        <f>IF(TableRefills3[[#This Row],[gap_days]]="",0,IF(TableRefills3[[#This Row],[gap_days]]&gt;2,1,0))</f>
        <v>0</v>
      </c>
      <c r="I1683">
        <f>_xlfn.MAXIFS(TableRefills3[discountinuation_flag], TableRefills3[patient_id], A1683)</f>
        <v>0</v>
      </c>
    </row>
    <row r="1684" spans="1:9" x14ac:dyDescent="0.25">
      <c r="A1684" t="s">
        <v>2686</v>
      </c>
      <c r="B1684" t="s">
        <v>2687</v>
      </c>
      <c r="C1684" s="3">
        <v>45842</v>
      </c>
      <c r="D1684">
        <v>28</v>
      </c>
      <c r="E1684" s="3">
        <f t="shared" si="26"/>
        <v>45817</v>
      </c>
      <c r="F1684" s="3">
        <f>IF(TableRefills3[[#This Row],[prev_refill_days]]="","",TableRefills3[[#This Row],[prev_refill_days]]+TableRefills3[[#This Row],[quantity_days]])</f>
        <v>45845</v>
      </c>
      <c r="G1684">
        <f>IF(TableRefills3[[#This Row],[prev_refill_end]]="","",TableRefills3[[#This Row],[refill_date]]-TableRefills3[[#This Row],[prev_refill_end]])</f>
        <v>-3</v>
      </c>
      <c r="H1684" s="10">
        <f>IF(TableRefills3[[#This Row],[gap_days]]="",0,IF(TableRefills3[[#This Row],[gap_days]]&gt;2,1,0))</f>
        <v>0</v>
      </c>
      <c r="I1684">
        <f>_xlfn.MAXIFS(TableRefills3[discountinuation_flag], TableRefills3[patient_id], A1684)</f>
        <v>0</v>
      </c>
    </row>
    <row r="1685" spans="1:9" x14ac:dyDescent="0.25">
      <c r="A1685" t="s">
        <v>2686</v>
      </c>
      <c r="B1685" t="s">
        <v>2687</v>
      </c>
      <c r="C1685" s="3">
        <v>45872</v>
      </c>
      <c r="D1685">
        <v>28</v>
      </c>
      <c r="E1685" s="3">
        <f t="shared" si="26"/>
        <v>45842</v>
      </c>
      <c r="F1685" s="3">
        <f>IF(TableRefills3[[#This Row],[prev_refill_days]]="","",TableRefills3[[#This Row],[prev_refill_days]]+TableRefills3[[#This Row],[quantity_days]])</f>
        <v>45870</v>
      </c>
      <c r="G1685">
        <f>IF(TableRefills3[[#This Row],[prev_refill_end]]="","",TableRefills3[[#This Row],[refill_date]]-TableRefills3[[#This Row],[prev_refill_end]])</f>
        <v>2</v>
      </c>
      <c r="H1685" s="10">
        <f>IF(TableRefills3[[#This Row],[gap_days]]="",0,IF(TableRefills3[[#This Row],[gap_days]]&gt;2,1,0))</f>
        <v>0</v>
      </c>
      <c r="I1685">
        <f>_xlfn.MAXIFS(TableRefills3[discountinuation_flag], TableRefills3[patient_id], A1685)</f>
        <v>0</v>
      </c>
    </row>
    <row r="1686" spans="1:9" x14ac:dyDescent="0.25">
      <c r="A1686" t="s">
        <v>2691</v>
      </c>
      <c r="B1686" t="s">
        <v>2692</v>
      </c>
      <c r="C1686" s="3">
        <v>45826</v>
      </c>
      <c r="D1686">
        <v>28</v>
      </c>
      <c r="E1686" s="3" t="str">
        <f t="shared" si="26"/>
        <v/>
      </c>
      <c r="F1686" s="3" t="str">
        <f>IF(TableRefills3[[#This Row],[prev_refill_days]]="","",TableRefills3[[#This Row],[prev_refill_days]]+TableRefills3[[#This Row],[quantity_days]])</f>
        <v/>
      </c>
      <c r="G1686" t="str">
        <f>IF(TableRefills3[[#This Row],[prev_refill_end]]="","",TableRefills3[[#This Row],[refill_date]]-TableRefills3[[#This Row],[prev_refill_end]])</f>
        <v/>
      </c>
      <c r="H1686" s="10">
        <f>IF(TableRefills3[[#This Row],[gap_days]]="",0,IF(TableRefills3[[#This Row],[gap_days]]&gt;2,1,0))</f>
        <v>0</v>
      </c>
      <c r="I1686">
        <f>_xlfn.MAXIFS(TableRefills3[discountinuation_flag], TableRefills3[patient_id], A1686)</f>
        <v>1</v>
      </c>
    </row>
    <row r="1687" spans="1:9" x14ac:dyDescent="0.25">
      <c r="A1687" t="s">
        <v>2691</v>
      </c>
      <c r="B1687" t="s">
        <v>2692</v>
      </c>
      <c r="C1687" s="3">
        <v>45852</v>
      </c>
      <c r="D1687">
        <v>28</v>
      </c>
      <c r="E1687" s="3">
        <f t="shared" si="26"/>
        <v>45826</v>
      </c>
      <c r="F1687" s="3">
        <f>IF(TableRefills3[[#This Row],[prev_refill_days]]="","",TableRefills3[[#This Row],[prev_refill_days]]+TableRefills3[[#This Row],[quantity_days]])</f>
        <v>45854</v>
      </c>
      <c r="G1687">
        <f>IF(TableRefills3[[#This Row],[prev_refill_end]]="","",TableRefills3[[#This Row],[refill_date]]-TableRefills3[[#This Row],[prev_refill_end]])</f>
        <v>-2</v>
      </c>
      <c r="H1687" s="10">
        <f>IF(TableRefills3[[#This Row],[gap_days]]="",0,IF(TableRefills3[[#This Row],[gap_days]]&gt;2,1,0))</f>
        <v>0</v>
      </c>
      <c r="I1687">
        <f>_xlfn.MAXIFS(TableRefills3[discountinuation_flag], TableRefills3[patient_id], A1687)</f>
        <v>1</v>
      </c>
    </row>
    <row r="1688" spans="1:9" x14ac:dyDescent="0.25">
      <c r="A1688" t="s">
        <v>2691</v>
      </c>
      <c r="B1688" t="s">
        <v>2692</v>
      </c>
      <c r="C1688" s="3">
        <v>45883</v>
      </c>
      <c r="D1688">
        <v>28</v>
      </c>
      <c r="E1688" s="3">
        <f t="shared" si="26"/>
        <v>45852</v>
      </c>
      <c r="F1688" s="3">
        <f>IF(TableRefills3[[#This Row],[prev_refill_days]]="","",TableRefills3[[#This Row],[prev_refill_days]]+TableRefills3[[#This Row],[quantity_days]])</f>
        <v>45880</v>
      </c>
      <c r="G1688">
        <f>IF(TableRefills3[[#This Row],[prev_refill_end]]="","",TableRefills3[[#This Row],[refill_date]]-TableRefills3[[#This Row],[prev_refill_end]])</f>
        <v>3</v>
      </c>
      <c r="H1688" s="10">
        <f>IF(TableRefills3[[#This Row],[gap_days]]="",0,IF(TableRefills3[[#This Row],[gap_days]]&gt;2,1,0))</f>
        <v>1</v>
      </c>
      <c r="I1688">
        <f>_xlfn.MAXIFS(TableRefills3[discountinuation_flag], TableRefills3[patient_id], A1688)</f>
        <v>1</v>
      </c>
    </row>
    <row r="1689" spans="1:9" x14ac:dyDescent="0.25">
      <c r="A1689" t="s">
        <v>2691</v>
      </c>
      <c r="B1689" t="s">
        <v>2692</v>
      </c>
      <c r="C1689" s="3">
        <v>45909</v>
      </c>
      <c r="D1689">
        <v>28</v>
      </c>
      <c r="E1689" s="3">
        <f t="shared" si="26"/>
        <v>45883</v>
      </c>
      <c r="F1689" s="3">
        <f>IF(TableRefills3[[#This Row],[prev_refill_days]]="","",TableRefills3[[#This Row],[prev_refill_days]]+TableRefills3[[#This Row],[quantity_days]])</f>
        <v>45911</v>
      </c>
      <c r="G1689">
        <f>IF(TableRefills3[[#This Row],[prev_refill_end]]="","",TableRefills3[[#This Row],[refill_date]]-TableRefills3[[#This Row],[prev_refill_end]])</f>
        <v>-2</v>
      </c>
      <c r="H1689" s="10">
        <f>IF(TableRefills3[[#This Row],[gap_days]]="",0,IF(TableRefills3[[#This Row],[gap_days]]&gt;2,1,0))</f>
        <v>0</v>
      </c>
      <c r="I1689">
        <f>_xlfn.MAXIFS(TableRefills3[discountinuation_flag], TableRefills3[patient_id], A1689)</f>
        <v>1</v>
      </c>
    </row>
    <row r="1690" spans="1:9" x14ac:dyDescent="0.25">
      <c r="A1690" t="s">
        <v>2691</v>
      </c>
      <c r="B1690" t="s">
        <v>2692</v>
      </c>
      <c r="C1690" s="3">
        <v>45937</v>
      </c>
      <c r="D1690">
        <v>28</v>
      </c>
      <c r="E1690" s="3">
        <f t="shared" si="26"/>
        <v>45909</v>
      </c>
      <c r="F1690" s="3">
        <f>IF(TableRefills3[[#This Row],[prev_refill_days]]="","",TableRefills3[[#This Row],[prev_refill_days]]+TableRefills3[[#This Row],[quantity_days]])</f>
        <v>45937</v>
      </c>
      <c r="G1690">
        <f>IF(TableRefills3[[#This Row],[prev_refill_end]]="","",TableRefills3[[#This Row],[refill_date]]-TableRefills3[[#This Row],[prev_refill_end]])</f>
        <v>0</v>
      </c>
      <c r="H1690" s="10">
        <f>IF(TableRefills3[[#This Row],[gap_days]]="",0,IF(TableRefills3[[#This Row],[gap_days]]&gt;2,1,0))</f>
        <v>0</v>
      </c>
      <c r="I1690">
        <f>_xlfn.MAXIFS(TableRefills3[discountinuation_flag], TableRefills3[patient_id], A1690)</f>
        <v>1</v>
      </c>
    </row>
    <row r="1691" spans="1:9" x14ac:dyDescent="0.25">
      <c r="A1691" t="s">
        <v>2698</v>
      </c>
      <c r="B1691" t="s">
        <v>2699</v>
      </c>
      <c r="C1691" s="3">
        <v>45806</v>
      </c>
      <c r="D1691">
        <v>21</v>
      </c>
      <c r="E1691" s="3" t="str">
        <f t="shared" si="26"/>
        <v/>
      </c>
      <c r="F1691" s="3" t="str">
        <f>IF(TableRefills3[[#This Row],[prev_refill_days]]="","",TableRefills3[[#This Row],[prev_refill_days]]+TableRefills3[[#This Row],[quantity_days]])</f>
        <v/>
      </c>
      <c r="G1691" t="str">
        <f>IF(TableRefills3[[#This Row],[prev_refill_end]]="","",TableRefills3[[#This Row],[refill_date]]-TableRefills3[[#This Row],[prev_refill_end]])</f>
        <v/>
      </c>
      <c r="H1691" s="10">
        <f>IF(TableRefills3[[#This Row],[gap_days]]="",0,IF(TableRefills3[[#This Row],[gap_days]]&gt;2,1,0))</f>
        <v>0</v>
      </c>
      <c r="I1691">
        <f>_xlfn.MAXIFS(TableRefills3[discountinuation_flag], TableRefills3[patient_id], A1691)</f>
        <v>1</v>
      </c>
    </row>
    <row r="1692" spans="1:9" x14ac:dyDescent="0.25">
      <c r="A1692" t="s">
        <v>2698</v>
      </c>
      <c r="B1692" t="s">
        <v>2699</v>
      </c>
      <c r="C1692" s="3">
        <v>45828</v>
      </c>
      <c r="D1692">
        <v>21</v>
      </c>
      <c r="E1692" s="3">
        <f t="shared" si="26"/>
        <v>45806</v>
      </c>
      <c r="F1692" s="3">
        <f>IF(TableRefills3[[#This Row],[prev_refill_days]]="","",TableRefills3[[#This Row],[prev_refill_days]]+TableRefills3[[#This Row],[quantity_days]])</f>
        <v>45827</v>
      </c>
      <c r="G1692">
        <f>IF(TableRefills3[[#This Row],[prev_refill_end]]="","",TableRefills3[[#This Row],[refill_date]]-TableRefills3[[#This Row],[prev_refill_end]])</f>
        <v>1</v>
      </c>
      <c r="H1692" s="10">
        <f>IF(TableRefills3[[#This Row],[gap_days]]="",0,IF(TableRefills3[[#This Row],[gap_days]]&gt;2,1,0))</f>
        <v>0</v>
      </c>
      <c r="I1692">
        <f>_xlfn.MAXIFS(TableRefills3[discountinuation_flag], TableRefills3[patient_id], A1692)</f>
        <v>1</v>
      </c>
    </row>
    <row r="1693" spans="1:9" x14ac:dyDescent="0.25">
      <c r="A1693" t="s">
        <v>2698</v>
      </c>
      <c r="B1693" t="s">
        <v>2699</v>
      </c>
      <c r="C1693" s="3">
        <v>45852</v>
      </c>
      <c r="D1693">
        <v>21</v>
      </c>
      <c r="E1693" s="3">
        <f t="shared" si="26"/>
        <v>45828</v>
      </c>
      <c r="F1693" s="3">
        <f>IF(TableRefills3[[#This Row],[prev_refill_days]]="","",TableRefills3[[#This Row],[prev_refill_days]]+TableRefills3[[#This Row],[quantity_days]])</f>
        <v>45849</v>
      </c>
      <c r="G1693">
        <f>IF(TableRefills3[[#This Row],[prev_refill_end]]="","",TableRefills3[[#This Row],[refill_date]]-TableRefills3[[#This Row],[prev_refill_end]])</f>
        <v>3</v>
      </c>
      <c r="H1693" s="10">
        <f>IF(TableRefills3[[#This Row],[gap_days]]="",0,IF(TableRefills3[[#This Row],[gap_days]]&gt;2,1,0))</f>
        <v>1</v>
      </c>
      <c r="I1693">
        <f>_xlfn.MAXIFS(TableRefills3[discountinuation_flag], TableRefills3[patient_id], A1693)</f>
        <v>1</v>
      </c>
    </row>
    <row r="1694" spans="1:9" x14ac:dyDescent="0.25">
      <c r="A1694" t="s">
        <v>2698</v>
      </c>
      <c r="B1694" t="s">
        <v>2699</v>
      </c>
      <c r="C1694" s="3">
        <v>45875</v>
      </c>
      <c r="D1694">
        <v>21</v>
      </c>
      <c r="E1694" s="3">
        <f t="shared" si="26"/>
        <v>45852</v>
      </c>
      <c r="F1694" s="3">
        <f>IF(TableRefills3[[#This Row],[prev_refill_days]]="","",TableRefills3[[#This Row],[prev_refill_days]]+TableRefills3[[#This Row],[quantity_days]])</f>
        <v>45873</v>
      </c>
      <c r="G1694">
        <f>IF(TableRefills3[[#This Row],[prev_refill_end]]="","",TableRefills3[[#This Row],[refill_date]]-TableRefills3[[#This Row],[prev_refill_end]])</f>
        <v>2</v>
      </c>
      <c r="H1694" s="10">
        <f>IF(TableRefills3[[#This Row],[gap_days]]="",0,IF(TableRefills3[[#This Row],[gap_days]]&gt;2,1,0))</f>
        <v>0</v>
      </c>
      <c r="I1694">
        <f>_xlfn.MAXIFS(TableRefills3[discountinuation_flag], TableRefills3[patient_id], A1694)</f>
        <v>1</v>
      </c>
    </row>
    <row r="1695" spans="1:9" x14ac:dyDescent="0.25">
      <c r="A1695" t="s">
        <v>2698</v>
      </c>
      <c r="B1695" t="s">
        <v>2699</v>
      </c>
      <c r="C1695" s="3">
        <v>45897</v>
      </c>
      <c r="D1695">
        <v>21</v>
      </c>
      <c r="E1695" s="3">
        <f t="shared" si="26"/>
        <v>45875</v>
      </c>
      <c r="F1695" s="3">
        <f>IF(TableRefills3[[#This Row],[prev_refill_days]]="","",TableRefills3[[#This Row],[prev_refill_days]]+TableRefills3[[#This Row],[quantity_days]])</f>
        <v>45896</v>
      </c>
      <c r="G1695">
        <f>IF(TableRefills3[[#This Row],[prev_refill_end]]="","",TableRefills3[[#This Row],[refill_date]]-TableRefills3[[#This Row],[prev_refill_end]])</f>
        <v>1</v>
      </c>
      <c r="H1695" s="10">
        <f>IF(TableRefills3[[#This Row],[gap_days]]="",0,IF(TableRefills3[[#This Row],[gap_days]]&gt;2,1,0))</f>
        <v>0</v>
      </c>
      <c r="I1695">
        <f>_xlfn.MAXIFS(TableRefills3[discountinuation_flag], TableRefills3[patient_id], A1695)</f>
        <v>1</v>
      </c>
    </row>
    <row r="1696" spans="1:9" x14ac:dyDescent="0.25">
      <c r="A1696" t="s">
        <v>2698</v>
      </c>
      <c r="B1696" t="s">
        <v>2699</v>
      </c>
      <c r="C1696" s="3">
        <v>45920</v>
      </c>
      <c r="D1696">
        <v>21</v>
      </c>
      <c r="E1696" s="3">
        <f t="shared" si="26"/>
        <v>45897</v>
      </c>
      <c r="F1696" s="3">
        <f>IF(TableRefills3[[#This Row],[prev_refill_days]]="","",TableRefills3[[#This Row],[prev_refill_days]]+TableRefills3[[#This Row],[quantity_days]])</f>
        <v>45918</v>
      </c>
      <c r="G1696">
        <f>IF(TableRefills3[[#This Row],[prev_refill_end]]="","",TableRefills3[[#This Row],[refill_date]]-TableRefills3[[#This Row],[prev_refill_end]])</f>
        <v>2</v>
      </c>
      <c r="H1696" s="10">
        <f>IF(TableRefills3[[#This Row],[gap_days]]="",0,IF(TableRefills3[[#This Row],[gap_days]]&gt;2,1,0))</f>
        <v>0</v>
      </c>
      <c r="I1696">
        <f>_xlfn.MAXIFS(TableRefills3[discountinuation_flag], TableRefills3[patient_id], A1696)</f>
        <v>1</v>
      </c>
    </row>
    <row r="1697" spans="1:9" x14ac:dyDescent="0.25">
      <c r="A1697" t="s">
        <v>2698</v>
      </c>
      <c r="B1697" t="s">
        <v>2699</v>
      </c>
      <c r="C1697" s="3">
        <v>45940</v>
      </c>
      <c r="D1697">
        <v>21</v>
      </c>
      <c r="E1697" s="3">
        <f t="shared" si="26"/>
        <v>45920</v>
      </c>
      <c r="F1697" s="3">
        <f>IF(TableRefills3[[#This Row],[prev_refill_days]]="","",TableRefills3[[#This Row],[prev_refill_days]]+TableRefills3[[#This Row],[quantity_days]])</f>
        <v>45941</v>
      </c>
      <c r="G1697">
        <f>IF(TableRefills3[[#This Row],[prev_refill_end]]="","",TableRefills3[[#This Row],[refill_date]]-TableRefills3[[#This Row],[prev_refill_end]])</f>
        <v>-1</v>
      </c>
      <c r="H1697" s="10">
        <f>IF(TableRefills3[[#This Row],[gap_days]]="",0,IF(TableRefills3[[#This Row],[gap_days]]&gt;2,1,0))</f>
        <v>0</v>
      </c>
      <c r="I1697">
        <f>_xlfn.MAXIFS(TableRefills3[discountinuation_flag], TableRefills3[patient_id], A1697)</f>
        <v>1</v>
      </c>
    </row>
    <row r="1698" spans="1:9" x14ac:dyDescent="0.25">
      <c r="A1698" t="s">
        <v>2698</v>
      </c>
      <c r="B1698" t="s">
        <v>2699</v>
      </c>
      <c r="C1698" s="3">
        <v>45960</v>
      </c>
      <c r="D1698">
        <v>21</v>
      </c>
      <c r="E1698" s="3">
        <f t="shared" si="26"/>
        <v>45940</v>
      </c>
      <c r="F1698" s="3">
        <f>IF(TableRefills3[[#This Row],[prev_refill_days]]="","",TableRefills3[[#This Row],[prev_refill_days]]+TableRefills3[[#This Row],[quantity_days]])</f>
        <v>45961</v>
      </c>
      <c r="G1698">
        <f>IF(TableRefills3[[#This Row],[prev_refill_end]]="","",TableRefills3[[#This Row],[refill_date]]-TableRefills3[[#This Row],[prev_refill_end]])</f>
        <v>-1</v>
      </c>
      <c r="H1698" s="10">
        <f>IF(TableRefills3[[#This Row],[gap_days]]="",0,IF(TableRefills3[[#This Row],[gap_days]]&gt;2,1,0))</f>
        <v>0</v>
      </c>
      <c r="I1698">
        <f>_xlfn.MAXIFS(TableRefills3[discountinuation_flag], TableRefills3[patient_id], A1698)</f>
        <v>1</v>
      </c>
    </row>
    <row r="1699" spans="1:9" x14ac:dyDescent="0.25">
      <c r="A1699" t="s">
        <v>2708</v>
      </c>
      <c r="B1699" t="s">
        <v>2709</v>
      </c>
      <c r="C1699" s="3">
        <v>45947</v>
      </c>
      <c r="D1699">
        <v>14</v>
      </c>
      <c r="E1699" s="3" t="str">
        <f t="shared" si="26"/>
        <v/>
      </c>
      <c r="F1699" s="3" t="str">
        <f>IF(TableRefills3[[#This Row],[prev_refill_days]]="","",TableRefills3[[#This Row],[prev_refill_days]]+TableRefills3[[#This Row],[quantity_days]])</f>
        <v/>
      </c>
      <c r="G1699" t="str">
        <f>IF(TableRefills3[[#This Row],[prev_refill_end]]="","",TableRefills3[[#This Row],[refill_date]]-TableRefills3[[#This Row],[prev_refill_end]])</f>
        <v/>
      </c>
      <c r="H1699" s="10">
        <f>IF(TableRefills3[[#This Row],[gap_days]]="",0,IF(TableRefills3[[#This Row],[gap_days]]&gt;2,1,0))</f>
        <v>0</v>
      </c>
      <c r="I1699">
        <f>_xlfn.MAXIFS(TableRefills3[discountinuation_flag], TableRefills3[patient_id], A1699)</f>
        <v>0</v>
      </c>
    </row>
    <row r="1700" spans="1:9" x14ac:dyDescent="0.25">
      <c r="A1700" t="s">
        <v>2711</v>
      </c>
      <c r="B1700" t="s">
        <v>2712</v>
      </c>
      <c r="C1700" s="3">
        <v>45935</v>
      </c>
      <c r="D1700">
        <v>28</v>
      </c>
      <c r="E1700" s="3" t="str">
        <f t="shared" si="26"/>
        <v/>
      </c>
      <c r="F1700" s="3" t="str">
        <f>IF(TableRefills3[[#This Row],[prev_refill_days]]="","",TableRefills3[[#This Row],[prev_refill_days]]+TableRefills3[[#This Row],[quantity_days]])</f>
        <v/>
      </c>
      <c r="G1700" t="str">
        <f>IF(TableRefills3[[#This Row],[prev_refill_end]]="","",TableRefills3[[#This Row],[refill_date]]-TableRefills3[[#This Row],[prev_refill_end]])</f>
        <v/>
      </c>
      <c r="H1700" s="10">
        <f>IF(TableRefills3[[#This Row],[gap_days]]="",0,IF(TableRefills3[[#This Row],[gap_days]]&gt;2,1,0))</f>
        <v>0</v>
      </c>
      <c r="I1700">
        <f>_xlfn.MAXIFS(TableRefills3[discountinuation_flag], TableRefills3[patient_id], A1700)</f>
        <v>0</v>
      </c>
    </row>
    <row r="1701" spans="1:9" x14ac:dyDescent="0.25">
      <c r="A1701" t="s">
        <v>2711</v>
      </c>
      <c r="B1701" t="s">
        <v>2712</v>
      </c>
      <c r="C1701" s="3">
        <v>45961</v>
      </c>
      <c r="D1701">
        <v>28</v>
      </c>
      <c r="E1701" s="3">
        <f t="shared" si="26"/>
        <v>45935</v>
      </c>
      <c r="F1701" s="3">
        <f>IF(TableRefills3[[#This Row],[prev_refill_days]]="","",TableRefills3[[#This Row],[prev_refill_days]]+TableRefills3[[#This Row],[quantity_days]])</f>
        <v>45963</v>
      </c>
      <c r="G1701">
        <f>IF(TableRefills3[[#This Row],[prev_refill_end]]="","",TableRefills3[[#This Row],[refill_date]]-TableRefills3[[#This Row],[prev_refill_end]])</f>
        <v>-2</v>
      </c>
      <c r="H1701" s="10">
        <f>IF(TableRefills3[[#This Row],[gap_days]]="",0,IF(TableRefills3[[#This Row],[gap_days]]&gt;2,1,0))</f>
        <v>0</v>
      </c>
      <c r="I1701">
        <f>_xlfn.MAXIFS(TableRefills3[discountinuation_flag], TableRefills3[patient_id], A1701)</f>
        <v>0</v>
      </c>
    </row>
    <row r="1702" spans="1:9" x14ac:dyDescent="0.25">
      <c r="A1702" t="s">
        <v>2715</v>
      </c>
      <c r="B1702" t="s">
        <v>2716</v>
      </c>
      <c r="C1702" s="3">
        <v>45782</v>
      </c>
      <c r="D1702">
        <v>28</v>
      </c>
      <c r="E1702" s="3" t="str">
        <f t="shared" si="26"/>
        <v/>
      </c>
      <c r="F1702" s="3" t="str">
        <f>IF(TableRefills3[[#This Row],[prev_refill_days]]="","",TableRefills3[[#This Row],[prev_refill_days]]+TableRefills3[[#This Row],[quantity_days]])</f>
        <v/>
      </c>
      <c r="G1702" t="str">
        <f>IF(TableRefills3[[#This Row],[prev_refill_end]]="","",TableRefills3[[#This Row],[refill_date]]-TableRefills3[[#This Row],[prev_refill_end]])</f>
        <v/>
      </c>
      <c r="H1702" s="10">
        <f>IF(TableRefills3[[#This Row],[gap_days]]="",0,IF(TableRefills3[[#This Row],[gap_days]]&gt;2,1,0))</f>
        <v>0</v>
      </c>
      <c r="I1702">
        <f>_xlfn.MAXIFS(TableRefills3[discountinuation_flag], TableRefills3[patient_id], A1702)</f>
        <v>1</v>
      </c>
    </row>
    <row r="1703" spans="1:9" x14ac:dyDescent="0.25">
      <c r="A1703" t="s">
        <v>2715</v>
      </c>
      <c r="B1703" t="s">
        <v>2716</v>
      </c>
      <c r="C1703" s="3">
        <v>45813</v>
      </c>
      <c r="D1703">
        <v>28</v>
      </c>
      <c r="E1703" s="3">
        <f t="shared" si="26"/>
        <v>45782</v>
      </c>
      <c r="F1703" s="3">
        <f>IF(TableRefills3[[#This Row],[prev_refill_days]]="","",TableRefills3[[#This Row],[prev_refill_days]]+TableRefills3[[#This Row],[quantity_days]])</f>
        <v>45810</v>
      </c>
      <c r="G1703">
        <f>IF(TableRefills3[[#This Row],[prev_refill_end]]="","",TableRefills3[[#This Row],[refill_date]]-TableRefills3[[#This Row],[prev_refill_end]])</f>
        <v>3</v>
      </c>
      <c r="H1703" s="10">
        <f>IF(TableRefills3[[#This Row],[gap_days]]="",0,IF(TableRefills3[[#This Row],[gap_days]]&gt;2,1,0))</f>
        <v>1</v>
      </c>
      <c r="I1703">
        <f>_xlfn.MAXIFS(TableRefills3[discountinuation_flag], TableRefills3[patient_id], A1703)</f>
        <v>1</v>
      </c>
    </row>
    <row r="1704" spans="1:9" x14ac:dyDescent="0.25">
      <c r="A1704" t="s">
        <v>2715</v>
      </c>
      <c r="B1704" t="s">
        <v>2716</v>
      </c>
      <c r="C1704" s="3">
        <v>45841</v>
      </c>
      <c r="D1704">
        <v>28</v>
      </c>
      <c r="E1704" s="3">
        <f t="shared" si="26"/>
        <v>45813</v>
      </c>
      <c r="F1704" s="3">
        <f>IF(TableRefills3[[#This Row],[prev_refill_days]]="","",TableRefills3[[#This Row],[prev_refill_days]]+TableRefills3[[#This Row],[quantity_days]])</f>
        <v>45841</v>
      </c>
      <c r="G1704">
        <f>IF(TableRefills3[[#This Row],[prev_refill_end]]="","",TableRefills3[[#This Row],[refill_date]]-TableRefills3[[#This Row],[prev_refill_end]])</f>
        <v>0</v>
      </c>
      <c r="H1704" s="10">
        <f>IF(TableRefills3[[#This Row],[gap_days]]="",0,IF(TableRefills3[[#This Row],[gap_days]]&gt;2,1,0))</f>
        <v>0</v>
      </c>
      <c r="I1704">
        <f>_xlfn.MAXIFS(TableRefills3[discountinuation_flag], TableRefills3[patient_id], A1704)</f>
        <v>1</v>
      </c>
    </row>
    <row r="1705" spans="1:9" x14ac:dyDescent="0.25">
      <c r="A1705" t="s">
        <v>2715</v>
      </c>
      <c r="B1705" t="s">
        <v>2716</v>
      </c>
      <c r="C1705" s="3">
        <v>45871</v>
      </c>
      <c r="D1705">
        <v>28</v>
      </c>
      <c r="E1705" s="3">
        <f t="shared" si="26"/>
        <v>45841</v>
      </c>
      <c r="F1705" s="3">
        <f>IF(TableRefills3[[#This Row],[prev_refill_days]]="","",TableRefills3[[#This Row],[prev_refill_days]]+TableRefills3[[#This Row],[quantity_days]])</f>
        <v>45869</v>
      </c>
      <c r="G1705">
        <f>IF(TableRefills3[[#This Row],[prev_refill_end]]="","",TableRefills3[[#This Row],[refill_date]]-TableRefills3[[#This Row],[prev_refill_end]])</f>
        <v>2</v>
      </c>
      <c r="H1705" s="10">
        <f>IF(TableRefills3[[#This Row],[gap_days]]="",0,IF(TableRefills3[[#This Row],[gap_days]]&gt;2,1,0))</f>
        <v>0</v>
      </c>
      <c r="I1705">
        <f>_xlfn.MAXIFS(TableRefills3[discountinuation_flag], TableRefills3[patient_id], A1705)</f>
        <v>1</v>
      </c>
    </row>
    <row r="1706" spans="1:9" x14ac:dyDescent="0.25">
      <c r="A1706" t="s">
        <v>2715</v>
      </c>
      <c r="B1706" t="s">
        <v>2716</v>
      </c>
      <c r="C1706" s="3">
        <v>45898</v>
      </c>
      <c r="D1706">
        <v>28</v>
      </c>
      <c r="E1706" s="3">
        <f t="shared" si="26"/>
        <v>45871</v>
      </c>
      <c r="F1706" s="3">
        <f>IF(TableRefills3[[#This Row],[prev_refill_days]]="","",TableRefills3[[#This Row],[prev_refill_days]]+TableRefills3[[#This Row],[quantity_days]])</f>
        <v>45899</v>
      </c>
      <c r="G1706">
        <f>IF(TableRefills3[[#This Row],[prev_refill_end]]="","",TableRefills3[[#This Row],[refill_date]]-TableRefills3[[#This Row],[prev_refill_end]])</f>
        <v>-1</v>
      </c>
      <c r="H1706" s="10">
        <f>IF(TableRefills3[[#This Row],[gap_days]]="",0,IF(TableRefills3[[#This Row],[gap_days]]&gt;2,1,0))</f>
        <v>0</v>
      </c>
      <c r="I1706">
        <f>_xlfn.MAXIFS(TableRefills3[discountinuation_flag], TableRefills3[patient_id], A1706)</f>
        <v>1</v>
      </c>
    </row>
    <row r="1707" spans="1:9" x14ac:dyDescent="0.25">
      <c r="A1707" t="s">
        <v>2715</v>
      </c>
      <c r="B1707" t="s">
        <v>2716</v>
      </c>
      <c r="C1707" s="3">
        <v>45928</v>
      </c>
      <c r="D1707">
        <v>28</v>
      </c>
      <c r="E1707" s="3">
        <f t="shared" si="26"/>
        <v>45898</v>
      </c>
      <c r="F1707" s="3">
        <f>IF(TableRefills3[[#This Row],[prev_refill_days]]="","",TableRefills3[[#This Row],[prev_refill_days]]+TableRefills3[[#This Row],[quantity_days]])</f>
        <v>45926</v>
      </c>
      <c r="G1707">
        <f>IF(TableRefills3[[#This Row],[prev_refill_end]]="","",TableRefills3[[#This Row],[refill_date]]-TableRefills3[[#This Row],[prev_refill_end]])</f>
        <v>2</v>
      </c>
      <c r="H1707" s="10">
        <f>IF(TableRefills3[[#This Row],[gap_days]]="",0,IF(TableRefills3[[#This Row],[gap_days]]&gt;2,1,0))</f>
        <v>0</v>
      </c>
      <c r="I1707">
        <f>_xlfn.MAXIFS(TableRefills3[discountinuation_flag], TableRefills3[patient_id], A1707)</f>
        <v>1</v>
      </c>
    </row>
    <row r="1708" spans="1:9" x14ac:dyDescent="0.25">
      <c r="A1708" t="s">
        <v>2715</v>
      </c>
      <c r="B1708" t="s">
        <v>2716</v>
      </c>
      <c r="C1708" s="3">
        <v>45956</v>
      </c>
      <c r="D1708">
        <v>28</v>
      </c>
      <c r="E1708" s="3">
        <f t="shared" si="26"/>
        <v>45928</v>
      </c>
      <c r="F1708" s="3">
        <f>IF(TableRefills3[[#This Row],[prev_refill_days]]="","",TableRefills3[[#This Row],[prev_refill_days]]+TableRefills3[[#This Row],[quantity_days]])</f>
        <v>45956</v>
      </c>
      <c r="G1708">
        <f>IF(TableRefills3[[#This Row],[prev_refill_end]]="","",TableRefills3[[#This Row],[refill_date]]-TableRefills3[[#This Row],[prev_refill_end]])</f>
        <v>0</v>
      </c>
      <c r="H1708" s="10">
        <f>IF(TableRefills3[[#This Row],[gap_days]]="",0,IF(TableRefills3[[#This Row],[gap_days]]&gt;2,1,0))</f>
        <v>0</v>
      </c>
      <c r="I1708">
        <f>_xlfn.MAXIFS(TableRefills3[discountinuation_flag], TableRefills3[patient_id], A1708)</f>
        <v>1</v>
      </c>
    </row>
    <row r="1709" spans="1:9" x14ac:dyDescent="0.25">
      <c r="A1709" t="s">
        <v>2724</v>
      </c>
      <c r="B1709" t="s">
        <v>2725</v>
      </c>
      <c r="C1709" s="3">
        <v>45830</v>
      </c>
      <c r="D1709">
        <v>30</v>
      </c>
      <c r="E1709" s="3" t="str">
        <f t="shared" si="26"/>
        <v/>
      </c>
      <c r="F1709" s="3" t="str">
        <f>IF(TableRefills3[[#This Row],[prev_refill_days]]="","",TableRefills3[[#This Row],[prev_refill_days]]+TableRefills3[[#This Row],[quantity_days]])</f>
        <v/>
      </c>
      <c r="G1709" t="str">
        <f>IF(TableRefills3[[#This Row],[prev_refill_end]]="","",TableRefills3[[#This Row],[refill_date]]-TableRefills3[[#This Row],[prev_refill_end]])</f>
        <v/>
      </c>
      <c r="H1709" s="10">
        <f>IF(TableRefills3[[#This Row],[gap_days]]="",0,IF(TableRefills3[[#This Row],[gap_days]]&gt;2,1,0))</f>
        <v>0</v>
      </c>
      <c r="I1709">
        <f>_xlfn.MAXIFS(TableRefills3[discountinuation_flag], TableRefills3[patient_id], A1709)</f>
        <v>1</v>
      </c>
    </row>
    <row r="1710" spans="1:9" x14ac:dyDescent="0.25">
      <c r="A1710" t="s">
        <v>2724</v>
      </c>
      <c r="B1710" t="s">
        <v>2725</v>
      </c>
      <c r="C1710" s="3">
        <v>45862</v>
      </c>
      <c r="D1710">
        <v>30</v>
      </c>
      <c r="E1710" s="3">
        <f t="shared" si="26"/>
        <v>45830</v>
      </c>
      <c r="F1710" s="3">
        <f>IF(TableRefills3[[#This Row],[prev_refill_days]]="","",TableRefills3[[#This Row],[prev_refill_days]]+TableRefills3[[#This Row],[quantity_days]])</f>
        <v>45860</v>
      </c>
      <c r="G1710">
        <f>IF(TableRefills3[[#This Row],[prev_refill_end]]="","",TableRefills3[[#This Row],[refill_date]]-TableRefills3[[#This Row],[prev_refill_end]])</f>
        <v>2</v>
      </c>
      <c r="H1710" s="10">
        <f>IF(TableRefills3[[#This Row],[gap_days]]="",0,IF(TableRefills3[[#This Row],[gap_days]]&gt;2,1,0))</f>
        <v>0</v>
      </c>
      <c r="I1710">
        <f>_xlfn.MAXIFS(TableRefills3[discountinuation_flag], TableRefills3[patient_id], A1710)</f>
        <v>1</v>
      </c>
    </row>
    <row r="1711" spans="1:9" x14ac:dyDescent="0.25">
      <c r="A1711" t="s">
        <v>2724</v>
      </c>
      <c r="B1711" t="s">
        <v>2725</v>
      </c>
      <c r="C1711" s="3">
        <v>45895</v>
      </c>
      <c r="D1711">
        <v>30</v>
      </c>
      <c r="E1711" s="3">
        <f t="shared" si="26"/>
        <v>45862</v>
      </c>
      <c r="F1711" s="3">
        <f>IF(TableRefills3[[#This Row],[prev_refill_days]]="","",TableRefills3[[#This Row],[prev_refill_days]]+TableRefills3[[#This Row],[quantity_days]])</f>
        <v>45892</v>
      </c>
      <c r="G1711">
        <f>IF(TableRefills3[[#This Row],[prev_refill_end]]="","",TableRefills3[[#This Row],[refill_date]]-TableRefills3[[#This Row],[prev_refill_end]])</f>
        <v>3</v>
      </c>
      <c r="H1711" s="10">
        <f>IF(TableRefills3[[#This Row],[gap_days]]="",0,IF(TableRefills3[[#This Row],[gap_days]]&gt;2,1,0))</f>
        <v>1</v>
      </c>
      <c r="I1711">
        <f>_xlfn.MAXIFS(TableRefills3[discountinuation_flag], TableRefills3[patient_id], A1711)</f>
        <v>1</v>
      </c>
    </row>
    <row r="1712" spans="1:9" x14ac:dyDescent="0.25">
      <c r="A1712" t="s">
        <v>2724</v>
      </c>
      <c r="B1712" t="s">
        <v>2725</v>
      </c>
      <c r="C1712" s="3">
        <v>45924</v>
      </c>
      <c r="D1712">
        <v>30</v>
      </c>
      <c r="E1712" s="3">
        <f t="shared" si="26"/>
        <v>45895</v>
      </c>
      <c r="F1712" s="3">
        <f>IF(TableRefills3[[#This Row],[prev_refill_days]]="","",TableRefills3[[#This Row],[prev_refill_days]]+TableRefills3[[#This Row],[quantity_days]])</f>
        <v>45925</v>
      </c>
      <c r="G1712">
        <f>IF(TableRefills3[[#This Row],[prev_refill_end]]="","",TableRefills3[[#This Row],[refill_date]]-TableRefills3[[#This Row],[prev_refill_end]])</f>
        <v>-1</v>
      </c>
      <c r="H1712" s="10">
        <f>IF(TableRefills3[[#This Row],[gap_days]]="",0,IF(TableRefills3[[#This Row],[gap_days]]&gt;2,1,0))</f>
        <v>0</v>
      </c>
      <c r="I1712">
        <f>_xlfn.MAXIFS(TableRefills3[discountinuation_flag], TableRefills3[patient_id], A1712)</f>
        <v>1</v>
      </c>
    </row>
    <row r="1713" spans="1:9" x14ac:dyDescent="0.25">
      <c r="A1713" t="s">
        <v>2724</v>
      </c>
      <c r="B1713" t="s">
        <v>2725</v>
      </c>
      <c r="C1713" s="3">
        <v>45951</v>
      </c>
      <c r="D1713">
        <v>30</v>
      </c>
      <c r="E1713" s="3">
        <f t="shared" si="26"/>
        <v>45924</v>
      </c>
      <c r="F1713" s="3">
        <f>IF(TableRefills3[[#This Row],[prev_refill_days]]="","",TableRefills3[[#This Row],[prev_refill_days]]+TableRefills3[[#This Row],[quantity_days]])</f>
        <v>45954</v>
      </c>
      <c r="G1713">
        <f>IF(TableRefills3[[#This Row],[prev_refill_end]]="","",TableRefills3[[#This Row],[refill_date]]-TableRefills3[[#This Row],[prev_refill_end]])</f>
        <v>-3</v>
      </c>
      <c r="H1713" s="10">
        <f>IF(TableRefills3[[#This Row],[gap_days]]="",0,IF(TableRefills3[[#This Row],[gap_days]]&gt;2,1,0))</f>
        <v>0</v>
      </c>
      <c r="I1713">
        <f>_xlfn.MAXIFS(TableRefills3[discountinuation_flag], TableRefills3[patient_id], A1713)</f>
        <v>1</v>
      </c>
    </row>
    <row r="1714" spans="1:9" x14ac:dyDescent="0.25">
      <c r="A1714" t="s">
        <v>2731</v>
      </c>
      <c r="B1714" t="s">
        <v>2732</v>
      </c>
      <c r="C1714" s="3">
        <v>45803</v>
      </c>
      <c r="D1714">
        <v>28</v>
      </c>
      <c r="E1714" s="3" t="str">
        <f t="shared" si="26"/>
        <v/>
      </c>
      <c r="F1714" s="3" t="str">
        <f>IF(TableRefills3[[#This Row],[prev_refill_days]]="","",TableRefills3[[#This Row],[prev_refill_days]]+TableRefills3[[#This Row],[quantity_days]])</f>
        <v/>
      </c>
      <c r="G1714" t="str">
        <f>IF(TableRefills3[[#This Row],[prev_refill_end]]="","",TableRefills3[[#This Row],[refill_date]]-TableRefills3[[#This Row],[prev_refill_end]])</f>
        <v/>
      </c>
      <c r="H1714" s="10">
        <f>IF(TableRefills3[[#This Row],[gap_days]]="",0,IF(TableRefills3[[#This Row],[gap_days]]&gt;2,1,0))</f>
        <v>0</v>
      </c>
      <c r="I1714">
        <f>_xlfn.MAXIFS(TableRefills3[discountinuation_flag], TableRefills3[patient_id], A1714)</f>
        <v>0</v>
      </c>
    </row>
    <row r="1715" spans="1:9" x14ac:dyDescent="0.25">
      <c r="A1715" t="s">
        <v>2731</v>
      </c>
      <c r="B1715" t="s">
        <v>2732</v>
      </c>
      <c r="C1715" s="3">
        <v>45830</v>
      </c>
      <c r="D1715">
        <v>28</v>
      </c>
      <c r="E1715" s="3">
        <f t="shared" si="26"/>
        <v>45803</v>
      </c>
      <c r="F1715" s="3">
        <f>IF(TableRefills3[[#This Row],[prev_refill_days]]="","",TableRefills3[[#This Row],[prev_refill_days]]+TableRefills3[[#This Row],[quantity_days]])</f>
        <v>45831</v>
      </c>
      <c r="G1715">
        <f>IF(TableRefills3[[#This Row],[prev_refill_end]]="","",TableRefills3[[#This Row],[refill_date]]-TableRefills3[[#This Row],[prev_refill_end]])</f>
        <v>-1</v>
      </c>
      <c r="H1715" s="10">
        <f>IF(TableRefills3[[#This Row],[gap_days]]="",0,IF(TableRefills3[[#This Row],[gap_days]]&gt;2,1,0))</f>
        <v>0</v>
      </c>
      <c r="I1715">
        <f>_xlfn.MAXIFS(TableRefills3[discountinuation_flag], TableRefills3[patient_id], A1715)</f>
        <v>0</v>
      </c>
    </row>
    <row r="1716" spans="1:9" x14ac:dyDescent="0.25">
      <c r="A1716" t="s">
        <v>2731</v>
      </c>
      <c r="B1716" t="s">
        <v>2732</v>
      </c>
      <c r="C1716" s="3">
        <v>45856</v>
      </c>
      <c r="D1716">
        <v>28</v>
      </c>
      <c r="E1716" s="3">
        <f t="shared" si="26"/>
        <v>45830</v>
      </c>
      <c r="F1716" s="3">
        <f>IF(TableRefills3[[#This Row],[prev_refill_days]]="","",TableRefills3[[#This Row],[prev_refill_days]]+TableRefills3[[#This Row],[quantity_days]])</f>
        <v>45858</v>
      </c>
      <c r="G1716">
        <f>IF(TableRefills3[[#This Row],[prev_refill_end]]="","",TableRefills3[[#This Row],[refill_date]]-TableRefills3[[#This Row],[prev_refill_end]])</f>
        <v>-2</v>
      </c>
      <c r="H1716" s="10">
        <f>IF(TableRefills3[[#This Row],[gap_days]]="",0,IF(TableRefills3[[#This Row],[gap_days]]&gt;2,1,0))</f>
        <v>0</v>
      </c>
      <c r="I1716">
        <f>_xlfn.MAXIFS(TableRefills3[discountinuation_flag], TableRefills3[patient_id], A1716)</f>
        <v>0</v>
      </c>
    </row>
    <row r="1717" spans="1:9" x14ac:dyDescent="0.25">
      <c r="A1717" t="s">
        <v>2731</v>
      </c>
      <c r="B1717" t="s">
        <v>2732</v>
      </c>
      <c r="C1717" s="3">
        <v>45881</v>
      </c>
      <c r="D1717">
        <v>28</v>
      </c>
      <c r="E1717" s="3">
        <f t="shared" si="26"/>
        <v>45856</v>
      </c>
      <c r="F1717" s="3">
        <f>IF(TableRefills3[[#This Row],[prev_refill_days]]="","",TableRefills3[[#This Row],[prev_refill_days]]+TableRefills3[[#This Row],[quantity_days]])</f>
        <v>45884</v>
      </c>
      <c r="G1717">
        <f>IF(TableRefills3[[#This Row],[prev_refill_end]]="","",TableRefills3[[#This Row],[refill_date]]-TableRefills3[[#This Row],[prev_refill_end]])</f>
        <v>-3</v>
      </c>
      <c r="H1717" s="10">
        <f>IF(TableRefills3[[#This Row],[gap_days]]="",0,IF(TableRefills3[[#This Row],[gap_days]]&gt;2,1,0))</f>
        <v>0</v>
      </c>
      <c r="I1717">
        <f>_xlfn.MAXIFS(TableRefills3[discountinuation_flag], TableRefills3[patient_id], A1717)</f>
        <v>0</v>
      </c>
    </row>
    <row r="1718" spans="1:9" x14ac:dyDescent="0.25">
      <c r="A1718" t="s">
        <v>2731</v>
      </c>
      <c r="B1718" t="s">
        <v>2732</v>
      </c>
      <c r="C1718" s="3">
        <v>45911</v>
      </c>
      <c r="D1718">
        <v>28</v>
      </c>
      <c r="E1718" s="3">
        <f t="shared" si="26"/>
        <v>45881</v>
      </c>
      <c r="F1718" s="3">
        <f>IF(TableRefills3[[#This Row],[prev_refill_days]]="","",TableRefills3[[#This Row],[prev_refill_days]]+TableRefills3[[#This Row],[quantity_days]])</f>
        <v>45909</v>
      </c>
      <c r="G1718">
        <f>IF(TableRefills3[[#This Row],[prev_refill_end]]="","",TableRefills3[[#This Row],[refill_date]]-TableRefills3[[#This Row],[prev_refill_end]])</f>
        <v>2</v>
      </c>
      <c r="H1718" s="10">
        <f>IF(TableRefills3[[#This Row],[gap_days]]="",0,IF(TableRefills3[[#This Row],[gap_days]]&gt;2,1,0))</f>
        <v>0</v>
      </c>
      <c r="I1718">
        <f>_xlfn.MAXIFS(TableRefills3[discountinuation_flag], TableRefills3[patient_id], A1718)</f>
        <v>0</v>
      </c>
    </row>
    <row r="1719" spans="1:9" x14ac:dyDescent="0.25">
      <c r="A1719" t="s">
        <v>2731</v>
      </c>
      <c r="B1719" t="s">
        <v>2732</v>
      </c>
      <c r="C1719" s="3">
        <v>45940</v>
      </c>
      <c r="D1719">
        <v>28</v>
      </c>
      <c r="E1719" s="3">
        <f t="shared" si="26"/>
        <v>45911</v>
      </c>
      <c r="F1719" s="3">
        <f>IF(TableRefills3[[#This Row],[prev_refill_days]]="","",TableRefills3[[#This Row],[prev_refill_days]]+TableRefills3[[#This Row],[quantity_days]])</f>
        <v>45939</v>
      </c>
      <c r="G1719">
        <f>IF(TableRefills3[[#This Row],[prev_refill_end]]="","",TableRefills3[[#This Row],[refill_date]]-TableRefills3[[#This Row],[prev_refill_end]])</f>
        <v>1</v>
      </c>
      <c r="H1719" s="10">
        <f>IF(TableRefills3[[#This Row],[gap_days]]="",0,IF(TableRefills3[[#This Row],[gap_days]]&gt;2,1,0))</f>
        <v>0</v>
      </c>
      <c r="I1719">
        <f>_xlfn.MAXIFS(TableRefills3[discountinuation_flag], TableRefills3[patient_id], A1719)</f>
        <v>0</v>
      </c>
    </row>
    <row r="1720" spans="1:9" x14ac:dyDescent="0.25">
      <c r="A1720" t="s">
        <v>2739</v>
      </c>
      <c r="B1720" t="s">
        <v>2740</v>
      </c>
      <c r="C1720" s="3">
        <v>45786</v>
      </c>
      <c r="D1720">
        <v>30</v>
      </c>
      <c r="E1720" s="3" t="str">
        <f t="shared" si="26"/>
        <v/>
      </c>
      <c r="F1720" s="3" t="str">
        <f>IF(TableRefills3[[#This Row],[prev_refill_days]]="","",TableRefills3[[#This Row],[prev_refill_days]]+TableRefills3[[#This Row],[quantity_days]])</f>
        <v/>
      </c>
      <c r="G1720" t="str">
        <f>IF(TableRefills3[[#This Row],[prev_refill_end]]="","",TableRefills3[[#This Row],[refill_date]]-TableRefills3[[#This Row],[prev_refill_end]])</f>
        <v/>
      </c>
      <c r="H1720" s="10">
        <f>IF(TableRefills3[[#This Row],[gap_days]]="",0,IF(TableRefills3[[#This Row],[gap_days]]&gt;2,1,0))</f>
        <v>0</v>
      </c>
      <c r="I1720">
        <f>_xlfn.MAXIFS(TableRefills3[discountinuation_flag], TableRefills3[patient_id], A1720)</f>
        <v>0</v>
      </c>
    </row>
    <row r="1721" spans="1:9" x14ac:dyDescent="0.25">
      <c r="A1721" t="s">
        <v>2739</v>
      </c>
      <c r="B1721" t="s">
        <v>2740</v>
      </c>
      <c r="C1721" s="3">
        <v>45817</v>
      </c>
      <c r="D1721">
        <v>30</v>
      </c>
      <c r="E1721" s="3">
        <f t="shared" si="26"/>
        <v>45786</v>
      </c>
      <c r="F1721" s="3">
        <f>IF(TableRefills3[[#This Row],[prev_refill_days]]="","",TableRefills3[[#This Row],[prev_refill_days]]+TableRefills3[[#This Row],[quantity_days]])</f>
        <v>45816</v>
      </c>
      <c r="G1721">
        <f>IF(TableRefills3[[#This Row],[prev_refill_end]]="","",TableRefills3[[#This Row],[refill_date]]-TableRefills3[[#This Row],[prev_refill_end]])</f>
        <v>1</v>
      </c>
      <c r="H1721" s="10">
        <f>IF(TableRefills3[[#This Row],[gap_days]]="",0,IF(TableRefills3[[#This Row],[gap_days]]&gt;2,1,0))</f>
        <v>0</v>
      </c>
      <c r="I1721">
        <f>_xlfn.MAXIFS(TableRefills3[discountinuation_flag], TableRefills3[patient_id], A1721)</f>
        <v>0</v>
      </c>
    </row>
    <row r="1722" spans="1:9" x14ac:dyDescent="0.25">
      <c r="A1722" t="s">
        <v>2739</v>
      </c>
      <c r="B1722" t="s">
        <v>2740</v>
      </c>
      <c r="C1722" s="3">
        <v>45845</v>
      </c>
      <c r="D1722">
        <v>30</v>
      </c>
      <c r="E1722" s="3">
        <f t="shared" si="26"/>
        <v>45817</v>
      </c>
      <c r="F1722" s="3">
        <f>IF(TableRefills3[[#This Row],[prev_refill_days]]="","",TableRefills3[[#This Row],[prev_refill_days]]+TableRefills3[[#This Row],[quantity_days]])</f>
        <v>45847</v>
      </c>
      <c r="G1722">
        <f>IF(TableRefills3[[#This Row],[prev_refill_end]]="","",TableRefills3[[#This Row],[refill_date]]-TableRefills3[[#This Row],[prev_refill_end]])</f>
        <v>-2</v>
      </c>
      <c r="H1722" s="10">
        <f>IF(TableRefills3[[#This Row],[gap_days]]="",0,IF(TableRefills3[[#This Row],[gap_days]]&gt;2,1,0))</f>
        <v>0</v>
      </c>
      <c r="I1722">
        <f>_xlfn.MAXIFS(TableRefills3[discountinuation_flag], TableRefills3[patient_id], A1722)</f>
        <v>0</v>
      </c>
    </row>
    <row r="1723" spans="1:9" x14ac:dyDescent="0.25">
      <c r="A1723" t="s">
        <v>2739</v>
      </c>
      <c r="B1723" t="s">
        <v>2740</v>
      </c>
      <c r="C1723" s="3">
        <v>45877</v>
      </c>
      <c r="D1723">
        <v>30</v>
      </c>
      <c r="E1723" s="3">
        <f t="shared" si="26"/>
        <v>45845</v>
      </c>
      <c r="F1723" s="3">
        <f>IF(TableRefills3[[#This Row],[prev_refill_days]]="","",TableRefills3[[#This Row],[prev_refill_days]]+TableRefills3[[#This Row],[quantity_days]])</f>
        <v>45875</v>
      </c>
      <c r="G1723">
        <f>IF(TableRefills3[[#This Row],[prev_refill_end]]="","",TableRefills3[[#This Row],[refill_date]]-TableRefills3[[#This Row],[prev_refill_end]])</f>
        <v>2</v>
      </c>
      <c r="H1723" s="10">
        <f>IF(TableRefills3[[#This Row],[gap_days]]="",0,IF(TableRefills3[[#This Row],[gap_days]]&gt;2,1,0))</f>
        <v>0</v>
      </c>
      <c r="I1723">
        <f>_xlfn.MAXIFS(TableRefills3[discountinuation_flag], TableRefills3[patient_id], A1723)</f>
        <v>0</v>
      </c>
    </row>
    <row r="1724" spans="1:9" x14ac:dyDescent="0.25">
      <c r="A1724" t="s">
        <v>2739</v>
      </c>
      <c r="B1724" t="s">
        <v>2740</v>
      </c>
      <c r="C1724" s="3">
        <v>45905</v>
      </c>
      <c r="D1724">
        <v>30</v>
      </c>
      <c r="E1724" s="3">
        <f t="shared" si="26"/>
        <v>45877</v>
      </c>
      <c r="F1724" s="3">
        <f>IF(TableRefills3[[#This Row],[prev_refill_days]]="","",TableRefills3[[#This Row],[prev_refill_days]]+TableRefills3[[#This Row],[quantity_days]])</f>
        <v>45907</v>
      </c>
      <c r="G1724">
        <f>IF(TableRefills3[[#This Row],[prev_refill_end]]="","",TableRefills3[[#This Row],[refill_date]]-TableRefills3[[#This Row],[prev_refill_end]])</f>
        <v>-2</v>
      </c>
      <c r="H1724" s="10">
        <f>IF(TableRefills3[[#This Row],[gap_days]]="",0,IF(TableRefills3[[#This Row],[gap_days]]&gt;2,1,0))</f>
        <v>0</v>
      </c>
      <c r="I1724">
        <f>_xlfn.MAXIFS(TableRefills3[discountinuation_flag], TableRefills3[patient_id], A1724)</f>
        <v>0</v>
      </c>
    </row>
    <row r="1725" spans="1:9" x14ac:dyDescent="0.25">
      <c r="A1725" t="s">
        <v>2739</v>
      </c>
      <c r="B1725" t="s">
        <v>2740</v>
      </c>
      <c r="C1725" s="3">
        <v>45937</v>
      </c>
      <c r="D1725">
        <v>30</v>
      </c>
      <c r="E1725" s="3">
        <f t="shared" si="26"/>
        <v>45905</v>
      </c>
      <c r="F1725" s="3">
        <f>IF(TableRefills3[[#This Row],[prev_refill_days]]="","",TableRefills3[[#This Row],[prev_refill_days]]+TableRefills3[[#This Row],[quantity_days]])</f>
        <v>45935</v>
      </c>
      <c r="G1725">
        <f>IF(TableRefills3[[#This Row],[prev_refill_end]]="","",TableRefills3[[#This Row],[refill_date]]-TableRefills3[[#This Row],[prev_refill_end]])</f>
        <v>2</v>
      </c>
      <c r="H1725" s="10">
        <f>IF(TableRefills3[[#This Row],[gap_days]]="",0,IF(TableRefills3[[#This Row],[gap_days]]&gt;2,1,0))</f>
        <v>0</v>
      </c>
      <c r="I1725">
        <f>_xlfn.MAXIFS(TableRefills3[discountinuation_flag], TableRefills3[patient_id], A1725)</f>
        <v>0</v>
      </c>
    </row>
    <row r="1726" spans="1:9" x14ac:dyDescent="0.25">
      <c r="A1726" t="s">
        <v>2747</v>
      </c>
      <c r="B1726" t="s">
        <v>2748</v>
      </c>
      <c r="C1726" s="3">
        <v>45931</v>
      </c>
      <c r="D1726">
        <v>28</v>
      </c>
      <c r="E1726" s="3" t="str">
        <f t="shared" si="26"/>
        <v/>
      </c>
      <c r="F1726" s="3" t="str">
        <f>IF(TableRefills3[[#This Row],[prev_refill_days]]="","",TableRefills3[[#This Row],[prev_refill_days]]+TableRefills3[[#This Row],[quantity_days]])</f>
        <v/>
      </c>
      <c r="G1726" t="str">
        <f>IF(TableRefills3[[#This Row],[prev_refill_end]]="","",TableRefills3[[#This Row],[refill_date]]-TableRefills3[[#This Row],[prev_refill_end]])</f>
        <v/>
      </c>
      <c r="H1726" s="10">
        <f>IF(TableRefills3[[#This Row],[gap_days]]="",0,IF(TableRefills3[[#This Row],[gap_days]]&gt;2,1,0))</f>
        <v>0</v>
      </c>
      <c r="I1726">
        <f>_xlfn.MAXIFS(TableRefills3[discountinuation_flag], TableRefills3[patient_id], A1726)</f>
        <v>0</v>
      </c>
    </row>
    <row r="1727" spans="1:9" x14ac:dyDescent="0.25">
      <c r="A1727" t="s">
        <v>2747</v>
      </c>
      <c r="B1727" t="s">
        <v>2748</v>
      </c>
      <c r="C1727" s="3">
        <v>45956</v>
      </c>
      <c r="D1727">
        <v>28</v>
      </c>
      <c r="E1727" s="3">
        <f t="shared" si="26"/>
        <v>45931</v>
      </c>
      <c r="F1727" s="3">
        <f>IF(TableRefills3[[#This Row],[prev_refill_days]]="","",TableRefills3[[#This Row],[prev_refill_days]]+TableRefills3[[#This Row],[quantity_days]])</f>
        <v>45959</v>
      </c>
      <c r="G1727">
        <f>IF(TableRefills3[[#This Row],[prev_refill_end]]="","",TableRefills3[[#This Row],[refill_date]]-TableRefills3[[#This Row],[prev_refill_end]])</f>
        <v>-3</v>
      </c>
      <c r="H1727" s="10">
        <f>IF(TableRefills3[[#This Row],[gap_days]]="",0,IF(TableRefills3[[#This Row],[gap_days]]&gt;2,1,0))</f>
        <v>0</v>
      </c>
      <c r="I1727">
        <f>_xlfn.MAXIFS(TableRefills3[discountinuation_flag], TableRefills3[patient_id], A1727)</f>
        <v>0</v>
      </c>
    </row>
    <row r="1728" spans="1:9" x14ac:dyDescent="0.25">
      <c r="A1728" t="s">
        <v>2751</v>
      </c>
      <c r="B1728" t="s">
        <v>2752</v>
      </c>
      <c r="C1728" s="3">
        <v>45958</v>
      </c>
      <c r="D1728">
        <v>28</v>
      </c>
      <c r="E1728" s="3" t="str">
        <f t="shared" si="26"/>
        <v/>
      </c>
      <c r="F1728" s="3" t="str">
        <f>IF(TableRefills3[[#This Row],[prev_refill_days]]="","",TableRefills3[[#This Row],[prev_refill_days]]+TableRefills3[[#This Row],[quantity_days]])</f>
        <v/>
      </c>
      <c r="G1728" t="str">
        <f>IF(TableRefills3[[#This Row],[prev_refill_end]]="","",TableRefills3[[#This Row],[refill_date]]-TableRefills3[[#This Row],[prev_refill_end]])</f>
        <v/>
      </c>
      <c r="H1728" s="10">
        <f>IF(TableRefills3[[#This Row],[gap_days]]="",0,IF(TableRefills3[[#This Row],[gap_days]]&gt;2,1,0))</f>
        <v>0</v>
      </c>
      <c r="I1728">
        <f>_xlfn.MAXIFS(TableRefills3[discountinuation_flag], TableRefills3[patient_id], A1728)</f>
        <v>0</v>
      </c>
    </row>
    <row r="1729" spans="1:9" x14ac:dyDescent="0.25">
      <c r="A1729" t="s">
        <v>2754</v>
      </c>
      <c r="B1729" t="s">
        <v>2755</v>
      </c>
      <c r="C1729" s="3">
        <v>45840</v>
      </c>
      <c r="D1729">
        <v>28</v>
      </c>
      <c r="E1729" s="3" t="str">
        <f t="shared" si="26"/>
        <v/>
      </c>
      <c r="F1729" s="3" t="str">
        <f>IF(TableRefills3[[#This Row],[prev_refill_days]]="","",TableRefills3[[#This Row],[prev_refill_days]]+TableRefills3[[#This Row],[quantity_days]])</f>
        <v/>
      </c>
      <c r="G1729" t="str">
        <f>IF(TableRefills3[[#This Row],[prev_refill_end]]="","",TableRefills3[[#This Row],[refill_date]]-TableRefills3[[#This Row],[prev_refill_end]])</f>
        <v/>
      </c>
      <c r="H1729" s="10">
        <f>IF(TableRefills3[[#This Row],[gap_days]]="",0,IF(TableRefills3[[#This Row],[gap_days]]&gt;2,1,0))</f>
        <v>0</v>
      </c>
      <c r="I1729">
        <f>_xlfn.MAXIFS(TableRefills3[discountinuation_flag], TableRefills3[patient_id], A1729)</f>
        <v>0</v>
      </c>
    </row>
    <row r="1730" spans="1:9" x14ac:dyDescent="0.25">
      <c r="A1730" t="s">
        <v>2754</v>
      </c>
      <c r="B1730" t="s">
        <v>2755</v>
      </c>
      <c r="C1730" s="3">
        <v>45870</v>
      </c>
      <c r="D1730">
        <v>28</v>
      </c>
      <c r="E1730" s="3">
        <f t="shared" ref="E1730:E1793" si="27">IF(A1729=A1730,C1729,"")</f>
        <v>45840</v>
      </c>
      <c r="F1730" s="3">
        <f>IF(TableRefills3[[#This Row],[prev_refill_days]]="","",TableRefills3[[#This Row],[prev_refill_days]]+TableRefills3[[#This Row],[quantity_days]])</f>
        <v>45868</v>
      </c>
      <c r="G1730">
        <f>IF(TableRefills3[[#This Row],[prev_refill_end]]="","",TableRefills3[[#This Row],[refill_date]]-TableRefills3[[#This Row],[prev_refill_end]])</f>
        <v>2</v>
      </c>
      <c r="H1730" s="10">
        <f>IF(TableRefills3[[#This Row],[gap_days]]="",0,IF(TableRefills3[[#This Row],[gap_days]]&gt;2,1,0))</f>
        <v>0</v>
      </c>
      <c r="I1730">
        <f>_xlfn.MAXIFS(TableRefills3[discountinuation_flag], TableRefills3[patient_id], A1730)</f>
        <v>0</v>
      </c>
    </row>
    <row r="1731" spans="1:9" x14ac:dyDescent="0.25">
      <c r="A1731" t="s">
        <v>2758</v>
      </c>
      <c r="B1731" t="s">
        <v>2759</v>
      </c>
      <c r="C1731" s="3">
        <v>45789</v>
      </c>
      <c r="D1731">
        <v>30</v>
      </c>
      <c r="E1731" s="3" t="str">
        <f t="shared" si="27"/>
        <v/>
      </c>
      <c r="F1731" s="3" t="str">
        <f>IF(TableRefills3[[#This Row],[prev_refill_days]]="","",TableRefills3[[#This Row],[prev_refill_days]]+TableRefills3[[#This Row],[quantity_days]])</f>
        <v/>
      </c>
      <c r="G1731" t="str">
        <f>IF(TableRefills3[[#This Row],[prev_refill_end]]="","",TableRefills3[[#This Row],[refill_date]]-TableRefills3[[#This Row],[prev_refill_end]])</f>
        <v/>
      </c>
      <c r="H1731" s="10">
        <f>IF(TableRefills3[[#This Row],[gap_days]]="",0,IF(TableRefills3[[#This Row],[gap_days]]&gt;2,1,0))</f>
        <v>0</v>
      </c>
      <c r="I1731">
        <f>_xlfn.MAXIFS(TableRefills3[discountinuation_flag], TableRefills3[patient_id], A1731)</f>
        <v>0</v>
      </c>
    </row>
    <row r="1732" spans="1:9" x14ac:dyDescent="0.25">
      <c r="A1732" t="s">
        <v>2761</v>
      </c>
      <c r="B1732" t="s">
        <v>2762</v>
      </c>
      <c r="C1732" s="3">
        <v>45890</v>
      </c>
      <c r="D1732">
        <v>28</v>
      </c>
      <c r="E1732" s="3" t="str">
        <f t="shared" si="27"/>
        <v/>
      </c>
      <c r="F1732" s="3" t="str">
        <f>IF(TableRefills3[[#This Row],[prev_refill_days]]="","",TableRefills3[[#This Row],[prev_refill_days]]+TableRefills3[[#This Row],[quantity_days]])</f>
        <v/>
      </c>
      <c r="G1732" t="str">
        <f>IF(TableRefills3[[#This Row],[prev_refill_end]]="","",TableRefills3[[#This Row],[refill_date]]-TableRefills3[[#This Row],[prev_refill_end]])</f>
        <v/>
      </c>
      <c r="H1732" s="10">
        <f>IF(TableRefills3[[#This Row],[gap_days]]="",0,IF(TableRefills3[[#This Row],[gap_days]]&gt;2,1,0))</f>
        <v>0</v>
      </c>
      <c r="I1732">
        <f>_xlfn.MAXIFS(TableRefills3[discountinuation_flag], TableRefills3[patient_id], A1732)</f>
        <v>1</v>
      </c>
    </row>
    <row r="1733" spans="1:9" x14ac:dyDescent="0.25">
      <c r="A1733" t="s">
        <v>2761</v>
      </c>
      <c r="B1733" t="s">
        <v>2762</v>
      </c>
      <c r="C1733" s="3">
        <v>45921</v>
      </c>
      <c r="D1733">
        <v>28</v>
      </c>
      <c r="E1733" s="3">
        <f t="shared" si="27"/>
        <v>45890</v>
      </c>
      <c r="F1733" s="3">
        <f>IF(TableRefills3[[#This Row],[prev_refill_days]]="","",TableRefills3[[#This Row],[prev_refill_days]]+TableRefills3[[#This Row],[quantity_days]])</f>
        <v>45918</v>
      </c>
      <c r="G1733">
        <f>IF(TableRefills3[[#This Row],[prev_refill_end]]="","",TableRefills3[[#This Row],[refill_date]]-TableRefills3[[#This Row],[prev_refill_end]])</f>
        <v>3</v>
      </c>
      <c r="H1733" s="10">
        <f>IF(TableRefills3[[#This Row],[gap_days]]="",0,IF(TableRefills3[[#This Row],[gap_days]]&gt;2,1,0))</f>
        <v>1</v>
      </c>
      <c r="I1733">
        <f>_xlfn.MAXIFS(TableRefills3[discountinuation_flag], TableRefills3[patient_id], A1733)</f>
        <v>1</v>
      </c>
    </row>
    <row r="1734" spans="1:9" x14ac:dyDescent="0.25">
      <c r="A1734" t="s">
        <v>2761</v>
      </c>
      <c r="B1734" t="s">
        <v>2762</v>
      </c>
      <c r="C1734" s="3">
        <v>45950</v>
      </c>
      <c r="D1734">
        <v>28</v>
      </c>
      <c r="E1734" s="3">
        <f t="shared" si="27"/>
        <v>45921</v>
      </c>
      <c r="F1734" s="3">
        <f>IF(TableRefills3[[#This Row],[prev_refill_days]]="","",TableRefills3[[#This Row],[prev_refill_days]]+TableRefills3[[#This Row],[quantity_days]])</f>
        <v>45949</v>
      </c>
      <c r="G1734">
        <f>IF(TableRefills3[[#This Row],[prev_refill_end]]="","",TableRefills3[[#This Row],[refill_date]]-TableRefills3[[#This Row],[prev_refill_end]])</f>
        <v>1</v>
      </c>
      <c r="H1734" s="10">
        <f>IF(TableRefills3[[#This Row],[gap_days]]="",0,IF(TableRefills3[[#This Row],[gap_days]]&gt;2,1,0))</f>
        <v>0</v>
      </c>
      <c r="I1734">
        <f>_xlfn.MAXIFS(TableRefills3[discountinuation_flag], TableRefills3[patient_id], A1734)</f>
        <v>1</v>
      </c>
    </row>
    <row r="1735" spans="1:9" x14ac:dyDescent="0.25">
      <c r="A1735" t="s">
        <v>2766</v>
      </c>
      <c r="B1735" t="s">
        <v>2767</v>
      </c>
      <c r="C1735" s="3">
        <v>45916</v>
      </c>
      <c r="D1735">
        <v>14</v>
      </c>
      <c r="E1735" s="3" t="str">
        <f t="shared" si="27"/>
        <v/>
      </c>
      <c r="F1735" s="3" t="str">
        <f>IF(TableRefills3[[#This Row],[prev_refill_days]]="","",TableRefills3[[#This Row],[prev_refill_days]]+TableRefills3[[#This Row],[quantity_days]])</f>
        <v/>
      </c>
      <c r="G1735" t="str">
        <f>IF(TableRefills3[[#This Row],[prev_refill_end]]="","",TableRefills3[[#This Row],[refill_date]]-TableRefills3[[#This Row],[prev_refill_end]])</f>
        <v/>
      </c>
      <c r="H1735" s="10">
        <f>IF(TableRefills3[[#This Row],[gap_days]]="",0,IF(TableRefills3[[#This Row],[gap_days]]&gt;2,1,0))</f>
        <v>0</v>
      </c>
      <c r="I1735">
        <f>_xlfn.MAXIFS(TableRefills3[discountinuation_flag], TableRefills3[patient_id], A1735)</f>
        <v>0</v>
      </c>
    </row>
    <row r="1736" spans="1:9" x14ac:dyDescent="0.25">
      <c r="A1736" t="s">
        <v>2766</v>
      </c>
      <c r="B1736" t="s">
        <v>2767</v>
      </c>
      <c r="C1736" s="3">
        <v>45932</v>
      </c>
      <c r="D1736">
        <v>14</v>
      </c>
      <c r="E1736" s="3">
        <f t="shared" si="27"/>
        <v>45916</v>
      </c>
      <c r="F1736" s="3">
        <f>IF(TableRefills3[[#This Row],[prev_refill_days]]="","",TableRefills3[[#This Row],[prev_refill_days]]+TableRefills3[[#This Row],[quantity_days]])</f>
        <v>45930</v>
      </c>
      <c r="G1736">
        <f>IF(TableRefills3[[#This Row],[prev_refill_end]]="","",TableRefills3[[#This Row],[refill_date]]-TableRefills3[[#This Row],[prev_refill_end]])</f>
        <v>2</v>
      </c>
      <c r="H1736" s="10">
        <f>IF(TableRefills3[[#This Row],[gap_days]]="",0,IF(TableRefills3[[#This Row],[gap_days]]&gt;2,1,0))</f>
        <v>0</v>
      </c>
      <c r="I1736">
        <f>_xlfn.MAXIFS(TableRefills3[discountinuation_flag], TableRefills3[patient_id], A1736)</f>
        <v>0</v>
      </c>
    </row>
    <row r="1737" spans="1:9" x14ac:dyDescent="0.25">
      <c r="A1737" t="s">
        <v>2766</v>
      </c>
      <c r="B1737" t="s">
        <v>2767</v>
      </c>
      <c r="C1737" s="3">
        <v>45947</v>
      </c>
      <c r="D1737">
        <v>14</v>
      </c>
      <c r="E1737" s="3">
        <f t="shared" si="27"/>
        <v>45932</v>
      </c>
      <c r="F1737" s="3">
        <f>IF(TableRefills3[[#This Row],[prev_refill_days]]="","",TableRefills3[[#This Row],[prev_refill_days]]+TableRefills3[[#This Row],[quantity_days]])</f>
        <v>45946</v>
      </c>
      <c r="G1737">
        <f>IF(TableRefills3[[#This Row],[prev_refill_end]]="","",TableRefills3[[#This Row],[refill_date]]-TableRefills3[[#This Row],[prev_refill_end]])</f>
        <v>1</v>
      </c>
      <c r="H1737" s="10">
        <f>IF(TableRefills3[[#This Row],[gap_days]]="",0,IF(TableRefills3[[#This Row],[gap_days]]&gt;2,1,0))</f>
        <v>0</v>
      </c>
      <c r="I1737">
        <f>_xlfn.MAXIFS(TableRefills3[discountinuation_flag], TableRefills3[patient_id], A1737)</f>
        <v>0</v>
      </c>
    </row>
    <row r="1738" spans="1:9" x14ac:dyDescent="0.25">
      <c r="A1738" t="s">
        <v>2766</v>
      </c>
      <c r="B1738" t="s">
        <v>2767</v>
      </c>
      <c r="C1738" s="3">
        <v>45961</v>
      </c>
      <c r="D1738">
        <v>14</v>
      </c>
      <c r="E1738" s="3">
        <f t="shared" si="27"/>
        <v>45947</v>
      </c>
      <c r="F1738" s="3">
        <f>IF(TableRefills3[[#This Row],[prev_refill_days]]="","",TableRefills3[[#This Row],[prev_refill_days]]+TableRefills3[[#This Row],[quantity_days]])</f>
        <v>45961</v>
      </c>
      <c r="G1738">
        <f>IF(TableRefills3[[#This Row],[prev_refill_end]]="","",TableRefills3[[#This Row],[refill_date]]-TableRefills3[[#This Row],[prev_refill_end]])</f>
        <v>0</v>
      </c>
      <c r="H1738" s="10">
        <f>IF(TableRefills3[[#This Row],[gap_days]]="",0,IF(TableRefills3[[#This Row],[gap_days]]&gt;2,1,0))</f>
        <v>0</v>
      </c>
      <c r="I1738">
        <f>_xlfn.MAXIFS(TableRefills3[discountinuation_flag], TableRefills3[patient_id], A1738)</f>
        <v>0</v>
      </c>
    </row>
    <row r="1739" spans="1:9" x14ac:dyDescent="0.25">
      <c r="A1739" t="s">
        <v>2772</v>
      </c>
      <c r="B1739" t="s">
        <v>2773</v>
      </c>
      <c r="C1739" s="3">
        <v>45792</v>
      </c>
      <c r="D1739">
        <v>21</v>
      </c>
      <c r="E1739" s="3" t="str">
        <f t="shared" si="27"/>
        <v/>
      </c>
      <c r="F1739" s="3" t="str">
        <f>IF(TableRefills3[[#This Row],[prev_refill_days]]="","",TableRefills3[[#This Row],[prev_refill_days]]+TableRefills3[[#This Row],[quantity_days]])</f>
        <v/>
      </c>
      <c r="G1739" t="str">
        <f>IF(TableRefills3[[#This Row],[prev_refill_end]]="","",TableRefills3[[#This Row],[refill_date]]-TableRefills3[[#This Row],[prev_refill_end]])</f>
        <v/>
      </c>
      <c r="H1739" s="10">
        <f>IF(TableRefills3[[#This Row],[gap_days]]="",0,IF(TableRefills3[[#This Row],[gap_days]]&gt;2,1,0))</f>
        <v>0</v>
      </c>
      <c r="I1739">
        <f>_xlfn.MAXIFS(TableRefills3[discountinuation_flag], TableRefills3[patient_id], A1739)</f>
        <v>1</v>
      </c>
    </row>
    <row r="1740" spans="1:9" x14ac:dyDescent="0.25">
      <c r="A1740" t="s">
        <v>2772</v>
      </c>
      <c r="B1740" t="s">
        <v>2773</v>
      </c>
      <c r="C1740" s="3">
        <v>45812</v>
      </c>
      <c r="D1740">
        <v>21</v>
      </c>
      <c r="E1740" s="3">
        <f t="shared" si="27"/>
        <v>45792</v>
      </c>
      <c r="F1740" s="3">
        <f>IF(TableRefills3[[#This Row],[prev_refill_days]]="","",TableRefills3[[#This Row],[prev_refill_days]]+TableRefills3[[#This Row],[quantity_days]])</f>
        <v>45813</v>
      </c>
      <c r="G1740">
        <f>IF(TableRefills3[[#This Row],[prev_refill_end]]="","",TableRefills3[[#This Row],[refill_date]]-TableRefills3[[#This Row],[prev_refill_end]])</f>
        <v>-1</v>
      </c>
      <c r="H1740" s="10">
        <f>IF(TableRefills3[[#This Row],[gap_days]]="",0,IF(TableRefills3[[#This Row],[gap_days]]&gt;2,1,0))</f>
        <v>0</v>
      </c>
      <c r="I1740">
        <f>_xlfn.MAXIFS(TableRefills3[discountinuation_flag], TableRefills3[patient_id], A1740)</f>
        <v>1</v>
      </c>
    </row>
    <row r="1741" spans="1:9" x14ac:dyDescent="0.25">
      <c r="A1741" t="s">
        <v>2772</v>
      </c>
      <c r="B1741" t="s">
        <v>2773</v>
      </c>
      <c r="C1741" s="3">
        <v>45832</v>
      </c>
      <c r="D1741">
        <v>21</v>
      </c>
      <c r="E1741" s="3">
        <f t="shared" si="27"/>
        <v>45812</v>
      </c>
      <c r="F1741" s="3">
        <f>IF(TableRefills3[[#This Row],[prev_refill_days]]="","",TableRefills3[[#This Row],[prev_refill_days]]+TableRefills3[[#This Row],[quantity_days]])</f>
        <v>45833</v>
      </c>
      <c r="G1741">
        <f>IF(TableRefills3[[#This Row],[prev_refill_end]]="","",TableRefills3[[#This Row],[refill_date]]-TableRefills3[[#This Row],[prev_refill_end]])</f>
        <v>-1</v>
      </c>
      <c r="H1741" s="10">
        <f>IF(TableRefills3[[#This Row],[gap_days]]="",0,IF(TableRefills3[[#This Row],[gap_days]]&gt;2,1,0))</f>
        <v>0</v>
      </c>
      <c r="I1741">
        <f>_xlfn.MAXIFS(TableRefills3[discountinuation_flag], TableRefills3[patient_id], A1741)</f>
        <v>1</v>
      </c>
    </row>
    <row r="1742" spans="1:9" x14ac:dyDescent="0.25">
      <c r="A1742" t="s">
        <v>2772</v>
      </c>
      <c r="B1742" t="s">
        <v>2773</v>
      </c>
      <c r="C1742" s="3">
        <v>45852</v>
      </c>
      <c r="D1742">
        <v>21</v>
      </c>
      <c r="E1742" s="3">
        <f t="shared" si="27"/>
        <v>45832</v>
      </c>
      <c r="F1742" s="3">
        <f>IF(TableRefills3[[#This Row],[prev_refill_days]]="","",TableRefills3[[#This Row],[prev_refill_days]]+TableRefills3[[#This Row],[quantity_days]])</f>
        <v>45853</v>
      </c>
      <c r="G1742">
        <f>IF(TableRefills3[[#This Row],[prev_refill_end]]="","",TableRefills3[[#This Row],[refill_date]]-TableRefills3[[#This Row],[prev_refill_end]])</f>
        <v>-1</v>
      </c>
      <c r="H1742" s="10">
        <f>IF(TableRefills3[[#This Row],[gap_days]]="",0,IF(TableRefills3[[#This Row],[gap_days]]&gt;2,1,0))</f>
        <v>0</v>
      </c>
      <c r="I1742">
        <f>_xlfn.MAXIFS(TableRefills3[discountinuation_flag], TableRefills3[patient_id], A1742)</f>
        <v>1</v>
      </c>
    </row>
    <row r="1743" spans="1:9" x14ac:dyDescent="0.25">
      <c r="A1743" t="s">
        <v>2772</v>
      </c>
      <c r="B1743" t="s">
        <v>2773</v>
      </c>
      <c r="C1743" s="3">
        <v>45876</v>
      </c>
      <c r="D1743">
        <v>21</v>
      </c>
      <c r="E1743" s="3">
        <f t="shared" si="27"/>
        <v>45852</v>
      </c>
      <c r="F1743" s="3">
        <f>IF(TableRefills3[[#This Row],[prev_refill_days]]="","",TableRefills3[[#This Row],[prev_refill_days]]+TableRefills3[[#This Row],[quantity_days]])</f>
        <v>45873</v>
      </c>
      <c r="G1743">
        <f>IF(TableRefills3[[#This Row],[prev_refill_end]]="","",TableRefills3[[#This Row],[refill_date]]-TableRefills3[[#This Row],[prev_refill_end]])</f>
        <v>3</v>
      </c>
      <c r="H1743" s="10">
        <f>IF(TableRefills3[[#This Row],[gap_days]]="",0,IF(TableRefills3[[#This Row],[gap_days]]&gt;2,1,0))</f>
        <v>1</v>
      </c>
      <c r="I1743">
        <f>_xlfn.MAXIFS(TableRefills3[discountinuation_flag], TableRefills3[patient_id], A1743)</f>
        <v>1</v>
      </c>
    </row>
    <row r="1744" spans="1:9" x14ac:dyDescent="0.25">
      <c r="A1744" t="s">
        <v>2772</v>
      </c>
      <c r="B1744" t="s">
        <v>2773</v>
      </c>
      <c r="C1744" s="3">
        <v>45897</v>
      </c>
      <c r="D1744">
        <v>21</v>
      </c>
      <c r="E1744" s="3">
        <f t="shared" si="27"/>
        <v>45876</v>
      </c>
      <c r="F1744" s="3">
        <f>IF(TableRefills3[[#This Row],[prev_refill_days]]="","",TableRefills3[[#This Row],[prev_refill_days]]+TableRefills3[[#This Row],[quantity_days]])</f>
        <v>45897</v>
      </c>
      <c r="G1744">
        <f>IF(TableRefills3[[#This Row],[prev_refill_end]]="","",TableRefills3[[#This Row],[refill_date]]-TableRefills3[[#This Row],[prev_refill_end]])</f>
        <v>0</v>
      </c>
      <c r="H1744" s="10">
        <f>IF(TableRefills3[[#This Row],[gap_days]]="",0,IF(TableRefills3[[#This Row],[gap_days]]&gt;2,1,0))</f>
        <v>0</v>
      </c>
      <c r="I1744">
        <f>_xlfn.MAXIFS(TableRefills3[discountinuation_flag], TableRefills3[patient_id], A1744)</f>
        <v>1</v>
      </c>
    </row>
    <row r="1745" spans="1:9" x14ac:dyDescent="0.25">
      <c r="A1745" t="s">
        <v>2772</v>
      </c>
      <c r="B1745" t="s">
        <v>2773</v>
      </c>
      <c r="C1745" s="3">
        <v>45920</v>
      </c>
      <c r="D1745">
        <v>21</v>
      </c>
      <c r="E1745" s="3">
        <f t="shared" si="27"/>
        <v>45897</v>
      </c>
      <c r="F1745" s="3">
        <f>IF(TableRefills3[[#This Row],[prev_refill_days]]="","",TableRefills3[[#This Row],[prev_refill_days]]+TableRefills3[[#This Row],[quantity_days]])</f>
        <v>45918</v>
      </c>
      <c r="G1745">
        <f>IF(TableRefills3[[#This Row],[prev_refill_end]]="","",TableRefills3[[#This Row],[refill_date]]-TableRefills3[[#This Row],[prev_refill_end]])</f>
        <v>2</v>
      </c>
      <c r="H1745" s="10">
        <f>IF(TableRefills3[[#This Row],[gap_days]]="",0,IF(TableRefills3[[#This Row],[gap_days]]&gt;2,1,0))</f>
        <v>0</v>
      </c>
      <c r="I1745">
        <f>_xlfn.MAXIFS(TableRefills3[discountinuation_flag], TableRefills3[patient_id], A1745)</f>
        <v>1</v>
      </c>
    </row>
    <row r="1746" spans="1:9" x14ac:dyDescent="0.25">
      <c r="A1746" t="s">
        <v>2772</v>
      </c>
      <c r="B1746" t="s">
        <v>2773</v>
      </c>
      <c r="C1746" s="3">
        <v>45942</v>
      </c>
      <c r="D1746">
        <v>21</v>
      </c>
      <c r="E1746" s="3">
        <f t="shared" si="27"/>
        <v>45920</v>
      </c>
      <c r="F1746" s="3">
        <f>IF(TableRefills3[[#This Row],[prev_refill_days]]="","",TableRefills3[[#This Row],[prev_refill_days]]+TableRefills3[[#This Row],[quantity_days]])</f>
        <v>45941</v>
      </c>
      <c r="G1746">
        <f>IF(TableRefills3[[#This Row],[prev_refill_end]]="","",TableRefills3[[#This Row],[refill_date]]-TableRefills3[[#This Row],[prev_refill_end]])</f>
        <v>1</v>
      </c>
      <c r="H1746" s="10">
        <f>IF(TableRefills3[[#This Row],[gap_days]]="",0,IF(TableRefills3[[#This Row],[gap_days]]&gt;2,1,0))</f>
        <v>0</v>
      </c>
      <c r="I1746">
        <f>_xlfn.MAXIFS(TableRefills3[discountinuation_flag], TableRefills3[patient_id], A1746)</f>
        <v>1</v>
      </c>
    </row>
    <row r="1747" spans="1:9" x14ac:dyDescent="0.25">
      <c r="A1747" t="s">
        <v>2782</v>
      </c>
      <c r="B1747" t="s">
        <v>2783</v>
      </c>
      <c r="C1747" s="3">
        <v>45906</v>
      </c>
      <c r="D1747">
        <v>28</v>
      </c>
      <c r="E1747" s="3" t="str">
        <f t="shared" si="27"/>
        <v/>
      </c>
      <c r="F1747" s="3" t="str">
        <f>IF(TableRefills3[[#This Row],[prev_refill_days]]="","",TableRefills3[[#This Row],[prev_refill_days]]+TableRefills3[[#This Row],[quantity_days]])</f>
        <v/>
      </c>
      <c r="G1747" t="str">
        <f>IF(TableRefills3[[#This Row],[prev_refill_end]]="","",TableRefills3[[#This Row],[refill_date]]-TableRefills3[[#This Row],[prev_refill_end]])</f>
        <v/>
      </c>
      <c r="H1747" s="10">
        <f>IF(TableRefills3[[#This Row],[gap_days]]="",0,IF(TableRefills3[[#This Row],[gap_days]]&gt;2,1,0))</f>
        <v>0</v>
      </c>
      <c r="I1747">
        <f>_xlfn.MAXIFS(TableRefills3[discountinuation_flag], TableRefills3[patient_id], A1747)</f>
        <v>0</v>
      </c>
    </row>
    <row r="1748" spans="1:9" x14ac:dyDescent="0.25">
      <c r="A1748" t="s">
        <v>2785</v>
      </c>
      <c r="B1748" t="s">
        <v>2786</v>
      </c>
      <c r="C1748" s="3">
        <v>45837</v>
      </c>
      <c r="D1748">
        <v>28</v>
      </c>
      <c r="E1748" s="3" t="str">
        <f t="shared" si="27"/>
        <v/>
      </c>
      <c r="F1748" s="3" t="str">
        <f>IF(TableRefills3[[#This Row],[prev_refill_days]]="","",TableRefills3[[#This Row],[prev_refill_days]]+TableRefills3[[#This Row],[quantity_days]])</f>
        <v/>
      </c>
      <c r="G1748" t="str">
        <f>IF(TableRefills3[[#This Row],[prev_refill_end]]="","",TableRefills3[[#This Row],[refill_date]]-TableRefills3[[#This Row],[prev_refill_end]])</f>
        <v/>
      </c>
      <c r="H1748" s="10">
        <f>IF(TableRefills3[[#This Row],[gap_days]]="",0,IF(TableRefills3[[#This Row],[gap_days]]&gt;2,1,0))</f>
        <v>0</v>
      </c>
      <c r="I1748">
        <f>_xlfn.MAXIFS(TableRefills3[discountinuation_flag], TableRefills3[patient_id], A1748)</f>
        <v>1</v>
      </c>
    </row>
    <row r="1749" spans="1:9" x14ac:dyDescent="0.25">
      <c r="A1749" t="s">
        <v>2785</v>
      </c>
      <c r="B1749" t="s">
        <v>2786</v>
      </c>
      <c r="C1749" s="3">
        <v>45868</v>
      </c>
      <c r="D1749">
        <v>28</v>
      </c>
      <c r="E1749" s="3">
        <f t="shared" si="27"/>
        <v>45837</v>
      </c>
      <c r="F1749" s="3">
        <f>IF(TableRefills3[[#This Row],[prev_refill_days]]="","",TableRefills3[[#This Row],[prev_refill_days]]+TableRefills3[[#This Row],[quantity_days]])</f>
        <v>45865</v>
      </c>
      <c r="G1749">
        <f>IF(TableRefills3[[#This Row],[prev_refill_end]]="","",TableRefills3[[#This Row],[refill_date]]-TableRefills3[[#This Row],[prev_refill_end]])</f>
        <v>3</v>
      </c>
      <c r="H1749" s="10">
        <f>IF(TableRefills3[[#This Row],[gap_days]]="",0,IF(TableRefills3[[#This Row],[gap_days]]&gt;2,1,0))</f>
        <v>1</v>
      </c>
      <c r="I1749">
        <f>_xlfn.MAXIFS(TableRefills3[discountinuation_flag], TableRefills3[patient_id], A1749)</f>
        <v>1</v>
      </c>
    </row>
    <row r="1750" spans="1:9" x14ac:dyDescent="0.25">
      <c r="A1750" t="s">
        <v>2785</v>
      </c>
      <c r="B1750" t="s">
        <v>2786</v>
      </c>
      <c r="C1750" s="3">
        <v>45898</v>
      </c>
      <c r="D1750">
        <v>28</v>
      </c>
      <c r="E1750" s="3">
        <f t="shared" si="27"/>
        <v>45868</v>
      </c>
      <c r="F1750" s="3">
        <f>IF(TableRefills3[[#This Row],[prev_refill_days]]="","",TableRefills3[[#This Row],[prev_refill_days]]+TableRefills3[[#This Row],[quantity_days]])</f>
        <v>45896</v>
      </c>
      <c r="G1750">
        <f>IF(TableRefills3[[#This Row],[prev_refill_end]]="","",TableRefills3[[#This Row],[refill_date]]-TableRefills3[[#This Row],[prev_refill_end]])</f>
        <v>2</v>
      </c>
      <c r="H1750" s="10">
        <f>IF(TableRefills3[[#This Row],[gap_days]]="",0,IF(TableRefills3[[#This Row],[gap_days]]&gt;2,1,0))</f>
        <v>0</v>
      </c>
      <c r="I1750">
        <f>_xlfn.MAXIFS(TableRefills3[discountinuation_flag], TableRefills3[patient_id], A1750)</f>
        <v>1</v>
      </c>
    </row>
    <row r="1751" spans="1:9" x14ac:dyDescent="0.25">
      <c r="A1751" t="s">
        <v>2785</v>
      </c>
      <c r="B1751" t="s">
        <v>2786</v>
      </c>
      <c r="C1751" s="3">
        <v>45925</v>
      </c>
      <c r="D1751">
        <v>28</v>
      </c>
      <c r="E1751" s="3">
        <f t="shared" si="27"/>
        <v>45898</v>
      </c>
      <c r="F1751" s="3">
        <f>IF(TableRefills3[[#This Row],[prev_refill_days]]="","",TableRefills3[[#This Row],[prev_refill_days]]+TableRefills3[[#This Row],[quantity_days]])</f>
        <v>45926</v>
      </c>
      <c r="G1751">
        <f>IF(TableRefills3[[#This Row],[prev_refill_end]]="","",TableRefills3[[#This Row],[refill_date]]-TableRefills3[[#This Row],[prev_refill_end]])</f>
        <v>-1</v>
      </c>
      <c r="H1751" s="10">
        <f>IF(TableRefills3[[#This Row],[gap_days]]="",0,IF(TableRefills3[[#This Row],[gap_days]]&gt;2,1,0))</f>
        <v>0</v>
      </c>
      <c r="I1751">
        <f>_xlfn.MAXIFS(TableRefills3[discountinuation_flag], TableRefills3[patient_id], A1751)</f>
        <v>1</v>
      </c>
    </row>
    <row r="1752" spans="1:9" x14ac:dyDescent="0.25">
      <c r="A1752" t="s">
        <v>2785</v>
      </c>
      <c r="B1752" t="s">
        <v>2786</v>
      </c>
      <c r="C1752" s="3">
        <v>45953</v>
      </c>
      <c r="D1752">
        <v>28</v>
      </c>
      <c r="E1752" s="3">
        <f t="shared" si="27"/>
        <v>45925</v>
      </c>
      <c r="F1752" s="3">
        <f>IF(TableRefills3[[#This Row],[prev_refill_days]]="","",TableRefills3[[#This Row],[prev_refill_days]]+TableRefills3[[#This Row],[quantity_days]])</f>
        <v>45953</v>
      </c>
      <c r="G1752">
        <f>IF(TableRefills3[[#This Row],[prev_refill_end]]="","",TableRefills3[[#This Row],[refill_date]]-TableRefills3[[#This Row],[prev_refill_end]])</f>
        <v>0</v>
      </c>
      <c r="H1752" s="10">
        <f>IF(TableRefills3[[#This Row],[gap_days]]="",0,IF(TableRefills3[[#This Row],[gap_days]]&gt;2,1,0))</f>
        <v>0</v>
      </c>
      <c r="I1752">
        <f>_xlfn.MAXIFS(TableRefills3[discountinuation_flag], TableRefills3[patient_id], A1752)</f>
        <v>1</v>
      </c>
    </row>
    <row r="1753" spans="1:9" x14ac:dyDescent="0.25">
      <c r="A1753" t="s">
        <v>2792</v>
      </c>
      <c r="B1753" t="s">
        <v>2793</v>
      </c>
      <c r="C1753" s="3">
        <v>45925</v>
      </c>
      <c r="D1753">
        <v>28</v>
      </c>
      <c r="E1753" s="3" t="str">
        <f t="shared" si="27"/>
        <v/>
      </c>
      <c r="F1753" s="3" t="str">
        <f>IF(TableRefills3[[#This Row],[prev_refill_days]]="","",TableRefills3[[#This Row],[prev_refill_days]]+TableRefills3[[#This Row],[quantity_days]])</f>
        <v/>
      </c>
      <c r="G1753" t="str">
        <f>IF(TableRefills3[[#This Row],[prev_refill_end]]="","",TableRefills3[[#This Row],[refill_date]]-TableRefills3[[#This Row],[prev_refill_end]])</f>
        <v/>
      </c>
      <c r="H1753" s="10">
        <f>IF(TableRefills3[[#This Row],[gap_days]]="",0,IF(TableRefills3[[#This Row],[gap_days]]&gt;2,1,0))</f>
        <v>0</v>
      </c>
      <c r="I1753">
        <f>_xlfn.MAXIFS(TableRefills3[discountinuation_flag], TableRefills3[patient_id], A1753)</f>
        <v>0</v>
      </c>
    </row>
    <row r="1754" spans="1:9" x14ac:dyDescent="0.25">
      <c r="A1754" t="s">
        <v>2792</v>
      </c>
      <c r="B1754" t="s">
        <v>2793</v>
      </c>
      <c r="C1754" s="3">
        <v>45950</v>
      </c>
      <c r="D1754">
        <v>28</v>
      </c>
      <c r="E1754" s="3">
        <f t="shared" si="27"/>
        <v>45925</v>
      </c>
      <c r="F1754" s="3">
        <f>IF(TableRefills3[[#This Row],[prev_refill_days]]="","",TableRefills3[[#This Row],[prev_refill_days]]+TableRefills3[[#This Row],[quantity_days]])</f>
        <v>45953</v>
      </c>
      <c r="G1754">
        <f>IF(TableRefills3[[#This Row],[prev_refill_end]]="","",TableRefills3[[#This Row],[refill_date]]-TableRefills3[[#This Row],[prev_refill_end]])</f>
        <v>-3</v>
      </c>
      <c r="H1754" s="10">
        <f>IF(TableRefills3[[#This Row],[gap_days]]="",0,IF(TableRefills3[[#This Row],[gap_days]]&gt;2,1,0))</f>
        <v>0</v>
      </c>
      <c r="I1754">
        <f>_xlfn.MAXIFS(TableRefills3[discountinuation_flag], TableRefills3[patient_id], A1754)</f>
        <v>0</v>
      </c>
    </row>
    <row r="1755" spans="1:9" x14ac:dyDescent="0.25">
      <c r="A1755" t="s">
        <v>2796</v>
      </c>
      <c r="B1755" t="s">
        <v>2797</v>
      </c>
      <c r="C1755" s="3">
        <v>45925</v>
      </c>
      <c r="D1755">
        <v>14</v>
      </c>
      <c r="E1755" s="3" t="str">
        <f t="shared" si="27"/>
        <v/>
      </c>
      <c r="F1755" s="3" t="str">
        <f>IF(TableRefills3[[#This Row],[prev_refill_days]]="","",TableRefills3[[#This Row],[prev_refill_days]]+TableRefills3[[#This Row],[quantity_days]])</f>
        <v/>
      </c>
      <c r="G1755" t="str">
        <f>IF(TableRefills3[[#This Row],[prev_refill_end]]="","",TableRefills3[[#This Row],[refill_date]]-TableRefills3[[#This Row],[prev_refill_end]])</f>
        <v/>
      </c>
      <c r="H1755" s="10">
        <f>IF(TableRefills3[[#This Row],[gap_days]]="",0,IF(TableRefills3[[#This Row],[gap_days]]&gt;2,1,0))</f>
        <v>0</v>
      </c>
      <c r="I1755">
        <f>_xlfn.MAXIFS(TableRefills3[discountinuation_flag], TableRefills3[patient_id], A1755)</f>
        <v>0</v>
      </c>
    </row>
    <row r="1756" spans="1:9" x14ac:dyDescent="0.25">
      <c r="A1756" t="s">
        <v>2796</v>
      </c>
      <c r="B1756" t="s">
        <v>2797</v>
      </c>
      <c r="C1756" s="3">
        <v>45940</v>
      </c>
      <c r="D1756">
        <v>14</v>
      </c>
      <c r="E1756" s="3">
        <f t="shared" si="27"/>
        <v>45925</v>
      </c>
      <c r="F1756" s="3">
        <f>IF(TableRefills3[[#This Row],[prev_refill_days]]="","",TableRefills3[[#This Row],[prev_refill_days]]+TableRefills3[[#This Row],[quantity_days]])</f>
        <v>45939</v>
      </c>
      <c r="G1756">
        <f>IF(TableRefills3[[#This Row],[prev_refill_end]]="","",TableRefills3[[#This Row],[refill_date]]-TableRefills3[[#This Row],[prev_refill_end]])</f>
        <v>1</v>
      </c>
      <c r="H1756" s="10">
        <f>IF(TableRefills3[[#This Row],[gap_days]]="",0,IF(TableRefills3[[#This Row],[gap_days]]&gt;2,1,0))</f>
        <v>0</v>
      </c>
      <c r="I1756">
        <f>_xlfn.MAXIFS(TableRefills3[discountinuation_flag], TableRefills3[patient_id], A1756)</f>
        <v>0</v>
      </c>
    </row>
    <row r="1757" spans="1:9" x14ac:dyDescent="0.25">
      <c r="A1757" t="s">
        <v>2796</v>
      </c>
      <c r="B1757" t="s">
        <v>2797</v>
      </c>
      <c r="C1757" s="3">
        <v>45953</v>
      </c>
      <c r="D1757">
        <v>14</v>
      </c>
      <c r="E1757" s="3">
        <f t="shared" si="27"/>
        <v>45940</v>
      </c>
      <c r="F1757" s="3">
        <f>IF(TableRefills3[[#This Row],[prev_refill_days]]="","",TableRefills3[[#This Row],[prev_refill_days]]+TableRefills3[[#This Row],[quantity_days]])</f>
        <v>45954</v>
      </c>
      <c r="G1757">
        <f>IF(TableRefills3[[#This Row],[prev_refill_end]]="","",TableRefills3[[#This Row],[refill_date]]-TableRefills3[[#This Row],[prev_refill_end]])</f>
        <v>-1</v>
      </c>
      <c r="H1757" s="10">
        <f>IF(TableRefills3[[#This Row],[gap_days]]="",0,IF(TableRefills3[[#This Row],[gap_days]]&gt;2,1,0))</f>
        <v>0</v>
      </c>
      <c r="I1757">
        <f>_xlfn.MAXIFS(TableRefills3[discountinuation_flag], TableRefills3[patient_id], A1757)</f>
        <v>0</v>
      </c>
    </row>
    <row r="1758" spans="1:9" x14ac:dyDescent="0.25">
      <c r="A1758" t="s">
        <v>2801</v>
      </c>
      <c r="B1758" t="s">
        <v>2802</v>
      </c>
      <c r="C1758" s="3">
        <v>45950</v>
      </c>
      <c r="D1758">
        <v>28</v>
      </c>
      <c r="E1758" s="3" t="str">
        <f t="shared" si="27"/>
        <v/>
      </c>
      <c r="F1758" s="3" t="str">
        <f>IF(TableRefills3[[#This Row],[prev_refill_days]]="","",TableRefills3[[#This Row],[prev_refill_days]]+TableRefills3[[#This Row],[quantity_days]])</f>
        <v/>
      </c>
      <c r="G1758" t="str">
        <f>IF(TableRefills3[[#This Row],[prev_refill_end]]="","",TableRefills3[[#This Row],[refill_date]]-TableRefills3[[#This Row],[prev_refill_end]])</f>
        <v/>
      </c>
      <c r="H1758" s="10">
        <f>IF(TableRefills3[[#This Row],[gap_days]]="",0,IF(TableRefills3[[#This Row],[gap_days]]&gt;2,1,0))</f>
        <v>0</v>
      </c>
      <c r="I1758">
        <f>_xlfn.MAXIFS(TableRefills3[discountinuation_flag], TableRefills3[patient_id], A1758)</f>
        <v>0</v>
      </c>
    </row>
    <row r="1759" spans="1:9" x14ac:dyDescent="0.25">
      <c r="A1759" t="s">
        <v>2804</v>
      </c>
      <c r="B1759" t="s">
        <v>2805</v>
      </c>
      <c r="C1759" s="3">
        <v>45860</v>
      </c>
      <c r="D1759">
        <v>30</v>
      </c>
      <c r="E1759" s="3" t="str">
        <f t="shared" si="27"/>
        <v/>
      </c>
      <c r="F1759" s="3" t="str">
        <f>IF(TableRefills3[[#This Row],[prev_refill_days]]="","",TableRefills3[[#This Row],[prev_refill_days]]+TableRefills3[[#This Row],[quantity_days]])</f>
        <v/>
      </c>
      <c r="G1759" t="str">
        <f>IF(TableRefills3[[#This Row],[prev_refill_end]]="","",TableRefills3[[#This Row],[refill_date]]-TableRefills3[[#This Row],[prev_refill_end]])</f>
        <v/>
      </c>
      <c r="H1759" s="10">
        <f>IF(TableRefills3[[#This Row],[gap_days]]="",0,IF(TableRefills3[[#This Row],[gap_days]]&gt;2,1,0))</f>
        <v>0</v>
      </c>
      <c r="I1759">
        <f>_xlfn.MAXIFS(TableRefills3[discountinuation_flag], TableRefills3[patient_id], A1759)</f>
        <v>1</v>
      </c>
    </row>
    <row r="1760" spans="1:9" x14ac:dyDescent="0.25">
      <c r="A1760" t="s">
        <v>2804</v>
      </c>
      <c r="B1760" t="s">
        <v>2805</v>
      </c>
      <c r="C1760" s="3">
        <v>45889</v>
      </c>
      <c r="D1760">
        <v>30</v>
      </c>
      <c r="E1760" s="3">
        <f t="shared" si="27"/>
        <v>45860</v>
      </c>
      <c r="F1760" s="3">
        <f>IF(TableRefills3[[#This Row],[prev_refill_days]]="","",TableRefills3[[#This Row],[prev_refill_days]]+TableRefills3[[#This Row],[quantity_days]])</f>
        <v>45890</v>
      </c>
      <c r="G1760">
        <f>IF(TableRefills3[[#This Row],[prev_refill_end]]="","",TableRefills3[[#This Row],[refill_date]]-TableRefills3[[#This Row],[prev_refill_end]])</f>
        <v>-1</v>
      </c>
      <c r="H1760" s="10">
        <f>IF(TableRefills3[[#This Row],[gap_days]]="",0,IF(TableRefills3[[#This Row],[gap_days]]&gt;2,1,0))</f>
        <v>0</v>
      </c>
      <c r="I1760">
        <f>_xlfn.MAXIFS(TableRefills3[discountinuation_flag], TableRefills3[patient_id], A1760)</f>
        <v>1</v>
      </c>
    </row>
    <row r="1761" spans="1:9" x14ac:dyDescent="0.25">
      <c r="A1761" t="s">
        <v>2804</v>
      </c>
      <c r="B1761" t="s">
        <v>2805</v>
      </c>
      <c r="C1761" s="3">
        <v>45922</v>
      </c>
      <c r="D1761">
        <v>30</v>
      </c>
      <c r="E1761" s="3">
        <f t="shared" si="27"/>
        <v>45889</v>
      </c>
      <c r="F1761" s="3">
        <f>IF(TableRefills3[[#This Row],[prev_refill_days]]="","",TableRefills3[[#This Row],[prev_refill_days]]+TableRefills3[[#This Row],[quantity_days]])</f>
        <v>45919</v>
      </c>
      <c r="G1761">
        <f>IF(TableRefills3[[#This Row],[prev_refill_end]]="","",TableRefills3[[#This Row],[refill_date]]-TableRefills3[[#This Row],[prev_refill_end]])</f>
        <v>3</v>
      </c>
      <c r="H1761" s="10">
        <f>IF(TableRefills3[[#This Row],[gap_days]]="",0,IF(TableRefills3[[#This Row],[gap_days]]&gt;2,1,0))</f>
        <v>1</v>
      </c>
      <c r="I1761">
        <f>_xlfn.MAXIFS(TableRefills3[discountinuation_flag], TableRefills3[patient_id], A1761)</f>
        <v>1</v>
      </c>
    </row>
    <row r="1762" spans="1:9" x14ac:dyDescent="0.25">
      <c r="A1762" t="s">
        <v>2804</v>
      </c>
      <c r="B1762" t="s">
        <v>2805</v>
      </c>
      <c r="C1762" s="3">
        <v>45954</v>
      </c>
      <c r="D1762">
        <v>30</v>
      </c>
      <c r="E1762" s="3">
        <f t="shared" si="27"/>
        <v>45922</v>
      </c>
      <c r="F1762" s="3">
        <f>IF(TableRefills3[[#This Row],[prev_refill_days]]="","",TableRefills3[[#This Row],[prev_refill_days]]+TableRefills3[[#This Row],[quantity_days]])</f>
        <v>45952</v>
      </c>
      <c r="G1762">
        <f>IF(TableRefills3[[#This Row],[prev_refill_end]]="","",TableRefills3[[#This Row],[refill_date]]-TableRefills3[[#This Row],[prev_refill_end]])</f>
        <v>2</v>
      </c>
      <c r="H1762" s="10">
        <f>IF(TableRefills3[[#This Row],[gap_days]]="",0,IF(TableRefills3[[#This Row],[gap_days]]&gt;2,1,0))</f>
        <v>0</v>
      </c>
      <c r="I1762">
        <f>_xlfn.MAXIFS(TableRefills3[discountinuation_flag], TableRefills3[patient_id], A1762)</f>
        <v>1</v>
      </c>
    </row>
    <row r="1763" spans="1:9" x14ac:dyDescent="0.25">
      <c r="A1763" t="s">
        <v>2810</v>
      </c>
      <c r="B1763" t="s">
        <v>2811</v>
      </c>
      <c r="C1763" s="3">
        <v>45855</v>
      </c>
      <c r="D1763">
        <v>30</v>
      </c>
      <c r="E1763" s="3" t="str">
        <f t="shared" si="27"/>
        <v/>
      </c>
      <c r="F1763" s="3" t="str">
        <f>IF(TableRefills3[[#This Row],[prev_refill_days]]="","",TableRefills3[[#This Row],[prev_refill_days]]+TableRefills3[[#This Row],[quantity_days]])</f>
        <v/>
      </c>
      <c r="G1763" t="str">
        <f>IF(TableRefills3[[#This Row],[prev_refill_end]]="","",TableRefills3[[#This Row],[refill_date]]-TableRefills3[[#This Row],[prev_refill_end]])</f>
        <v/>
      </c>
      <c r="H1763" s="10">
        <f>IF(TableRefills3[[#This Row],[gap_days]]="",0,IF(TableRefills3[[#This Row],[gap_days]]&gt;2,1,0))</f>
        <v>0</v>
      </c>
      <c r="I1763">
        <f>_xlfn.MAXIFS(TableRefills3[discountinuation_flag], TableRefills3[patient_id], A1763)</f>
        <v>0</v>
      </c>
    </row>
    <row r="1764" spans="1:9" x14ac:dyDescent="0.25">
      <c r="A1764" t="s">
        <v>2810</v>
      </c>
      <c r="B1764" t="s">
        <v>2811</v>
      </c>
      <c r="C1764" s="3">
        <v>45886</v>
      </c>
      <c r="D1764">
        <v>30</v>
      </c>
      <c r="E1764" s="3">
        <f t="shared" si="27"/>
        <v>45855</v>
      </c>
      <c r="F1764" s="3">
        <f>IF(TableRefills3[[#This Row],[prev_refill_days]]="","",TableRefills3[[#This Row],[prev_refill_days]]+TableRefills3[[#This Row],[quantity_days]])</f>
        <v>45885</v>
      </c>
      <c r="G1764">
        <f>IF(TableRefills3[[#This Row],[prev_refill_end]]="","",TableRefills3[[#This Row],[refill_date]]-TableRefills3[[#This Row],[prev_refill_end]])</f>
        <v>1</v>
      </c>
      <c r="H1764" s="10">
        <f>IF(TableRefills3[[#This Row],[gap_days]]="",0,IF(TableRefills3[[#This Row],[gap_days]]&gt;2,1,0))</f>
        <v>0</v>
      </c>
      <c r="I1764">
        <f>_xlfn.MAXIFS(TableRefills3[discountinuation_flag], TableRefills3[patient_id], A1764)</f>
        <v>0</v>
      </c>
    </row>
    <row r="1765" spans="1:9" x14ac:dyDescent="0.25">
      <c r="A1765" t="s">
        <v>2810</v>
      </c>
      <c r="B1765" t="s">
        <v>2811</v>
      </c>
      <c r="C1765" s="3">
        <v>45917</v>
      </c>
      <c r="D1765">
        <v>30</v>
      </c>
      <c r="E1765" s="3">
        <f t="shared" si="27"/>
        <v>45886</v>
      </c>
      <c r="F1765" s="3">
        <f>IF(TableRefills3[[#This Row],[prev_refill_days]]="","",TableRefills3[[#This Row],[prev_refill_days]]+TableRefills3[[#This Row],[quantity_days]])</f>
        <v>45916</v>
      </c>
      <c r="G1765">
        <f>IF(TableRefills3[[#This Row],[prev_refill_end]]="","",TableRefills3[[#This Row],[refill_date]]-TableRefills3[[#This Row],[prev_refill_end]])</f>
        <v>1</v>
      </c>
      <c r="H1765" s="10">
        <f>IF(TableRefills3[[#This Row],[gap_days]]="",0,IF(TableRefills3[[#This Row],[gap_days]]&gt;2,1,0))</f>
        <v>0</v>
      </c>
      <c r="I1765">
        <f>_xlfn.MAXIFS(TableRefills3[discountinuation_flag], TableRefills3[patient_id], A1765)</f>
        <v>0</v>
      </c>
    </row>
    <row r="1766" spans="1:9" x14ac:dyDescent="0.25">
      <c r="A1766" t="s">
        <v>2810</v>
      </c>
      <c r="B1766" t="s">
        <v>2811</v>
      </c>
      <c r="C1766" s="3">
        <v>45948</v>
      </c>
      <c r="D1766">
        <v>30</v>
      </c>
      <c r="E1766" s="3">
        <f t="shared" si="27"/>
        <v>45917</v>
      </c>
      <c r="F1766" s="3">
        <f>IF(TableRefills3[[#This Row],[prev_refill_days]]="","",TableRefills3[[#This Row],[prev_refill_days]]+TableRefills3[[#This Row],[quantity_days]])</f>
        <v>45947</v>
      </c>
      <c r="G1766">
        <f>IF(TableRefills3[[#This Row],[prev_refill_end]]="","",TableRefills3[[#This Row],[refill_date]]-TableRefills3[[#This Row],[prev_refill_end]])</f>
        <v>1</v>
      </c>
      <c r="H1766" s="10">
        <f>IF(TableRefills3[[#This Row],[gap_days]]="",0,IF(TableRefills3[[#This Row],[gap_days]]&gt;2,1,0))</f>
        <v>0</v>
      </c>
      <c r="I1766">
        <f>_xlfn.MAXIFS(TableRefills3[discountinuation_flag], TableRefills3[patient_id], A1766)</f>
        <v>0</v>
      </c>
    </row>
    <row r="1767" spans="1:9" x14ac:dyDescent="0.25">
      <c r="A1767" t="s">
        <v>2816</v>
      </c>
      <c r="B1767" t="s">
        <v>2817</v>
      </c>
      <c r="C1767" s="3">
        <v>45947</v>
      </c>
      <c r="D1767">
        <v>56</v>
      </c>
      <c r="E1767" s="3" t="str">
        <f t="shared" si="27"/>
        <v/>
      </c>
      <c r="F1767" s="3" t="str">
        <f>IF(TableRefills3[[#This Row],[prev_refill_days]]="","",TableRefills3[[#This Row],[prev_refill_days]]+TableRefills3[[#This Row],[quantity_days]])</f>
        <v/>
      </c>
      <c r="G1767" t="str">
        <f>IF(TableRefills3[[#This Row],[prev_refill_end]]="","",TableRefills3[[#This Row],[refill_date]]-TableRefills3[[#This Row],[prev_refill_end]])</f>
        <v/>
      </c>
      <c r="H1767" s="10">
        <f>IF(TableRefills3[[#This Row],[gap_days]]="",0,IF(TableRefills3[[#This Row],[gap_days]]&gt;2,1,0))</f>
        <v>0</v>
      </c>
      <c r="I1767">
        <f>_xlfn.MAXIFS(TableRefills3[discountinuation_flag], TableRefills3[patient_id], A1767)</f>
        <v>0</v>
      </c>
    </row>
    <row r="1768" spans="1:9" x14ac:dyDescent="0.25">
      <c r="A1768" t="s">
        <v>2819</v>
      </c>
      <c r="B1768" t="s">
        <v>2820</v>
      </c>
      <c r="C1768" s="3">
        <v>45834</v>
      </c>
      <c r="D1768">
        <v>28</v>
      </c>
      <c r="E1768" s="3" t="str">
        <f t="shared" si="27"/>
        <v/>
      </c>
      <c r="F1768" s="3" t="str">
        <f>IF(TableRefills3[[#This Row],[prev_refill_days]]="","",TableRefills3[[#This Row],[prev_refill_days]]+TableRefills3[[#This Row],[quantity_days]])</f>
        <v/>
      </c>
      <c r="G1768" t="str">
        <f>IF(TableRefills3[[#This Row],[prev_refill_end]]="","",TableRefills3[[#This Row],[refill_date]]-TableRefills3[[#This Row],[prev_refill_end]])</f>
        <v/>
      </c>
      <c r="H1768" s="10">
        <f>IF(TableRefills3[[#This Row],[gap_days]]="",0,IF(TableRefills3[[#This Row],[gap_days]]&gt;2,1,0))</f>
        <v>0</v>
      </c>
      <c r="I1768">
        <f>_xlfn.MAXIFS(TableRefills3[discountinuation_flag], TableRefills3[patient_id], A1768)</f>
        <v>0</v>
      </c>
    </row>
    <row r="1769" spans="1:9" x14ac:dyDescent="0.25">
      <c r="A1769" t="s">
        <v>2819</v>
      </c>
      <c r="B1769" t="s">
        <v>2820</v>
      </c>
      <c r="C1769" s="3">
        <v>45860</v>
      </c>
      <c r="D1769">
        <v>28</v>
      </c>
      <c r="E1769" s="3">
        <f t="shared" si="27"/>
        <v>45834</v>
      </c>
      <c r="F1769" s="3">
        <f>IF(TableRefills3[[#This Row],[prev_refill_days]]="","",TableRefills3[[#This Row],[prev_refill_days]]+TableRefills3[[#This Row],[quantity_days]])</f>
        <v>45862</v>
      </c>
      <c r="G1769">
        <f>IF(TableRefills3[[#This Row],[prev_refill_end]]="","",TableRefills3[[#This Row],[refill_date]]-TableRefills3[[#This Row],[prev_refill_end]])</f>
        <v>-2</v>
      </c>
      <c r="H1769" s="10">
        <f>IF(TableRefills3[[#This Row],[gap_days]]="",0,IF(TableRefills3[[#This Row],[gap_days]]&gt;2,1,0))</f>
        <v>0</v>
      </c>
      <c r="I1769">
        <f>_xlfn.MAXIFS(TableRefills3[discountinuation_flag], TableRefills3[patient_id], A1769)</f>
        <v>0</v>
      </c>
    </row>
    <row r="1770" spans="1:9" x14ac:dyDescent="0.25">
      <c r="A1770" t="s">
        <v>2819</v>
      </c>
      <c r="B1770" t="s">
        <v>2820</v>
      </c>
      <c r="C1770" s="3">
        <v>45887</v>
      </c>
      <c r="D1770">
        <v>28</v>
      </c>
      <c r="E1770" s="3">
        <f t="shared" si="27"/>
        <v>45860</v>
      </c>
      <c r="F1770" s="3">
        <f>IF(TableRefills3[[#This Row],[prev_refill_days]]="","",TableRefills3[[#This Row],[prev_refill_days]]+TableRefills3[[#This Row],[quantity_days]])</f>
        <v>45888</v>
      </c>
      <c r="G1770">
        <f>IF(TableRefills3[[#This Row],[prev_refill_end]]="","",TableRefills3[[#This Row],[refill_date]]-TableRefills3[[#This Row],[prev_refill_end]])</f>
        <v>-1</v>
      </c>
      <c r="H1770" s="10">
        <f>IF(TableRefills3[[#This Row],[gap_days]]="",0,IF(TableRefills3[[#This Row],[gap_days]]&gt;2,1,0))</f>
        <v>0</v>
      </c>
      <c r="I1770">
        <f>_xlfn.MAXIFS(TableRefills3[discountinuation_flag], TableRefills3[patient_id], A1770)</f>
        <v>0</v>
      </c>
    </row>
    <row r="1771" spans="1:9" x14ac:dyDescent="0.25">
      <c r="A1771" t="s">
        <v>2819</v>
      </c>
      <c r="B1771" t="s">
        <v>2820</v>
      </c>
      <c r="C1771" s="3">
        <v>45916</v>
      </c>
      <c r="D1771">
        <v>28</v>
      </c>
      <c r="E1771" s="3">
        <f t="shared" si="27"/>
        <v>45887</v>
      </c>
      <c r="F1771" s="3">
        <f>IF(TableRefills3[[#This Row],[prev_refill_days]]="","",TableRefills3[[#This Row],[prev_refill_days]]+TableRefills3[[#This Row],[quantity_days]])</f>
        <v>45915</v>
      </c>
      <c r="G1771">
        <f>IF(TableRefills3[[#This Row],[prev_refill_end]]="","",TableRefills3[[#This Row],[refill_date]]-TableRefills3[[#This Row],[prev_refill_end]])</f>
        <v>1</v>
      </c>
      <c r="H1771" s="10">
        <f>IF(TableRefills3[[#This Row],[gap_days]]="",0,IF(TableRefills3[[#This Row],[gap_days]]&gt;2,1,0))</f>
        <v>0</v>
      </c>
      <c r="I1771">
        <f>_xlfn.MAXIFS(TableRefills3[discountinuation_flag], TableRefills3[patient_id], A1771)</f>
        <v>0</v>
      </c>
    </row>
    <row r="1772" spans="1:9" x14ac:dyDescent="0.25">
      <c r="A1772" t="s">
        <v>2819</v>
      </c>
      <c r="B1772" t="s">
        <v>2820</v>
      </c>
      <c r="C1772" s="3">
        <v>45942</v>
      </c>
      <c r="D1772">
        <v>28</v>
      </c>
      <c r="E1772" s="3">
        <f t="shared" si="27"/>
        <v>45916</v>
      </c>
      <c r="F1772" s="3">
        <f>IF(TableRefills3[[#This Row],[prev_refill_days]]="","",TableRefills3[[#This Row],[prev_refill_days]]+TableRefills3[[#This Row],[quantity_days]])</f>
        <v>45944</v>
      </c>
      <c r="G1772">
        <f>IF(TableRefills3[[#This Row],[prev_refill_end]]="","",TableRefills3[[#This Row],[refill_date]]-TableRefills3[[#This Row],[prev_refill_end]])</f>
        <v>-2</v>
      </c>
      <c r="H1772" s="10">
        <f>IF(TableRefills3[[#This Row],[gap_days]]="",0,IF(TableRefills3[[#This Row],[gap_days]]&gt;2,1,0))</f>
        <v>0</v>
      </c>
      <c r="I1772">
        <f>_xlfn.MAXIFS(TableRefills3[discountinuation_flag], TableRefills3[patient_id], A1772)</f>
        <v>0</v>
      </c>
    </row>
    <row r="1773" spans="1:9" x14ac:dyDescent="0.25">
      <c r="A1773" t="s">
        <v>2826</v>
      </c>
      <c r="B1773" t="s">
        <v>2827</v>
      </c>
      <c r="C1773" s="3">
        <v>45854</v>
      </c>
      <c r="D1773">
        <v>28</v>
      </c>
      <c r="E1773" s="3" t="str">
        <f t="shared" si="27"/>
        <v/>
      </c>
      <c r="F1773" s="3" t="str">
        <f>IF(TableRefills3[[#This Row],[prev_refill_days]]="","",TableRefills3[[#This Row],[prev_refill_days]]+TableRefills3[[#This Row],[quantity_days]])</f>
        <v/>
      </c>
      <c r="G1773" t="str">
        <f>IF(TableRefills3[[#This Row],[prev_refill_end]]="","",TableRefills3[[#This Row],[refill_date]]-TableRefills3[[#This Row],[prev_refill_end]])</f>
        <v/>
      </c>
      <c r="H1773" s="10">
        <f>IF(TableRefills3[[#This Row],[gap_days]]="",0,IF(TableRefills3[[#This Row],[gap_days]]&gt;2,1,0))</f>
        <v>0</v>
      </c>
      <c r="I1773">
        <f>_xlfn.MAXIFS(TableRefills3[discountinuation_flag], TableRefills3[patient_id], A1773)</f>
        <v>0</v>
      </c>
    </row>
    <row r="1774" spans="1:9" x14ac:dyDescent="0.25">
      <c r="A1774" t="s">
        <v>2826</v>
      </c>
      <c r="B1774" t="s">
        <v>2827</v>
      </c>
      <c r="C1774" s="3">
        <v>45879</v>
      </c>
      <c r="D1774">
        <v>28</v>
      </c>
      <c r="E1774" s="3">
        <f t="shared" si="27"/>
        <v>45854</v>
      </c>
      <c r="F1774" s="3">
        <f>IF(TableRefills3[[#This Row],[prev_refill_days]]="","",TableRefills3[[#This Row],[prev_refill_days]]+TableRefills3[[#This Row],[quantity_days]])</f>
        <v>45882</v>
      </c>
      <c r="G1774">
        <f>IF(TableRefills3[[#This Row],[prev_refill_end]]="","",TableRefills3[[#This Row],[refill_date]]-TableRefills3[[#This Row],[prev_refill_end]])</f>
        <v>-3</v>
      </c>
      <c r="H1774" s="10">
        <f>IF(TableRefills3[[#This Row],[gap_days]]="",0,IF(TableRefills3[[#This Row],[gap_days]]&gt;2,1,0))</f>
        <v>0</v>
      </c>
      <c r="I1774">
        <f>_xlfn.MAXIFS(TableRefills3[discountinuation_flag], TableRefills3[patient_id], A1774)</f>
        <v>0</v>
      </c>
    </row>
    <row r="1775" spans="1:9" x14ac:dyDescent="0.25">
      <c r="A1775" t="s">
        <v>2826</v>
      </c>
      <c r="B1775" t="s">
        <v>2827</v>
      </c>
      <c r="C1775" s="3">
        <v>45907</v>
      </c>
      <c r="D1775">
        <v>28</v>
      </c>
      <c r="E1775" s="3">
        <f t="shared" si="27"/>
        <v>45879</v>
      </c>
      <c r="F1775" s="3">
        <f>IF(TableRefills3[[#This Row],[prev_refill_days]]="","",TableRefills3[[#This Row],[prev_refill_days]]+TableRefills3[[#This Row],[quantity_days]])</f>
        <v>45907</v>
      </c>
      <c r="G1775">
        <f>IF(TableRefills3[[#This Row],[prev_refill_end]]="","",TableRefills3[[#This Row],[refill_date]]-TableRefills3[[#This Row],[prev_refill_end]])</f>
        <v>0</v>
      </c>
      <c r="H1775" s="10">
        <f>IF(TableRefills3[[#This Row],[gap_days]]="",0,IF(TableRefills3[[#This Row],[gap_days]]&gt;2,1,0))</f>
        <v>0</v>
      </c>
      <c r="I1775">
        <f>_xlfn.MAXIFS(TableRefills3[discountinuation_flag], TableRefills3[patient_id], A1775)</f>
        <v>0</v>
      </c>
    </row>
    <row r="1776" spans="1:9" x14ac:dyDescent="0.25">
      <c r="A1776" t="s">
        <v>2826</v>
      </c>
      <c r="B1776" t="s">
        <v>2827</v>
      </c>
      <c r="C1776" s="3">
        <v>45933</v>
      </c>
      <c r="D1776">
        <v>28</v>
      </c>
      <c r="E1776" s="3">
        <f t="shared" si="27"/>
        <v>45907</v>
      </c>
      <c r="F1776" s="3">
        <f>IF(TableRefills3[[#This Row],[prev_refill_days]]="","",TableRefills3[[#This Row],[prev_refill_days]]+TableRefills3[[#This Row],[quantity_days]])</f>
        <v>45935</v>
      </c>
      <c r="G1776">
        <f>IF(TableRefills3[[#This Row],[prev_refill_end]]="","",TableRefills3[[#This Row],[refill_date]]-TableRefills3[[#This Row],[prev_refill_end]])</f>
        <v>-2</v>
      </c>
      <c r="H1776" s="10">
        <f>IF(TableRefills3[[#This Row],[gap_days]]="",0,IF(TableRefills3[[#This Row],[gap_days]]&gt;2,1,0))</f>
        <v>0</v>
      </c>
      <c r="I1776">
        <f>_xlfn.MAXIFS(TableRefills3[discountinuation_flag], TableRefills3[patient_id], A1776)</f>
        <v>0</v>
      </c>
    </row>
    <row r="1777" spans="1:9" x14ac:dyDescent="0.25">
      <c r="A1777" t="s">
        <v>2826</v>
      </c>
      <c r="B1777" t="s">
        <v>2827</v>
      </c>
      <c r="C1777" s="3">
        <v>45958</v>
      </c>
      <c r="D1777">
        <v>28</v>
      </c>
      <c r="E1777" s="3">
        <f t="shared" si="27"/>
        <v>45933</v>
      </c>
      <c r="F1777" s="3">
        <f>IF(TableRefills3[[#This Row],[prev_refill_days]]="","",TableRefills3[[#This Row],[prev_refill_days]]+TableRefills3[[#This Row],[quantity_days]])</f>
        <v>45961</v>
      </c>
      <c r="G1777">
        <f>IF(TableRefills3[[#This Row],[prev_refill_end]]="","",TableRefills3[[#This Row],[refill_date]]-TableRefills3[[#This Row],[prev_refill_end]])</f>
        <v>-3</v>
      </c>
      <c r="H1777" s="10">
        <f>IF(TableRefills3[[#This Row],[gap_days]]="",0,IF(TableRefills3[[#This Row],[gap_days]]&gt;2,1,0))</f>
        <v>0</v>
      </c>
      <c r="I1777">
        <f>_xlfn.MAXIFS(TableRefills3[discountinuation_flag], TableRefills3[patient_id], A1777)</f>
        <v>0</v>
      </c>
    </row>
    <row r="1778" spans="1:9" x14ac:dyDescent="0.25">
      <c r="A1778" t="s">
        <v>2833</v>
      </c>
      <c r="B1778" t="s">
        <v>2834</v>
      </c>
      <c r="C1778" s="3">
        <v>45793</v>
      </c>
      <c r="D1778">
        <v>30</v>
      </c>
      <c r="E1778" s="3" t="str">
        <f t="shared" si="27"/>
        <v/>
      </c>
      <c r="F1778" s="3" t="str">
        <f>IF(TableRefills3[[#This Row],[prev_refill_days]]="","",TableRefills3[[#This Row],[prev_refill_days]]+TableRefills3[[#This Row],[quantity_days]])</f>
        <v/>
      </c>
      <c r="G1778" t="str">
        <f>IF(TableRefills3[[#This Row],[prev_refill_end]]="","",TableRefills3[[#This Row],[refill_date]]-TableRefills3[[#This Row],[prev_refill_end]])</f>
        <v/>
      </c>
      <c r="H1778" s="10">
        <f>IF(TableRefills3[[#This Row],[gap_days]]="",0,IF(TableRefills3[[#This Row],[gap_days]]&gt;2,1,0))</f>
        <v>0</v>
      </c>
      <c r="I1778">
        <f>_xlfn.MAXIFS(TableRefills3[discountinuation_flag], TableRefills3[patient_id], A1778)</f>
        <v>0</v>
      </c>
    </row>
    <row r="1779" spans="1:9" x14ac:dyDescent="0.25">
      <c r="A1779" t="s">
        <v>2833</v>
      </c>
      <c r="B1779" t="s">
        <v>2834</v>
      </c>
      <c r="C1779" s="3">
        <v>45823</v>
      </c>
      <c r="D1779">
        <v>30</v>
      </c>
      <c r="E1779" s="3">
        <f t="shared" si="27"/>
        <v>45793</v>
      </c>
      <c r="F1779" s="3">
        <f>IF(TableRefills3[[#This Row],[prev_refill_days]]="","",TableRefills3[[#This Row],[prev_refill_days]]+TableRefills3[[#This Row],[quantity_days]])</f>
        <v>45823</v>
      </c>
      <c r="G1779">
        <f>IF(TableRefills3[[#This Row],[prev_refill_end]]="","",TableRefills3[[#This Row],[refill_date]]-TableRefills3[[#This Row],[prev_refill_end]])</f>
        <v>0</v>
      </c>
      <c r="H1779" s="10">
        <f>IF(TableRefills3[[#This Row],[gap_days]]="",0,IF(TableRefills3[[#This Row],[gap_days]]&gt;2,1,0))</f>
        <v>0</v>
      </c>
      <c r="I1779">
        <f>_xlfn.MAXIFS(TableRefills3[discountinuation_flag], TableRefills3[patient_id], A1779)</f>
        <v>0</v>
      </c>
    </row>
    <row r="1780" spans="1:9" x14ac:dyDescent="0.25">
      <c r="A1780" t="s">
        <v>2833</v>
      </c>
      <c r="B1780" t="s">
        <v>2834</v>
      </c>
      <c r="C1780" s="3">
        <v>45853</v>
      </c>
      <c r="D1780">
        <v>30</v>
      </c>
      <c r="E1780" s="3">
        <f t="shared" si="27"/>
        <v>45823</v>
      </c>
      <c r="F1780" s="3">
        <f>IF(TableRefills3[[#This Row],[prev_refill_days]]="","",TableRefills3[[#This Row],[prev_refill_days]]+TableRefills3[[#This Row],[quantity_days]])</f>
        <v>45853</v>
      </c>
      <c r="G1780">
        <f>IF(TableRefills3[[#This Row],[prev_refill_end]]="","",TableRefills3[[#This Row],[refill_date]]-TableRefills3[[#This Row],[prev_refill_end]])</f>
        <v>0</v>
      </c>
      <c r="H1780" s="10">
        <f>IF(TableRefills3[[#This Row],[gap_days]]="",0,IF(TableRefills3[[#This Row],[gap_days]]&gt;2,1,0))</f>
        <v>0</v>
      </c>
      <c r="I1780">
        <f>_xlfn.MAXIFS(TableRefills3[discountinuation_flag], TableRefills3[patient_id], A1780)</f>
        <v>0</v>
      </c>
    </row>
    <row r="1781" spans="1:9" x14ac:dyDescent="0.25">
      <c r="A1781" t="s">
        <v>2833</v>
      </c>
      <c r="B1781" t="s">
        <v>2834</v>
      </c>
      <c r="C1781" s="3">
        <v>45885</v>
      </c>
      <c r="D1781">
        <v>30</v>
      </c>
      <c r="E1781" s="3">
        <f t="shared" si="27"/>
        <v>45853</v>
      </c>
      <c r="F1781" s="3">
        <f>IF(TableRefills3[[#This Row],[prev_refill_days]]="","",TableRefills3[[#This Row],[prev_refill_days]]+TableRefills3[[#This Row],[quantity_days]])</f>
        <v>45883</v>
      </c>
      <c r="G1781">
        <f>IF(TableRefills3[[#This Row],[prev_refill_end]]="","",TableRefills3[[#This Row],[refill_date]]-TableRefills3[[#This Row],[prev_refill_end]])</f>
        <v>2</v>
      </c>
      <c r="H1781" s="10">
        <f>IF(TableRefills3[[#This Row],[gap_days]]="",0,IF(TableRefills3[[#This Row],[gap_days]]&gt;2,1,0))</f>
        <v>0</v>
      </c>
      <c r="I1781">
        <f>_xlfn.MAXIFS(TableRefills3[discountinuation_flag], TableRefills3[patient_id], A1781)</f>
        <v>0</v>
      </c>
    </row>
    <row r="1782" spans="1:9" x14ac:dyDescent="0.25">
      <c r="A1782" t="s">
        <v>2833</v>
      </c>
      <c r="B1782" t="s">
        <v>2834</v>
      </c>
      <c r="C1782" s="3">
        <v>45916</v>
      </c>
      <c r="D1782">
        <v>30</v>
      </c>
      <c r="E1782" s="3">
        <f t="shared" si="27"/>
        <v>45885</v>
      </c>
      <c r="F1782" s="3">
        <f>IF(TableRefills3[[#This Row],[prev_refill_days]]="","",TableRefills3[[#This Row],[prev_refill_days]]+TableRefills3[[#This Row],[quantity_days]])</f>
        <v>45915</v>
      </c>
      <c r="G1782">
        <f>IF(TableRefills3[[#This Row],[prev_refill_end]]="","",TableRefills3[[#This Row],[refill_date]]-TableRefills3[[#This Row],[prev_refill_end]])</f>
        <v>1</v>
      </c>
      <c r="H1782" s="10">
        <f>IF(TableRefills3[[#This Row],[gap_days]]="",0,IF(TableRefills3[[#This Row],[gap_days]]&gt;2,1,0))</f>
        <v>0</v>
      </c>
      <c r="I1782">
        <f>_xlfn.MAXIFS(TableRefills3[discountinuation_flag], TableRefills3[patient_id], A1782)</f>
        <v>0</v>
      </c>
    </row>
    <row r="1783" spans="1:9" x14ac:dyDescent="0.25">
      <c r="A1783" t="s">
        <v>2833</v>
      </c>
      <c r="B1783" t="s">
        <v>2834</v>
      </c>
      <c r="C1783" s="3">
        <v>45943</v>
      </c>
      <c r="D1783">
        <v>30</v>
      </c>
      <c r="E1783" s="3">
        <f t="shared" si="27"/>
        <v>45916</v>
      </c>
      <c r="F1783" s="3">
        <f>IF(TableRefills3[[#This Row],[prev_refill_days]]="","",TableRefills3[[#This Row],[prev_refill_days]]+TableRefills3[[#This Row],[quantity_days]])</f>
        <v>45946</v>
      </c>
      <c r="G1783">
        <f>IF(TableRefills3[[#This Row],[prev_refill_end]]="","",TableRefills3[[#This Row],[refill_date]]-TableRefills3[[#This Row],[prev_refill_end]])</f>
        <v>-3</v>
      </c>
      <c r="H1783" s="10">
        <f>IF(TableRefills3[[#This Row],[gap_days]]="",0,IF(TableRefills3[[#This Row],[gap_days]]&gt;2,1,0))</f>
        <v>0</v>
      </c>
      <c r="I1783">
        <f>_xlfn.MAXIFS(TableRefills3[discountinuation_flag], TableRefills3[patient_id], A1783)</f>
        <v>0</v>
      </c>
    </row>
    <row r="1784" spans="1:9" x14ac:dyDescent="0.25">
      <c r="A1784" t="s">
        <v>2841</v>
      </c>
      <c r="B1784" t="s">
        <v>2842</v>
      </c>
      <c r="C1784" s="3">
        <v>45929</v>
      </c>
      <c r="D1784">
        <v>30</v>
      </c>
      <c r="E1784" s="3" t="str">
        <f t="shared" si="27"/>
        <v/>
      </c>
      <c r="F1784" s="3" t="str">
        <f>IF(TableRefills3[[#This Row],[prev_refill_days]]="","",TableRefills3[[#This Row],[prev_refill_days]]+TableRefills3[[#This Row],[quantity_days]])</f>
        <v/>
      </c>
      <c r="G1784" t="str">
        <f>IF(TableRefills3[[#This Row],[prev_refill_end]]="","",TableRefills3[[#This Row],[refill_date]]-TableRefills3[[#This Row],[prev_refill_end]])</f>
        <v/>
      </c>
      <c r="H1784" s="10">
        <f>IF(TableRefills3[[#This Row],[gap_days]]="",0,IF(TableRefills3[[#This Row],[gap_days]]&gt;2,1,0))</f>
        <v>0</v>
      </c>
      <c r="I1784">
        <f>_xlfn.MAXIFS(TableRefills3[discountinuation_flag], TableRefills3[patient_id], A1784)</f>
        <v>0</v>
      </c>
    </row>
    <row r="1785" spans="1:9" x14ac:dyDescent="0.25">
      <c r="A1785" t="s">
        <v>2841</v>
      </c>
      <c r="B1785" t="s">
        <v>2842</v>
      </c>
      <c r="C1785" s="3">
        <v>45956</v>
      </c>
      <c r="D1785">
        <v>30</v>
      </c>
      <c r="E1785" s="3">
        <f t="shared" si="27"/>
        <v>45929</v>
      </c>
      <c r="F1785" s="3">
        <f>IF(TableRefills3[[#This Row],[prev_refill_days]]="","",TableRefills3[[#This Row],[prev_refill_days]]+TableRefills3[[#This Row],[quantity_days]])</f>
        <v>45959</v>
      </c>
      <c r="G1785">
        <f>IF(TableRefills3[[#This Row],[prev_refill_end]]="","",TableRefills3[[#This Row],[refill_date]]-TableRefills3[[#This Row],[prev_refill_end]])</f>
        <v>-3</v>
      </c>
      <c r="H1785" s="10">
        <f>IF(TableRefills3[[#This Row],[gap_days]]="",0,IF(TableRefills3[[#This Row],[gap_days]]&gt;2,1,0))</f>
        <v>0</v>
      </c>
      <c r="I1785">
        <f>_xlfn.MAXIFS(TableRefills3[discountinuation_flag], TableRefills3[patient_id], A1785)</f>
        <v>0</v>
      </c>
    </row>
    <row r="1786" spans="1:9" x14ac:dyDescent="0.25">
      <c r="A1786" t="s">
        <v>2845</v>
      </c>
      <c r="B1786" t="s">
        <v>2846</v>
      </c>
      <c r="C1786" s="3">
        <v>45822</v>
      </c>
      <c r="D1786">
        <v>28</v>
      </c>
      <c r="E1786" s="3" t="str">
        <f t="shared" si="27"/>
        <v/>
      </c>
      <c r="F1786" s="3" t="str">
        <f>IF(TableRefills3[[#This Row],[prev_refill_days]]="","",TableRefills3[[#This Row],[prev_refill_days]]+TableRefills3[[#This Row],[quantity_days]])</f>
        <v/>
      </c>
      <c r="G1786" t="str">
        <f>IF(TableRefills3[[#This Row],[prev_refill_end]]="","",TableRefills3[[#This Row],[refill_date]]-TableRefills3[[#This Row],[prev_refill_end]])</f>
        <v/>
      </c>
      <c r="H1786" s="10">
        <f>IF(TableRefills3[[#This Row],[gap_days]]="",0,IF(TableRefills3[[#This Row],[gap_days]]&gt;2,1,0))</f>
        <v>0</v>
      </c>
      <c r="I1786">
        <f>_xlfn.MAXIFS(TableRefills3[discountinuation_flag], TableRefills3[patient_id], A1786)</f>
        <v>1</v>
      </c>
    </row>
    <row r="1787" spans="1:9" x14ac:dyDescent="0.25">
      <c r="A1787" t="s">
        <v>2845</v>
      </c>
      <c r="B1787" t="s">
        <v>2846</v>
      </c>
      <c r="C1787" s="3">
        <v>45850</v>
      </c>
      <c r="D1787">
        <v>28</v>
      </c>
      <c r="E1787" s="3">
        <f t="shared" si="27"/>
        <v>45822</v>
      </c>
      <c r="F1787" s="3">
        <f>IF(TableRefills3[[#This Row],[prev_refill_days]]="","",TableRefills3[[#This Row],[prev_refill_days]]+TableRefills3[[#This Row],[quantity_days]])</f>
        <v>45850</v>
      </c>
      <c r="G1787">
        <f>IF(TableRefills3[[#This Row],[prev_refill_end]]="","",TableRefills3[[#This Row],[refill_date]]-TableRefills3[[#This Row],[prev_refill_end]])</f>
        <v>0</v>
      </c>
      <c r="H1787" s="10">
        <f>IF(TableRefills3[[#This Row],[gap_days]]="",0,IF(TableRefills3[[#This Row],[gap_days]]&gt;2,1,0))</f>
        <v>0</v>
      </c>
      <c r="I1787">
        <f>_xlfn.MAXIFS(TableRefills3[discountinuation_flag], TableRefills3[patient_id], A1787)</f>
        <v>1</v>
      </c>
    </row>
    <row r="1788" spans="1:9" x14ac:dyDescent="0.25">
      <c r="A1788" t="s">
        <v>2845</v>
      </c>
      <c r="B1788" t="s">
        <v>2846</v>
      </c>
      <c r="C1788" s="3">
        <v>45881</v>
      </c>
      <c r="D1788">
        <v>28</v>
      </c>
      <c r="E1788" s="3">
        <f t="shared" si="27"/>
        <v>45850</v>
      </c>
      <c r="F1788" s="3">
        <f>IF(TableRefills3[[#This Row],[prev_refill_days]]="","",TableRefills3[[#This Row],[prev_refill_days]]+TableRefills3[[#This Row],[quantity_days]])</f>
        <v>45878</v>
      </c>
      <c r="G1788">
        <f>IF(TableRefills3[[#This Row],[prev_refill_end]]="","",TableRefills3[[#This Row],[refill_date]]-TableRefills3[[#This Row],[prev_refill_end]])</f>
        <v>3</v>
      </c>
      <c r="H1788" s="10">
        <f>IF(TableRefills3[[#This Row],[gap_days]]="",0,IF(TableRefills3[[#This Row],[gap_days]]&gt;2,1,0))</f>
        <v>1</v>
      </c>
      <c r="I1788">
        <f>_xlfn.MAXIFS(TableRefills3[discountinuation_flag], TableRefills3[patient_id], A1788)</f>
        <v>1</v>
      </c>
    </row>
    <row r="1789" spans="1:9" x14ac:dyDescent="0.25">
      <c r="A1789" t="s">
        <v>2845</v>
      </c>
      <c r="B1789" t="s">
        <v>2846</v>
      </c>
      <c r="C1789" s="3">
        <v>45912</v>
      </c>
      <c r="D1789">
        <v>28</v>
      </c>
      <c r="E1789" s="3">
        <f t="shared" si="27"/>
        <v>45881</v>
      </c>
      <c r="F1789" s="3">
        <f>IF(TableRefills3[[#This Row],[prev_refill_days]]="","",TableRefills3[[#This Row],[prev_refill_days]]+TableRefills3[[#This Row],[quantity_days]])</f>
        <v>45909</v>
      </c>
      <c r="G1789">
        <f>IF(TableRefills3[[#This Row],[prev_refill_end]]="","",TableRefills3[[#This Row],[refill_date]]-TableRefills3[[#This Row],[prev_refill_end]])</f>
        <v>3</v>
      </c>
      <c r="H1789" s="10">
        <f>IF(TableRefills3[[#This Row],[gap_days]]="",0,IF(TableRefills3[[#This Row],[gap_days]]&gt;2,1,0))</f>
        <v>1</v>
      </c>
      <c r="I1789">
        <f>_xlfn.MAXIFS(TableRefills3[discountinuation_flag], TableRefills3[patient_id], A1789)</f>
        <v>1</v>
      </c>
    </row>
    <row r="1790" spans="1:9" x14ac:dyDescent="0.25">
      <c r="A1790" t="s">
        <v>2845</v>
      </c>
      <c r="B1790" t="s">
        <v>2846</v>
      </c>
      <c r="C1790" s="3">
        <v>45939</v>
      </c>
      <c r="D1790">
        <v>28</v>
      </c>
      <c r="E1790" s="3">
        <f t="shared" si="27"/>
        <v>45912</v>
      </c>
      <c r="F1790" s="3">
        <f>IF(TableRefills3[[#This Row],[prev_refill_days]]="","",TableRefills3[[#This Row],[prev_refill_days]]+TableRefills3[[#This Row],[quantity_days]])</f>
        <v>45940</v>
      </c>
      <c r="G1790">
        <f>IF(TableRefills3[[#This Row],[prev_refill_end]]="","",TableRefills3[[#This Row],[refill_date]]-TableRefills3[[#This Row],[prev_refill_end]])</f>
        <v>-1</v>
      </c>
      <c r="H1790" s="10">
        <f>IF(TableRefills3[[#This Row],[gap_days]]="",0,IF(TableRefills3[[#This Row],[gap_days]]&gt;2,1,0))</f>
        <v>0</v>
      </c>
      <c r="I1790">
        <f>_xlfn.MAXIFS(TableRefills3[discountinuation_flag], TableRefills3[patient_id], A1790)</f>
        <v>1</v>
      </c>
    </row>
    <row r="1791" spans="1:9" x14ac:dyDescent="0.25">
      <c r="A1791" t="s">
        <v>2852</v>
      </c>
      <c r="B1791" t="s">
        <v>2853</v>
      </c>
      <c r="C1791" s="3">
        <v>45951</v>
      </c>
      <c r="D1791">
        <v>30</v>
      </c>
      <c r="E1791" s="3" t="str">
        <f t="shared" si="27"/>
        <v/>
      </c>
      <c r="F1791" s="3" t="str">
        <f>IF(TableRefills3[[#This Row],[prev_refill_days]]="","",TableRefills3[[#This Row],[prev_refill_days]]+TableRefills3[[#This Row],[quantity_days]])</f>
        <v/>
      </c>
      <c r="G1791" t="str">
        <f>IF(TableRefills3[[#This Row],[prev_refill_end]]="","",TableRefills3[[#This Row],[refill_date]]-TableRefills3[[#This Row],[prev_refill_end]])</f>
        <v/>
      </c>
      <c r="H1791" s="10">
        <f>IF(TableRefills3[[#This Row],[gap_days]]="",0,IF(TableRefills3[[#This Row],[gap_days]]&gt;2,1,0))</f>
        <v>0</v>
      </c>
      <c r="I1791">
        <f>_xlfn.MAXIFS(TableRefills3[discountinuation_flag], TableRefills3[patient_id], A1791)</f>
        <v>0</v>
      </c>
    </row>
    <row r="1792" spans="1:9" x14ac:dyDescent="0.25">
      <c r="A1792" t="s">
        <v>2855</v>
      </c>
      <c r="B1792" t="s">
        <v>2856</v>
      </c>
      <c r="C1792" s="3">
        <v>45920</v>
      </c>
      <c r="D1792">
        <v>30</v>
      </c>
      <c r="E1792" s="3" t="str">
        <f t="shared" si="27"/>
        <v/>
      </c>
      <c r="F1792" s="3" t="str">
        <f>IF(TableRefills3[[#This Row],[prev_refill_days]]="","",TableRefills3[[#This Row],[prev_refill_days]]+TableRefills3[[#This Row],[quantity_days]])</f>
        <v/>
      </c>
      <c r="G1792" t="str">
        <f>IF(TableRefills3[[#This Row],[prev_refill_end]]="","",TableRefills3[[#This Row],[refill_date]]-TableRefills3[[#This Row],[prev_refill_end]])</f>
        <v/>
      </c>
      <c r="H1792" s="10">
        <f>IF(TableRefills3[[#This Row],[gap_days]]="",0,IF(TableRefills3[[#This Row],[gap_days]]&gt;2,1,0))</f>
        <v>0</v>
      </c>
      <c r="I1792">
        <f>_xlfn.MAXIFS(TableRefills3[discountinuation_flag], TableRefills3[patient_id], A1792)</f>
        <v>1</v>
      </c>
    </row>
    <row r="1793" spans="1:9" x14ac:dyDescent="0.25">
      <c r="A1793" t="s">
        <v>2855</v>
      </c>
      <c r="B1793" t="s">
        <v>2856</v>
      </c>
      <c r="C1793" s="3">
        <v>45953</v>
      </c>
      <c r="D1793">
        <v>30</v>
      </c>
      <c r="E1793" s="3">
        <f t="shared" si="27"/>
        <v>45920</v>
      </c>
      <c r="F1793" s="3">
        <f>IF(TableRefills3[[#This Row],[prev_refill_days]]="","",TableRefills3[[#This Row],[prev_refill_days]]+TableRefills3[[#This Row],[quantity_days]])</f>
        <v>45950</v>
      </c>
      <c r="G1793">
        <f>IF(TableRefills3[[#This Row],[prev_refill_end]]="","",TableRefills3[[#This Row],[refill_date]]-TableRefills3[[#This Row],[prev_refill_end]])</f>
        <v>3</v>
      </c>
      <c r="H1793" s="10">
        <f>IF(TableRefills3[[#This Row],[gap_days]]="",0,IF(TableRefills3[[#This Row],[gap_days]]&gt;2,1,0))</f>
        <v>1</v>
      </c>
      <c r="I1793">
        <f>_xlfn.MAXIFS(TableRefills3[discountinuation_flag], TableRefills3[patient_id], A1793)</f>
        <v>1</v>
      </c>
    </row>
    <row r="1794" spans="1:9" x14ac:dyDescent="0.25">
      <c r="A1794" t="s">
        <v>2859</v>
      </c>
      <c r="B1794" t="s">
        <v>2860</v>
      </c>
      <c r="C1794" s="3">
        <v>45790</v>
      </c>
      <c r="D1794">
        <v>28</v>
      </c>
      <c r="E1794" s="3" t="str">
        <f t="shared" ref="E1794:E1857" si="28">IF(A1793=A1794,C1793,"")</f>
        <v/>
      </c>
      <c r="F1794" s="3" t="str">
        <f>IF(TableRefills3[[#This Row],[prev_refill_days]]="","",TableRefills3[[#This Row],[prev_refill_days]]+TableRefills3[[#This Row],[quantity_days]])</f>
        <v/>
      </c>
      <c r="G1794" t="str">
        <f>IF(TableRefills3[[#This Row],[prev_refill_end]]="","",TableRefills3[[#This Row],[refill_date]]-TableRefills3[[#This Row],[prev_refill_end]])</f>
        <v/>
      </c>
      <c r="H1794" s="10">
        <f>IF(TableRefills3[[#This Row],[gap_days]]="",0,IF(TableRefills3[[#This Row],[gap_days]]&gt;2,1,0))</f>
        <v>0</v>
      </c>
      <c r="I1794">
        <f>_xlfn.MAXIFS(TableRefills3[discountinuation_flag], TableRefills3[patient_id], A1794)</f>
        <v>1</v>
      </c>
    </row>
    <row r="1795" spans="1:9" x14ac:dyDescent="0.25">
      <c r="A1795" t="s">
        <v>2859</v>
      </c>
      <c r="B1795" t="s">
        <v>2860</v>
      </c>
      <c r="C1795" s="3">
        <v>45816</v>
      </c>
      <c r="D1795">
        <v>28</v>
      </c>
      <c r="E1795" s="3">
        <f t="shared" si="28"/>
        <v>45790</v>
      </c>
      <c r="F1795" s="3">
        <f>IF(TableRefills3[[#This Row],[prev_refill_days]]="","",TableRefills3[[#This Row],[prev_refill_days]]+TableRefills3[[#This Row],[quantity_days]])</f>
        <v>45818</v>
      </c>
      <c r="G1795">
        <f>IF(TableRefills3[[#This Row],[prev_refill_end]]="","",TableRefills3[[#This Row],[refill_date]]-TableRefills3[[#This Row],[prev_refill_end]])</f>
        <v>-2</v>
      </c>
      <c r="H1795" s="10">
        <f>IF(TableRefills3[[#This Row],[gap_days]]="",0,IF(TableRefills3[[#This Row],[gap_days]]&gt;2,1,0))</f>
        <v>0</v>
      </c>
      <c r="I1795">
        <f>_xlfn.MAXIFS(TableRefills3[discountinuation_flag], TableRefills3[patient_id], A1795)</f>
        <v>1</v>
      </c>
    </row>
    <row r="1796" spans="1:9" x14ac:dyDescent="0.25">
      <c r="A1796" t="s">
        <v>2859</v>
      </c>
      <c r="B1796" t="s">
        <v>2860</v>
      </c>
      <c r="C1796" s="3">
        <v>45846</v>
      </c>
      <c r="D1796">
        <v>28</v>
      </c>
      <c r="E1796" s="3">
        <f t="shared" si="28"/>
        <v>45816</v>
      </c>
      <c r="F1796" s="3">
        <f>IF(TableRefills3[[#This Row],[prev_refill_days]]="","",TableRefills3[[#This Row],[prev_refill_days]]+TableRefills3[[#This Row],[quantity_days]])</f>
        <v>45844</v>
      </c>
      <c r="G1796">
        <f>IF(TableRefills3[[#This Row],[prev_refill_end]]="","",TableRefills3[[#This Row],[refill_date]]-TableRefills3[[#This Row],[prev_refill_end]])</f>
        <v>2</v>
      </c>
      <c r="H1796" s="10">
        <f>IF(TableRefills3[[#This Row],[gap_days]]="",0,IF(TableRefills3[[#This Row],[gap_days]]&gt;2,1,0))</f>
        <v>0</v>
      </c>
      <c r="I1796">
        <f>_xlfn.MAXIFS(TableRefills3[discountinuation_flag], TableRefills3[patient_id], A1796)</f>
        <v>1</v>
      </c>
    </row>
    <row r="1797" spans="1:9" x14ac:dyDescent="0.25">
      <c r="A1797" t="s">
        <v>2859</v>
      </c>
      <c r="B1797" t="s">
        <v>2860</v>
      </c>
      <c r="C1797" s="3">
        <v>45875</v>
      </c>
      <c r="D1797">
        <v>28</v>
      </c>
      <c r="E1797" s="3">
        <f t="shared" si="28"/>
        <v>45846</v>
      </c>
      <c r="F1797" s="3">
        <f>IF(TableRefills3[[#This Row],[prev_refill_days]]="","",TableRefills3[[#This Row],[prev_refill_days]]+TableRefills3[[#This Row],[quantity_days]])</f>
        <v>45874</v>
      </c>
      <c r="G1797">
        <f>IF(TableRefills3[[#This Row],[prev_refill_end]]="","",TableRefills3[[#This Row],[refill_date]]-TableRefills3[[#This Row],[prev_refill_end]])</f>
        <v>1</v>
      </c>
      <c r="H1797" s="10">
        <f>IF(TableRefills3[[#This Row],[gap_days]]="",0,IF(TableRefills3[[#This Row],[gap_days]]&gt;2,1,0))</f>
        <v>0</v>
      </c>
      <c r="I1797">
        <f>_xlfn.MAXIFS(TableRefills3[discountinuation_flag], TableRefills3[patient_id], A1797)</f>
        <v>1</v>
      </c>
    </row>
    <row r="1798" spans="1:9" x14ac:dyDescent="0.25">
      <c r="A1798" t="s">
        <v>2859</v>
      </c>
      <c r="B1798" t="s">
        <v>2860</v>
      </c>
      <c r="C1798" s="3">
        <v>45900</v>
      </c>
      <c r="D1798">
        <v>28</v>
      </c>
      <c r="E1798" s="3">
        <f t="shared" si="28"/>
        <v>45875</v>
      </c>
      <c r="F1798" s="3">
        <f>IF(TableRefills3[[#This Row],[prev_refill_days]]="","",TableRefills3[[#This Row],[prev_refill_days]]+TableRefills3[[#This Row],[quantity_days]])</f>
        <v>45903</v>
      </c>
      <c r="G1798">
        <f>IF(TableRefills3[[#This Row],[prev_refill_end]]="","",TableRefills3[[#This Row],[refill_date]]-TableRefills3[[#This Row],[prev_refill_end]])</f>
        <v>-3</v>
      </c>
      <c r="H1798" s="10">
        <f>IF(TableRefills3[[#This Row],[gap_days]]="",0,IF(TableRefills3[[#This Row],[gap_days]]&gt;2,1,0))</f>
        <v>0</v>
      </c>
      <c r="I1798">
        <f>_xlfn.MAXIFS(TableRefills3[discountinuation_flag], TableRefills3[patient_id], A1798)</f>
        <v>1</v>
      </c>
    </row>
    <row r="1799" spans="1:9" x14ac:dyDescent="0.25">
      <c r="A1799" t="s">
        <v>2859</v>
      </c>
      <c r="B1799" t="s">
        <v>2860</v>
      </c>
      <c r="C1799" s="3">
        <v>45931</v>
      </c>
      <c r="D1799">
        <v>28</v>
      </c>
      <c r="E1799" s="3">
        <f t="shared" si="28"/>
        <v>45900</v>
      </c>
      <c r="F1799" s="3">
        <f>IF(TableRefills3[[#This Row],[prev_refill_days]]="","",TableRefills3[[#This Row],[prev_refill_days]]+TableRefills3[[#This Row],[quantity_days]])</f>
        <v>45928</v>
      </c>
      <c r="G1799">
        <f>IF(TableRefills3[[#This Row],[prev_refill_end]]="","",TableRefills3[[#This Row],[refill_date]]-TableRefills3[[#This Row],[prev_refill_end]])</f>
        <v>3</v>
      </c>
      <c r="H1799" s="10">
        <f>IF(TableRefills3[[#This Row],[gap_days]]="",0,IF(TableRefills3[[#This Row],[gap_days]]&gt;2,1,0))</f>
        <v>1</v>
      </c>
      <c r="I1799">
        <f>_xlfn.MAXIFS(TableRefills3[discountinuation_flag], TableRefills3[patient_id], A1799)</f>
        <v>1</v>
      </c>
    </row>
    <row r="1800" spans="1:9" x14ac:dyDescent="0.25">
      <c r="A1800" t="s">
        <v>2859</v>
      </c>
      <c r="B1800" t="s">
        <v>2860</v>
      </c>
      <c r="C1800" s="3">
        <v>45959</v>
      </c>
      <c r="D1800">
        <v>28</v>
      </c>
      <c r="E1800" s="3">
        <f t="shared" si="28"/>
        <v>45931</v>
      </c>
      <c r="F1800" s="3">
        <f>IF(TableRefills3[[#This Row],[prev_refill_days]]="","",TableRefills3[[#This Row],[prev_refill_days]]+TableRefills3[[#This Row],[quantity_days]])</f>
        <v>45959</v>
      </c>
      <c r="G1800">
        <f>IF(TableRefills3[[#This Row],[prev_refill_end]]="","",TableRefills3[[#This Row],[refill_date]]-TableRefills3[[#This Row],[prev_refill_end]])</f>
        <v>0</v>
      </c>
      <c r="H1800" s="10">
        <f>IF(TableRefills3[[#This Row],[gap_days]]="",0,IF(TableRefills3[[#This Row],[gap_days]]&gt;2,1,0))</f>
        <v>0</v>
      </c>
      <c r="I1800">
        <f>_xlfn.MAXIFS(TableRefills3[discountinuation_flag], TableRefills3[patient_id], A1800)</f>
        <v>1</v>
      </c>
    </row>
    <row r="1801" spans="1:9" x14ac:dyDescent="0.25">
      <c r="A1801" t="s">
        <v>2868</v>
      </c>
      <c r="B1801" t="s">
        <v>2869</v>
      </c>
      <c r="C1801" s="3">
        <v>45942</v>
      </c>
      <c r="D1801">
        <v>28</v>
      </c>
      <c r="E1801" s="3" t="str">
        <f t="shared" si="28"/>
        <v/>
      </c>
      <c r="F1801" s="3" t="str">
        <f>IF(TableRefills3[[#This Row],[prev_refill_days]]="","",TableRefills3[[#This Row],[prev_refill_days]]+TableRefills3[[#This Row],[quantity_days]])</f>
        <v/>
      </c>
      <c r="G1801" t="str">
        <f>IF(TableRefills3[[#This Row],[prev_refill_end]]="","",TableRefills3[[#This Row],[refill_date]]-TableRefills3[[#This Row],[prev_refill_end]])</f>
        <v/>
      </c>
      <c r="H1801" s="10">
        <f>IF(TableRefills3[[#This Row],[gap_days]]="",0,IF(TableRefills3[[#This Row],[gap_days]]&gt;2,1,0))</f>
        <v>0</v>
      </c>
      <c r="I1801">
        <f>_xlfn.MAXIFS(TableRefills3[discountinuation_flag], TableRefills3[patient_id], A1801)</f>
        <v>0</v>
      </c>
    </row>
    <row r="1802" spans="1:9" x14ac:dyDescent="0.25">
      <c r="A1802" t="s">
        <v>2871</v>
      </c>
      <c r="B1802" t="s">
        <v>2872</v>
      </c>
      <c r="C1802" s="3">
        <v>45875</v>
      </c>
      <c r="D1802">
        <v>28</v>
      </c>
      <c r="E1802" s="3" t="str">
        <f t="shared" si="28"/>
        <v/>
      </c>
      <c r="F1802" s="3" t="str">
        <f>IF(TableRefills3[[#This Row],[prev_refill_days]]="","",TableRefills3[[#This Row],[prev_refill_days]]+TableRefills3[[#This Row],[quantity_days]])</f>
        <v/>
      </c>
      <c r="G1802" t="str">
        <f>IF(TableRefills3[[#This Row],[prev_refill_end]]="","",TableRefills3[[#This Row],[refill_date]]-TableRefills3[[#This Row],[prev_refill_end]])</f>
        <v/>
      </c>
      <c r="H1802" s="10">
        <f>IF(TableRefills3[[#This Row],[gap_days]]="",0,IF(TableRefills3[[#This Row],[gap_days]]&gt;2,1,0))</f>
        <v>0</v>
      </c>
      <c r="I1802">
        <f>_xlfn.MAXIFS(TableRefills3[discountinuation_flag], TableRefills3[patient_id], A1802)</f>
        <v>0</v>
      </c>
    </row>
    <row r="1803" spans="1:9" x14ac:dyDescent="0.25">
      <c r="A1803" t="s">
        <v>2871</v>
      </c>
      <c r="B1803" t="s">
        <v>2872</v>
      </c>
      <c r="C1803" s="3">
        <v>45904</v>
      </c>
      <c r="D1803">
        <v>28</v>
      </c>
      <c r="E1803" s="3">
        <f t="shared" si="28"/>
        <v>45875</v>
      </c>
      <c r="F1803" s="3">
        <f>IF(TableRefills3[[#This Row],[prev_refill_days]]="","",TableRefills3[[#This Row],[prev_refill_days]]+TableRefills3[[#This Row],[quantity_days]])</f>
        <v>45903</v>
      </c>
      <c r="G1803">
        <f>IF(TableRefills3[[#This Row],[prev_refill_end]]="","",TableRefills3[[#This Row],[refill_date]]-TableRefills3[[#This Row],[prev_refill_end]])</f>
        <v>1</v>
      </c>
      <c r="H1803" s="10">
        <f>IF(TableRefills3[[#This Row],[gap_days]]="",0,IF(TableRefills3[[#This Row],[gap_days]]&gt;2,1,0))</f>
        <v>0</v>
      </c>
      <c r="I1803">
        <f>_xlfn.MAXIFS(TableRefills3[discountinuation_flag], TableRefills3[patient_id], A1803)</f>
        <v>0</v>
      </c>
    </row>
    <row r="1804" spans="1:9" x14ac:dyDescent="0.25">
      <c r="A1804" t="s">
        <v>2875</v>
      </c>
      <c r="B1804" t="s">
        <v>2876</v>
      </c>
      <c r="C1804" s="3">
        <v>45912</v>
      </c>
      <c r="D1804">
        <v>28</v>
      </c>
      <c r="E1804" s="3" t="str">
        <f t="shared" si="28"/>
        <v/>
      </c>
      <c r="F1804" s="3" t="str">
        <f>IF(TableRefills3[[#This Row],[prev_refill_days]]="","",TableRefills3[[#This Row],[prev_refill_days]]+TableRefills3[[#This Row],[quantity_days]])</f>
        <v/>
      </c>
      <c r="G1804" t="str">
        <f>IF(TableRefills3[[#This Row],[prev_refill_end]]="","",TableRefills3[[#This Row],[refill_date]]-TableRefills3[[#This Row],[prev_refill_end]])</f>
        <v/>
      </c>
      <c r="H1804" s="10">
        <f>IF(TableRefills3[[#This Row],[gap_days]]="",0,IF(TableRefills3[[#This Row],[gap_days]]&gt;2,1,0))</f>
        <v>0</v>
      </c>
      <c r="I1804">
        <f>_xlfn.MAXIFS(TableRefills3[discountinuation_flag], TableRefills3[patient_id], A1804)</f>
        <v>0</v>
      </c>
    </row>
    <row r="1805" spans="1:9" x14ac:dyDescent="0.25">
      <c r="A1805" t="s">
        <v>2875</v>
      </c>
      <c r="B1805" t="s">
        <v>2876</v>
      </c>
      <c r="C1805" s="3">
        <v>45938</v>
      </c>
      <c r="D1805">
        <v>28</v>
      </c>
      <c r="E1805" s="3">
        <f t="shared" si="28"/>
        <v>45912</v>
      </c>
      <c r="F1805" s="3">
        <f>IF(TableRefills3[[#This Row],[prev_refill_days]]="","",TableRefills3[[#This Row],[prev_refill_days]]+TableRefills3[[#This Row],[quantity_days]])</f>
        <v>45940</v>
      </c>
      <c r="G1805">
        <f>IF(TableRefills3[[#This Row],[prev_refill_end]]="","",TableRefills3[[#This Row],[refill_date]]-TableRefills3[[#This Row],[prev_refill_end]])</f>
        <v>-2</v>
      </c>
      <c r="H1805" s="10">
        <f>IF(TableRefills3[[#This Row],[gap_days]]="",0,IF(TableRefills3[[#This Row],[gap_days]]&gt;2,1,0))</f>
        <v>0</v>
      </c>
      <c r="I1805">
        <f>_xlfn.MAXIFS(TableRefills3[discountinuation_flag], TableRefills3[patient_id], A1805)</f>
        <v>0</v>
      </c>
    </row>
    <row r="1806" spans="1:9" x14ac:dyDescent="0.25">
      <c r="A1806" t="s">
        <v>2879</v>
      </c>
      <c r="B1806" t="s">
        <v>2880</v>
      </c>
      <c r="C1806" s="3">
        <v>45956</v>
      </c>
      <c r="D1806">
        <v>28</v>
      </c>
      <c r="E1806" s="3" t="str">
        <f t="shared" si="28"/>
        <v/>
      </c>
      <c r="F1806" s="3" t="str">
        <f>IF(TableRefills3[[#This Row],[prev_refill_days]]="","",TableRefills3[[#This Row],[prev_refill_days]]+TableRefills3[[#This Row],[quantity_days]])</f>
        <v/>
      </c>
      <c r="G1806" t="str">
        <f>IF(TableRefills3[[#This Row],[prev_refill_end]]="","",TableRefills3[[#This Row],[refill_date]]-TableRefills3[[#This Row],[prev_refill_end]])</f>
        <v/>
      </c>
      <c r="H1806" s="10">
        <f>IF(TableRefills3[[#This Row],[gap_days]]="",0,IF(TableRefills3[[#This Row],[gap_days]]&gt;2,1,0))</f>
        <v>0</v>
      </c>
      <c r="I1806">
        <f>_xlfn.MAXIFS(TableRefills3[discountinuation_flag], TableRefills3[patient_id], A1806)</f>
        <v>0</v>
      </c>
    </row>
    <row r="1807" spans="1:9" x14ac:dyDescent="0.25">
      <c r="A1807" t="s">
        <v>2882</v>
      </c>
      <c r="B1807" t="s">
        <v>2883</v>
      </c>
      <c r="C1807" s="3">
        <v>45882</v>
      </c>
      <c r="D1807">
        <v>14</v>
      </c>
      <c r="E1807" s="3" t="str">
        <f t="shared" si="28"/>
        <v/>
      </c>
      <c r="F1807" s="3" t="str">
        <f>IF(TableRefills3[[#This Row],[prev_refill_days]]="","",TableRefills3[[#This Row],[prev_refill_days]]+TableRefills3[[#This Row],[quantity_days]])</f>
        <v/>
      </c>
      <c r="G1807" t="str">
        <f>IF(TableRefills3[[#This Row],[prev_refill_end]]="","",TableRefills3[[#This Row],[refill_date]]-TableRefills3[[#This Row],[prev_refill_end]])</f>
        <v/>
      </c>
      <c r="H1807" s="10">
        <f>IF(TableRefills3[[#This Row],[gap_days]]="",0,IF(TableRefills3[[#This Row],[gap_days]]&gt;2,1,0))</f>
        <v>0</v>
      </c>
      <c r="I1807">
        <f>_xlfn.MAXIFS(TableRefills3[discountinuation_flag], TableRefills3[patient_id], A1807)</f>
        <v>0</v>
      </c>
    </row>
    <row r="1808" spans="1:9" x14ac:dyDescent="0.25">
      <c r="A1808" t="s">
        <v>2882</v>
      </c>
      <c r="B1808" t="s">
        <v>2883</v>
      </c>
      <c r="C1808" s="3">
        <v>45896</v>
      </c>
      <c r="D1808">
        <v>14</v>
      </c>
      <c r="E1808" s="3">
        <f t="shared" si="28"/>
        <v>45882</v>
      </c>
      <c r="F1808" s="3">
        <f>IF(TableRefills3[[#This Row],[prev_refill_days]]="","",TableRefills3[[#This Row],[prev_refill_days]]+TableRefills3[[#This Row],[quantity_days]])</f>
        <v>45896</v>
      </c>
      <c r="G1808">
        <f>IF(TableRefills3[[#This Row],[prev_refill_end]]="","",TableRefills3[[#This Row],[refill_date]]-TableRefills3[[#This Row],[prev_refill_end]])</f>
        <v>0</v>
      </c>
      <c r="H1808" s="10">
        <f>IF(TableRefills3[[#This Row],[gap_days]]="",0,IF(TableRefills3[[#This Row],[gap_days]]&gt;2,1,0))</f>
        <v>0</v>
      </c>
      <c r="I1808">
        <f>_xlfn.MAXIFS(TableRefills3[discountinuation_flag], TableRefills3[patient_id], A1808)</f>
        <v>0</v>
      </c>
    </row>
    <row r="1809" spans="1:9" x14ac:dyDescent="0.25">
      <c r="A1809" t="s">
        <v>2882</v>
      </c>
      <c r="B1809" t="s">
        <v>2883</v>
      </c>
      <c r="C1809" s="3">
        <v>45911</v>
      </c>
      <c r="D1809">
        <v>14</v>
      </c>
      <c r="E1809" s="3">
        <f t="shared" si="28"/>
        <v>45896</v>
      </c>
      <c r="F1809" s="3">
        <f>IF(TableRefills3[[#This Row],[prev_refill_days]]="","",TableRefills3[[#This Row],[prev_refill_days]]+TableRefills3[[#This Row],[quantity_days]])</f>
        <v>45910</v>
      </c>
      <c r="G1809">
        <f>IF(TableRefills3[[#This Row],[prev_refill_end]]="","",TableRefills3[[#This Row],[refill_date]]-TableRefills3[[#This Row],[prev_refill_end]])</f>
        <v>1</v>
      </c>
      <c r="H1809" s="10">
        <f>IF(TableRefills3[[#This Row],[gap_days]]="",0,IF(TableRefills3[[#This Row],[gap_days]]&gt;2,1,0))</f>
        <v>0</v>
      </c>
      <c r="I1809">
        <f>_xlfn.MAXIFS(TableRefills3[discountinuation_flag], TableRefills3[patient_id], A1809)</f>
        <v>0</v>
      </c>
    </row>
    <row r="1810" spans="1:9" x14ac:dyDescent="0.25">
      <c r="A1810" t="s">
        <v>2882</v>
      </c>
      <c r="B1810" t="s">
        <v>2883</v>
      </c>
      <c r="C1810" s="3">
        <v>45926</v>
      </c>
      <c r="D1810">
        <v>14</v>
      </c>
      <c r="E1810" s="3">
        <f t="shared" si="28"/>
        <v>45911</v>
      </c>
      <c r="F1810" s="3">
        <f>IF(TableRefills3[[#This Row],[prev_refill_days]]="","",TableRefills3[[#This Row],[prev_refill_days]]+TableRefills3[[#This Row],[quantity_days]])</f>
        <v>45925</v>
      </c>
      <c r="G1810">
        <f>IF(TableRefills3[[#This Row],[prev_refill_end]]="","",TableRefills3[[#This Row],[refill_date]]-TableRefills3[[#This Row],[prev_refill_end]])</f>
        <v>1</v>
      </c>
      <c r="H1810" s="10">
        <f>IF(TableRefills3[[#This Row],[gap_days]]="",0,IF(TableRefills3[[#This Row],[gap_days]]&gt;2,1,0))</f>
        <v>0</v>
      </c>
      <c r="I1810">
        <f>_xlfn.MAXIFS(TableRefills3[discountinuation_flag], TableRefills3[patient_id], A1810)</f>
        <v>0</v>
      </c>
    </row>
    <row r="1811" spans="1:9" x14ac:dyDescent="0.25">
      <c r="A1811" t="s">
        <v>2882</v>
      </c>
      <c r="B1811" t="s">
        <v>2883</v>
      </c>
      <c r="C1811" s="3">
        <v>45938</v>
      </c>
      <c r="D1811">
        <v>14</v>
      </c>
      <c r="E1811" s="3">
        <f t="shared" si="28"/>
        <v>45926</v>
      </c>
      <c r="F1811" s="3">
        <f>IF(TableRefills3[[#This Row],[prev_refill_days]]="","",TableRefills3[[#This Row],[prev_refill_days]]+TableRefills3[[#This Row],[quantity_days]])</f>
        <v>45940</v>
      </c>
      <c r="G1811">
        <f>IF(TableRefills3[[#This Row],[prev_refill_end]]="","",TableRefills3[[#This Row],[refill_date]]-TableRefills3[[#This Row],[prev_refill_end]])</f>
        <v>-2</v>
      </c>
      <c r="H1811" s="10">
        <f>IF(TableRefills3[[#This Row],[gap_days]]="",0,IF(TableRefills3[[#This Row],[gap_days]]&gt;2,1,0))</f>
        <v>0</v>
      </c>
      <c r="I1811">
        <f>_xlfn.MAXIFS(TableRefills3[discountinuation_flag], TableRefills3[patient_id], A1811)</f>
        <v>0</v>
      </c>
    </row>
    <row r="1812" spans="1:9" x14ac:dyDescent="0.25">
      <c r="A1812" t="s">
        <v>2882</v>
      </c>
      <c r="B1812" t="s">
        <v>2883</v>
      </c>
      <c r="C1812" s="3">
        <v>45951</v>
      </c>
      <c r="D1812">
        <v>14</v>
      </c>
      <c r="E1812" s="3">
        <f t="shared" si="28"/>
        <v>45938</v>
      </c>
      <c r="F1812" s="3">
        <f>IF(TableRefills3[[#This Row],[prev_refill_days]]="","",TableRefills3[[#This Row],[prev_refill_days]]+TableRefills3[[#This Row],[quantity_days]])</f>
        <v>45952</v>
      </c>
      <c r="G1812">
        <f>IF(TableRefills3[[#This Row],[prev_refill_end]]="","",TableRefills3[[#This Row],[refill_date]]-TableRefills3[[#This Row],[prev_refill_end]])</f>
        <v>-1</v>
      </c>
      <c r="H1812" s="10">
        <f>IF(TableRefills3[[#This Row],[gap_days]]="",0,IF(TableRefills3[[#This Row],[gap_days]]&gt;2,1,0))</f>
        <v>0</v>
      </c>
      <c r="I1812">
        <f>_xlfn.MAXIFS(TableRefills3[discountinuation_flag], TableRefills3[patient_id], A1812)</f>
        <v>0</v>
      </c>
    </row>
    <row r="1813" spans="1:9" x14ac:dyDescent="0.25">
      <c r="A1813" t="s">
        <v>2890</v>
      </c>
      <c r="B1813" t="s">
        <v>2891</v>
      </c>
      <c r="C1813" s="3">
        <v>45854</v>
      </c>
      <c r="D1813">
        <v>21</v>
      </c>
      <c r="E1813" s="3" t="str">
        <f t="shared" si="28"/>
        <v/>
      </c>
      <c r="F1813" s="3" t="str">
        <f>IF(TableRefills3[[#This Row],[prev_refill_days]]="","",TableRefills3[[#This Row],[prev_refill_days]]+TableRefills3[[#This Row],[quantity_days]])</f>
        <v/>
      </c>
      <c r="G1813" t="str">
        <f>IF(TableRefills3[[#This Row],[prev_refill_end]]="","",TableRefills3[[#This Row],[refill_date]]-TableRefills3[[#This Row],[prev_refill_end]])</f>
        <v/>
      </c>
      <c r="H1813" s="10">
        <f>IF(TableRefills3[[#This Row],[gap_days]]="",0,IF(TableRefills3[[#This Row],[gap_days]]&gt;2,1,0))</f>
        <v>0</v>
      </c>
      <c r="I1813">
        <f>_xlfn.MAXIFS(TableRefills3[discountinuation_flag], TableRefills3[patient_id], A1813)</f>
        <v>0</v>
      </c>
    </row>
    <row r="1814" spans="1:9" x14ac:dyDescent="0.25">
      <c r="A1814" t="s">
        <v>2890</v>
      </c>
      <c r="B1814" t="s">
        <v>2891</v>
      </c>
      <c r="C1814" s="3">
        <v>45873</v>
      </c>
      <c r="D1814">
        <v>21</v>
      </c>
      <c r="E1814" s="3">
        <f t="shared" si="28"/>
        <v>45854</v>
      </c>
      <c r="F1814" s="3">
        <f>IF(TableRefills3[[#This Row],[prev_refill_days]]="","",TableRefills3[[#This Row],[prev_refill_days]]+TableRefills3[[#This Row],[quantity_days]])</f>
        <v>45875</v>
      </c>
      <c r="G1814">
        <f>IF(TableRefills3[[#This Row],[prev_refill_end]]="","",TableRefills3[[#This Row],[refill_date]]-TableRefills3[[#This Row],[prev_refill_end]])</f>
        <v>-2</v>
      </c>
      <c r="H1814" s="10">
        <f>IF(TableRefills3[[#This Row],[gap_days]]="",0,IF(TableRefills3[[#This Row],[gap_days]]&gt;2,1,0))</f>
        <v>0</v>
      </c>
      <c r="I1814">
        <f>_xlfn.MAXIFS(TableRefills3[discountinuation_flag], TableRefills3[patient_id], A1814)</f>
        <v>0</v>
      </c>
    </row>
    <row r="1815" spans="1:9" x14ac:dyDescent="0.25">
      <c r="A1815" t="s">
        <v>2890</v>
      </c>
      <c r="B1815" t="s">
        <v>2891</v>
      </c>
      <c r="C1815" s="3">
        <v>45891</v>
      </c>
      <c r="D1815">
        <v>21</v>
      </c>
      <c r="E1815" s="3">
        <f t="shared" si="28"/>
        <v>45873</v>
      </c>
      <c r="F1815" s="3">
        <f>IF(TableRefills3[[#This Row],[prev_refill_days]]="","",TableRefills3[[#This Row],[prev_refill_days]]+TableRefills3[[#This Row],[quantity_days]])</f>
        <v>45894</v>
      </c>
      <c r="G1815">
        <f>IF(TableRefills3[[#This Row],[prev_refill_end]]="","",TableRefills3[[#This Row],[refill_date]]-TableRefills3[[#This Row],[prev_refill_end]])</f>
        <v>-3</v>
      </c>
      <c r="H1815" s="10">
        <f>IF(TableRefills3[[#This Row],[gap_days]]="",0,IF(TableRefills3[[#This Row],[gap_days]]&gt;2,1,0))</f>
        <v>0</v>
      </c>
      <c r="I1815">
        <f>_xlfn.MAXIFS(TableRefills3[discountinuation_flag], TableRefills3[patient_id], A1815)</f>
        <v>0</v>
      </c>
    </row>
    <row r="1816" spans="1:9" x14ac:dyDescent="0.25">
      <c r="A1816" t="s">
        <v>2890</v>
      </c>
      <c r="B1816" t="s">
        <v>2891</v>
      </c>
      <c r="C1816" s="3">
        <v>45913</v>
      </c>
      <c r="D1816">
        <v>21</v>
      </c>
      <c r="E1816" s="3">
        <f t="shared" si="28"/>
        <v>45891</v>
      </c>
      <c r="F1816" s="3">
        <f>IF(TableRefills3[[#This Row],[prev_refill_days]]="","",TableRefills3[[#This Row],[prev_refill_days]]+TableRefills3[[#This Row],[quantity_days]])</f>
        <v>45912</v>
      </c>
      <c r="G1816">
        <f>IF(TableRefills3[[#This Row],[prev_refill_end]]="","",TableRefills3[[#This Row],[refill_date]]-TableRefills3[[#This Row],[prev_refill_end]])</f>
        <v>1</v>
      </c>
      <c r="H1816" s="10">
        <f>IF(TableRefills3[[#This Row],[gap_days]]="",0,IF(TableRefills3[[#This Row],[gap_days]]&gt;2,1,0))</f>
        <v>0</v>
      </c>
      <c r="I1816">
        <f>_xlfn.MAXIFS(TableRefills3[discountinuation_flag], TableRefills3[patient_id], A1816)</f>
        <v>0</v>
      </c>
    </row>
    <row r="1817" spans="1:9" x14ac:dyDescent="0.25">
      <c r="A1817" t="s">
        <v>2890</v>
      </c>
      <c r="B1817" t="s">
        <v>2891</v>
      </c>
      <c r="C1817" s="3">
        <v>45931</v>
      </c>
      <c r="D1817">
        <v>21</v>
      </c>
      <c r="E1817" s="3">
        <f t="shared" si="28"/>
        <v>45913</v>
      </c>
      <c r="F1817" s="3">
        <f>IF(TableRefills3[[#This Row],[prev_refill_days]]="","",TableRefills3[[#This Row],[prev_refill_days]]+TableRefills3[[#This Row],[quantity_days]])</f>
        <v>45934</v>
      </c>
      <c r="G1817">
        <f>IF(TableRefills3[[#This Row],[prev_refill_end]]="","",TableRefills3[[#This Row],[refill_date]]-TableRefills3[[#This Row],[prev_refill_end]])</f>
        <v>-3</v>
      </c>
      <c r="H1817" s="10">
        <f>IF(TableRefills3[[#This Row],[gap_days]]="",0,IF(TableRefills3[[#This Row],[gap_days]]&gt;2,1,0))</f>
        <v>0</v>
      </c>
      <c r="I1817">
        <f>_xlfn.MAXIFS(TableRefills3[discountinuation_flag], TableRefills3[patient_id], A1817)</f>
        <v>0</v>
      </c>
    </row>
    <row r="1818" spans="1:9" x14ac:dyDescent="0.25">
      <c r="A1818" t="s">
        <v>2890</v>
      </c>
      <c r="B1818" t="s">
        <v>2891</v>
      </c>
      <c r="C1818" s="3">
        <v>45952</v>
      </c>
      <c r="D1818">
        <v>21</v>
      </c>
      <c r="E1818" s="3">
        <f t="shared" si="28"/>
        <v>45931</v>
      </c>
      <c r="F1818" s="3">
        <f>IF(TableRefills3[[#This Row],[prev_refill_days]]="","",TableRefills3[[#This Row],[prev_refill_days]]+TableRefills3[[#This Row],[quantity_days]])</f>
        <v>45952</v>
      </c>
      <c r="G1818">
        <f>IF(TableRefills3[[#This Row],[prev_refill_end]]="","",TableRefills3[[#This Row],[refill_date]]-TableRefills3[[#This Row],[prev_refill_end]])</f>
        <v>0</v>
      </c>
      <c r="H1818" s="10">
        <f>IF(TableRefills3[[#This Row],[gap_days]]="",0,IF(TableRefills3[[#This Row],[gap_days]]&gt;2,1,0))</f>
        <v>0</v>
      </c>
      <c r="I1818">
        <f>_xlfn.MAXIFS(TableRefills3[discountinuation_flag], TableRefills3[patient_id], A1818)</f>
        <v>0</v>
      </c>
    </row>
    <row r="1819" spans="1:9" x14ac:dyDescent="0.25">
      <c r="A1819" t="s">
        <v>2898</v>
      </c>
      <c r="B1819" t="s">
        <v>2899</v>
      </c>
      <c r="C1819" s="3">
        <v>45825</v>
      </c>
      <c r="D1819">
        <v>28</v>
      </c>
      <c r="E1819" s="3" t="str">
        <f t="shared" si="28"/>
        <v/>
      </c>
      <c r="F1819" s="3" t="str">
        <f>IF(TableRefills3[[#This Row],[prev_refill_days]]="","",TableRefills3[[#This Row],[prev_refill_days]]+TableRefills3[[#This Row],[quantity_days]])</f>
        <v/>
      </c>
      <c r="G1819" t="str">
        <f>IF(TableRefills3[[#This Row],[prev_refill_end]]="","",TableRefills3[[#This Row],[refill_date]]-TableRefills3[[#This Row],[prev_refill_end]])</f>
        <v/>
      </c>
      <c r="H1819" s="10">
        <f>IF(TableRefills3[[#This Row],[gap_days]]="",0,IF(TableRefills3[[#This Row],[gap_days]]&gt;2,1,0))</f>
        <v>0</v>
      </c>
      <c r="I1819">
        <f>_xlfn.MAXIFS(TableRefills3[discountinuation_flag], TableRefills3[patient_id], A1819)</f>
        <v>1</v>
      </c>
    </row>
    <row r="1820" spans="1:9" x14ac:dyDescent="0.25">
      <c r="A1820" t="s">
        <v>2898</v>
      </c>
      <c r="B1820" t="s">
        <v>2899</v>
      </c>
      <c r="C1820" s="3">
        <v>45854</v>
      </c>
      <c r="D1820">
        <v>28</v>
      </c>
      <c r="E1820" s="3">
        <f t="shared" si="28"/>
        <v>45825</v>
      </c>
      <c r="F1820" s="3">
        <f>IF(TableRefills3[[#This Row],[prev_refill_days]]="","",TableRefills3[[#This Row],[prev_refill_days]]+TableRefills3[[#This Row],[quantity_days]])</f>
        <v>45853</v>
      </c>
      <c r="G1820">
        <f>IF(TableRefills3[[#This Row],[prev_refill_end]]="","",TableRefills3[[#This Row],[refill_date]]-TableRefills3[[#This Row],[prev_refill_end]])</f>
        <v>1</v>
      </c>
      <c r="H1820" s="10">
        <f>IF(TableRefills3[[#This Row],[gap_days]]="",0,IF(TableRefills3[[#This Row],[gap_days]]&gt;2,1,0))</f>
        <v>0</v>
      </c>
      <c r="I1820">
        <f>_xlfn.MAXIFS(TableRefills3[discountinuation_flag], TableRefills3[patient_id], A1820)</f>
        <v>1</v>
      </c>
    </row>
    <row r="1821" spans="1:9" x14ac:dyDescent="0.25">
      <c r="A1821" t="s">
        <v>2898</v>
      </c>
      <c r="B1821" t="s">
        <v>2899</v>
      </c>
      <c r="C1821" s="3">
        <v>45885</v>
      </c>
      <c r="D1821">
        <v>28</v>
      </c>
      <c r="E1821" s="3">
        <f t="shared" si="28"/>
        <v>45854</v>
      </c>
      <c r="F1821" s="3">
        <f>IF(TableRefills3[[#This Row],[prev_refill_days]]="","",TableRefills3[[#This Row],[prev_refill_days]]+TableRefills3[[#This Row],[quantity_days]])</f>
        <v>45882</v>
      </c>
      <c r="G1821">
        <f>IF(TableRefills3[[#This Row],[prev_refill_end]]="","",TableRefills3[[#This Row],[refill_date]]-TableRefills3[[#This Row],[prev_refill_end]])</f>
        <v>3</v>
      </c>
      <c r="H1821" s="10">
        <f>IF(TableRefills3[[#This Row],[gap_days]]="",0,IF(TableRefills3[[#This Row],[gap_days]]&gt;2,1,0))</f>
        <v>1</v>
      </c>
      <c r="I1821">
        <f>_xlfn.MAXIFS(TableRefills3[discountinuation_flag], TableRefills3[patient_id], A1821)</f>
        <v>1</v>
      </c>
    </row>
    <row r="1822" spans="1:9" x14ac:dyDescent="0.25">
      <c r="A1822" t="s">
        <v>2898</v>
      </c>
      <c r="B1822" t="s">
        <v>2899</v>
      </c>
      <c r="C1822" s="3">
        <v>45911</v>
      </c>
      <c r="D1822">
        <v>28</v>
      </c>
      <c r="E1822" s="3">
        <f t="shared" si="28"/>
        <v>45885</v>
      </c>
      <c r="F1822" s="3">
        <f>IF(TableRefills3[[#This Row],[prev_refill_days]]="","",TableRefills3[[#This Row],[prev_refill_days]]+TableRefills3[[#This Row],[quantity_days]])</f>
        <v>45913</v>
      </c>
      <c r="G1822">
        <f>IF(TableRefills3[[#This Row],[prev_refill_end]]="","",TableRefills3[[#This Row],[refill_date]]-TableRefills3[[#This Row],[prev_refill_end]])</f>
        <v>-2</v>
      </c>
      <c r="H1822" s="10">
        <f>IF(TableRefills3[[#This Row],[gap_days]]="",0,IF(TableRefills3[[#This Row],[gap_days]]&gt;2,1,0))</f>
        <v>0</v>
      </c>
      <c r="I1822">
        <f>_xlfn.MAXIFS(TableRefills3[discountinuation_flag], TableRefills3[patient_id], A1822)</f>
        <v>1</v>
      </c>
    </row>
    <row r="1823" spans="1:9" x14ac:dyDescent="0.25">
      <c r="A1823" t="s">
        <v>2898</v>
      </c>
      <c r="B1823" t="s">
        <v>2899</v>
      </c>
      <c r="C1823" s="3">
        <v>45937</v>
      </c>
      <c r="D1823">
        <v>28</v>
      </c>
      <c r="E1823" s="3">
        <f t="shared" si="28"/>
        <v>45911</v>
      </c>
      <c r="F1823" s="3">
        <f>IF(TableRefills3[[#This Row],[prev_refill_days]]="","",TableRefills3[[#This Row],[prev_refill_days]]+TableRefills3[[#This Row],[quantity_days]])</f>
        <v>45939</v>
      </c>
      <c r="G1823">
        <f>IF(TableRefills3[[#This Row],[prev_refill_end]]="","",TableRefills3[[#This Row],[refill_date]]-TableRefills3[[#This Row],[prev_refill_end]])</f>
        <v>-2</v>
      </c>
      <c r="H1823" s="10">
        <f>IF(TableRefills3[[#This Row],[gap_days]]="",0,IF(TableRefills3[[#This Row],[gap_days]]&gt;2,1,0))</f>
        <v>0</v>
      </c>
      <c r="I1823">
        <f>_xlfn.MAXIFS(TableRefills3[discountinuation_flag], TableRefills3[patient_id], A1823)</f>
        <v>1</v>
      </c>
    </row>
    <row r="1824" spans="1:9" x14ac:dyDescent="0.25">
      <c r="A1824" t="s">
        <v>2905</v>
      </c>
      <c r="B1824" t="s">
        <v>2906</v>
      </c>
      <c r="C1824" s="3">
        <v>45915</v>
      </c>
      <c r="D1824">
        <v>28</v>
      </c>
      <c r="E1824" s="3" t="str">
        <f t="shared" si="28"/>
        <v/>
      </c>
      <c r="F1824" s="3" t="str">
        <f>IF(TableRefills3[[#This Row],[prev_refill_days]]="","",TableRefills3[[#This Row],[prev_refill_days]]+TableRefills3[[#This Row],[quantity_days]])</f>
        <v/>
      </c>
      <c r="G1824" t="str">
        <f>IF(TableRefills3[[#This Row],[prev_refill_end]]="","",TableRefills3[[#This Row],[refill_date]]-TableRefills3[[#This Row],[prev_refill_end]])</f>
        <v/>
      </c>
      <c r="H1824" s="10">
        <f>IF(TableRefills3[[#This Row],[gap_days]]="",0,IF(TableRefills3[[#This Row],[gap_days]]&gt;2,1,0))</f>
        <v>0</v>
      </c>
      <c r="I1824">
        <f>_xlfn.MAXIFS(TableRefills3[discountinuation_flag], TableRefills3[patient_id], A1824)</f>
        <v>0</v>
      </c>
    </row>
    <row r="1825" spans="1:9" x14ac:dyDescent="0.25">
      <c r="A1825" t="s">
        <v>2905</v>
      </c>
      <c r="B1825" t="s">
        <v>2906</v>
      </c>
      <c r="C1825" s="3">
        <v>45943</v>
      </c>
      <c r="D1825">
        <v>28</v>
      </c>
      <c r="E1825" s="3">
        <f t="shared" si="28"/>
        <v>45915</v>
      </c>
      <c r="F1825" s="3">
        <f>IF(TableRefills3[[#This Row],[prev_refill_days]]="","",TableRefills3[[#This Row],[prev_refill_days]]+TableRefills3[[#This Row],[quantity_days]])</f>
        <v>45943</v>
      </c>
      <c r="G1825">
        <f>IF(TableRefills3[[#This Row],[prev_refill_end]]="","",TableRefills3[[#This Row],[refill_date]]-TableRefills3[[#This Row],[prev_refill_end]])</f>
        <v>0</v>
      </c>
      <c r="H1825" s="10">
        <f>IF(TableRefills3[[#This Row],[gap_days]]="",0,IF(TableRefills3[[#This Row],[gap_days]]&gt;2,1,0))</f>
        <v>0</v>
      </c>
      <c r="I1825">
        <f>_xlfn.MAXIFS(TableRefills3[discountinuation_flag], TableRefills3[patient_id], A1825)</f>
        <v>0</v>
      </c>
    </row>
    <row r="1826" spans="1:9" x14ac:dyDescent="0.25">
      <c r="A1826" t="s">
        <v>2909</v>
      </c>
      <c r="B1826" t="s">
        <v>2910</v>
      </c>
      <c r="C1826" s="3">
        <v>45839</v>
      </c>
      <c r="D1826">
        <v>28</v>
      </c>
      <c r="E1826" s="3" t="str">
        <f t="shared" si="28"/>
        <v/>
      </c>
      <c r="F1826" s="3" t="str">
        <f>IF(TableRefills3[[#This Row],[prev_refill_days]]="","",TableRefills3[[#This Row],[prev_refill_days]]+TableRefills3[[#This Row],[quantity_days]])</f>
        <v/>
      </c>
      <c r="G1826" t="str">
        <f>IF(TableRefills3[[#This Row],[prev_refill_end]]="","",TableRefills3[[#This Row],[refill_date]]-TableRefills3[[#This Row],[prev_refill_end]])</f>
        <v/>
      </c>
      <c r="H1826" s="10">
        <f>IF(TableRefills3[[#This Row],[gap_days]]="",0,IF(TableRefills3[[#This Row],[gap_days]]&gt;2,1,0))</f>
        <v>0</v>
      </c>
      <c r="I1826">
        <f>_xlfn.MAXIFS(TableRefills3[discountinuation_flag], TableRefills3[patient_id], A1826)</f>
        <v>0</v>
      </c>
    </row>
    <row r="1827" spans="1:9" x14ac:dyDescent="0.25">
      <c r="A1827" t="s">
        <v>2909</v>
      </c>
      <c r="B1827" t="s">
        <v>2910</v>
      </c>
      <c r="C1827" s="3">
        <v>45868</v>
      </c>
      <c r="D1827">
        <v>28</v>
      </c>
      <c r="E1827" s="3">
        <f t="shared" si="28"/>
        <v>45839</v>
      </c>
      <c r="F1827" s="3">
        <f>IF(TableRefills3[[#This Row],[prev_refill_days]]="","",TableRefills3[[#This Row],[prev_refill_days]]+TableRefills3[[#This Row],[quantity_days]])</f>
        <v>45867</v>
      </c>
      <c r="G1827">
        <f>IF(TableRefills3[[#This Row],[prev_refill_end]]="","",TableRefills3[[#This Row],[refill_date]]-TableRefills3[[#This Row],[prev_refill_end]])</f>
        <v>1</v>
      </c>
      <c r="H1827" s="10">
        <f>IF(TableRefills3[[#This Row],[gap_days]]="",0,IF(TableRefills3[[#This Row],[gap_days]]&gt;2,1,0))</f>
        <v>0</v>
      </c>
      <c r="I1827">
        <f>_xlfn.MAXIFS(TableRefills3[discountinuation_flag], TableRefills3[patient_id], A1827)</f>
        <v>0</v>
      </c>
    </row>
    <row r="1828" spans="1:9" x14ac:dyDescent="0.25">
      <c r="A1828" t="s">
        <v>2909</v>
      </c>
      <c r="B1828" t="s">
        <v>2910</v>
      </c>
      <c r="C1828" s="3">
        <v>45897</v>
      </c>
      <c r="D1828">
        <v>28</v>
      </c>
      <c r="E1828" s="3">
        <f t="shared" si="28"/>
        <v>45868</v>
      </c>
      <c r="F1828" s="3">
        <f>IF(TableRefills3[[#This Row],[prev_refill_days]]="","",TableRefills3[[#This Row],[prev_refill_days]]+TableRefills3[[#This Row],[quantity_days]])</f>
        <v>45896</v>
      </c>
      <c r="G1828">
        <f>IF(TableRefills3[[#This Row],[prev_refill_end]]="","",TableRefills3[[#This Row],[refill_date]]-TableRefills3[[#This Row],[prev_refill_end]])</f>
        <v>1</v>
      </c>
      <c r="H1828" s="10">
        <f>IF(TableRefills3[[#This Row],[gap_days]]="",0,IF(TableRefills3[[#This Row],[gap_days]]&gt;2,1,0))</f>
        <v>0</v>
      </c>
      <c r="I1828">
        <f>_xlfn.MAXIFS(TableRefills3[discountinuation_flag], TableRefills3[patient_id], A1828)</f>
        <v>0</v>
      </c>
    </row>
    <row r="1829" spans="1:9" x14ac:dyDescent="0.25">
      <c r="A1829" t="s">
        <v>2909</v>
      </c>
      <c r="B1829" t="s">
        <v>2910</v>
      </c>
      <c r="C1829" s="3">
        <v>45923</v>
      </c>
      <c r="D1829">
        <v>28</v>
      </c>
      <c r="E1829" s="3">
        <f t="shared" si="28"/>
        <v>45897</v>
      </c>
      <c r="F1829" s="3">
        <f>IF(TableRefills3[[#This Row],[prev_refill_days]]="","",TableRefills3[[#This Row],[prev_refill_days]]+TableRefills3[[#This Row],[quantity_days]])</f>
        <v>45925</v>
      </c>
      <c r="G1829">
        <f>IF(TableRefills3[[#This Row],[prev_refill_end]]="","",TableRefills3[[#This Row],[refill_date]]-TableRefills3[[#This Row],[prev_refill_end]])</f>
        <v>-2</v>
      </c>
      <c r="H1829" s="10">
        <f>IF(TableRefills3[[#This Row],[gap_days]]="",0,IF(TableRefills3[[#This Row],[gap_days]]&gt;2,1,0))</f>
        <v>0</v>
      </c>
      <c r="I1829">
        <f>_xlfn.MAXIFS(TableRefills3[discountinuation_flag], TableRefills3[patient_id], A1829)</f>
        <v>0</v>
      </c>
    </row>
    <row r="1830" spans="1:9" x14ac:dyDescent="0.25">
      <c r="A1830" t="s">
        <v>2909</v>
      </c>
      <c r="B1830" t="s">
        <v>2910</v>
      </c>
      <c r="C1830" s="3">
        <v>45950</v>
      </c>
      <c r="D1830">
        <v>28</v>
      </c>
      <c r="E1830" s="3">
        <f t="shared" si="28"/>
        <v>45923</v>
      </c>
      <c r="F1830" s="3">
        <f>IF(TableRefills3[[#This Row],[prev_refill_days]]="","",TableRefills3[[#This Row],[prev_refill_days]]+TableRefills3[[#This Row],[quantity_days]])</f>
        <v>45951</v>
      </c>
      <c r="G1830">
        <f>IF(TableRefills3[[#This Row],[prev_refill_end]]="","",TableRefills3[[#This Row],[refill_date]]-TableRefills3[[#This Row],[prev_refill_end]])</f>
        <v>-1</v>
      </c>
      <c r="H1830" s="10">
        <f>IF(TableRefills3[[#This Row],[gap_days]]="",0,IF(TableRefills3[[#This Row],[gap_days]]&gt;2,1,0))</f>
        <v>0</v>
      </c>
      <c r="I1830">
        <f>_xlfn.MAXIFS(TableRefills3[discountinuation_flag], TableRefills3[patient_id], A1830)</f>
        <v>0</v>
      </c>
    </row>
    <row r="1831" spans="1:9" x14ac:dyDescent="0.25">
      <c r="A1831" t="s">
        <v>2916</v>
      </c>
      <c r="B1831" t="s">
        <v>2917</v>
      </c>
      <c r="C1831" s="3">
        <v>45835</v>
      </c>
      <c r="D1831">
        <v>28</v>
      </c>
      <c r="E1831" s="3" t="str">
        <f t="shared" si="28"/>
        <v/>
      </c>
      <c r="F1831" s="3" t="str">
        <f>IF(TableRefills3[[#This Row],[prev_refill_days]]="","",TableRefills3[[#This Row],[prev_refill_days]]+TableRefills3[[#This Row],[quantity_days]])</f>
        <v/>
      </c>
      <c r="G1831" t="str">
        <f>IF(TableRefills3[[#This Row],[prev_refill_end]]="","",TableRefills3[[#This Row],[refill_date]]-TableRefills3[[#This Row],[prev_refill_end]])</f>
        <v/>
      </c>
      <c r="H1831" s="10">
        <f>IF(TableRefills3[[#This Row],[gap_days]]="",0,IF(TableRefills3[[#This Row],[gap_days]]&gt;2,1,0))</f>
        <v>0</v>
      </c>
      <c r="I1831">
        <f>_xlfn.MAXIFS(TableRefills3[discountinuation_flag], TableRefills3[patient_id], A1831)</f>
        <v>0</v>
      </c>
    </row>
    <row r="1832" spans="1:9" x14ac:dyDescent="0.25">
      <c r="A1832" t="s">
        <v>2916</v>
      </c>
      <c r="B1832" t="s">
        <v>2917</v>
      </c>
      <c r="C1832" s="3">
        <v>45865</v>
      </c>
      <c r="D1832">
        <v>28</v>
      </c>
      <c r="E1832" s="3">
        <f t="shared" si="28"/>
        <v>45835</v>
      </c>
      <c r="F1832" s="3">
        <f>IF(TableRefills3[[#This Row],[prev_refill_days]]="","",TableRefills3[[#This Row],[prev_refill_days]]+TableRefills3[[#This Row],[quantity_days]])</f>
        <v>45863</v>
      </c>
      <c r="G1832">
        <f>IF(TableRefills3[[#This Row],[prev_refill_end]]="","",TableRefills3[[#This Row],[refill_date]]-TableRefills3[[#This Row],[prev_refill_end]])</f>
        <v>2</v>
      </c>
      <c r="H1832" s="10">
        <f>IF(TableRefills3[[#This Row],[gap_days]]="",0,IF(TableRefills3[[#This Row],[gap_days]]&gt;2,1,0))</f>
        <v>0</v>
      </c>
      <c r="I1832">
        <f>_xlfn.MAXIFS(TableRefills3[discountinuation_flag], TableRefills3[patient_id], A1832)</f>
        <v>0</v>
      </c>
    </row>
    <row r="1833" spans="1:9" x14ac:dyDescent="0.25">
      <c r="A1833" t="s">
        <v>2916</v>
      </c>
      <c r="B1833" t="s">
        <v>2917</v>
      </c>
      <c r="C1833" s="3">
        <v>45894</v>
      </c>
      <c r="D1833">
        <v>28</v>
      </c>
      <c r="E1833" s="3">
        <f t="shared" si="28"/>
        <v>45865</v>
      </c>
      <c r="F1833" s="3">
        <f>IF(TableRefills3[[#This Row],[prev_refill_days]]="","",TableRefills3[[#This Row],[prev_refill_days]]+TableRefills3[[#This Row],[quantity_days]])</f>
        <v>45893</v>
      </c>
      <c r="G1833">
        <f>IF(TableRefills3[[#This Row],[prev_refill_end]]="","",TableRefills3[[#This Row],[refill_date]]-TableRefills3[[#This Row],[prev_refill_end]])</f>
        <v>1</v>
      </c>
      <c r="H1833" s="10">
        <f>IF(TableRefills3[[#This Row],[gap_days]]="",0,IF(TableRefills3[[#This Row],[gap_days]]&gt;2,1,0))</f>
        <v>0</v>
      </c>
      <c r="I1833">
        <f>_xlfn.MAXIFS(TableRefills3[discountinuation_flag], TableRefills3[patient_id], A1833)</f>
        <v>0</v>
      </c>
    </row>
    <row r="1834" spans="1:9" x14ac:dyDescent="0.25">
      <c r="A1834" t="s">
        <v>2916</v>
      </c>
      <c r="B1834" t="s">
        <v>2917</v>
      </c>
      <c r="C1834" s="3">
        <v>45919</v>
      </c>
      <c r="D1834">
        <v>28</v>
      </c>
      <c r="E1834" s="3">
        <f t="shared" si="28"/>
        <v>45894</v>
      </c>
      <c r="F1834" s="3">
        <f>IF(TableRefills3[[#This Row],[prev_refill_days]]="","",TableRefills3[[#This Row],[prev_refill_days]]+TableRefills3[[#This Row],[quantity_days]])</f>
        <v>45922</v>
      </c>
      <c r="G1834">
        <f>IF(TableRefills3[[#This Row],[prev_refill_end]]="","",TableRefills3[[#This Row],[refill_date]]-TableRefills3[[#This Row],[prev_refill_end]])</f>
        <v>-3</v>
      </c>
      <c r="H1834" s="10">
        <f>IF(TableRefills3[[#This Row],[gap_days]]="",0,IF(TableRefills3[[#This Row],[gap_days]]&gt;2,1,0))</f>
        <v>0</v>
      </c>
      <c r="I1834">
        <f>_xlfn.MAXIFS(TableRefills3[discountinuation_flag], TableRefills3[patient_id], A1834)</f>
        <v>0</v>
      </c>
    </row>
    <row r="1835" spans="1:9" x14ac:dyDescent="0.25">
      <c r="A1835" t="s">
        <v>2916</v>
      </c>
      <c r="B1835" t="s">
        <v>2917</v>
      </c>
      <c r="C1835" s="3">
        <v>45947</v>
      </c>
      <c r="D1835">
        <v>28</v>
      </c>
      <c r="E1835" s="3">
        <f t="shared" si="28"/>
        <v>45919</v>
      </c>
      <c r="F1835" s="3">
        <f>IF(TableRefills3[[#This Row],[prev_refill_days]]="","",TableRefills3[[#This Row],[prev_refill_days]]+TableRefills3[[#This Row],[quantity_days]])</f>
        <v>45947</v>
      </c>
      <c r="G1835">
        <f>IF(TableRefills3[[#This Row],[prev_refill_end]]="","",TableRefills3[[#This Row],[refill_date]]-TableRefills3[[#This Row],[prev_refill_end]])</f>
        <v>0</v>
      </c>
      <c r="H1835" s="10">
        <f>IF(TableRefills3[[#This Row],[gap_days]]="",0,IF(TableRefills3[[#This Row],[gap_days]]&gt;2,1,0))</f>
        <v>0</v>
      </c>
      <c r="I1835">
        <f>_xlfn.MAXIFS(TableRefills3[discountinuation_flag], TableRefills3[patient_id], A1835)</f>
        <v>0</v>
      </c>
    </row>
    <row r="1836" spans="1:9" x14ac:dyDescent="0.25">
      <c r="A1836" t="s">
        <v>2923</v>
      </c>
      <c r="B1836" t="s">
        <v>2924</v>
      </c>
      <c r="C1836" s="3">
        <v>45959</v>
      </c>
      <c r="D1836">
        <v>30</v>
      </c>
      <c r="E1836" s="3" t="str">
        <f t="shared" si="28"/>
        <v/>
      </c>
      <c r="F1836" s="3" t="str">
        <f>IF(TableRefills3[[#This Row],[prev_refill_days]]="","",TableRefills3[[#This Row],[prev_refill_days]]+TableRefills3[[#This Row],[quantity_days]])</f>
        <v/>
      </c>
      <c r="G1836" t="str">
        <f>IF(TableRefills3[[#This Row],[prev_refill_end]]="","",TableRefills3[[#This Row],[refill_date]]-TableRefills3[[#This Row],[prev_refill_end]])</f>
        <v/>
      </c>
      <c r="H1836" s="10">
        <f>IF(TableRefills3[[#This Row],[gap_days]]="",0,IF(TableRefills3[[#This Row],[gap_days]]&gt;2,1,0))</f>
        <v>0</v>
      </c>
      <c r="I1836">
        <f>_xlfn.MAXIFS(TableRefills3[discountinuation_flag], TableRefills3[patient_id], A1836)</f>
        <v>0</v>
      </c>
    </row>
    <row r="1837" spans="1:9" x14ac:dyDescent="0.25">
      <c r="A1837" t="s">
        <v>2926</v>
      </c>
      <c r="B1837" t="s">
        <v>2927</v>
      </c>
      <c r="C1837" s="3">
        <v>45896</v>
      </c>
      <c r="D1837">
        <v>30</v>
      </c>
      <c r="E1837" s="3" t="str">
        <f t="shared" si="28"/>
        <v/>
      </c>
      <c r="F1837" s="3" t="str">
        <f>IF(TableRefills3[[#This Row],[prev_refill_days]]="","",TableRefills3[[#This Row],[prev_refill_days]]+TableRefills3[[#This Row],[quantity_days]])</f>
        <v/>
      </c>
      <c r="G1837" t="str">
        <f>IF(TableRefills3[[#This Row],[prev_refill_end]]="","",TableRefills3[[#This Row],[refill_date]]-TableRefills3[[#This Row],[prev_refill_end]])</f>
        <v/>
      </c>
      <c r="H1837" s="10">
        <f>IF(TableRefills3[[#This Row],[gap_days]]="",0,IF(TableRefills3[[#This Row],[gap_days]]&gt;2,1,0))</f>
        <v>0</v>
      </c>
      <c r="I1837">
        <f>_xlfn.MAXIFS(TableRefills3[discountinuation_flag], TableRefills3[patient_id], A1837)</f>
        <v>0</v>
      </c>
    </row>
    <row r="1838" spans="1:9" x14ac:dyDescent="0.25">
      <c r="A1838" t="s">
        <v>2926</v>
      </c>
      <c r="B1838" t="s">
        <v>2927</v>
      </c>
      <c r="C1838" s="3">
        <v>45925</v>
      </c>
      <c r="D1838">
        <v>30</v>
      </c>
      <c r="E1838" s="3">
        <f t="shared" si="28"/>
        <v>45896</v>
      </c>
      <c r="F1838" s="3">
        <f>IF(TableRefills3[[#This Row],[prev_refill_days]]="","",TableRefills3[[#This Row],[prev_refill_days]]+TableRefills3[[#This Row],[quantity_days]])</f>
        <v>45926</v>
      </c>
      <c r="G1838">
        <f>IF(TableRefills3[[#This Row],[prev_refill_end]]="","",TableRefills3[[#This Row],[refill_date]]-TableRefills3[[#This Row],[prev_refill_end]])</f>
        <v>-1</v>
      </c>
      <c r="H1838" s="10">
        <f>IF(TableRefills3[[#This Row],[gap_days]]="",0,IF(TableRefills3[[#This Row],[gap_days]]&gt;2,1,0))</f>
        <v>0</v>
      </c>
      <c r="I1838">
        <f>_xlfn.MAXIFS(TableRefills3[discountinuation_flag], TableRefills3[patient_id], A1838)</f>
        <v>0</v>
      </c>
    </row>
    <row r="1839" spans="1:9" x14ac:dyDescent="0.25">
      <c r="A1839" t="s">
        <v>2926</v>
      </c>
      <c r="B1839" t="s">
        <v>2927</v>
      </c>
      <c r="C1839" s="3">
        <v>45957</v>
      </c>
      <c r="D1839">
        <v>30</v>
      </c>
      <c r="E1839" s="3">
        <f t="shared" si="28"/>
        <v>45925</v>
      </c>
      <c r="F1839" s="3">
        <f>IF(TableRefills3[[#This Row],[prev_refill_days]]="","",TableRefills3[[#This Row],[prev_refill_days]]+TableRefills3[[#This Row],[quantity_days]])</f>
        <v>45955</v>
      </c>
      <c r="G1839">
        <f>IF(TableRefills3[[#This Row],[prev_refill_end]]="","",TableRefills3[[#This Row],[refill_date]]-TableRefills3[[#This Row],[prev_refill_end]])</f>
        <v>2</v>
      </c>
      <c r="H1839" s="10">
        <f>IF(TableRefills3[[#This Row],[gap_days]]="",0,IF(TableRefills3[[#This Row],[gap_days]]&gt;2,1,0))</f>
        <v>0</v>
      </c>
      <c r="I1839">
        <f>_xlfn.MAXIFS(TableRefills3[discountinuation_flag], TableRefills3[patient_id], A1839)</f>
        <v>0</v>
      </c>
    </row>
    <row r="1840" spans="1:9" x14ac:dyDescent="0.25">
      <c r="A1840" t="s">
        <v>2931</v>
      </c>
      <c r="B1840" t="s">
        <v>2932</v>
      </c>
      <c r="C1840" s="3">
        <v>45921</v>
      </c>
      <c r="D1840">
        <v>28</v>
      </c>
      <c r="E1840" s="3" t="str">
        <f t="shared" si="28"/>
        <v/>
      </c>
      <c r="F1840" s="3" t="str">
        <f>IF(TableRefills3[[#This Row],[prev_refill_days]]="","",TableRefills3[[#This Row],[prev_refill_days]]+TableRefills3[[#This Row],[quantity_days]])</f>
        <v/>
      </c>
      <c r="G1840" t="str">
        <f>IF(TableRefills3[[#This Row],[prev_refill_end]]="","",TableRefills3[[#This Row],[refill_date]]-TableRefills3[[#This Row],[prev_refill_end]])</f>
        <v/>
      </c>
      <c r="H1840" s="10">
        <f>IF(TableRefills3[[#This Row],[gap_days]]="",0,IF(TableRefills3[[#This Row],[gap_days]]&gt;2,1,0))</f>
        <v>0</v>
      </c>
      <c r="I1840">
        <f>_xlfn.MAXIFS(TableRefills3[discountinuation_flag], TableRefills3[patient_id], A1840)</f>
        <v>0</v>
      </c>
    </row>
    <row r="1841" spans="1:9" x14ac:dyDescent="0.25">
      <c r="A1841" t="s">
        <v>2931</v>
      </c>
      <c r="B1841" t="s">
        <v>2932</v>
      </c>
      <c r="C1841" s="3">
        <v>45947</v>
      </c>
      <c r="D1841">
        <v>28</v>
      </c>
      <c r="E1841" s="3">
        <f t="shared" si="28"/>
        <v>45921</v>
      </c>
      <c r="F1841" s="3">
        <f>IF(TableRefills3[[#This Row],[prev_refill_days]]="","",TableRefills3[[#This Row],[prev_refill_days]]+TableRefills3[[#This Row],[quantity_days]])</f>
        <v>45949</v>
      </c>
      <c r="G1841">
        <f>IF(TableRefills3[[#This Row],[prev_refill_end]]="","",TableRefills3[[#This Row],[refill_date]]-TableRefills3[[#This Row],[prev_refill_end]])</f>
        <v>-2</v>
      </c>
      <c r="H1841" s="10">
        <f>IF(TableRefills3[[#This Row],[gap_days]]="",0,IF(TableRefills3[[#This Row],[gap_days]]&gt;2,1,0))</f>
        <v>0</v>
      </c>
      <c r="I1841">
        <f>_xlfn.MAXIFS(TableRefills3[discountinuation_flag], TableRefills3[patient_id], A1841)</f>
        <v>0</v>
      </c>
    </row>
    <row r="1842" spans="1:9" x14ac:dyDescent="0.25">
      <c r="A1842" t="s">
        <v>2935</v>
      </c>
      <c r="B1842" t="s">
        <v>2936</v>
      </c>
      <c r="C1842" s="3">
        <v>45884</v>
      </c>
      <c r="D1842">
        <v>28</v>
      </c>
      <c r="E1842" s="3" t="str">
        <f t="shared" si="28"/>
        <v/>
      </c>
      <c r="F1842" s="3" t="str">
        <f>IF(TableRefills3[[#This Row],[prev_refill_days]]="","",TableRefills3[[#This Row],[prev_refill_days]]+TableRefills3[[#This Row],[quantity_days]])</f>
        <v/>
      </c>
      <c r="G1842" t="str">
        <f>IF(TableRefills3[[#This Row],[prev_refill_end]]="","",TableRefills3[[#This Row],[refill_date]]-TableRefills3[[#This Row],[prev_refill_end]])</f>
        <v/>
      </c>
      <c r="H1842" s="10">
        <f>IF(TableRefills3[[#This Row],[gap_days]]="",0,IF(TableRefills3[[#This Row],[gap_days]]&gt;2,1,0))</f>
        <v>0</v>
      </c>
      <c r="I1842">
        <f>_xlfn.MAXIFS(TableRefills3[discountinuation_flag], TableRefills3[patient_id], A1842)</f>
        <v>1</v>
      </c>
    </row>
    <row r="1843" spans="1:9" x14ac:dyDescent="0.25">
      <c r="A1843" t="s">
        <v>2935</v>
      </c>
      <c r="B1843" t="s">
        <v>2936</v>
      </c>
      <c r="C1843" s="3">
        <v>45915</v>
      </c>
      <c r="D1843">
        <v>28</v>
      </c>
      <c r="E1843" s="3">
        <f t="shared" si="28"/>
        <v>45884</v>
      </c>
      <c r="F1843" s="3">
        <f>IF(TableRefills3[[#This Row],[prev_refill_days]]="","",TableRefills3[[#This Row],[prev_refill_days]]+TableRefills3[[#This Row],[quantity_days]])</f>
        <v>45912</v>
      </c>
      <c r="G1843">
        <f>IF(TableRefills3[[#This Row],[prev_refill_end]]="","",TableRefills3[[#This Row],[refill_date]]-TableRefills3[[#This Row],[prev_refill_end]])</f>
        <v>3</v>
      </c>
      <c r="H1843" s="10">
        <f>IF(TableRefills3[[#This Row],[gap_days]]="",0,IF(TableRefills3[[#This Row],[gap_days]]&gt;2,1,0))</f>
        <v>1</v>
      </c>
      <c r="I1843">
        <f>_xlfn.MAXIFS(TableRefills3[discountinuation_flag], TableRefills3[patient_id], A1843)</f>
        <v>1</v>
      </c>
    </row>
    <row r="1844" spans="1:9" x14ac:dyDescent="0.25">
      <c r="A1844" t="s">
        <v>2935</v>
      </c>
      <c r="B1844" t="s">
        <v>2936</v>
      </c>
      <c r="C1844" s="3">
        <v>45944</v>
      </c>
      <c r="D1844">
        <v>28</v>
      </c>
      <c r="E1844" s="3">
        <f t="shared" si="28"/>
        <v>45915</v>
      </c>
      <c r="F1844" s="3">
        <f>IF(TableRefills3[[#This Row],[prev_refill_days]]="","",TableRefills3[[#This Row],[prev_refill_days]]+TableRefills3[[#This Row],[quantity_days]])</f>
        <v>45943</v>
      </c>
      <c r="G1844">
        <f>IF(TableRefills3[[#This Row],[prev_refill_end]]="","",TableRefills3[[#This Row],[refill_date]]-TableRefills3[[#This Row],[prev_refill_end]])</f>
        <v>1</v>
      </c>
      <c r="H1844" s="10">
        <f>IF(TableRefills3[[#This Row],[gap_days]]="",0,IF(TableRefills3[[#This Row],[gap_days]]&gt;2,1,0))</f>
        <v>0</v>
      </c>
      <c r="I1844">
        <f>_xlfn.MAXIFS(TableRefills3[discountinuation_flag], TableRefills3[patient_id], A1844)</f>
        <v>1</v>
      </c>
    </row>
    <row r="1845" spans="1:9" x14ac:dyDescent="0.25">
      <c r="A1845" t="s">
        <v>2940</v>
      </c>
      <c r="B1845" t="s">
        <v>2941</v>
      </c>
      <c r="C1845" s="3">
        <v>45913</v>
      </c>
      <c r="D1845">
        <v>28</v>
      </c>
      <c r="E1845" s="3" t="str">
        <f t="shared" si="28"/>
        <v/>
      </c>
      <c r="F1845" s="3" t="str">
        <f>IF(TableRefills3[[#This Row],[prev_refill_days]]="","",TableRefills3[[#This Row],[prev_refill_days]]+TableRefills3[[#This Row],[quantity_days]])</f>
        <v/>
      </c>
      <c r="G1845" t="str">
        <f>IF(TableRefills3[[#This Row],[prev_refill_end]]="","",TableRefills3[[#This Row],[refill_date]]-TableRefills3[[#This Row],[prev_refill_end]])</f>
        <v/>
      </c>
      <c r="H1845" s="10">
        <f>IF(TableRefills3[[#This Row],[gap_days]]="",0,IF(TableRefills3[[#This Row],[gap_days]]&gt;2,1,0))</f>
        <v>0</v>
      </c>
      <c r="I1845">
        <f>_xlfn.MAXIFS(TableRefills3[discountinuation_flag], TableRefills3[patient_id], A1845)</f>
        <v>1</v>
      </c>
    </row>
    <row r="1846" spans="1:9" x14ac:dyDescent="0.25">
      <c r="A1846" t="s">
        <v>2940</v>
      </c>
      <c r="B1846" t="s">
        <v>2941</v>
      </c>
      <c r="C1846" s="3">
        <v>45944</v>
      </c>
      <c r="D1846">
        <v>28</v>
      </c>
      <c r="E1846" s="3">
        <f t="shared" si="28"/>
        <v>45913</v>
      </c>
      <c r="F1846" s="3">
        <f>IF(TableRefills3[[#This Row],[prev_refill_days]]="","",TableRefills3[[#This Row],[prev_refill_days]]+TableRefills3[[#This Row],[quantity_days]])</f>
        <v>45941</v>
      </c>
      <c r="G1846">
        <f>IF(TableRefills3[[#This Row],[prev_refill_end]]="","",TableRefills3[[#This Row],[refill_date]]-TableRefills3[[#This Row],[prev_refill_end]])</f>
        <v>3</v>
      </c>
      <c r="H1846" s="10">
        <f>IF(TableRefills3[[#This Row],[gap_days]]="",0,IF(TableRefills3[[#This Row],[gap_days]]&gt;2,1,0))</f>
        <v>1</v>
      </c>
      <c r="I1846">
        <f>_xlfn.MAXIFS(TableRefills3[discountinuation_flag], TableRefills3[patient_id], A1846)</f>
        <v>1</v>
      </c>
    </row>
    <row r="1847" spans="1:9" x14ac:dyDescent="0.25">
      <c r="A1847" t="s">
        <v>2944</v>
      </c>
      <c r="B1847" t="s">
        <v>2945</v>
      </c>
      <c r="C1847" s="3">
        <v>45877</v>
      </c>
      <c r="D1847">
        <v>30</v>
      </c>
      <c r="E1847" s="3" t="str">
        <f t="shared" si="28"/>
        <v/>
      </c>
      <c r="F1847" s="3" t="str">
        <f>IF(TableRefills3[[#This Row],[prev_refill_days]]="","",TableRefills3[[#This Row],[prev_refill_days]]+TableRefills3[[#This Row],[quantity_days]])</f>
        <v/>
      </c>
      <c r="G1847" t="str">
        <f>IF(TableRefills3[[#This Row],[prev_refill_end]]="","",TableRefills3[[#This Row],[refill_date]]-TableRefills3[[#This Row],[prev_refill_end]])</f>
        <v/>
      </c>
      <c r="H1847" s="10">
        <f>IF(TableRefills3[[#This Row],[gap_days]]="",0,IF(TableRefills3[[#This Row],[gap_days]]&gt;2,1,0))</f>
        <v>0</v>
      </c>
      <c r="I1847">
        <f>_xlfn.MAXIFS(TableRefills3[discountinuation_flag], TableRefills3[patient_id], A1847)</f>
        <v>1</v>
      </c>
    </row>
    <row r="1848" spans="1:9" x14ac:dyDescent="0.25">
      <c r="A1848" t="s">
        <v>2944</v>
      </c>
      <c r="B1848" t="s">
        <v>2945</v>
      </c>
      <c r="C1848" s="3">
        <v>45906</v>
      </c>
      <c r="D1848">
        <v>30</v>
      </c>
      <c r="E1848" s="3">
        <f t="shared" si="28"/>
        <v>45877</v>
      </c>
      <c r="F1848" s="3">
        <f>IF(TableRefills3[[#This Row],[prev_refill_days]]="","",TableRefills3[[#This Row],[prev_refill_days]]+TableRefills3[[#This Row],[quantity_days]])</f>
        <v>45907</v>
      </c>
      <c r="G1848">
        <f>IF(TableRefills3[[#This Row],[prev_refill_end]]="","",TableRefills3[[#This Row],[refill_date]]-TableRefills3[[#This Row],[prev_refill_end]])</f>
        <v>-1</v>
      </c>
      <c r="H1848" s="10">
        <f>IF(TableRefills3[[#This Row],[gap_days]]="",0,IF(TableRefills3[[#This Row],[gap_days]]&gt;2,1,0))</f>
        <v>0</v>
      </c>
      <c r="I1848">
        <f>_xlfn.MAXIFS(TableRefills3[discountinuation_flag], TableRefills3[patient_id], A1848)</f>
        <v>1</v>
      </c>
    </row>
    <row r="1849" spans="1:9" x14ac:dyDescent="0.25">
      <c r="A1849" t="s">
        <v>2944</v>
      </c>
      <c r="B1849" t="s">
        <v>2945</v>
      </c>
      <c r="C1849" s="3">
        <v>45939</v>
      </c>
      <c r="D1849">
        <v>30</v>
      </c>
      <c r="E1849" s="3">
        <f t="shared" si="28"/>
        <v>45906</v>
      </c>
      <c r="F1849" s="3">
        <f>IF(TableRefills3[[#This Row],[prev_refill_days]]="","",TableRefills3[[#This Row],[prev_refill_days]]+TableRefills3[[#This Row],[quantity_days]])</f>
        <v>45936</v>
      </c>
      <c r="G1849">
        <f>IF(TableRefills3[[#This Row],[prev_refill_end]]="","",TableRefills3[[#This Row],[refill_date]]-TableRefills3[[#This Row],[prev_refill_end]])</f>
        <v>3</v>
      </c>
      <c r="H1849" s="10">
        <f>IF(TableRefills3[[#This Row],[gap_days]]="",0,IF(TableRefills3[[#This Row],[gap_days]]&gt;2,1,0))</f>
        <v>1</v>
      </c>
      <c r="I1849">
        <f>_xlfn.MAXIFS(TableRefills3[discountinuation_flag], TableRefills3[patient_id], A1849)</f>
        <v>1</v>
      </c>
    </row>
    <row r="1850" spans="1:9" x14ac:dyDescent="0.25">
      <c r="A1850" t="s">
        <v>2949</v>
      </c>
      <c r="B1850" t="s">
        <v>2950</v>
      </c>
      <c r="C1850" s="3">
        <v>45843</v>
      </c>
      <c r="D1850">
        <v>28</v>
      </c>
      <c r="E1850" s="3" t="str">
        <f t="shared" si="28"/>
        <v/>
      </c>
      <c r="F1850" s="3" t="str">
        <f>IF(TableRefills3[[#This Row],[prev_refill_days]]="","",TableRefills3[[#This Row],[prev_refill_days]]+TableRefills3[[#This Row],[quantity_days]])</f>
        <v/>
      </c>
      <c r="G1850" t="str">
        <f>IF(TableRefills3[[#This Row],[prev_refill_end]]="","",TableRefills3[[#This Row],[refill_date]]-TableRefills3[[#This Row],[prev_refill_end]])</f>
        <v/>
      </c>
      <c r="H1850" s="10">
        <f>IF(TableRefills3[[#This Row],[gap_days]]="",0,IF(TableRefills3[[#This Row],[gap_days]]&gt;2,1,0))</f>
        <v>0</v>
      </c>
      <c r="I1850">
        <f>_xlfn.MAXIFS(TableRefills3[discountinuation_flag], TableRefills3[patient_id], A1850)</f>
        <v>0</v>
      </c>
    </row>
    <row r="1851" spans="1:9" x14ac:dyDescent="0.25">
      <c r="A1851" t="s">
        <v>2949</v>
      </c>
      <c r="B1851" t="s">
        <v>2950</v>
      </c>
      <c r="C1851" s="3">
        <v>45868</v>
      </c>
      <c r="D1851">
        <v>28</v>
      </c>
      <c r="E1851" s="3">
        <f t="shared" si="28"/>
        <v>45843</v>
      </c>
      <c r="F1851" s="3">
        <f>IF(TableRefills3[[#This Row],[prev_refill_days]]="","",TableRefills3[[#This Row],[prev_refill_days]]+TableRefills3[[#This Row],[quantity_days]])</f>
        <v>45871</v>
      </c>
      <c r="G1851">
        <f>IF(TableRefills3[[#This Row],[prev_refill_end]]="","",TableRefills3[[#This Row],[refill_date]]-TableRefills3[[#This Row],[prev_refill_end]])</f>
        <v>-3</v>
      </c>
      <c r="H1851" s="10">
        <f>IF(TableRefills3[[#This Row],[gap_days]]="",0,IF(TableRefills3[[#This Row],[gap_days]]&gt;2,1,0))</f>
        <v>0</v>
      </c>
      <c r="I1851">
        <f>_xlfn.MAXIFS(TableRefills3[discountinuation_flag], TableRefills3[patient_id], A1851)</f>
        <v>0</v>
      </c>
    </row>
    <row r="1852" spans="1:9" x14ac:dyDescent="0.25">
      <c r="A1852" t="s">
        <v>2949</v>
      </c>
      <c r="B1852" t="s">
        <v>2950</v>
      </c>
      <c r="C1852" s="3">
        <v>45893</v>
      </c>
      <c r="D1852">
        <v>28</v>
      </c>
      <c r="E1852" s="3">
        <f t="shared" si="28"/>
        <v>45868</v>
      </c>
      <c r="F1852" s="3">
        <f>IF(TableRefills3[[#This Row],[prev_refill_days]]="","",TableRefills3[[#This Row],[prev_refill_days]]+TableRefills3[[#This Row],[quantity_days]])</f>
        <v>45896</v>
      </c>
      <c r="G1852">
        <f>IF(TableRefills3[[#This Row],[prev_refill_end]]="","",TableRefills3[[#This Row],[refill_date]]-TableRefills3[[#This Row],[prev_refill_end]])</f>
        <v>-3</v>
      </c>
      <c r="H1852" s="10">
        <f>IF(TableRefills3[[#This Row],[gap_days]]="",0,IF(TableRefills3[[#This Row],[gap_days]]&gt;2,1,0))</f>
        <v>0</v>
      </c>
      <c r="I1852">
        <f>_xlfn.MAXIFS(TableRefills3[discountinuation_flag], TableRefills3[patient_id], A1852)</f>
        <v>0</v>
      </c>
    </row>
    <row r="1853" spans="1:9" x14ac:dyDescent="0.25">
      <c r="A1853" t="s">
        <v>2949</v>
      </c>
      <c r="B1853" t="s">
        <v>2950</v>
      </c>
      <c r="C1853" s="3">
        <v>45922</v>
      </c>
      <c r="D1853">
        <v>28</v>
      </c>
      <c r="E1853" s="3">
        <f t="shared" si="28"/>
        <v>45893</v>
      </c>
      <c r="F1853" s="3">
        <f>IF(TableRefills3[[#This Row],[prev_refill_days]]="","",TableRefills3[[#This Row],[prev_refill_days]]+TableRefills3[[#This Row],[quantity_days]])</f>
        <v>45921</v>
      </c>
      <c r="G1853">
        <f>IF(TableRefills3[[#This Row],[prev_refill_end]]="","",TableRefills3[[#This Row],[refill_date]]-TableRefills3[[#This Row],[prev_refill_end]])</f>
        <v>1</v>
      </c>
      <c r="H1853" s="10">
        <f>IF(TableRefills3[[#This Row],[gap_days]]="",0,IF(TableRefills3[[#This Row],[gap_days]]&gt;2,1,0))</f>
        <v>0</v>
      </c>
      <c r="I1853">
        <f>_xlfn.MAXIFS(TableRefills3[discountinuation_flag], TableRefills3[patient_id], A1853)</f>
        <v>0</v>
      </c>
    </row>
    <row r="1854" spans="1:9" x14ac:dyDescent="0.25">
      <c r="A1854" t="s">
        <v>2949</v>
      </c>
      <c r="B1854" t="s">
        <v>2950</v>
      </c>
      <c r="C1854" s="3">
        <v>45948</v>
      </c>
      <c r="D1854">
        <v>28</v>
      </c>
      <c r="E1854" s="3">
        <f t="shared" si="28"/>
        <v>45922</v>
      </c>
      <c r="F1854" s="3">
        <f>IF(TableRefills3[[#This Row],[prev_refill_days]]="","",TableRefills3[[#This Row],[prev_refill_days]]+TableRefills3[[#This Row],[quantity_days]])</f>
        <v>45950</v>
      </c>
      <c r="G1854">
        <f>IF(TableRefills3[[#This Row],[prev_refill_end]]="","",TableRefills3[[#This Row],[refill_date]]-TableRefills3[[#This Row],[prev_refill_end]])</f>
        <v>-2</v>
      </c>
      <c r="H1854" s="10">
        <f>IF(TableRefills3[[#This Row],[gap_days]]="",0,IF(TableRefills3[[#This Row],[gap_days]]&gt;2,1,0))</f>
        <v>0</v>
      </c>
      <c r="I1854">
        <f>_xlfn.MAXIFS(TableRefills3[discountinuation_flag], TableRefills3[patient_id], A1854)</f>
        <v>0</v>
      </c>
    </row>
    <row r="1855" spans="1:9" x14ac:dyDescent="0.25">
      <c r="A1855" t="s">
        <v>2956</v>
      </c>
      <c r="B1855" t="s">
        <v>2957</v>
      </c>
      <c r="C1855" s="3">
        <v>45862</v>
      </c>
      <c r="D1855">
        <v>28</v>
      </c>
      <c r="E1855" s="3" t="str">
        <f t="shared" si="28"/>
        <v/>
      </c>
      <c r="F1855" s="3" t="str">
        <f>IF(TableRefills3[[#This Row],[prev_refill_days]]="","",TableRefills3[[#This Row],[prev_refill_days]]+TableRefills3[[#This Row],[quantity_days]])</f>
        <v/>
      </c>
      <c r="G1855" t="str">
        <f>IF(TableRefills3[[#This Row],[prev_refill_end]]="","",TableRefills3[[#This Row],[refill_date]]-TableRefills3[[#This Row],[prev_refill_end]])</f>
        <v/>
      </c>
      <c r="H1855" s="10">
        <f>IF(TableRefills3[[#This Row],[gap_days]]="",0,IF(TableRefills3[[#This Row],[gap_days]]&gt;2,1,0))</f>
        <v>0</v>
      </c>
      <c r="I1855">
        <f>_xlfn.MAXIFS(TableRefills3[discountinuation_flag], TableRefills3[patient_id], A1855)</f>
        <v>1</v>
      </c>
    </row>
    <row r="1856" spans="1:9" x14ac:dyDescent="0.25">
      <c r="A1856" t="s">
        <v>2956</v>
      </c>
      <c r="B1856" t="s">
        <v>2957</v>
      </c>
      <c r="C1856" s="3">
        <v>45887</v>
      </c>
      <c r="D1856">
        <v>28</v>
      </c>
      <c r="E1856" s="3">
        <f t="shared" si="28"/>
        <v>45862</v>
      </c>
      <c r="F1856" s="3">
        <f>IF(TableRefills3[[#This Row],[prev_refill_days]]="","",TableRefills3[[#This Row],[prev_refill_days]]+TableRefills3[[#This Row],[quantity_days]])</f>
        <v>45890</v>
      </c>
      <c r="G1856">
        <f>IF(TableRefills3[[#This Row],[prev_refill_end]]="","",TableRefills3[[#This Row],[refill_date]]-TableRefills3[[#This Row],[prev_refill_end]])</f>
        <v>-3</v>
      </c>
      <c r="H1856" s="10">
        <f>IF(TableRefills3[[#This Row],[gap_days]]="",0,IF(TableRefills3[[#This Row],[gap_days]]&gt;2,1,0))</f>
        <v>0</v>
      </c>
      <c r="I1856">
        <f>_xlfn.MAXIFS(TableRefills3[discountinuation_flag], TableRefills3[patient_id], A1856)</f>
        <v>1</v>
      </c>
    </row>
    <row r="1857" spans="1:9" x14ac:dyDescent="0.25">
      <c r="A1857" t="s">
        <v>2956</v>
      </c>
      <c r="B1857" t="s">
        <v>2957</v>
      </c>
      <c r="C1857" s="3">
        <v>45918</v>
      </c>
      <c r="D1857">
        <v>28</v>
      </c>
      <c r="E1857" s="3">
        <f t="shared" si="28"/>
        <v>45887</v>
      </c>
      <c r="F1857" s="3">
        <f>IF(TableRefills3[[#This Row],[prev_refill_days]]="","",TableRefills3[[#This Row],[prev_refill_days]]+TableRefills3[[#This Row],[quantity_days]])</f>
        <v>45915</v>
      </c>
      <c r="G1857">
        <f>IF(TableRefills3[[#This Row],[prev_refill_end]]="","",TableRefills3[[#This Row],[refill_date]]-TableRefills3[[#This Row],[prev_refill_end]])</f>
        <v>3</v>
      </c>
      <c r="H1857" s="10">
        <f>IF(TableRefills3[[#This Row],[gap_days]]="",0,IF(TableRefills3[[#This Row],[gap_days]]&gt;2,1,0))</f>
        <v>1</v>
      </c>
      <c r="I1857">
        <f>_xlfn.MAXIFS(TableRefills3[discountinuation_flag], TableRefills3[patient_id], A1857)</f>
        <v>1</v>
      </c>
    </row>
    <row r="1858" spans="1:9" x14ac:dyDescent="0.25">
      <c r="A1858" t="s">
        <v>2961</v>
      </c>
      <c r="B1858" t="s">
        <v>2962</v>
      </c>
      <c r="C1858" s="3">
        <v>45798</v>
      </c>
      <c r="D1858">
        <v>28</v>
      </c>
      <c r="E1858" s="3" t="str">
        <f t="shared" ref="E1858:E1921" si="29">IF(A1857=A1858,C1857,"")</f>
        <v/>
      </c>
      <c r="F1858" s="3" t="str">
        <f>IF(TableRefills3[[#This Row],[prev_refill_days]]="","",TableRefills3[[#This Row],[prev_refill_days]]+TableRefills3[[#This Row],[quantity_days]])</f>
        <v/>
      </c>
      <c r="G1858" t="str">
        <f>IF(TableRefills3[[#This Row],[prev_refill_end]]="","",TableRefills3[[#This Row],[refill_date]]-TableRefills3[[#This Row],[prev_refill_end]])</f>
        <v/>
      </c>
      <c r="H1858" s="10">
        <f>IF(TableRefills3[[#This Row],[gap_days]]="",0,IF(TableRefills3[[#This Row],[gap_days]]&gt;2,1,0))</f>
        <v>0</v>
      </c>
      <c r="I1858">
        <f>_xlfn.MAXIFS(TableRefills3[discountinuation_flag], TableRefills3[patient_id], A1858)</f>
        <v>0</v>
      </c>
    </row>
    <row r="1859" spans="1:9" x14ac:dyDescent="0.25">
      <c r="A1859" t="s">
        <v>2961</v>
      </c>
      <c r="B1859" t="s">
        <v>2962</v>
      </c>
      <c r="C1859" s="3">
        <v>45826</v>
      </c>
      <c r="D1859">
        <v>28</v>
      </c>
      <c r="E1859" s="3">
        <f t="shared" si="29"/>
        <v>45798</v>
      </c>
      <c r="F1859" s="3">
        <f>IF(TableRefills3[[#This Row],[prev_refill_days]]="","",TableRefills3[[#This Row],[prev_refill_days]]+TableRefills3[[#This Row],[quantity_days]])</f>
        <v>45826</v>
      </c>
      <c r="G1859">
        <f>IF(TableRefills3[[#This Row],[prev_refill_end]]="","",TableRefills3[[#This Row],[refill_date]]-TableRefills3[[#This Row],[prev_refill_end]])</f>
        <v>0</v>
      </c>
      <c r="H1859" s="10">
        <f>IF(TableRefills3[[#This Row],[gap_days]]="",0,IF(TableRefills3[[#This Row],[gap_days]]&gt;2,1,0))</f>
        <v>0</v>
      </c>
      <c r="I1859">
        <f>_xlfn.MAXIFS(TableRefills3[discountinuation_flag], TableRefills3[patient_id], A1859)</f>
        <v>0</v>
      </c>
    </row>
    <row r="1860" spans="1:9" x14ac:dyDescent="0.25">
      <c r="A1860" t="s">
        <v>2961</v>
      </c>
      <c r="B1860" t="s">
        <v>2962</v>
      </c>
      <c r="C1860" s="3">
        <v>45853</v>
      </c>
      <c r="D1860">
        <v>28</v>
      </c>
      <c r="E1860" s="3">
        <f t="shared" si="29"/>
        <v>45826</v>
      </c>
      <c r="F1860" s="3">
        <f>IF(TableRefills3[[#This Row],[prev_refill_days]]="","",TableRefills3[[#This Row],[prev_refill_days]]+TableRefills3[[#This Row],[quantity_days]])</f>
        <v>45854</v>
      </c>
      <c r="G1860">
        <f>IF(TableRefills3[[#This Row],[prev_refill_end]]="","",TableRefills3[[#This Row],[refill_date]]-TableRefills3[[#This Row],[prev_refill_end]])</f>
        <v>-1</v>
      </c>
      <c r="H1860" s="10">
        <f>IF(TableRefills3[[#This Row],[gap_days]]="",0,IF(TableRefills3[[#This Row],[gap_days]]&gt;2,1,0))</f>
        <v>0</v>
      </c>
      <c r="I1860">
        <f>_xlfn.MAXIFS(TableRefills3[discountinuation_flag], TableRefills3[patient_id], A1860)</f>
        <v>0</v>
      </c>
    </row>
    <row r="1861" spans="1:9" x14ac:dyDescent="0.25">
      <c r="A1861" t="s">
        <v>2961</v>
      </c>
      <c r="B1861" t="s">
        <v>2962</v>
      </c>
      <c r="C1861" s="3">
        <v>45883</v>
      </c>
      <c r="D1861">
        <v>28</v>
      </c>
      <c r="E1861" s="3">
        <f t="shared" si="29"/>
        <v>45853</v>
      </c>
      <c r="F1861" s="3">
        <f>IF(TableRefills3[[#This Row],[prev_refill_days]]="","",TableRefills3[[#This Row],[prev_refill_days]]+TableRefills3[[#This Row],[quantity_days]])</f>
        <v>45881</v>
      </c>
      <c r="G1861">
        <f>IF(TableRefills3[[#This Row],[prev_refill_end]]="","",TableRefills3[[#This Row],[refill_date]]-TableRefills3[[#This Row],[prev_refill_end]])</f>
        <v>2</v>
      </c>
      <c r="H1861" s="10">
        <f>IF(TableRefills3[[#This Row],[gap_days]]="",0,IF(TableRefills3[[#This Row],[gap_days]]&gt;2,1,0))</f>
        <v>0</v>
      </c>
      <c r="I1861">
        <f>_xlfn.MAXIFS(TableRefills3[discountinuation_flag], TableRefills3[patient_id], A1861)</f>
        <v>0</v>
      </c>
    </row>
    <row r="1862" spans="1:9" x14ac:dyDescent="0.25">
      <c r="A1862" t="s">
        <v>2961</v>
      </c>
      <c r="B1862" t="s">
        <v>2962</v>
      </c>
      <c r="C1862" s="3">
        <v>45909</v>
      </c>
      <c r="D1862">
        <v>28</v>
      </c>
      <c r="E1862" s="3">
        <f t="shared" si="29"/>
        <v>45883</v>
      </c>
      <c r="F1862" s="3">
        <f>IF(TableRefills3[[#This Row],[prev_refill_days]]="","",TableRefills3[[#This Row],[prev_refill_days]]+TableRefills3[[#This Row],[quantity_days]])</f>
        <v>45911</v>
      </c>
      <c r="G1862">
        <f>IF(TableRefills3[[#This Row],[prev_refill_end]]="","",TableRefills3[[#This Row],[refill_date]]-TableRefills3[[#This Row],[prev_refill_end]])</f>
        <v>-2</v>
      </c>
      <c r="H1862" s="10">
        <f>IF(TableRefills3[[#This Row],[gap_days]]="",0,IF(TableRefills3[[#This Row],[gap_days]]&gt;2,1,0))</f>
        <v>0</v>
      </c>
      <c r="I1862">
        <f>_xlfn.MAXIFS(TableRefills3[discountinuation_flag], TableRefills3[patient_id], A1862)</f>
        <v>0</v>
      </c>
    </row>
    <row r="1863" spans="1:9" x14ac:dyDescent="0.25">
      <c r="A1863" t="s">
        <v>2961</v>
      </c>
      <c r="B1863" t="s">
        <v>2962</v>
      </c>
      <c r="C1863" s="3">
        <v>45938</v>
      </c>
      <c r="D1863">
        <v>28</v>
      </c>
      <c r="E1863" s="3">
        <f t="shared" si="29"/>
        <v>45909</v>
      </c>
      <c r="F1863" s="3">
        <f>IF(TableRefills3[[#This Row],[prev_refill_days]]="","",TableRefills3[[#This Row],[prev_refill_days]]+TableRefills3[[#This Row],[quantity_days]])</f>
        <v>45937</v>
      </c>
      <c r="G1863">
        <f>IF(TableRefills3[[#This Row],[prev_refill_end]]="","",TableRefills3[[#This Row],[refill_date]]-TableRefills3[[#This Row],[prev_refill_end]])</f>
        <v>1</v>
      </c>
      <c r="H1863" s="10">
        <f>IF(TableRefills3[[#This Row],[gap_days]]="",0,IF(TableRefills3[[#This Row],[gap_days]]&gt;2,1,0))</f>
        <v>0</v>
      </c>
      <c r="I1863">
        <f>_xlfn.MAXIFS(TableRefills3[discountinuation_flag], TableRefills3[patient_id], A1863)</f>
        <v>0</v>
      </c>
    </row>
    <row r="1864" spans="1:9" x14ac:dyDescent="0.25">
      <c r="A1864" t="s">
        <v>2969</v>
      </c>
      <c r="B1864" t="s">
        <v>2970</v>
      </c>
      <c r="C1864" s="3">
        <v>45872</v>
      </c>
      <c r="D1864">
        <v>28</v>
      </c>
      <c r="E1864" s="3" t="str">
        <f t="shared" si="29"/>
        <v/>
      </c>
      <c r="F1864" s="3" t="str">
        <f>IF(TableRefills3[[#This Row],[prev_refill_days]]="","",TableRefills3[[#This Row],[prev_refill_days]]+TableRefills3[[#This Row],[quantity_days]])</f>
        <v/>
      </c>
      <c r="G1864" t="str">
        <f>IF(TableRefills3[[#This Row],[prev_refill_end]]="","",TableRefills3[[#This Row],[refill_date]]-TableRefills3[[#This Row],[prev_refill_end]])</f>
        <v/>
      </c>
      <c r="H1864" s="10">
        <f>IF(TableRefills3[[#This Row],[gap_days]]="",0,IF(TableRefills3[[#This Row],[gap_days]]&gt;2,1,0))</f>
        <v>0</v>
      </c>
      <c r="I1864">
        <f>_xlfn.MAXIFS(TableRefills3[discountinuation_flag], TableRefills3[patient_id], A1864)</f>
        <v>0</v>
      </c>
    </row>
    <row r="1865" spans="1:9" x14ac:dyDescent="0.25">
      <c r="A1865" t="s">
        <v>2969</v>
      </c>
      <c r="B1865" t="s">
        <v>2970</v>
      </c>
      <c r="C1865" s="3">
        <v>45901</v>
      </c>
      <c r="D1865">
        <v>28</v>
      </c>
      <c r="E1865" s="3">
        <f t="shared" si="29"/>
        <v>45872</v>
      </c>
      <c r="F1865" s="3">
        <f>IF(TableRefills3[[#This Row],[prev_refill_days]]="","",TableRefills3[[#This Row],[prev_refill_days]]+TableRefills3[[#This Row],[quantity_days]])</f>
        <v>45900</v>
      </c>
      <c r="G1865">
        <f>IF(TableRefills3[[#This Row],[prev_refill_end]]="","",TableRefills3[[#This Row],[refill_date]]-TableRefills3[[#This Row],[prev_refill_end]])</f>
        <v>1</v>
      </c>
      <c r="H1865" s="10">
        <f>IF(TableRefills3[[#This Row],[gap_days]]="",0,IF(TableRefills3[[#This Row],[gap_days]]&gt;2,1,0))</f>
        <v>0</v>
      </c>
      <c r="I1865">
        <f>_xlfn.MAXIFS(TableRefills3[discountinuation_flag], TableRefills3[patient_id], A1865)</f>
        <v>0</v>
      </c>
    </row>
    <row r="1866" spans="1:9" x14ac:dyDescent="0.25">
      <c r="A1866" t="s">
        <v>2969</v>
      </c>
      <c r="B1866" t="s">
        <v>2970</v>
      </c>
      <c r="C1866" s="3">
        <v>45930</v>
      </c>
      <c r="D1866">
        <v>28</v>
      </c>
      <c r="E1866" s="3">
        <f t="shared" si="29"/>
        <v>45901</v>
      </c>
      <c r="F1866" s="3">
        <f>IF(TableRefills3[[#This Row],[prev_refill_days]]="","",TableRefills3[[#This Row],[prev_refill_days]]+TableRefills3[[#This Row],[quantity_days]])</f>
        <v>45929</v>
      </c>
      <c r="G1866">
        <f>IF(TableRefills3[[#This Row],[prev_refill_end]]="","",TableRefills3[[#This Row],[refill_date]]-TableRefills3[[#This Row],[prev_refill_end]])</f>
        <v>1</v>
      </c>
      <c r="H1866" s="10">
        <f>IF(TableRefills3[[#This Row],[gap_days]]="",0,IF(TableRefills3[[#This Row],[gap_days]]&gt;2,1,0))</f>
        <v>0</v>
      </c>
      <c r="I1866">
        <f>_xlfn.MAXIFS(TableRefills3[discountinuation_flag], TableRefills3[patient_id], A1866)</f>
        <v>0</v>
      </c>
    </row>
    <row r="1867" spans="1:9" x14ac:dyDescent="0.25">
      <c r="A1867" t="s">
        <v>2969</v>
      </c>
      <c r="B1867" t="s">
        <v>2970</v>
      </c>
      <c r="C1867" s="3">
        <v>45956</v>
      </c>
      <c r="D1867">
        <v>28</v>
      </c>
      <c r="E1867" s="3">
        <f t="shared" si="29"/>
        <v>45930</v>
      </c>
      <c r="F1867" s="3">
        <f>IF(TableRefills3[[#This Row],[prev_refill_days]]="","",TableRefills3[[#This Row],[prev_refill_days]]+TableRefills3[[#This Row],[quantity_days]])</f>
        <v>45958</v>
      </c>
      <c r="G1867">
        <f>IF(TableRefills3[[#This Row],[prev_refill_end]]="","",TableRefills3[[#This Row],[refill_date]]-TableRefills3[[#This Row],[prev_refill_end]])</f>
        <v>-2</v>
      </c>
      <c r="H1867" s="10">
        <f>IF(TableRefills3[[#This Row],[gap_days]]="",0,IF(TableRefills3[[#This Row],[gap_days]]&gt;2,1,0))</f>
        <v>0</v>
      </c>
      <c r="I1867">
        <f>_xlfn.MAXIFS(TableRefills3[discountinuation_flag], TableRefills3[patient_id], A1867)</f>
        <v>0</v>
      </c>
    </row>
    <row r="1868" spans="1:9" x14ac:dyDescent="0.25">
      <c r="A1868" t="s">
        <v>2975</v>
      </c>
      <c r="B1868" t="s">
        <v>2976</v>
      </c>
      <c r="C1868" s="3">
        <v>45915</v>
      </c>
      <c r="D1868">
        <v>28</v>
      </c>
      <c r="E1868" s="3" t="str">
        <f t="shared" si="29"/>
        <v/>
      </c>
      <c r="F1868" s="3" t="str">
        <f>IF(TableRefills3[[#This Row],[prev_refill_days]]="","",TableRefills3[[#This Row],[prev_refill_days]]+TableRefills3[[#This Row],[quantity_days]])</f>
        <v/>
      </c>
      <c r="G1868" t="str">
        <f>IF(TableRefills3[[#This Row],[prev_refill_end]]="","",TableRefills3[[#This Row],[refill_date]]-TableRefills3[[#This Row],[prev_refill_end]])</f>
        <v/>
      </c>
      <c r="H1868" s="10">
        <f>IF(TableRefills3[[#This Row],[gap_days]]="",0,IF(TableRefills3[[#This Row],[gap_days]]&gt;2,1,0))</f>
        <v>0</v>
      </c>
      <c r="I1868">
        <f>_xlfn.MAXIFS(TableRefills3[discountinuation_flag], TableRefills3[patient_id], A1868)</f>
        <v>0</v>
      </c>
    </row>
    <row r="1869" spans="1:9" x14ac:dyDescent="0.25">
      <c r="A1869" t="s">
        <v>2975</v>
      </c>
      <c r="B1869" t="s">
        <v>2976</v>
      </c>
      <c r="C1869" s="3">
        <v>45940</v>
      </c>
      <c r="D1869">
        <v>28</v>
      </c>
      <c r="E1869" s="3">
        <f t="shared" si="29"/>
        <v>45915</v>
      </c>
      <c r="F1869" s="3">
        <f>IF(TableRefills3[[#This Row],[prev_refill_days]]="","",TableRefills3[[#This Row],[prev_refill_days]]+TableRefills3[[#This Row],[quantity_days]])</f>
        <v>45943</v>
      </c>
      <c r="G1869">
        <f>IF(TableRefills3[[#This Row],[prev_refill_end]]="","",TableRefills3[[#This Row],[refill_date]]-TableRefills3[[#This Row],[prev_refill_end]])</f>
        <v>-3</v>
      </c>
      <c r="H1869" s="10">
        <f>IF(TableRefills3[[#This Row],[gap_days]]="",0,IF(TableRefills3[[#This Row],[gap_days]]&gt;2,1,0))</f>
        <v>0</v>
      </c>
      <c r="I1869">
        <f>_xlfn.MAXIFS(TableRefills3[discountinuation_flag], TableRefills3[patient_id], A1869)</f>
        <v>0</v>
      </c>
    </row>
    <row r="1870" spans="1:9" x14ac:dyDescent="0.25">
      <c r="A1870" t="s">
        <v>2979</v>
      </c>
      <c r="B1870" t="s">
        <v>2980</v>
      </c>
      <c r="C1870" s="3">
        <v>45826</v>
      </c>
      <c r="D1870">
        <v>28</v>
      </c>
      <c r="E1870" s="3" t="str">
        <f t="shared" si="29"/>
        <v/>
      </c>
      <c r="F1870" s="3" t="str">
        <f>IF(TableRefills3[[#This Row],[prev_refill_days]]="","",TableRefills3[[#This Row],[prev_refill_days]]+TableRefills3[[#This Row],[quantity_days]])</f>
        <v/>
      </c>
      <c r="G1870" t="str">
        <f>IF(TableRefills3[[#This Row],[prev_refill_end]]="","",TableRefills3[[#This Row],[refill_date]]-TableRefills3[[#This Row],[prev_refill_end]])</f>
        <v/>
      </c>
      <c r="H1870" s="10">
        <f>IF(TableRefills3[[#This Row],[gap_days]]="",0,IF(TableRefills3[[#This Row],[gap_days]]&gt;2,1,0))</f>
        <v>0</v>
      </c>
      <c r="I1870">
        <f>_xlfn.MAXIFS(TableRefills3[discountinuation_flag], TableRefills3[patient_id], A1870)</f>
        <v>0</v>
      </c>
    </row>
    <row r="1871" spans="1:9" x14ac:dyDescent="0.25">
      <c r="A1871" t="s">
        <v>2979</v>
      </c>
      <c r="B1871" t="s">
        <v>2980</v>
      </c>
      <c r="C1871" s="3">
        <v>45856</v>
      </c>
      <c r="D1871">
        <v>28</v>
      </c>
      <c r="E1871" s="3">
        <f t="shared" si="29"/>
        <v>45826</v>
      </c>
      <c r="F1871" s="3">
        <f>IF(TableRefills3[[#This Row],[prev_refill_days]]="","",TableRefills3[[#This Row],[prev_refill_days]]+TableRefills3[[#This Row],[quantity_days]])</f>
        <v>45854</v>
      </c>
      <c r="G1871">
        <f>IF(TableRefills3[[#This Row],[prev_refill_end]]="","",TableRefills3[[#This Row],[refill_date]]-TableRefills3[[#This Row],[prev_refill_end]])</f>
        <v>2</v>
      </c>
      <c r="H1871" s="10">
        <f>IF(TableRefills3[[#This Row],[gap_days]]="",0,IF(TableRefills3[[#This Row],[gap_days]]&gt;2,1,0))</f>
        <v>0</v>
      </c>
      <c r="I1871">
        <f>_xlfn.MAXIFS(TableRefills3[discountinuation_flag], TableRefills3[patient_id], A1871)</f>
        <v>0</v>
      </c>
    </row>
    <row r="1872" spans="1:9" x14ac:dyDescent="0.25">
      <c r="A1872" t="s">
        <v>2979</v>
      </c>
      <c r="B1872" t="s">
        <v>2980</v>
      </c>
      <c r="C1872" s="3">
        <v>45881</v>
      </c>
      <c r="D1872">
        <v>28</v>
      </c>
      <c r="E1872" s="3">
        <f t="shared" si="29"/>
        <v>45856</v>
      </c>
      <c r="F1872" s="3">
        <f>IF(TableRefills3[[#This Row],[prev_refill_days]]="","",TableRefills3[[#This Row],[prev_refill_days]]+TableRefills3[[#This Row],[quantity_days]])</f>
        <v>45884</v>
      </c>
      <c r="G1872">
        <f>IF(TableRefills3[[#This Row],[prev_refill_end]]="","",TableRefills3[[#This Row],[refill_date]]-TableRefills3[[#This Row],[prev_refill_end]])</f>
        <v>-3</v>
      </c>
      <c r="H1872" s="10">
        <f>IF(TableRefills3[[#This Row],[gap_days]]="",0,IF(TableRefills3[[#This Row],[gap_days]]&gt;2,1,0))</f>
        <v>0</v>
      </c>
      <c r="I1872">
        <f>_xlfn.MAXIFS(TableRefills3[discountinuation_flag], TableRefills3[patient_id], A1872)</f>
        <v>0</v>
      </c>
    </row>
    <row r="1873" spans="1:9" x14ac:dyDescent="0.25">
      <c r="A1873" t="s">
        <v>2979</v>
      </c>
      <c r="B1873" t="s">
        <v>2980</v>
      </c>
      <c r="C1873" s="3">
        <v>45907</v>
      </c>
      <c r="D1873">
        <v>28</v>
      </c>
      <c r="E1873" s="3">
        <f t="shared" si="29"/>
        <v>45881</v>
      </c>
      <c r="F1873" s="3">
        <f>IF(TableRefills3[[#This Row],[prev_refill_days]]="","",TableRefills3[[#This Row],[prev_refill_days]]+TableRefills3[[#This Row],[quantity_days]])</f>
        <v>45909</v>
      </c>
      <c r="G1873">
        <f>IF(TableRefills3[[#This Row],[prev_refill_end]]="","",TableRefills3[[#This Row],[refill_date]]-TableRefills3[[#This Row],[prev_refill_end]])</f>
        <v>-2</v>
      </c>
      <c r="H1873" s="10">
        <f>IF(TableRefills3[[#This Row],[gap_days]]="",0,IF(TableRefills3[[#This Row],[gap_days]]&gt;2,1,0))</f>
        <v>0</v>
      </c>
      <c r="I1873">
        <f>_xlfn.MAXIFS(TableRefills3[discountinuation_flag], TableRefills3[patient_id], A1873)</f>
        <v>0</v>
      </c>
    </row>
    <row r="1874" spans="1:9" x14ac:dyDescent="0.25">
      <c r="A1874" t="s">
        <v>2979</v>
      </c>
      <c r="B1874" t="s">
        <v>2980</v>
      </c>
      <c r="C1874" s="3">
        <v>45934</v>
      </c>
      <c r="D1874">
        <v>28</v>
      </c>
      <c r="E1874" s="3">
        <f t="shared" si="29"/>
        <v>45907</v>
      </c>
      <c r="F1874" s="3">
        <f>IF(TableRefills3[[#This Row],[prev_refill_days]]="","",TableRefills3[[#This Row],[prev_refill_days]]+TableRefills3[[#This Row],[quantity_days]])</f>
        <v>45935</v>
      </c>
      <c r="G1874">
        <f>IF(TableRefills3[[#This Row],[prev_refill_end]]="","",TableRefills3[[#This Row],[refill_date]]-TableRefills3[[#This Row],[prev_refill_end]])</f>
        <v>-1</v>
      </c>
      <c r="H1874" s="10">
        <f>IF(TableRefills3[[#This Row],[gap_days]]="",0,IF(TableRefills3[[#This Row],[gap_days]]&gt;2,1,0))</f>
        <v>0</v>
      </c>
      <c r="I1874">
        <f>_xlfn.MAXIFS(TableRefills3[discountinuation_flag], TableRefills3[patient_id], A1874)</f>
        <v>0</v>
      </c>
    </row>
    <row r="1875" spans="1:9" x14ac:dyDescent="0.25">
      <c r="A1875" t="s">
        <v>2986</v>
      </c>
      <c r="B1875" t="s">
        <v>2987</v>
      </c>
      <c r="C1875" s="3">
        <v>45846</v>
      </c>
      <c r="D1875">
        <v>14</v>
      </c>
      <c r="E1875" s="3" t="str">
        <f t="shared" si="29"/>
        <v/>
      </c>
      <c r="F1875" s="3" t="str">
        <f>IF(TableRefills3[[#This Row],[prev_refill_days]]="","",TableRefills3[[#This Row],[prev_refill_days]]+TableRefills3[[#This Row],[quantity_days]])</f>
        <v/>
      </c>
      <c r="G1875" t="str">
        <f>IF(TableRefills3[[#This Row],[prev_refill_end]]="","",TableRefills3[[#This Row],[refill_date]]-TableRefills3[[#This Row],[prev_refill_end]])</f>
        <v/>
      </c>
      <c r="H1875" s="10">
        <f>IF(TableRefills3[[#This Row],[gap_days]]="",0,IF(TableRefills3[[#This Row],[gap_days]]&gt;2,1,0))</f>
        <v>0</v>
      </c>
      <c r="I1875">
        <f>_xlfn.MAXIFS(TableRefills3[discountinuation_flag], TableRefills3[patient_id], A1875)</f>
        <v>1</v>
      </c>
    </row>
    <row r="1876" spans="1:9" x14ac:dyDescent="0.25">
      <c r="A1876" t="s">
        <v>2986</v>
      </c>
      <c r="B1876" t="s">
        <v>2987</v>
      </c>
      <c r="C1876" s="3">
        <v>45861</v>
      </c>
      <c r="D1876">
        <v>14</v>
      </c>
      <c r="E1876" s="3">
        <f t="shared" si="29"/>
        <v>45846</v>
      </c>
      <c r="F1876" s="3">
        <f>IF(TableRefills3[[#This Row],[prev_refill_days]]="","",TableRefills3[[#This Row],[prev_refill_days]]+TableRefills3[[#This Row],[quantity_days]])</f>
        <v>45860</v>
      </c>
      <c r="G1876">
        <f>IF(TableRefills3[[#This Row],[prev_refill_end]]="","",TableRefills3[[#This Row],[refill_date]]-TableRefills3[[#This Row],[prev_refill_end]])</f>
        <v>1</v>
      </c>
      <c r="H1876" s="10">
        <f>IF(TableRefills3[[#This Row],[gap_days]]="",0,IF(TableRefills3[[#This Row],[gap_days]]&gt;2,1,0))</f>
        <v>0</v>
      </c>
      <c r="I1876">
        <f>_xlfn.MAXIFS(TableRefills3[discountinuation_flag], TableRefills3[patient_id], A1876)</f>
        <v>1</v>
      </c>
    </row>
    <row r="1877" spans="1:9" x14ac:dyDescent="0.25">
      <c r="A1877" t="s">
        <v>2986</v>
      </c>
      <c r="B1877" t="s">
        <v>2987</v>
      </c>
      <c r="C1877" s="3">
        <v>45872</v>
      </c>
      <c r="D1877">
        <v>14</v>
      </c>
      <c r="E1877" s="3">
        <f t="shared" si="29"/>
        <v>45861</v>
      </c>
      <c r="F1877" s="3">
        <f>IF(TableRefills3[[#This Row],[prev_refill_days]]="","",TableRefills3[[#This Row],[prev_refill_days]]+TableRefills3[[#This Row],[quantity_days]])</f>
        <v>45875</v>
      </c>
      <c r="G1877">
        <f>IF(TableRefills3[[#This Row],[prev_refill_end]]="","",TableRefills3[[#This Row],[refill_date]]-TableRefills3[[#This Row],[prev_refill_end]])</f>
        <v>-3</v>
      </c>
      <c r="H1877" s="10">
        <f>IF(TableRefills3[[#This Row],[gap_days]]="",0,IF(TableRefills3[[#This Row],[gap_days]]&gt;2,1,0))</f>
        <v>0</v>
      </c>
      <c r="I1877">
        <f>_xlfn.MAXIFS(TableRefills3[discountinuation_flag], TableRefills3[patient_id], A1877)</f>
        <v>1</v>
      </c>
    </row>
    <row r="1878" spans="1:9" x14ac:dyDescent="0.25">
      <c r="A1878" t="s">
        <v>2986</v>
      </c>
      <c r="B1878" t="s">
        <v>2987</v>
      </c>
      <c r="C1878" s="3">
        <v>45888</v>
      </c>
      <c r="D1878">
        <v>14</v>
      </c>
      <c r="E1878" s="3">
        <f t="shared" si="29"/>
        <v>45872</v>
      </c>
      <c r="F1878" s="3">
        <f>IF(TableRefills3[[#This Row],[prev_refill_days]]="","",TableRefills3[[#This Row],[prev_refill_days]]+TableRefills3[[#This Row],[quantity_days]])</f>
        <v>45886</v>
      </c>
      <c r="G1878">
        <f>IF(TableRefills3[[#This Row],[prev_refill_end]]="","",TableRefills3[[#This Row],[refill_date]]-TableRefills3[[#This Row],[prev_refill_end]])</f>
        <v>2</v>
      </c>
      <c r="H1878" s="10">
        <f>IF(TableRefills3[[#This Row],[gap_days]]="",0,IF(TableRefills3[[#This Row],[gap_days]]&gt;2,1,0))</f>
        <v>0</v>
      </c>
      <c r="I1878">
        <f>_xlfn.MAXIFS(TableRefills3[discountinuation_flag], TableRefills3[patient_id], A1878)</f>
        <v>1</v>
      </c>
    </row>
    <row r="1879" spans="1:9" x14ac:dyDescent="0.25">
      <c r="A1879" t="s">
        <v>2986</v>
      </c>
      <c r="B1879" t="s">
        <v>2987</v>
      </c>
      <c r="C1879" s="3">
        <v>45899</v>
      </c>
      <c r="D1879">
        <v>14</v>
      </c>
      <c r="E1879" s="3">
        <f t="shared" si="29"/>
        <v>45888</v>
      </c>
      <c r="F1879" s="3">
        <f>IF(TableRefills3[[#This Row],[prev_refill_days]]="","",TableRefills3[[#This Row],[prev_refill_days]]+TableRefills3[[#This Row],[quantity_days]])</f>
        <v>45902</v>
      </c>
      <c r="G1879">
        <f>IF(TableRefills3[[#This Row],[prev_refill_end]]="","",TableRefills3[[#This Row],[refill_date]]-TableRefills3[[#This Row],[prev_refill_end]])</f>
        <v>-3</v>
      </c>
      <c r="H1879" s="10">
        <f>IF(TableRefills3[[#This Row],[gap_days]]="",0,IF(TableRefills3[[#This Row],[gap_days]]&gt;2,1,0))</f>
        <v>0</v>
      </c>
      <c r="I1879">
        <f>_xlfn.MAXIFS(TableRefills3[discountinuation_flag], TableRefills3[patient_id], A1879)</f>
        <v>1</v>
      </c>
    </row>
    <row r="1880" spans="1:9" x14ac:dyDescent="0.25">
      <c r="A1880" t="s">
        <v>2986</v>
      </c>
      <c r="B1880" t="s">
        <v>2987</v>
      </c>
      <c r="C1880" s="3">
        <v>45913</v>
      </c>
      <c r="D1880">
        <v>14</v>
      </c>
      <c r="E1880" s="3">
        <f t="shared" si="29"/>
        <v>45899</v>
      </c>
      <c r="F1880" s="3">
        <f>IF(TableRefills3[[#This Row],[prev_refill_days]]="","",TableRefills3[[#This Row],[prev_refill_days]]+TableRefills3[[#This Row],[quantity_days]])</f>
        <v>45913</v>
      </c>
      <c r="G1880">
        <f>IF(TableRefills3[[#This Row],[prev_refill_end]]="","",TableRefills3[[#This Row],[refill_date]]-TableRefills3[[#This Row],[prev_refill_end]])</f>
        <v>0</v>
      </c>
      <c r="H1880" s="10">
        <f>IF(TableRefills3[[#This Row],[gap_days]]="",0,IF(TableRefills3[[#This Row],[gap_days]]&gt;2,1,0))</f>
        <v>0</v>
      </c>
      <c r="I1880">
        <f>_xlfn.MAXIFS(TableRefills3[discountinuation_flag], TableRefills3[patient_id], A1880)</f>
        <v>1</v>
      </c>
    </row>
    <row r="1881" spans="1:9" x14ac:dyDescent="0.25">
      <c r="A1881" t="s">
        <v>2986</v>
      </c>
      <c r="B1881" t="s">
        <v>2987</v>
      </c>
      <c r="C1881" s="3">
        <v>45926</v>
      </c>
      <c r="D1881">
        <v>14</v>
      </c>
      <c r="E1881" s="3">
        <f t="shared" si="29"/>
        <v>45913</v>
      </c>
      <c r="F1881" s="3">
        <f>IF(TableRefills3[[#This Row],[prev_refill_days]]="","",TableRefills3[[#This Row],[prev_refill_days]]+TableRefills3[[#This Row],[quantity_days]])</f>
        <v>45927</v>
      </c>
      <c r="G1881">
        <f>IF(TableRefills3[[#This Row],[prev_refill_end]]="","",TableRefills3[[#This Row],[refill_date]]-TableRefills3[[#This Row],[prev_refill_end]])</f>
        <v>-1</v>
      </c>
      <c r="H1881" s="10">
        <f>IF(TableRefills3[[#This Row],[gap_days]]="",0,IF(TableRefills3[[#This Row],[gap_days]]&gt;2,1,0))</f>
        <v>0</v>
      </c>
      <c r="I1881">
        <f>_xlfn.MAXIFS(TableRefills3[discountinuation_flag], TableRefills3[patient_id], A1881)</f>
        <v>1</v>
      </c>
    </row>
    <row r="1882" spans="1:9" x14ac:dyDescent="0.25">
      <c r="A1882" t="s">
        <v>2986</v>
      </c>
      <c r="B1882" t="s">
        <v>2987</v>
      </c>
      <c r="C1882" s="3">
        <v>45943</v>
      </c>
      <c r="D1882">
        <v>14</v>
      </c>
      <c r="E1882" s="3">
        <f t="shared" si="29"/>
        <v>45926</v>
      </c>
      <c r="F1882" s="3">
        <f>IF(TableRefills3[[#This Row],[prev_refill_days]]="","",TableRefills3[[#This Row],[prev_refill_days]]+TableRefills3[[#This Row],[quantity_days]])</f>
        <v>45940</v>
      </c>
      <c r="G1882">
        <f>IF(TableRefills3[[#This Row],[prev_refill_end]]="","",TableRefills3[[#This Row],[refill_date]]-TableRefills3[[#This Row],[prev_refill_end]])</f>
        <v>3</v>
      </c>
      <c r="H1882" s="10">
        <f>IF(TableRefills3[[#This Row],[gap_days]]="",0,IF(TableRefills3[[#This Row],[gap_days]]&gt;2,1,0))</f>
        <v>1</v>
      </c>
      <c r="I1882">
        <f>_xlfn.MAXIFS(TableRefills3[discountinuation_flag], TableRefills3[patient_id], A1882)</f>
        <v>1</v>
      </c>
    </row>
    <row r="1883" spans="1:9" x14ac:dyDescent="0.25">
      <c r="A1883" t="s">
        <v>2986</v>
      </c>
      <c r="B1883" t="s">
        <v>2987</v>
      </c>
      <c r="C1883" s="3">
        <v>45959</v>
      </c>
      <c r="D1883">
        <v>14</v>
      </c>
      <c r="E1883" s="3">
        <f t="shared" si="29"/>
        <v>45943</v>
      </c>
      <c r="F1883" s="3">
        <f>IF(TableRefills3[[#This Row],[prev_refill_days]]="","",TableRefills3[[#This Row],[prev_refill_days]]+TableRefills3[[#This Row],[quantity_days]])</f>
        <v>45957</v>
      </c>
      <c r="G1883">
        <f>IF(TableRefills3[[#This Row],[prev_refill_end]]="","",TableRefills3[[#This Row],[refill_date]]-TableRefills3[[#This Row],[prev_refill_end]])</f>
        <v>2</v>
      </c>
      <c r="H1883" s="10">
        <f>IF(TableRefills3[[#This Row],[gap_days]]="",0,IF(TableRefills3[[#This Row],[gap_days]]&gt;2,1,0))</f>
        <v>0</v>
      </c>
      <c r="I1883">
        <f>_xlfn.MAXIFS(TableRefills3[discountinuation_flag], TableRefills3[patient_id], A1883)</f>
        <v>1</v>
      </c>
    </row>
    <row r="1884" spans="1:9" x14ac:dyDescent="0.25">
      <c r="A1884" t="s">
        <v>2997</v>
      </c>
      <c r="B1884" t="s">
        <v>2998</v>
      </c>
      <c r="C1884" s="3">
        <v>45950</v>
      </c>
      <c r="D1884">
        <v>28</v>
      </c>
      <c r="E1884" s="3" t="str">
        <f t="shared" si="29"/>
        <v/>
      </c>
      <c r="F1884" s="3" t="str">
        <f>IF(TableRefills3[[#This Row],[prev_refill_days]]="","",TableRefills3[[#This Row],[prev_refill_days]]+TableRefills3[[#This Row],[quantity_days]])</f>
        <v/>
      </c>
      <c r="G1884" t="str">
        <f>IF(TableRefills3[[#This Row],[prev_refill_end]]="","",TableRefills3[[#This Row],[refill_date]]-TableRefills3[[#This Row],[prev_refill_end]])</f>
        <v/>
      </c>
      <c r="H1884" s="10">
        <f>IF(TableRefills3[[#This Row],[gap_days]]="",0,IF(TableRefills3[[#This Row],[gap_days]]&gt;2,1,0))</f>
        <v>0</v>
      </c>
      <c r="I1884">
        <f>_xlfn.MAXIFS(TableRefills3[discountinuation_flag], TableRefills3[patient_id], A1884)</f>
        <v>0</v>
      </c>
    </row>
    <row r="1885" spans="1:9" x14ac:dyDescent="0.25">
      <c r="A1885" t="s">
        <v>3000</v>
      </c>
      <c r="B1885" t="s">
        <v>3001</v>
      </c>
      <c r="C1885" s="3">
        <v>45932</v>
      </c>
      <c r="D1885">
        <v>56</v>
      </c>
      <c r="E1885" s="3" t="str">
        <f t="shared" si="29"/>
        <v/>
      </c>
      <c r="F1885" s="3" t="str">
        <f>IF(TableRefills3[[#This Row],[prev_refill_days]]="","",TableRefills3[[#This Row],[prev_refill_days]]+TableRefills3[[#This Row],[quantity_days]])</f>
        <v/>
      </c>
      <c r="G1885" t="str">
        <f>IF(TableRefills3[[#This Row],[prev_refill_end]]="","",TableRefills3[[#This Row],[refill_date]]-TableRefills3[[#This Row],[prev_refill_end]])</f>
        <v/>
      </c>
      <c r="H1885" s="10">
        <f>IF(TableRefills3[[#This Row],[gap_days]]="",0,IF(TableRefills3[[#This Row],[gap_days]]&gt;2,1,0))</f>
        <v>0</v>
      </c>
      <c r="I1885">
        <f>_xlfn.MAXIFS(TableRefills3[discountinuation_flag], TableRefills3[patient_id], A1885)</f>
        <v>0</v>
      </c>
    </row>
    <row r="1886" spans="1:9" x14ac:dyDescent="0.25">
      <c r="A1886" t="s">
        <v>3003</v>
      </c>
      <c r="B1886" t="s">
        <v>3004</v>
      </c>
      <c r="C1886" s="3">
        <v>45796</v>
      </c>
      <c r="D1886">
        <v>30</v>
      </c>
      <c r="E1886" s="3" t="str">
        <f t="shared" si="29"/>
        <v/>
      </c>
      <c r="F1886" s="3" t="str">
        <f>IF(TableRefills3[[#This Row],[prev_refill_days]]="","",TableRefills3[[#This Row],[prev_refill_days]]+TableRefills3[[#This Row],[quantity_days]])</f>
        <v/>
      </c>
      <c r="G1886" t="str">
        <f>IF(TableRefills3[[#This Row],[prev_refill_end]]="","",TableRefills3[[#This Row],[refill_date]]-TableRefills3[[#This Row],[prev_refill_end]])</f>
        <v/>
      </c>
      <c r="H1886" s="10">
        <f>IF(TableRefills3[[#This Row],[gap_days]]="",0,IF(TableRefills3[[#This Row],[gap_days]]&gt;2,1,0))</f>
        <v>0</v>
      </c>
      <c r="I1886">
        <f>_xlfn.MAXIFS(TableRefills3[discountinuation_flag], TableRefills3[patient_id], A1886)</f>
        <v>0</v>
      </c>
    </row>
    <row r="1887" spans="1:9" x14ac:dyDescent="0.25">
      <c r="A1887" t="s">
        <v>3003</v>
      </c>
      <c r="B1887" t="s">
        <v>3004</v>
      </c>
      <c r="C1887" s="3">
        <v>45828</v>
      </c>
      <c r="D1887">
        <v>30</v>
      </c>
      <c r="E1887" s="3">
        <f t="shared" si="29"/>
        <v>45796</v>
      </c>
      <c r="F1887" s="3">
        <f>IF(TableRefills3[[#This Row],[prev_refill_days]]="","",TableRefills3[[#This Row],[prev_refill_days]]+TableRefills3[[#This Row],[quantity_days]])</f>
        <v>45826</v>
      </c>
      <c r="G1887">
        <f>IF(TableRefills3[[#This Row],[prev_refill_end]]="","",TableRefills3[[#This Row],[refill_date]]-TableRefills3[[#This Row],[prev_refill_end]])</f>
        <v>2</v>
      </c>
      <c r="H1887" s="10">
        <f>IF(TableRefills3[[#This Row],[gap_days]]="",0,IF(TableRefills3[[#This Row],[gap_days]]&gt;2,1,0))</f>
        <v>0</v>
      </c>
      <c r="I1887">
        <f>_xlfn.MAXIFS(TableRefills3[discountinuation_flag], TableRefills3[patient_id], A1887)</f>
        <v>0</v>
      </c>
    </row>
    <row r="1888" spans="1:9" x14ac:dyDescent="0.25">
      <c r="A1888" t="s">
        <v>3003</v>
      </c>
      <c r="B1888" t="s">
        <v>3004</v>
      </c>
      <c r="C1888" s="3">
        <v>45856</v>
      </c>
      <c r="D1888">
        <v>30</v>
      </c>
      <c r="E1888" s="3">
        <f t="shared" si="29"/>
        <v>45828</v>
      </c>
      <c r="F1888" s="3">
        <f>IF(TableRefills3[[#This Row],[prev_refill_days]]="","",TableRefills3[[#This Row],[prev_refill_days]]+TableRefills3[[#This Row],[quantity_days]])</f>
        <v>45858</v>
      </c>
      <c r="G1888">
        <f>IF(TableRefills3[[#This Row],[prev_refill_end]]="","",TableRefills3[[#This Row],[refill_date]]-TableRefills3[[#This Row],[prev_refill_end]])</f>
        <v>-2</v>
      </c>
      <c r="H1888" s="10">
        <f>IF(TableRefills3[[#This Row],[gap_days]]="",0,IF(TableRefills3[[#This Row],[gap_days]]&gt;2,1,0))</f>
        <v>0</v>
      </c>
      <c r="I1888">
        <f>_xlfn.MAXIFS(TableRefills3[discountinuation_flag], TableRefills3[patient_id], A1888)</f>
        <v>0</v>
      </c>
    </row>
    <row r="1889" spans="1:9" x14ac:dyDescent="0.25">
      <c r="A1889" t="s">
        <v>3003</v>
      </c>
      <c r="B1889" t="s">
        <v>3004</v>
      </c>
      <c r="C1889" s="3">
        <v>45887</v>
      </c>
      <c r="D1889">
        <v>30</v>
      </c>
      <c r="E1889" s="3">
        <f t="shared" si="29"/>
        <v>45856</v>
      </c>
      <c r="F1889" s="3">
        <f>IF(TableRefills3[[#This Row],[prev_refill_days]]="","",TableRefills3[[#This Row],[prev_refill_days]]+TableRefills3[[#This Row],[quantity_days]])</f>
        <v>45886</v>
      </c>
      <c r="G1889">
        <f>IF(TableRefills3[[#This Row],[prev_refill_end]]="","",TableRefills3[[#This Row],[refill_date]]-TableRefills3[[#This Row],[prev_refill_end]])</f>
        <v>1</v>
      </c>
      <c r="H1889" s="10">
        <f>IF(TableRefills3[[#This Row],[gap_days]]="",0,IF(TableRefills3[[#This Row],[gap_days]]&gt;2,1,0))</f>
        <v>0</v>
      </c>
      <c r="I1889">
        <f>_xlfn.MAXIFS(TableRefills3[discountinuation_flag], TableRefills3[patient_id], A1889)</f>
        <v>0</v>
      </c>
    </row>
    <row r="1890" spans="1:9" x14ac:dyDescent="0.25">
      <c r="A1890" t="s">
        <v>3003</v>
      </c>
      <c r="B1890" t="s">
        <v>3004</v>
      </c>
      <c r="C1890" s="3">
        <v>45914</v>
      </c>
      <c r="D1890">
        <v>30</v>
      </c>
      <c r="E1890" s="3">
        <f t="shared" si="29"/>
        <v>45887</v>
      </c>
      <c r="F1890" s="3">
        <f>IF(TableRefills3[[#This Row],[prev_refill_days]]="","",TableRefills3[[#This Row],[prev_refill_days]]+TableRefills3[[#This Row],[quantity_days]])</f>
        <v>45917</v>
      </c>
      <c r="G1890">
        <f>IF(TableRefills3[[#This Row],[prev_refill_end]]="","",TableRefills3[[#This Row],[refill_date]]-TableRefills3[[#This Row],[prev_refill_end]])</f>
        <v>-3</v>
      </c>
      <c r="H1890" s="10">
        <f>IF(TableRefills3[[#This Row],[gap_days]]="",0,IF(TableRefills3[[#This Row],[gap_days]]&gt;2,1,0))</f>
        <v>0</v>
      </c>
      <c r="I1890">
        <f>_xlfn.MAXIFS(TableRefills3[discountinuation_flag], TableRefills3[patient_id], A1890)</f>
        <v>0</v>
      </c>
    </row>
    <row r="1891" spans="1:9" x14ac:dyDescent="0.25">
      <c r="A1891" t="s">
        <v>3003</v>
      </c>
      <c r="B1891" t="s">
        <v>3004</v>
      </c>
      <c r="C1891" s="3">
        <v>45943</v>
      </c>
      <c r="D1891">
        <v>30</v>
      </c>
      <c r="E1891" s="3">
        <f t="shared" si="29"/>
        <v>45914</v>
      </c>
      <c r="F1891" s="3">
        <f>IF(TableRefills3[[#This Row],[prev_refill_days]]="","",TableRefills3[[#This Row],[prev_refill_days]]+TableRefills3[[#This Row],[quantity_days]])</f>
        <v>45944</v>
      </c>
      <c r="G1891">
        <f>IF(TableRefills3[[#This Row],[prev_refill_end]]="","",TableRefills3[[#This Row],[refill_date]]-TableRefills3[[#This Row],[prev_refill_end]])</f>
        <v>-1</v>
      </c>
      <c r="H1891" s="10">
        <f>IF(TableRefills3[[#This Row],[gap_days]]="",0,IF(TableRefills3[[#This Row],[gap_days]]&gt;2,1,0))</f>
        <v>0</v>
      </c>
      <c r="I1891">
        <f>_xlfn.MAXIFS(TableRefills3[discountinuation_flag], TableRefills3[patient_id], A1891)</f>
        <v>0</v>
      </c>
    </row>
    <row r="1892" spans="1:9" x14ac:dyDescent="0.25">
      <c r="A1892" t="s">
        <v>3011</v>
      </c>
      <c r="B1892" t="s">
        <v>3012</v>
      </c>
      <c r="C1892" s="3">
        <v>45928</v>
      </c>
      <c r="D1892">
        <v>28</v>
      </c>
      <c r="E1892" s="3" t="str">
        <f t="shared" si="29"/>
        <v/>
      </c>
      <c r="F1892" s="3" t="str">
        <f>IF(TableRefills3[[#This Row],[prev_refill_days]]="","",TableRefills3[[#This Row],[prev_refill_days]]+TableRefills3[[#This Row],[quantity_days]])</f>
        <v/>
      </c>
      <c r="G1892" t="str">
        <f>IF(TableRefills3[[#This Row],[prev_refill_end]]="","",TableRefills3[[#This Row],[refill_date]]-TableRefills3[[#This Row],[prev_refill_end]])</f>
        <v/>
      </c>
      <c r="H1892" s="10">
        <f>IF(TableRefills3[[#This Row],[gap_days]]="",0,IF(TableRefills3[[#This Row],[gap_days]]&gt;2,1,0))</f>
        <v>0</v>
      </c>
      <c r="I1892">
        <f>_xlfn.MAXIFS(TableRefills3[discountinuation_flag], TableRefills3[patient_id], A1892)</f>
        <v>0</v>
      </c>
    </row>
    <row r="1893" spans="1:9" x14ac:dyDescent="0.25">
      <c r="A1893" t="s">
        <v>3011</v>
      </c>
      <c r="B1893" t="s">
        <v>3012</v>
      </c>
      <c r="C1893" s="3">
        <v>45957</v>
      </c>
      <c r="D1893">
        <v>28</v>
      </c>
      <c r="E1893" s="3">
        <f t="shared" si="29"/>
        <v>45928</v>
      </c>
      <c r="F1893" s="3">
        <f>IF(TableRefills3[[#This Row],[prev_refill_days]]="","",TableRefills3[[#This Row],[prev_refill_days]]+TableRefills3[[#This Row],[quantity_days]])</f>
        <v>45956</v>
      </c>
      <c r="G1893">
        <f>IF(TableRefills3[[#This Row],[prev_refill_end]]="","",TableRefills3[[#This Row],[refill_date]]-TableRefills3[[#This Row],[prev_refill_end]])</f>
        <v>1</v>
      </c>
      <c r="H1893" s="10">
        <f>IF(TableRefills3[[#This Row],[gap_days]]="",0,IF(TableRefills3[[#This Row],[gap_days]]&gt;2,1,0))</f>
        <v>0</v>
      </c>
      <c r="I1893">
        <f>_xlfn.MAXIFS(TableRefills3[discountinuation_flag], TableRefills3[patient_id], A1893)</f>
        <v>0</v>
      </c>
    </row>
    <row r="1894" spans="1:9" x14ac:dyDescent="0.25">
      <c r="A1894" t="s">
        <v>3015</v>
      </c>
      <c r="B1894" t="s">
        <v>3016</v>
      </c>
      <c r="C1894" s="3">
        <v>45949</v>
      </c>
      <c r="D1894">
        <v>28</v>
      </c>
      <c r="E1894" s="3" t="str">
        <f t="shared" si="29"/>
        <v/>
      </c>
      <c r="F1894" s="3" t="str">
        <f>IF(TableRefills3[[#This Row],[prev_refill_days]]="","",TableRefills3[[#This Row],[prev_refill_days]]+TableRefills3[[#This Row],[quantity_days]])</f>
        <v/>
      </c>
      <c r="G1894" t="str">
        <f>IF(TableRefills3[[#This Row],[prev_refill_end]]="","",TableRefills3[[#This Row],[refill_date]]-TableRefills3[[#This Row],[prev_refill_end]])</f>
        <v/>
      </c>
      <c r="H1894" s="10">
        <f>IF(TableRefills3[[#This Row],[gap_days]]="",0,IF(TableRefills3[[#This Row],[gap_days]]&gt;2,1,0))</f>
        <v>0</v>
      </c>
      <c r="I1894">
        <f>_xlfn.MAXIFS(TableRefills3[discountinuation_flag], TableRefills3[patient_id], A1894)</f>
        <v>0</v>
      </c>
    </row>
    <row r="1895" spans="1:9" x14ac:dyDescent="0.25">
      <c r="A1895" t="s">
        <v>3018</v>
      </c>
      <c r="B1895" t="s">
        <v>3019</v>
      </c>
      <c r="C1895" s="3">
        <v>45833</v>
      </c>
      <c r="D1895">
        <v>28</v>
      </c>
      <c r="E1895" s="3" t="str">
        <f t="shared" si="29"/>
        <v/>
      </c>
      <c r="F1895" s="3" t="str">
        <f>IF(TableRefills3[[#This Row],[prev_refill_days]]="","",TableRefills3[[#This Row],[prev_refill_days]]+TableRefills3[[#This Row],[quantity_days]])</f>
        <v/>
      </c>
      <c r="G1895" t="str">
        <f>IF(TableRefills3[[#This Row],[prev_refill_end]]="","",TableRefills3[[#This Row],[refill_date]]-TableRefills3[[#This Row],[prev_refill_end]])</f>
        <v/>
      </c>
      <c r="H1895" s="10">
        <f>IF(TableRefills3[[#This Row],[gap_days]]="",0,IF(TableRefills3[[#This Row],[gap_days]]&gt;2,1,0))</f>
        <v>0</v>
      </c>
      <c r="I1895">
        <f>_xlfn.MAXIFS(TableRefills3[discountinuation_flag], TableRefills3[patient_id], A1895)</f>
        <v>0</v>
      </c>
    </row>
    <row r="1896" spans="1:9" x14ac:dyDescent="0.25">
      <c r="A1896" t="s">
        <v>3018</v>
      </c>
      <c r="B1896" t="s">
        <v>3019</v>
      </c>
      <c r="C1896" s="3">
        <v>45862</v>
      </c>
      <c r="D1896">
        <v>28</v>
      </c>
      <c r="E1896" s="3">
        <f t="shared" si="29"/>
        <v>45833</v>
      </c>
      <c r="F1896" s="3">
        <f>IF(TableRefills3[[#This Row],[prev_refill_days]]="","",TableRefills3[[#This Row],[prev_refill_days]]+TableRefills3[[#This Row],[quantity_days]])</f>
        <v>45861</v>
      </c>
      <c r="G1896">
        <f>IF(TableRefills3[[#This Row],[prev_refill_end]]="","",TableRefills3[[#This Row],[refill_date]]-TableRefills3[[#This Row],[prev_refill_end]])</f>
        <v>1</v>
      </c>
      <c r="H1896" s="10">
        <f>IF(TableRefills3[[#This Row],[gap_days]]="",0,IF(TableRefills3[[#This Row],[gap_days]]&gt;2,1,0))</f>
        <v>0</v>
      </c>
      <c r="I1896">
        <f>_xlfn.MAXIFS(TableRefills3[discountinuation_flag], TableRefills3[patient_id], A1896)</f>
        <v>0</v>
      </c>
    </row>
    <row r="1897" spans="1:9" x14ac:dyDescent="0.25">
      <c r="A1897" t="s">
        <v>3018</v>
      </c>
      <c r="B1897" t="s">
        <v>3019</v>
      </c>
      <c r="C1897" s="3">
        <v>45892</v>
      </c>
      <c r="D1897">
        <v>28</v>
      </c>
      <c r="E1897" s="3">
        <f t="shared" si="29"/>
        <v>45862</v>
      </c>
      <c r="F1897" s="3">
        <f>IF(TableRefills3[[#This Row],[prev_refill_days]]="","",TableRefills3[[#This Row],[prev_refill_days]]+TableRefills3[[#This Row],[quantity_days]])</f>
        <v>45890</v>
      </c>
      <c r="G1897">
        <f>IF(TableRefills3[[#This Row],[prev_refill_end]]="","",TableRefills3[[#This Row],[refill_date]]-TableRefills3[[#This Row],[prev_refill_end]])</f>
        <v>2</v>
      </c>
      <c r="H1897" s="10">
        <f>IF(TableRefills3[[#This Row],[gap_days]]="",0,IF(TableRefills3[[#This Row],[gap_days]]&gt;2,1,0))</f>
        <v>0</v>
      </c>
      <c r="I1897">
        <f>_xlfn.MAXIFS(TableRefills3[discountinuation_flag], TableRefills3[patient_id], A1897)</f>
        <v>0</v>
      </c>
    </row>
    <row r="1898" spans="1:9" x14ac:dyDescent="0.25">
      <c r="A1898" t="s">
        <v>3018</v>
      </c>
      <c r="B1898" t="s">
        <v>3019</v>
      </c>
      <c r="C1898" s="3">
        <v>45917</v>
      </c>
      <c r="D1898">
        <v>28</v>
      </c>
      <c r="E1898" s="3">
        <f t="shared" si="29"/>
        <v>45892</v>
      </c>
      <c r="F1898" s="3">
        <f>IF(TableRefills3[[#This Row],[prev_refill_days]]="","",TableRefills3[[#This Row],[prev_refill_days]]+TableRefills3[[#This Row],[quantity_days]])</f>
        <v>45920</v>
      </c>
      <c r="G1898">
        <f>IF(TableRefills3[[#This Row],[prev_refill_end]]="","",TableRefills3[[#This Row],[refill_date]]-TableRefills3[[#This Row],[prev_refill_end]])</f>
        <v>-3</v>
      </c>
      <c r="H1898" s="10">
        <f>IF(TableRefills3[[#This Row],[gap_days]]="",0,IF(TableRefills3[[#This Row],[gap_days]]&gt;2,1,0))</f>
        <v>0</v>
      </c>
      <c r="I1898">
        <f>_xlfn.MAXIFS(TableRefills3[discountinuation_flag], TableRefills3[patient_id], A1898)</f>
        <v>0</v>
      </c>
    </row>
    <row r="1899" spans="1:9" x14ac:dyDescent="0.25">
      <c r="A1899" t="s">
        <v>3018</v>
      </c>
      <c r="B1899" t="s">
        <v>3019</v>
      </c>
      <c r="C1899" s="3">
        <v>45946</v>
      </c>
      <c r="D1899">
        <v>28</v>
      </c>
      <c r="E1899" s="3">
        <f t="shared" si="29"/>
        <v>45917</v>
      </c>
      <c r="F1899" s="3">
        <f>IF(TableRefills3[[#This Row],[prev_refill_days]]="","",TableRefills3[[#This Row],[prev_refill_days]]+TableRefills3[[#This Row],[quantity_days]])</f>
        <v>45945</v>
      </c>
      <c r="G1899">
        <f>IF(TableRefills3[[#This Row],[prev_refill_end]]="","",TableRefills3[[#This Row],[refill_date]]-TableRefills3[[#This Row],[prev_refill_end]])</f>
        <v>1</v>
      </c>
      <c r="H1899" s="10">
        <f>IF(TableRefills3[[#This Row],[gap_days]]="",0,IF(TableRefills3[[#This Row],[gap_days]]&gt;2,1,0))</f>
        <v>0</v>
      </c>
      <c r="I1899">
        <f>_xlfn.MAXIFS(TableRefills3[discountinuation_flag], TableRefills3[patient_id], A1899)</f>
        <v>0</v>
      </c>
    </row>
    <row r="1900" spans="1:9" x14ac:dyDescent="0.25">
      <c r="A1900" t="s">
        <v>3025</v>
      </c>
      <c r="B1900" t="s">
        <v>3026</v>
      </c>
      <c r="C1900" s="3">
        <v>45831</v>
      </c>
      <c r="D1900">
        <v>28</v>
      </c>
      <c r="E1900" s="3" t="str">
        <f t="shared" si="29"/>
        <v/>
      </c>
      <c r="F1900" s="3" t="str">
        <f>IF(TableRefills3[[#This Row],[prev_refill_days]]="","",TableRefills3[[#This Row],[prev_refill_days]]+TableRefills3[[#This Row],[quantity_days]])</f>
        <v/>
      </c>
      <c r="G1900" t="str">
        <f>IF(TableRefills3[[#This Row],[prev_refill_end]]="","",TableRefills3[[#This Row],[refill_date]]-TableRefills3[[#This Row],[prev_refill_end]])</f>
        <v/>
      </c>
      <c r="H1900" s="10">
        <f>IF(TableRefills3[[#This Row],[gap_days]]="",0,IF(TableRefills3[[#This Row],[gap_days]]&gt;2,1,0))</f>
        <v>0</v>
      </c>
      <c r="I1900">
        <f>_xlfn.MAXIFS(TableRefills3[discountinuation_flag], TableRefills3[patient_id], A1900)</f>
        <v>0</v>
      </c>
    </row>
    <row r="1901" spans="1:9" x14ac:dyDescent="0.25">
      <c r="A1901" t="s">
        <v>3025</v>
      </c>
      <c r="B1901" t="s">
        <v>3026</v>
      </c>
      <c r="C1901" s="3">
        <v>45859</v>
      </c>
      <c r="D1901">
        <v>28</v>
      </c>
      <c r="E1901" s="3">
        <f t="shared" si="29"/>
        <v>45831</v>
      </c>
      <c r="F1901" s="3">
        <f>IF(TableRefills3[[#This Row],[prev_refill_days]]="","",TableRefills3[[#This Row],[prev_refill_days]]+TableRefills3[[#This Row],[quantity_days]])</f>
        <v>45859</v>
      </c>
      <c r="G1901">
        <f>IF(TableRefills3[[#This Row],[prev_refill_end]]="","",TableRefills3[[#This Row],[refill_date]]-TableRefills3[[#This Row],[prev_refill_end]])</f>
        <v>0</v>
      </c>
      <c r="H1901" s="10">
        <f>IF(TableRefills3[[#This Row],[gap_days]]="",0,IF(TableRefills3[[#This Row],[gap_days]]&gt;2,1,0))</f>
        <v>0</v>
      </c>
      <c r="I1901">
        <f>_xlfn.MAXIFS(TableRefills3[discountinuation_flag], TableRefills3[patient_id], A1901)</f>
        <v>0</v>
      </c>
    </row>
    <row r="1902" spans="1:9" x14ac:dyDescent="0.25">
      <c r="A1902" t="s">
        <v>3025</v>
      </c>
      <c r="B1902" t="s">
        <v>3026</v>
      </c>
      <c r="C1902" s="3">
        <v>45885</v>
      </c>
      <c r="D1902">
        <v>28</v>
      </c>
      <c r="E1902" s="3">
        <f t="shared" si="29"/>
        <v>45859</v>
      </c>
      <c r="F1902" s="3">
        <f>IF(TableRefills3[[#This Row],[prev_refill_days]]="","",TableRefills3[[#This Row],[prev_refill_days]]+TableRefills3[[#This Row],[quantity_days]])</f>
        <v>45887</v>
      </c>
      <c r="G1902">
        <f>IF(TableRefills3[[#This Row],[prev_refill_end]]="","",TableRefills3[[#This Row],[refill_date]]-TableRefills3[[#This Row],[prev_refill_end]])</f>
        <v>-2</v>
      </c>
      <c r="H1902" s="10">
        <f>IF(TableRefills3[[#This Row],[gap_days]]="",0,IF(TableRefills3[[#This Row],[gap_days]]&gt;2,1,0))</f>
        <v>0</v>
      </c>
      <c r="I1902">
        <f>_xlfn.MAXIFS(TableRefills3[discountinuation_flag], TableRefills3[patient_id], A1902)</f>
        <v>0</v>
      </c>
    </row>
    <row r="1903" spans="1:9" x14ac:dyDescent="0.25">
      <c r="A1903" t="s">
        <v>3025</v>
      </c>
      <c r="B1903" t="s">
        <v>3026</v>
      </c>
      <c r="C1903" s="3">
        <v>45912</v>
      </c>
      <c r="D1903">
        <v>28</v>
      </c>
      <c r="E1903" s="3">
        <f t="shared" si="29"/>
        <v>45885</v>
      </c>
      <c r="F1903" s="3">
        <f>IF(TableRefills3[[#This Row],[prev_refill_days]]="","",TableRefills3[[#This Row],[prev_refill_days]]+TableRefills3[[#This Row],[quantity_days]])</f>
        <v>45913</v>
      </c>
      <c r="G1903">
        <f>IF(TableRefills3[[#This Row],[prev_refill_end]]="","",TableRefills3[[#This Row],[refill_date]]-TableRefills3[[#This Row],[prev_refill_end]])</f>
        <v>-1</v>
      </c>
      <c r="H1903" s="10">
        <f>IF(TableRefills3[[#This Row],[gap_days]]="",0,IF(TableRefills3[[#This Row],[gap_days]]&gt;2,1,0))</f>
        <v>0</v>
      </c>
      <c r="I1903">
        <f>_xlfn.MAXIFS(TableRefills3[discountinuation_flag], TableRefills3[patient_id], A1903)</f>
        <v>0</v>
      </c>
    </row>
    <row r="1904" spans="1:9" x14ac:dyDescent="0.25">
      <c r="A1904" t="s">
        <v>3025</v>
      </c>
      <c r="B1904" t="s">
        <v>3026</v>
      </c>
      <c r="C1904" s="3">
        <v>45939</v>
      </c>
      <c r="D1904">
        <v>28</v>
      </c>
      <c r="E1904" s="3">
        <f t="shared" si="29"/>
        <v>45912</v>
      </c>
      <c r="F1904" s="3">
        <f>IF(TableRefills3[[#This Row],[prev_refill_days]]="","",TableRefills3[[#This Row],[prev_refill_days]]+TableRefills3[[#This Row],[quantity_days]])</f>
        <v>45940</v>
      </c>
      <c r="G1904">
        <f>IF(TableRefills3[[#This Row],[prev_refill_end]]="","",TableRefills3[[#This Row],[refill_date]]-TableRefills3[[#This Row],[prev_refill_end]])</f>
        <v>-1</v>
      </c>
      <c r="H1904" s="10">
        <f>IF(TableRefills3[[#This Row],[gap_days]]="",0,IF(TableRefills3[[#This Row],[gap_days]]&gt;2,1,0))</f>
        <v>0</v>
      </c>
      <c r="I1904">
        <f>_xlfn.MAXIFS(TableRefills3[discountinuation_flag], TableRefills3[patient_id], A1904)</f>
        <v>0</v>
      </c>
    </row>
    <row r="1905" spans="1:9" x14ac:dyDescent="0.25">
      <c r="A1905" t="s">
        <v>3032</v>
      </c>
      <c r="B1905" t="s">
        <v>3033</v>
      </c>
      <c r="C1905" s="3">
        <v>45855</v>
      </c>
      <c r="D1905">
        <v>30</v>
      </c>
      <c r="E1905" s="3" t="str">
        <f t="shared" si="29"/>
        <v/>
      </c>
      <c r="F1905" s="3" t="str">
        <f>IF(TableRefills3[[#This Row],[prev_refill_days]]="","",TableRefills3[[#This Row],[prev_refill_days]]+TableRefills3[[#This Row],[quantity_days]])</f>
        <v/>
      </c>
      <c r="G1905" t="str">
        <f>IF(TableRefills3[[#This Row],[prev_refill_end]]="","",TableRefills3[[#This Row],[refill_date]]-TableRefills3[[#This Row],[prev_refill_end]])</f>
        <v/>
      </c>
      <c r="H1905" s="10">
        <f>IF(TableRefills3[[#This Row],[gap_days]]="",0,IF(TableRefills3[[#This Row],[gap_days]]&gt;2,1,0))</f>
        <v>0</v>
      </c>
      <c r="I1905">
        <f>_xlfn.MAXIFS(TableRefills3[discountinuation_flag], TableRefills3[patient_id], A1905)</f>
        <v>0</v>
      </c>
    </row>
    <row r="1906" spans="1:9" x14ac:dyDescent="0.25">
      <c r="A1906" t="s">
        <v>3032</v>
      </c>
      <c r="B1906" t="s">
        <v>3033</v>
      </c>
      <c r="C1906" s="3">
        <v>45883</v>
      </c>
      <c r="D1906">
        <v>30</v>
      </c>
      <c r="E1906" s="3">
        <f t="shared" si="29"/>
        <v>45855</v>
      </c>
      <c r="F1906" s="3">
        <f>IF(TableRefills3[[#This Row],[prev_refill_days]]="","",TableRefills3[[#This Row],[prev_refill_days]]+TableRefills3[[#This Row],[quantity_days]])</f>
        <v>45885</v>
      </c>
      <c r="G1906">
        <f>IF(TableRefills3[[#This Row],[prev_refill_end]]="","",TableRefills3[[#This Row],[refill_date]]-TableRefills3[[#This Row],[prev_refill_end]])</f>
        <v>-2</v>
      </c>
      <c r="H1906" s="10">
        <f>IF(TableRefills3[[#This Row],[gap_days]]="",0,IF(TableRefills3[[#This Row],[gap_days]]&gt;2,1,0))</f>
        <v>0</v>
      </c>
      <c r="I1906">
        <f>_xlfn.MAXIFS(TableRefills3[discountinuation_flag], TableRefills3[patient_id], A1906)</f>
        <v>0</v>
      </c>
    </row>
    <row r="1907" spans="1:9" x14ac:dyDescent="0.25">
      <c r="A1907" t="s">
        <v>3032</v>
      </c>
      <c r="B1907" t="s">
        <v>3033</v>
      </c>
      <c r="C1907" s="3">
        <v>45912</v>
      </c>
      <c r="D1907">
        <v>30</v>
      </c>
      <c r="E1907" s="3">
        <f t="shared" si="29"/>
        <v>45883</v>
      </c>
      <c r="F1907" s="3">
        <f>IF(TableRefills3[[#This Row],[prev_refill_days]]="","",TableRefills3[[#This Row],[prev_refill_days]]+TableRefills3[[#This Row],[quantity_days]])</f>
        <v>45913</v>
      </c>
      <c r="G1907">
        <f>IF(TableRefills3[[#This Row],[prev_refill_end]]="","",TableRefills3[[#This Row],[refill_date]]-TableRefills3[[#This Row],[prev_refill_end]])</f>
        <v>-1</v>
      </c>
      <c r="H1907" s="10">
        <f>IF(TableRefills3[[#This Row],[gap_days]]="",0,IF(TableRefills3[[#This Row],[gap_days]]&gt;2,1,0))</f>
        <v>0</v>
      </c>
      <c r="I1907">
        <f>_xlfn.MAXIFS(TableRefills3[discountinuation_flag], TableRefills3[patient_id], A1907)</f>
        <v>0</v>
      </c>
    </row>
    <row r="1908" spans="1:9" x14ac:dyDescent="0.25">
      <c r="A1908" t="s">
        <v>3032</v>
      </c>
      <c r="B1908" t="s">
        <v>3033</v>
      </c>
      <c r="C1908" s="3">
        <v>45939</v>
      </c>
      <c r="D1908">
        <v>30</v>
      </c>
      <c r="E1908" s="3">
        <f t="shared" si="29"/>
        <v>45912</v>
      </c>
      <c r="F1908" s="3">
        <f>IF(TableRefills3[[#This Row],[prev_refill_days]]="","",TableRefills3[[#This Row],[prev_refill_days]]+TableRefills3[[#This Row],[quantity_days]])</f>
        <v>45942</v>
      </c>
      <c r="G1908">
        <f>IF(TableRefills3[[#This Row],[prev_refill_end]]="","",TableRefills3[[#This Row],[refill_date]]-TableRefills3[[#This Row],[prev_refill_end]])</f>
        <v>-3</v>
      </c>
      <c r="H1908" s="10">
        <f>IF(TableRefills3[[#This Row],[gap_days]]="",0,IF(TableRefills3[[#This Row],[gap_days]]&gt;2,1,0))</f>
        <v>0</v>
      </c>
      <c r="I1908">
        <f>_xlfn.MAXIFS(TableRefills3[discountinuation_flag], TableRefills3[patient_id], A1908)</f>
        <v>0</v>
      </c>
    </row>
    <row r="1909" spans="1:9" x14ac:dyDescent="0.25">
      <c r="A1909" t="s">
        <v>3038</v>
      </c>
      <c r="B1909" t="s">
        <v>3039</v>
      </c>
      <c r="C1909" s="3">
        <v>45832</v>
      </c>
      <c r="D1909">
        <v>28</v>
      </c>
      <c r="E1909" s="3" t="str">
        <f t="shared" si="29"/>
        <v/>
      </c>
      <c r="F1909" s="3" t="str">
        <f>IF(TableRefills3[[#This Row],[prev_refill_days]]="","",TableRefills3[[#This Row],[prev_refill_days]]+TableRefills3[[#This Row],[quantity_days]])</f>
        <v/>
      </c>
      <c r="G1909" t="str">
        <f>IF(TableRefills3[[#This Row],[prev_refill_end]]="","",TableRefills3[[#This Row],[refill_date]]-TableRefills3[[#This Row],[prev_refill_end]])</f>
        <v/>
      </c>
      <c r="H1909" s="10">
        <f>IF(TableRefills3[[#This Row],[gap_days]]="",0,IF(TableRefills3[[#This Row],[gap_days]]&gt;2,1,0))</f>
        <v>0</v>
      </c>
      <c r="I1909">
        <f>_xlfn.MAXIFS(TableRefills3[discountinuation_flag], TableRefills3[patient_id], A1909)</f>
        <v>1</v>
      </c>
    </row>
    <row r="1910" spans="1:9" x14ac:dyDescent="0.25">
      <c r="A1910" t="s">
        <v>3038</v>
      </c>
      <c r="B1910" t="s">
        <v>3039</v>
      </c>
      <c r="C1910" s="3">
        <v>45860</v>
      </c>
      <c r="D1910">
        <v>28</v>
      </c>
      <c r="E1910" s="3">
        <f t="shared" si="29"/>
        <v>45832</v>
      </c>
      <c r="F1910" s="3">
        <f>IF(TableRefills3[[#This Row],[prev_refill_days]]="","",TableRefills3[[#This Row],[prev_refill_days]]+TableRefills3[[#This Row],[quantity_days]])</f>
        <v>45860</v>
      </c>
      <c r="G1910">
        <f>IF(TableRefills3[[#This Row],[prev_refill_end]]="","",TableRefills3[[#This Row],[refill_date]]-TableRefills3[[#This Row],[prev_refill_end]])</f>
        <v>0</v>
      </c>
      <c r="H1910" s="10">
        <f>IF(TableRefills3[[#This Row],[gap_days]]="",0,IF(TableRefills3[[#This Row],[gap_days]]&gt;2,1,0))</f>
        <v>0</v>
      </c>
      <c r="I1910">
        <f>_xlfn.MAXIFS(TableRefills3[discountinuation_flag], TableRefills3[patient_id], A1910)</f>
        <v>1</v>
      </c>
    </row>
    <row r="1911" spans="1:9" x14ac:dyDescent="0.25">
      <c r="A1911" t="s">
        <v>3038</v>
      </c>
      <c r="B1911" t="s">
        <v>3039</v>
      </c>
      <c r="C1911" s="3">
        <v>45891</v>
      </c>
      <c r="D1911">
        <v>28</v>
      </c>
      <c r="E1911" s="3">
        <f t="shared" si="29"/>
        <v>45860</v>
      </c>
      <c r="F1911" s="3">
        <f>IF(TableRefills3[[#This Row],[prev_refill_days]]="","",TableRefills3[[#This Row],[prev_refill_days]]+TableRefills3[[#This Row],[quantity_days]])</f>
        <v>45888</v>
      </c>
      <c r="G1911">
        <f>IF(TableRefills3[[#This Row],[prev_refill_end]]="","",TableRefills3[[#This Row],[refill_date]]-TableRefills3[[#This Row],[prev_refill_end]])</f>
        <v>3</v>
      </c>
      <c r="H1911" s="10">
        <f>IF(TableRefills3[[#This Row],[gap_days]]="",0,IF(TableRefills3[[#This Row],[gap_days]]&gt;2,1,0))</f>
        <v>1</v>
      </c>
      <c r="I1911">
        <f>_xlfn.MAXIFS(TableRefills3[discountinuation_flag], TableRefills3[patient_id], A1911)</f>
        <v>1</v>
      </c>
    </row>
    <row r="1912" spans="1:9" x14ac:dyDescent="0.25">
      <c r="A1912" t="s">
        <v>3038</v>
      </c>
      <c r="B1912" t="s">
        <v>3039</v>
      </c>
      <c r="C1912" s="3">
        <v>45920</v>
      </c>
      <c r="D1912">
        <v>28</v>
      </c>
      <c r="E1912" s="3">
        <f t="shared" si="29"/>
        <v>45891</v>
      </c>
      <c r="F1912" s="3">
        <f>IF(TableRefills3[[#This Row],[prev_refill_days]]="","",TableRefills3[[#This Row],[prev_refill_days]]+TableRefills3[[#This Row],[quantity_days]])</f>
        <v>45919</v>
      </c>
      <c r="G1912">
        <f>IF(TableRefills3[[#This Row],[prev_refill_end]]="","",TableRefills3[[#This Row],[refill_date]]-TableRefills3[[#This Row],[prev_refill_end]])</f>
        <v>1</v>
      </c>
      <c r="H1912" s="10">
        <f>IF(TableRefills3[[#This Row],[gap_days]]="",0,IF(TableRefills3[[#This Row],[gap_days]]&gt;2,1,0))</f>
        <v>0</v>
      </c>
      <c r="I1912">
        <f>_xlfn.MAXIFS(TableRefills3[discountinuation_flag], TableRefills3[patient_id], A1912)</f>
        <v>1</v>
      </c>
    </row>
    <row r="1913" spans="1:9" x14ac:dyDescent="0.25">
      <c r="A1913" t="s">
        <v>3038</v>
      </c>
      <c r="B1913" t="s">
        <v>3039</v>
      </c>
      <c r="C1913" s="3">
        <v>45947</v>
      </c>
      <c r="D1913">
        <v>28</v>
      </c>
      <c r="E1913" s="3">
        <f t="shared" si="29"/>
        <v>45920</v>
      </c>
      <c r="F1913" s="3">
        <f>IF(TableRefills3[[#This Row],[prev_refill_days]]="","",TableRefills3[[#This Row],[prev_refill_days]]+TableRefills3[[#This Row],[quantity_days]])</f>
        <v>45948</v>
      </c>
      <c r="G1913">
        <f>IF(TableRefills3[[#This Row],[prev_refill_end]]="","",TableRefills3[[#This Row],[refill_date]]-TableRefills3[[#This Row],[prev_refill_end]])</f>
        <v>-1</v>
      </c>
      <c r="H1913" s="10">
        <f>IF(TableRefills3[[#This Row],[gap_days]]="",0,IF(TableRefills3[[#This Row],[gap_days]]&gt;2,1,0))</f>
        <v>0</v>
      </c>
      <c r="I1913">
        <f>_xlfn.MAXIFS(TableRefills3[discountinuation_flag], TableRefills3[patient_id], A1913)</f>
        <v>1</v>
      </c>
    </row>
    <row r="1914" spans="1:9" x14ac:dyDescent="0.25">
      <c r="A1914" t="s">
        <v>3045</v>
      </c>
      <c r="B1914" t="s">
        <v>3046</v>
      </c>
      <c r="C1914" s="3">
        <v>45808</v>
      </c>
      <c r="D1914">
        <v>28</v>
      </c>
      <c r="E1914" s="3" t="str">
        <f t="shared" si="29"/>
        <v/>
      </c>
      <c r="F1914" s="3" t="str">
        <f>IF(TableRefills3[[#This Row],[prev_refill_days]]="","",TableRefills3[[#This Row],[prev_refill_days]]+TableRefills3[[#This Row],[quantity_days]])</f>
        <v/>
      </c>
      <c r="G1914" t="str">
        <f>IF(TableRefills3[[#This Row],[prev_refill_end]]="","",TableRefills3[[#This Row],[refill_date]]-TableRefills3[[#This Row],[prev_refill_end]])</f>
        <v/>
      </c>
      <c r="H1914" s="10">
        <f>IF(TableRefills3[[#This Row],[gap_days]]="",0,IF(TableRefills3[[#This Row],[gap_days]]&gt;2,1,0))</f>
        <v>0</v>
      </c>
      <c r="I1914">
        <f>_xlfn.MAXIFS(TableRefills3[discountinuation_flag], TableRefills3[patient_id], A1914)</f>
        <v>0</v>
      </c>
    </row>
    <row r="1915" spans="1:9" x14ac:dyDescent="0.25">
      <c r="A1915" t="s">
        <v>3045</v>
      </c>
      <c r="B1915" t="s">
        <v>3046</v>
      </c>
      <c r="C1915" s="3">
        <v>45836</v>
      </c>
      <c r="D1915">
        <v>28</v>
      </c>
      <c r="E1915" s="3">
        <f t="shared" si="29"/>
        <v>45808</v>
      </c>
      <c r="F1915" s="3">
        <f>IF(TableRefills3[[#This Row],[prev_refill_days]]="","",TableRefills3[[#This Row],[prev_refill_days]]+TableRefills3[[#This Row],[quantity_days]])</f>
        <v>45836</v>
      </c>
      <c r="G1915">
        <f>IF(TableRefills3[[#This Row],[prev_refill_end]]="","",TableRefills3[[#This Row],[refill_date]]-TableRefills3[[#This Row],[prev_refill_end]])</f>
        <v>0</v>
      </c>
      <c r="H1915" s="10">
        <f>IF(TableRefills3[[#This Row],[gap_days]]="",0,IF(TableRefills3[[#This Row],[gap_days]]&gt;2,1,0))</f>
        <v>0</v>
      </c>
      <c r="I1915">
        <f>_xlfn.MAXIFS(TableRefills3[discountinuation_flag], TableRefills3[patient_id], A1915)</f>
        <v>0</v>
      </c>
    </row>
    <row r="1916" spans="1:9" x14ac:dyDescent="0.25">
      <c r="A1916" t="s">
        <v>3045</v>
      </c>
      <c r="B1916" t="s">
        <v>3046</v>
      </c>
      <c r="C1916" s="3">
        <v>45862</v>
      </c>
      <c r="D1916">
        <v>28</v>
      </c>
      <c r="E1916" s="3">
        <f t="shared" si="29"/>
        <v>45836</v>
      </c>
      <c r="F1916" s="3">
        <f>IF(TableRefills3[[#This Row],[prev_refill_days]]="","",TableRefills3[[#This Row],[prev_refill_days]]+TableRefills3[[#This Row],[quantity_days]])</f>
        <v>45864</v>
      </c>
      <c r="G1916">
        <f>IF(TableRefills3[[#This Row],[prev_refill_end]]="","",TableRefills3[[#This Row],[refill_date]]-TableRefills3[[#This Row],[prev_refill_end]])</f>
        <v>-2</v>
      </c>
      <c r="H1916" s="10">
        <f>IF(TableRefills3[[#This Row],[gap_days]]="",0,IF(TableRefills3[[#This Row],[gap_days]]&gt;2,1,0))</f>
        <v>0</v>
      </c>
      <c r="I1916">
        <f>_xlfn.MAXIFS(TableRefills3[discountinuation_flag], TableRefills3[patient_id], A1916)</f>
        <v>0</v>
      </c>
    </row>
    <row r="1917" spans="1:9" x14ac:dyDescent="0.25">
      <c r="A1917" t="s">
        <v>3045</v>
      </c>
      <c r="B1917" t="s">
        <v>3046</v>
      </c>
      <c r="C1917" s="3">
        <v>45892</v>
      </c>
      <c r="D1917">
        <v>28</v>
      </c>
      <c r="E1917" s="3">
        <f t="shared" si="29"/>
        <v>45862</v>
      </c>
      <c r="F1917" s="3">
        <f>IF(TableRefills3[[#This Row],[prev_refill_days]]="","",TableRefills3[[#This Row],[prev_refill_days]]+TableRefills3[[#This Row],[quantity_days]])</f>
        <v>45890</v>
      </c>
      <c r="G1917">
        <f>IF(TableRefills3[[#This Row],[prev_refill_end]]="","",TableRefills3[[#This Row],[refill_date]]-TableRefills3[[#This Row],[prev_refill_end]])</f>
        <v>2</v>
      </c>
      <c r="H1917" s="10">
        <f>IF(TableRefills3[[#This Row],[gap_days]]="",0,IF(TableRefills3[[#This Row],[gap_days]]&gt;2,1,0))</f>
        <v>0</v>
      </c>
      <c r="I1917">
        <f>_xlfn.MAXIFS(TableRefills3[discountinuation_flag], TableRefills3[patient_id], A1917)</f>
        <v>0</v>
      </c>
    </row>
    <row r="1918" spans="1:9" x14ac:dyDescent="0.25">
      <c r="A1918" t="s">
        <v>3045</v>
      </c>
      <c r="B1918" t="s">
        <v>3046</v>
      </c>
      <c r="C1918" s="3">
        <v>45921</v>
      </c>
      <c r="D1918">
        <v>28</v>
      </c>
      <c r="E1918" s="3">
        <f t="shared" si="29"/>
        <v>45892</v>
      </c>
      <c r="F1918" s="3">
        <f>IF(TableRefills3[[#This Row],[prev_refill_days]]="","",TableRefills3[[#This Row],[prev_refill_days]]+TableRefills3[[#This Row],[quantity_days]])</f>
        <v>45920</v>
      </c>
      <c r="G1918">
        <f>IF(TableRefills3[[#This Row],[prev_refill_end]]="","",TableRefills3[[#This Row],[refill_date]]-TableRefills3[[#This Row],[prev_refill_end]])</f>
        <v>1</v>
      </c>
      <c r="H1918" s="10">
        <f>IF(TableRefills3[[#This Row],[gap_days]]="",0,IF(TableRefills3[[#This Row],[gap_days]]&gt;2,1,0))</f>
        <v>0</v>
      </c>
      <c r="I1918">
        <f>_xlfn.MAXIFS(TableRefills3[discountinuation_flag], TableRefills3[patient_id], A1918)</f>
        <v>0</v>
      </c>
    </row>
    <row r="1919" spans="1:9" x14ac:dyDescent="0.25">
      <c r="A1919" t="s">
        <v>3045</v>
      </c>
      <c r="B1919" t="s">
        <v>3046</v>
      </c>
      <c r="C1919" s="3">
        <v>45950</v>
      </c>
      <c r="D1919">
        <v>28</v>
      </c>
      <c r="E1919" s="3">
        <f t="shared" si="29"/>
        <v>45921</v>
      </c>
      <c r="F1919" s="3">
        <f>IF(TableRefills3[[#This Row],[prev_refill_days]]="","",TableRefills3[[#This Row],[prev_refill_days]]+TableRefills3[[#This Row],[quantity_days]])</f>
        <v>45949</v>
      </c>
      <c r="G1919">
        <f>IF(TableRefills3[[#This Row],[prev_refill_end]]="","",TableRefills3[[#This Row],[refill_date]]-TableRefills3[[#This Row],[prev_refill_end]])</f>
        <v>1</v>
      </c>
      <c r="H1919" s="10">
        <f>IF(TableRefills3[[#This Row],[gap_days]]="",0,IF(TableRefills3[[#This Row],[gap_days]]&gt;2,1,0))</f>
        <v>0</v>
      </c>
      <c r="I1919">
        <f>_xlfn.MAXIFS(TableRefills3[discountinuation_flag], TableRefills3[patient_id], A1919)</f>
        <v>0</v>
      </c>
    </row>
    <row r="1920" spans="1:9" x14ac:dyDescent="0.25">
      <c r="A1920" t="s">
        <v>3053</v>
      </c>
      <c r="B1920" t="s">
        <v>3054</v>
      </c>
      <c r="C1920" s="3">
        <v>45900</v>
      </c>
      <c r="D1920">
        <v>14</v>
      </c>
      <c r="E1920" s="3" t="str">
        <f t="shared" si="29"/>
        <v/>
      </c>
      <c r="F1920" s="3" t="str">
        <f>IF(TableRefills3[[#This Row],[prev_refill_days]]="","",TableRefills3[[#This Row],[prev_refill_days]]+TableRefills3[[#This Row],[quantity_days]])</f>
        <v/>
      </c>
      <c r="G1920" t="str">
        <f>IF(TableRefills3[[#This Row],[prev_refill_end]]="","",TableRefills3[[#This Row],[refill_date]]-TableRefills3[[#This Row],[prev_refill_end]])</f>
        <v/>
      </c>
      <c r="H1920" s="10">
        <f>IF(TableRefills3[[#This Row],[gap_days]]="",0,IF(TableRefills3[[#This Row],[gap_days]]&gt;2,1,0))</f>
        <v>0</v>
      </c>
      <c r="I1920">
        <f>_xlfn.MAXIFS(TableRefills3[discountinuation_flag], TableRefills3[patient_id], A1920)</f>
        <v>0</v>
      </c>
    </row>
    <row r="1921" spans="1:9" x14ac:dyDescent="0.25">
      <c r="A1921" t="s">
        <v>3053</v>
      </c>
      <c r="B1921" t="s">
        <v>3054</v>
      </c>
      <c r="C1921" s="3">
        <v>45912</v>
      </c>
      <c r="D1921">
        <v>14</v>
      </c>
      <c r="E1921" s="3">
        <f t="shared" si="29"/>
        <v>45900</v>
      </c>
      <c r="F1921" s="3">
        <f>IF(TableRefills3[[#This Row],[prev_refill_days]]="","",TableRefills3[[#This Row],[prev_refill_days]]+TableRefills3[[#This Row],[quantity_days]])</f>
        <v>45914</v>
      </c>
      <c r="G1921">
        <f>IF(TableRefills3[[#This Row],[prev_refill_end]]="","",TableRefills3[[#This Row],[refill_date]]-TableRefills3[[#This Row],[prev_refill_end]])</f>
        <v>-2</v>
      </c>
      <c r="H1921" s="10">
        <f>IF(TableRefills3[[#This Row],[gap_days]]="",0,IF(TableRefills3[[#This Row],[gap_days]]&gt;2,1,0))</f>
        <v>0</v>
      </c>
      <c r="I1921">
        <f>_xlfn.MAXIFS(TableRefills3[discountinuation_flag], TableRefills3[patient_id], A1921)</f>
        <v>0</v>
      </c>
    </row>
    <row r="1922" spans="1:9" x14ac:dyDescent="0.25">
      <c r="A1922" t="s">
        <v>3053</v>
      </c>
      <c r="B1922" t="s">
        <v>3054</v>
      </c>
      <c r="C1922" s="3">
        <v>45924</v>
      </c>
      <c r="D1922">
        <v>14</v>
      </c>
      <c r="E1922" s="3">
        <f t="shared" ref="E1922:E1985" si="30">IF(A1921=A1922,C1921,"")</f>
        <v>45912</v>
      </c>
      <c r="F1922" s="3">
        <f>IF(TableRefills3[[#This Row],[prev_refill_days]]="","",TableRefills3[[#This Row],[prev_refill_days]]+TableRefills3[[#This Row],[quantity_days]])</f>
        <v>45926</v>
      </c>
      <c r="G1922">
        <f>IF(TableRefills3[[#This Row],[prev_refill_end]]="","",TableRefills3[[#This Row],[refill_date]]-TableRefills3[[#This Row],[prev_refill_end]])</f>
        <v>-2</v>
      </c>
      <c r="H1922" s="10">
        <f>IF(TableRefills3[[#This Row],[gap_days]]="",0,IF(TableRefills3[[#This Row],[gap_days]]&gt;2,1,0))</f>
        <v>0</v>
      </c>
      <c r="I1922">
        <f>_xlfn.MAXIFS(TableRefills3[discountinuation_flag], TableRefills3[patient_id], A1922)</f>
        <v>0</v>
      </c>
    </row>
    <row r="1923" spans="1:9" x14ac:dyDescent="0.25">
      <c r="A1923" t="s">
        <v>3053</v>
      </c>
      <c r="B1923" t="s">
        <v>3054</v>
      </c>
      <c r="C1923" s="3">
        <v>45936</v>
      </c>
      <c r="D1923">
        <v>14</v>
      </c>
      <c r="E1923" s="3">
        <f t="shared" si="30"/>
        <v>45924</v>
      </c>
      <c r="F1923" s="3">
        <f>IF(TableRefills3[[#This Row],[prev_refill_days]]="","",TableRefills3[[#This Row],[prev_refill_days]]+TableRefills3[[#This Row],[quantity_days]])</f>
        <v>45938</v>
      </c>
      <c r="G1923">
        <f>IF(TableRefills3[[#This Row],[prev_refill_end]]="","",TableRefills3[[#This Row],[refill_date]]-TableRefills3[[#This Row],[prev_refill_end]])</f>
        <v>-2</v>
      </c>
      <c r="H1923" s="10">
        <f>IF(TableRefills3[[#This Row],[gap_days]]="",0,IF(TableRefills3[[#This Row],[gap_days]]&gt;2,1,0))</f>
        <v>0</v>
      </c>
      <c r="I1923">
        <f>_xlfn.MAXIFS(TableRefills3[discountinuation_flag], TableRefills3[patient_id], A1923)</f>
        <v>0</v>
      </c>
    </row>
    <row r="1924" spans="1:9" x14ac:dyDescent="0.25">
      <c r="A1924" t="s">
        <v>3053</v>
      </c>
      <c r="B1924" t="s">
        <v>3054</v>
      </c>
      <c r="C1924" s="3">
        <v>45949</v>
      </c>
      <c r="D1924">
        <v>14</v>
      </c>
      <c r="E1924" s="3">
        <f t="shared" si="30"/>
        <v>45936</v>
      </c>
      <c r="F1924" s="3">
        <f>IF(TableRefills3[[#This Row],[prev_refill_days]]="","",TableRefills3[[#This Row],[prev_refill_days]]+TableRefills3[[#This Row],[quantity_days]])</f>
        <v>45950</v>
      </c>
      <c r="G1924">
        <f>IF(TableRefills3[[#This Row],[prev_refill_end]]="","",TableRefills3[[#This Row],[refill_date]]-TableRefills3[[#This Row],[prev_refill_end]])</f>
        <v>-1</v>
      </c>
      <c r="H1924" s="10">
        <f>IF(TableRefills3[[#This Row],[gap_days]]="",0,IF(TableRefills3[[#This Row],[gap_days]]&gt;2,1,0))</f>
        <v>0</v>
      </c>
      <c r="I1924">
        <f>_xlfn.MAXIFS(TableRefills3[discountinuation_flag], TableRefills3[patient_id], A1924)</f>
        <v>0</v>
      </c>
    </row>
    <row r="1925" spans="1:9" x14ac:dyDescent="0.25">
      <c r="A1925" t="s">
        <v>3060</v>
      </c>
      <c r="B1925" t="s">
        <v>3061</v>
      </c>
      <c r="C1925" s="3">
        <v>45956</v>
      </c>
      <c r="D1925">
        <v>28</v>
      </c>
      <c r="E1925" s="3" t="str">
        <f t="shared" si="30"/>
        <v/>
      </c>
      <c r="F1925" s="3" t="str">
        <f>IF(TableRefills3[[#This Row],[prev_refill_days]]="","",TableRefills3[[#This Row],[prev_refill_days]]+TableRefills3[[#This Row],[quantity_days]])</f>
        <v/>
      </c>
      <c r="G1925" t="str">
        <f>IF(TableRefills3[[#This Row],[prev_refill_end]]="","",TableRefills3[[#This Row],[refill_date]]-TableRefills3[[#This Row],[prev_refill_end]])</f>
        <v/>
      </c>
      <c r="H1925" s="10">
        <f>IF(TableRefills3[[#This Row],[gap_days]]="",0,IF(TableRefills3[[#This Row],[gap_days]]&gt;2,1,0))</f>
        <v>0</v>
      </c>
      <c r="I1925">
        <f>_xlfn.MAXIFS(TableRefills3[discountinuation_flag], TableRefills3[patient_id], A1925)</f>
        <v>0</v>
      </c>
    </row>
    <row r="1926" spans="1:9" x14ac:dyDescent="0.25">
      <c r="A1926" t="s">
        <v>3063</v>
      </c>
      <c r="B1926" t="s">
        <v>3064</v>
      </c>
      <c r="C1926" s="3">
        <v>45958</v>
      </c>
      <c r="D1926">
        <v>28</v>
      </c>
      <c r="E1926" s="3" t="str">
        <f t="shared" si="30"/>
        <v/>
      </c>
      <c r="F1926" s="3" t="str">
        <f>IF(TableRefills3[[#This Row],[prev_refill_days]]="","",TableRefills3[[#This Row],[prev_refill_days]]+TableRefills3[[#This Row],[quantity_days]])</f>
        <v/>
      </c>
      <c r="G1926" t="str">
        <f>IF(TableRefills3[[#This Row],[prev_refill_end]]="","",TableRefills3[[#This Row],[refill_date]]-TableRefills3[[#This Row],[prev_refill_end]])</f>
        <v/>
      </c>
      <c r="H1926" s="10">
        <f>IF(TableRefills3[[#This Row],[gap_days]]="",0,IF(TableRefills3[[#This Row],[gap_days]]&gt;2,1,0))</f>
        <v>0</v>
      </c>
      <c r="I1926">
        <f>_xlfn.MAXIFS(TableRefills3[discountinuation_flag], TableRefills3[patient_id], A1926)</f>
        <v>0</v>
      </c>
    </row>
    <row r="1927" spans="1:9" x14ac:dyDescent="0.25">
      <c r="A1927" t="s">
        <v>3066</v>
      </c>
      <c r="B1927" t="s">
        <v>3067</v>
      </c>
      <c r="C1927" s="3">
        <v>45879</v>
      </c>
      <c r="D1927">
        <v>30</v>
      </c>
      <c r="E1927" s="3" t="str">
        <f t="shared" si="30"/>
        <v/>
      </c>
      <c r="F1927" s="3" t="str">
        <f>IF(TableRefills3[[#This Row],[prev_refill_days]]="","",TableRefills3[[#This Row],[prev_refill_days]]+TableRefills3[[#This Row],[quantity_days]])</f>
        <v/>
      </c>
      <c r="G1927" t="str">
        <f>IF(TableRefills3[[#This Row],[prev_refill_end]]="","",TableRefills3[[#This Row],[refill_date]]-TableRefills3[[#This Row],[prev_refill_end]])</f>
        <v/>
      </c>
      <c r="H1927" s="10">
        <f>IF(TableRefills3[[#This Row],[gap_days]]="",0,IF(TableRefills3[[#This Row],[gap_days]]&gt;2,1,0))</f>
        <v>0</v>
      </c>
      <c r="I1927">
        <f>_xlfn.MAXIFS(TableRefills3[discountinuation_flag], TableRefills3[patient_id], A1927)</f>
        <v>0</v>
      </c>
    </row>
    <row r="1928" spans="1:9" x14ac:dyDescent="0.25">
      <c r="A1928" t="s">
        <v>3066</v>
      </c>
      <c r="B1928" t="s">
        <v>3067</v>
      </c>
      <c r="C1928" s="3">
        <v>45911</v>
      </c>
      <c r="D1928">
        <v>30</v>
      </c>
      <c r="E1928" s="3">
        <f t="shared" si="30"/>
        <v>45879</v>
      </c>
      <c r="F1928" s="3">
        <f>IF(TableRefills3[[#This Row],[prev_refill_days]]="","",TableRefills3[[#This Row],[prev_refill_days]]+TableRefills3[[#This Row],[quantity_days]])</f>
        <v>45909</v>
      </c>
      <c r="G1928">
        <f>IF(TableRefills3[[#This Row],[prev_refill_end]]="","",TableRefills3[[#This Row],[refill_date]]-TableRefills3[[#This Row],[prev_refill_end]])</f>
        <v>2</v>
      </c>
      <c r="H1928" s="10">
        <f>IF(TableRefills3[[#This Row],[gap_days]]="",0,IF(TableRefills3[[#This Row],[gap_days]]&gt;2,1,0))</f>
        <v>0</v>
      </c>
      <c r="I1928">
        <f>_xlfn.MAXIFS(TableRefills3[discountinuation_flag], TableRefills3[patient_id], A1928)</f>
        <v>0</v>
      </c>
    </row>
    <row r="1929" spans="1:9" x14ac:dyDescent="0.25">
      <c r="A1929" t="s">
        <v>3066</v>
      </c>
      <c r="B1929" t="s">
        <v>3067</v>
      </c>
      <c r="C1929" s="3">
        <v>45942</v>
      </c>
      <c r="D1929">
        <v>30</v>
      </c>
      <c r="E1929" s="3">
        <f t="shared" si="30"/>
        <v>45911</v>
      </c>
      <c r="F1929" s="3">
        <f>IF(TableRefills3[[#This Row],[prev_refill_days]]="","",TableRefills3[[#This Row],[prev_refill_days]]+TableRefills3[[#This Row],[quantity_days]])</f>
        <v>45941</v>
      </c>
      <c r="G1929">
        <f>IF(TableRefills3[[#This Row],[prev_refill_end]]="","",TableRefills3[[#This Row],[refill_date]]-TableRefills3[[#This Row],[prev_refill_end]])</f>
        <v>1</v>
      </c>
      <c r="H1929" s="10">
        <f>IF(TableRefills3[[#This Row],[gap_days]]="",0,IF(TableRefills3[[#This Row],[gap_days]]&gt;2,1,0))</f>
        <v>0</v>
      </c>
      <c r="I1929">
        <f>_xlfn.MAXIFS(TableRefills3[discountinuation_flag], TableRefills3[patient_id], A1929)</f>
        <v>0</v>
      </c>
    </row>
    <row r="1930" spans="1:9" x14ac:dyDescent="0.25">
      <c r="A1930" t="s">
        <v>3071</v>
      </c>
      <c r="B1930" t="s">
        <v>3072</v>
      </c>
      <c r="C1930" s="3">
        <v>45919</v>
      </c>
      <c r="D1930">
        <v>21</v>
      </c>
      <c r="E1930" s="3" t="str">
        <f t="shared" si="30"/>
        <v/>
      </c>
      <c r="F1930" s="3" t="str">
        <f>IF(TableRefills3[[#This Row],[prev_refill_days]]="","",TableRefills3[[#This Row],[prev_refill_days]]+TableRefills3[[#This Row],[quantity_days]])</f>
        <v/>
      </c>
      <c r="G1930" t="str">
        <f>IF(TableRefills3[[#This Row],[prev_refill_end]]="","",TableRefills3[[#This Row],[refill_date]]-TableRefills3[[#This Row],[prev_refill_end]])</f>
        <v/>
      </c>
      <c r="H1930" s="10">
        <f>IF(TableRefills3[[#This Row],[gap_days]]="",0,IF(TableRefills3[[#This Row],[gap_days]]&gt;2,1,0))</f>
        <v>0</v>
      </c>
      <c r="I1930">
        <f>_xlfn.MAXIFS(TableRefills3[discountinuation_flag], TableRefills3[patient_id], A1930)</f>
        <v>0</v>
      </c>
    </row>
    <row r="1931" spans="1:9" x14ac:dyDescent="0.25">
      <c r="A1931" t="s">
        <v>3071</v>
      </c>
      <c r="B1931" t="s">
        <v>3072</v>
      </c>
      <c r="C1931" s="3">
        <v>45938</v>
      </c>
      <c r="D1931">
        <v>21</v>
      </c>
      <c r="E1931" s="3">
        <f t="shared" si="30"/>
        <v>45919</v>
      </c>
      <c r="F1931" s="3">
        <f>IF(TableRefills3[[#This Row],[prev_refill_days]]="","",TableRefills3[[#This Row],[prev_refill_days]]+TableRefills3[[#This Row],[quantity_days]])</f>
        <v>45940</v>
      </c>
      <c r="G1931">
        <f>IF(TableRefills3[[#This Row],[prev_refill_end]]="","",TableRefills3[[#This Row],[refill_date]]-TableRefills3[[#This Row],[prev_refill_end]])</f>
        <v>-2</v>
      </c>
      <c r="H1931" s="10">
        <f>IF(TableRefills3[[#This Row],[gap_days]]="",0,IF(TableRefills3[[#This Row],[gap_days]]&gt;2,1,0))</f>
        <v>0</v>
      </c>
      <c r="I1931">
        <f>_xlfn.MAXIFS(TableRefills3[discountinuation_flag], TableRefills3[patient_id], A1931)</f>
        <v>0</v>
      </c>
    </row>
    <row r="1932" spans="1:9" x14ac:dyDescent="0.25">
      <c r="A1932" t="s">
        <v>3071</v>
      </c>
      <c r="B1932" t="s">
        <v>3072</v>
      </c>
      <c r="C1932" s="3">
        <v>45957</v>
      </c>
      <c r="D1932">
        <v>21</v>
      </c>
      <c r="E1932" s="3">
        <f t="shared" si="30"/>
        <v>45938</v>
      </c>
      <c r="F1932" s="3">
        <f>IF(TableRefills3[[#This Row],[prev_refill_days]]="","",TableRefills3[[#This Row],[prev_refill_days]]+TableRefills3[[#This Row],[quantity_days]])</f>
        <v>45959</v>
      </c>
      <c r="G1932">
        <f>IF(TableRefills3[[#This Row],[prev_refill_end]]="","",TableRefills3[[#This Row],[refill_date]]-TableRefills3[[#This Row],[prev_refill_end]])</f>
        <v>-2</v>
      </c>
      <c r="H1932" s="10">
        <f>IF(TableRefills3[[#This Row],[gap_days]]="",0,IF(TableRefills3[[#This Row],[gap_days]]&gt;2,1,0))</f>
        <v>0</v>
      </c>
      <c r="I1932">
        <f>_xlfn.MAXIFS(TableRefills3[discountinuation_flag], TableRefills3[patient_id], A1932)</f>
        <v>0</v>
      </c>
    </row>
    <row r="1933" spans="1:9" x14ac:dyDescent="0.25">
      <c r="A1933" t="s">
        <v>3076</v>
      </c>
      <c r="B1933" t="s">
        <v>3077</v>
      </c>
      <c r="C1933" s="3">
        <v>45850</v>
      </c>
      <c r="D1933">
        <v>28</v>
      </c>
      <c r="E1933" s="3" t="str">
        <f t="shared" si="30"/>
        <v/>
      </c>
      <c r="F1933" s="3" t="str">
        <f>IF(TableRefills3[[#This Row],[prev_refill_days]]="","",TableRefills3[[#This Row],[prev_refill_days]]+TableRefills3[[#This Row],[quantity_days]])</f>
        <v/>
      </c>
      <c r="G1933" t="str">
        <f>IF(TableRefills3[[#This Row],[prev_refill_end]]="","",TableRefills3[[#This Row],[refill_date]]-TableRefills3[[#This Row],[prev_refill_end]])</f>
        <v/>
      </c>
      <c r="H1933" s="10">
        <f>IF(TableRefills3[[#This Row],[gap_days]]="",0,IF(TableRefills3[[#This Row],[gap_days]]&gt;2,1,0))</f>
        <v>0</v>
      </c>
      <c r="I1933">
        <f>_xlfn.MAXIFS(TableRefills3[discountinuation_flag], TableRefills3[patient_id], A1933)</f>
        <v>1</v>
      </c>
    </row>
    <row r="1934" spans="1:9" x14ac:dyDescent="0.25">
      <c r="A1934" t="s">
        <v>3076</v>
      </c>
      <c r="B1934" t="s">
        <v>3077</v>
      </c>
      <c r="C1934" s="3">
        <v>45879</v>
      </c>
      <c r="D1934">
        <v>28</v>
      </c>
      <c r="E1934" s="3">
        <f t="shared" si="30"/>
        <v>45850</v>
      </c>
      <c r="F1934" s="3">
        <f>IF(TableRefills3[[#This Row],[prev_refill_days]]="","",TableRefills3[[#This Row],[prev_refill_days]]+TableRefills3[[#This Row],[quantity_days]])</f>
        <v>45878</v>
      </c>
      <c r="G1934">
        <f>IF(TableRefills3[[#This Row],[prev_refill_end]]="","",TableRefills3[[#This Row],[refill_date]]-TableRefills3[[#This Row],[prev_refill_end]])</f>
        <v>1</v>
      </c>
      <c r="H1934" s="10">
        <f>IF(TableRefills3[[#This Row],[gap_days]]="",0,IF(TableRefills3[[#This Row],[gap_days]]&gt;2,1,0))</f>
        <v>0</v>
      </c>
      <c r="I1934">
        <f>_xlfn.MAXIFS(TableRefills3[discountinuation_flag], TableRefills3[patient_id], A1934)</f>
        <v>1</v>
      </c>
    </row>
    <row r="1935" spans="1:9" x14ac:dyDescent="0.25">
      <c r="A1935" t="s">
        <v>3076</v>
      </c>
      <c r="B1935" t="s">
        <v>3077</v>
      </c>
      <c r="C1935" s="3">
        <v>45905</v>
      </c>
      <c r="D1935">
        <v>28</v>
      </c>
      <c r="E1935" s="3">
        <f t="shared" si="30"/>
        <v>45879</v>
      </c>
      <c r="F1935" s="3">
        <f>IF(TableRefills3[[#This Row],[prev_refill_days]]="","",TableRefills3[[#This Row],[prev_refill_days]]+TableRefills3[[#This Row],[quantity_days]])</f>
        <v>45907</v>
      </c>
      <c r="G1935">
        <f>IF(TableRefills3[[#This Row],[prev_refill_end]]="","",TableRefills3[[#This Row],[refill_date]]-TableRefills3[[#This Row],[prev_refill_end]])</f>
        <v>-2</v>
      </c>
      <c r="H1935" s="10">
        <f>IF(TableRefills3[[#This Row],[gap_days]]="",0,IF(TableRefills3[[#This Row],[gap_days]]&gt;2,1,0))</f>
        <v>0</v>
      </c>
      <c r="I1935">
        <f>_xlfn.MAXIFS(TableRefills3[discountinuation_flag], TableRefills3[patient_id], A1935)</f>
        <v>1</v>
      </c>
    </row>
    <row r="1936" spans="1:9" x14ac:dyDescent="0.25">
      <c r="A1936" t="s">
        <v>3076</v>
      </c>
      <c r="B1936" t="s">
        <v>3077</v>
      </c>
      <c r="C1936" s="3">
        <v>45936</v>
      </c>
      <c r="D1936">
        <v>28</v>
      </c>
      <c r="E1936" s="3">
        <f t="shared" si="30"/>
        <v>45905</v>
      </c>
      <c r="F1936" s="3">
        <f>IF(TableRefills3[[#This Row],[prev_refill_days]]="","",TableRefills3[[#This Row],[prev_refill_days]]+TableRefills3[[#This Row],[quantity_days]])</f>
        <v>45933</v>
      </c>
      <c r="G1936">
        <f>IF(TableRefills3[[#This Row],[prev_refill_end]]="","",TableRefills3[[#This Row],[refill_date]]-TableRefills3[[#This Row],[prev_refill_end]])</f>
        <v>3</v>
      </c>
      <c r="H1936" s="10">
        <f>IF(TableRefills3[[#This Row],[gap_days]]="",0,IF(TableRefills3[[#This Row],[gap_days]]&gt;2,1,0))</f>
        <v>1</v>
      </c>
      <c r="I1936">
        <f>_xlfn.MAXIFS(TableRefills3[discountinuation_flag], TableRefills3[patient_id], A1936)</f>
        <v>1</v>
      </c>
    </row>
    <row r="1937" spans="1:9" x14ac:dyDescent="0.25">
      <c r="A1937" t="s">
        <v>3082</v>
      </c>
      <c r="B1937" t="s">
        <v>3083</v>
      </c>
      <c r="C1937" s="3">
        <v>45897</v>
      </c>
      <c r="D1937">
        <v>30</v>
      </c>
      <c r="E1937" s="3" t="str">
        <f t="shared" si="30"/>
        <v/>
      </c>
      <c r="F1937" s="3" t="str">
        <f>IF(TableRefills3[[#This Row],[prev_refill_days]]="","",TableRefills3[[#This Row],[prev_refill_days]]+TableRefills3[[#This Row],[quantity_days]])</f>
        <v/>
      </c>
      <c r="G1937" t="str">
        <f>IF(TableRefills3[[#This Row],[prev_refill_end]]="","",TableRefills3[[#This Row],[refill_date]]-TableRefills3[[#This Row],[prev_refill_end]])</f>
        <v/>
      </c>
      <c r="H1937" s="10">
        <f>IF(TableRefills3[[#This Row],[gap_days]]="",0,IF(TableRefills3[[#This Row],[gap_days]]&gt;2,1,0))</f>
        <v>0</v>
      </c>
      <c r="I1937">
        <f>_xlfn.MAXIFS(TableRefills3[discountinuation_flag], TableRefills3[patient_id], A1937)</f>
        <v>0</v>
      </c>
    </row>
    <row r="1938" spans="1:9" x14ac:dyDescent="0.25">
      <c r="A1938" t="s">
        <v>3082</v>
      </c>
      <c r="B1938" t="s">
        <v>3083</v>
      </c>
      <c r="C1938" s="3">
        <v>45928</v>
      </c>
      <c r="D1938">
        <v>30</v>
      </c>
      <c r="E1938" s="3">
        <f t="shared" si="30"/>
        <v>45897</v>
      </c>
      <c r="F1938" s="3">
        <f>IF(TableRefills3[[#This Row],[prev_refill_days]]="","",TableRefills3[[#This Row],[prev_refill_days]]+TableRefills3[[#This Row],[quantity_days]])</f>
        <v>45927</v>
      </c>
      <c r="G1938">
        <f>IF(TableRefills3[[#This Row],[prev_refill_end]]="","",TableRefills3[[#This Row],[refill_date]]-TableRefills3[[#This Row],[prev_refill_end]])</f>
        <v>1</v>
      </c>
      <c r="H1938" s="10">
        <f>IF(TableRefills3[[#This Row],[gap_days]]="",0,IF(TableRefills3[[#This Row],[gap_days]]&gt;2,1,0))</f>
        <v>0</v>
      </c>
      <c r="I1938">
        <f>_xlfn.MAXIFS(TableRefills3[discountinuation_flag], TableRefills3[patient_id], A1938)</f>
        <v>0</v>
      </c>
    </row>
    <row r="1939" spans="1:9" x14ac:dyDescent="0.25">
      <c r="A1939" t="s">
        <v>3082</v>
      </c>
      <c r="B1939" t="s">
        <v>3083</v>
      </c>
      <c r="C1939" s="3">
        <v>45956</v>
      </c>
      <c r="D1939">
        <v>30</v>
      </c>
      <c r="E1939" s="3">
        <f t="shared" si="30"/>
        <v>45928</v>
      </c>
      <c r="F1939" s="3">
        <f>IF(TableRefills3[[#This Row],[prev_refill_days]]="","",TableRefills3[[#This Row],[prev_refill_days]]+TableRefills3[[#This Row],[quantity_days]])</f>
        <v>45958</v>
      </c>
      <c r="G1939">
        <f>IF(TableRefills3[[#This Row],[prev_refill_end]]="","",TableRefills3[[#This Row],[refill_date]]-TableRefills3[[#This Row],[prev_refill_end]])</f>
        <v>-2</v>
      </c>
      <c r="H1939" s="10">
        <f>IF(TableRefills3[[#This Row],[gap_days]]="",0,IF(TableRefills3[[#This Row],[gap_days]]&gt;2,1,0))</f>
        <v>0</v>
      </c>
      <c r="I1939">
        <f>_xlfn.MAXIFS(TableRefills3[discountinuation_flag], TableRefills3[patient_id], A1939)</f>
        <v>0</v>
      </c>
    </row>
    <row r="1940" spans="1:9" x14ac:dyDescent="0.25">
      <c r="A1940" t="s">
        <v>3087</v>
      </c>
      <c r="B1940" t="s">
        <v>3088</v>
      </c>
      <c r="C1940" s="3">
        <v>45944</v>
      </c>
      <c r="D1940">
        <v>28</v>
      </c>
      <c r="E1940" s="3" t="str">
        <f t="shared" si="30"/>
        <v/>
      </c>
      <c r="F1940" s="3" t="str">
        <f>IF(TableRefills3[[#This Row],[prev_refill_days]]="","",TableRefills3[[#This Row],[prev_refill_days]]+TableRefills3[[#This Row],[quantity_days]])</f>
        <v/>
      </c>
      <c r="G1940" t="str">
        <f>IF(TableRefills3[[#This Row],[prev_refill_end]]="","",TableRefills3[[#This Row],[refill_date]]-TableRefills3[[#This Row],[prev_refill_end]])</f>
        <v/>
      </c>
      <c r="H1940" s="10">
        <f>IF(TableRefills3[[#This Row],[gap_days]]="",0,IF(TableRefills3[[#This Row],[gap_days]]&gt;2,1,0))</f>
        <v>0</v>
      </c>
      <c r="I1940">
        <f>_xlfn.MAXIFS(TableRefills3[discountinuation_flag], TableRefills3[patient_id], A1940)</f>
        <v>0</v>
      </c>
    </row>
    <row r="1941" spans="1:9" x14ac:dyDescent="0.25">
      <c r="A1941" t="s">
        <v>3090</v>
      </c>
      <c r="B1941" t="s">
        <v>3091</v>
      </c>
      <c r="C1941" s="3">
        <v>45856</v>
      </c>
      <c r="D1941">
        <v>28</v>
      </c>
      <c r="E1941" s="3" t="str">
        <f t="shared" si="30"/>
        <v/>
      </c>
      <c r="F1941" s="3" t="str">
        <f>IF(TableRefills3[[#This Row],[prev_refill_days]]="","",TableRefills3[[#This Row],[prev_refill_days]]+TableRefills3[[#This Row],[quantity_days]])</f>
        <v/>
      </c>
      <c r="G1941" t="str">
        <f>IF(TableRefills3[[#This Row],[prev_refill_end]]="","",TableRefills3[[#This Row],[refill_date]]-TableRefills3[[#This Row],[prev_refill_end]])</f>
        <v/>
      </c>
      <c r="H1941" s="10">
        <f>IF(TableRefills3[[#This Row],[gap_days]]="",0,IF(TableRefills3[[#This Row],[gap_days]]&gt;2,1,0))</f>
        <v>0</v>
      </c>
      <c r="I1941">
        <f>_xlfn.MAXIFS(TableRefills3[discountinuation_flag], TableRefills3[patient_id], A1941)</f>
        <v>1</v>
      </c>
    </row>
    <row r="1942" spans="1:9" x14ac:dyDescent="0.25">
      <c r="A1942" t="s">
        <v>3090</v>
      </c>
      <c r="B1942" t="s">
        <v>3091</v>
      </c>
      <c r="C1942" s="3">
        <v>45886</v>
      </c>
      <c r="D1942">
        <v>28</v>
      </c>
      <c r="E1942" s="3">
        <f t="shared" si="30"/>
        <v>45856</v>
      </c>
      <c r="F1942" s="3">
        <f>IF(TableRefills3[[#This Row],[prev_refill_days]]="","",TableRefills3[[#This Row],[prev_refill_days]]+TableRefills3[[#This Row],[quantity_days]])</f>
        <v>45884</v>
      </c>
      <c r="G1942">
        <f>IF(TableRefills3[[#This Row],[prev_refill_end]]="","",TableRefills3[[#This Row],[refill_date]]-TableRefills3[[#This Row],[prev_refill_end]])</f>
        <v>2</v>
      </c>
      <c r="H1942" s="10">
        <f>IF(TableRefills3[[#This Row],[gap_days]]="",0,IF(TableRefills3[[#This Row],[gap_days]]&gt;2,1,0))</f>
        <v>0</v>
      </c>
      <c r="I1942">
        <f>_xlfn.MAXIFS(TableRefills3[discountinuation_flag], TableRefills3[patient_id], A1942)</f>
        <v>1</v>
      </c>
    </row>
    <row r="1943" spans="1:9" x14ac:dyDescent="0.25">
      <c r="A1943" t="s">
        <v>3090</v>
      </c>
      <c r="B1943" t="s">
        <v>3091</v>
      </c>
      <c r="C1943" s="3">
        <v>45912</v>
      </c>
      <c r="D1943">
        <v>28</v>
      </c>
      <c r="E1943" s="3">
        <f t="shared" si="30"/>
        <v>45886</v>
      </c>
      <c r="F1943" s="3">
        <f>IF(TableRefills3[[#This Row],[prev_refill_days]]="","",TableRefills3[[#This Row],[prev_refill_days]]+TableRefills3[[#This Row],[quantity_days]])</f>
        <v>45914</v>
      </c>
      <c r="G1943">
        <f>IF(TableRefills3[[#This Row],[prev_refill_end]]="","",TableRefills3[[#This Row],[refill_date]]-TableRefills3[[#This Row],[prev_refill_end]])</f>
        <v>-2</v>
      </c>
      <c r="H1943" s="10">
        <f>IF(TableRefills3[[#This Row],[gap_days]]="",0,IF(TableRefills3[[#This Row],[gap_days]]&gt;2,1,0))</f>
        <v>0</v>
      </c>
      <c r="I1943">
        <f>_xlfn.MAXIFS(TableRefills3[discountinuation_flag], TableRefills3[patient_id], A1943)</f>
        <v>1</v>
      </c>
    </row>
    <row r="1944" spans="1:9" x14ac:dyDescent="0.25">
      <c r="A1944" t="s">
        <v>3090</v>
      </c>
      <c r="B1944" t="s">
        <v>3091</v>
      </c>
      <c r="C1944" s="3">
        <v>45943</v>
      </c>
      <c r="D1944">
        <v>28</v>
      </c>
      <c r="E1944" s="3">
        <f t="shared" si="30"/>
        <v>45912</v>
      </c>
      <c r="F1944" s="3">
        <f>IF(TableRefills3[[#This Row],[prev_refill_days]]="","",TableRefills3[[#This Row],[prev_refill_days]]+TableRefills3[[#This Row],[quantity_days]])</f>
        <v>45940</v>
      </c>
      <c r="G1944">
        <f>IF(TableRefills3[[#This Row],[prev_refill_end]]="","",TableRefills3[[#This Row],[refill_date]]-TableRefills3[[#This Row],[prev_refill_end]])</f>
        <v>3</v>
      </c>
      <c r="H1944" s="10">
        <f>IF(TableRefills3[[#This Row],[gap_days]]="",0,IF(TableRefills3[[#This Row],[gap_days]]&gt;2,1,0))</f>
        <v>1</v>
      </c>
      <c r="I1944">
        <f>_xlfn.MAXIFS(TableRefills3[discountinuation_flag], TableRefills3[patient_id], A1944)</f>
        <v>1</v>
      </c>
    </row>
    <row r="1945" spans="1:9" x14ac:dyDescent="0.25">
      <c r="A1945" t="s">
        <v>3096</v>
      </c>
      <c r="B1945" t="s">
        <v>3097</v>
      </c>
      <c r="C1945" s="3">
        <v>45870</v>
      </c>
      <c r="D1945">
        <v>28</v>
      </c>
      <c r="E1945" s="3" t="str">
        <f t="shared" si="30"/>
        <v/>
      </c>
      <c r="F1945" s="3" t="str">
        <f>IF(TableRefills3[[#This Row],[prev_refill_days]]="","",TableRefills3[[#This Row],[prev_refill_days]]+TableRefills3[[#This Row],[quantity_days]])</f>
        <v/>
      </c>
      <c r="G1945" t="str">
        <f>IF(TableRefills3[[#This Row],[prev_refill_end]]="","",TableRefills3[[#This Row],[refill_date]]-TableRefills3[[#This Row],[prev_refill_end]])</f>
        <v/>
      </c>
      <c r="H1945" s="10">
        <f>IF(TableRefills3[[#This Row],[gap_days]]="",0,IF(TableRefills3[[#This Row],[gap_days]]&gt;2,1,0))</f>
        <v>0</v>
      </c>
      <c r="I1945">
        <f>_xlfn.MAXIFS(TableRefills3[discountinuation_flag], TableRefills3[patient_id], A1945)</f>
        <v>0</v>
      </c>
    </row>
    <row r="1946" spans="1:9" x14ac:dyDescent="0.25">
      <c r="A1946" t="s">
        <v>3096</v>
      </c>
      <c r="B1946" t="s">
        <v>3097</v>
      </c>
      <c r="C1946" s="3">
        <v>45895</v>
      </c>
      <c r="D1946">
        <v>28</v>
      </c>
      <c r="E1946" s="3">
        <f t="shared" si="30"/>
        <v>45870</v>
      </c>
      <c r="F1946" s="3">
        <f>IF(TableRefills3[[#This Row],[prev_refill_days]]="","",TableRefills3[[#This Row],[prev_refill_days]]+TableRefills3[[#This Row],[quantity_days]])</f>
        <v>45898</v>
      </c>
      <c r="G1946">
        <f>IF(TableRefills3[[#This Row],[prev_refill_end]]="","",TableRefills3[[#This Row],[refill_date]]-TableRefills3[[#This Row],[prev_refill_end]])</f>
        <v>-3</v>
      </c>
      <c r="H1946" s="10">
        <f>IF(TableRefills3[[#This Row],[gap_days]]="",0,IF(TableRefills3[[#This Row],[gap_days]]&gt;2,1,0))</f>
        <v>0</v>
      </c>
      <c r="I1946">
        <f>_xlfn.MAXIFS(TableRefills3[discountinuation_flag], TableRefills3[patient_id], A1946)</f>
        <v>0</v>
      </c>
    </row>
    <row r="1947" spans="1:9" x14ac:dyDescent="0.25">
      <c r="A1947" t="s">
        <v>3096</v>
      </c>
      <c r="B1947" t="s">
        <v>3097</v>
      </c>
      <c r="C1947" s="3">
        <v>45922</v>
      </c>
      <c r="D1947">
        <v>28</v>
      </c>
      <c r="E1947" s="3">
        <f t="shared" si="30"/>
        <v>45895</v>
      </c>
      <c r="F1947" s="3">
        <f>IF(TableRefills3[[#This Row],[prev_refill_days]]="","",TableRefills3[[#This Row],[prev_refill_days]]+TableRefills3[[#This Row],[quantity_days]])</f>
        <v>45923</v>
      </c>
      <c r="G1947">
        <f>IF(TableRefills3[[#This Row],[prev_refill_end]]="","",TableRefills3[[#This Row],[refill_date]]-TableRefills3[[#This Row],[prev_refill_end]])</f>
        <v>-1</v>
      </c>
      <c r="H1947" s="10">
        <f>IF(TableRefills3[[#This Row],[gap_days]]="",0,IF(TableRefills3[[#This Row],[gap_days]]&gt;2,1,0))</f>
        <v>0</v>
      </c>
      <c r="I1947">
        <f>_xlfn.MAXIFS(TableRefills3[discountinuation_flag], TableRefills3[patient_id], A1947)</f>
        <v>0</v>
      </c>
    </row>
    <row r="1948" spans="1:9" x14ac:dyDescent="0.25">
      <c r="A1948" t="s">
        <v>3096</v>
      </c>
      <c r="B1948" t="s">
        <v>3097</v>
      </c>
      <c r="C1948" s="3">
        <v>45950</v>
      </c>
      <c r="D1948">
        <v>28</v>
      </c>
      <c r="E1948" s="3">
        <f t="shared" si="30"/>
        <v>45922</v>
      </c>
      <c r="F1948" s="3">
        <f>IF(TableRefills3[[#This Row],[prev_refill_days]]="","",TableRefills3[[#This Row],[prev_refill_days]]+TableRefills3[[#This Row],[quantity_days]])</f>
        <v>45950</v>
      </c>
      <c r="G1948">
        <f>IF(TableRefills3[[#This Row],[prev_refill_end]]="","",TableRefills3[[#This Row],[refill_date]]-TableRefills3[[#This Row],[prev_refill_end]])</f>
        <v>0</v>
      </c>
      <c r="H1948" s="10">
        <f>IF(TableRefills3[[#This Row],[gap_days]]="",0,IF(TableRefills3[[#This Row],[gap_days]]&gt;2,1,0))</f>
        <v>0</v>
      </c>
      <c r="I1948">
        <f>_xlfn.MAXIFS(TableRefills3[discountinuation_flag], TableRefills3[patient_id], A1948)</f>
        <v>0</v>
      </c>
    </row>
    <row r="1949" spans="1:9" x14ac:dyDescent="0.25">
      <c r="A1949" t="s">
        <v>3102</v>
      </c>
      <c r="B1949" t="s">
        <v>3103</v>
      </c>
      <c r="C1949" s="3">
        <v>45905</v>
      </c>
      <c r="D1949">
        <v>28</v>
      </c>
      <c r="E1949" s="3" t="str">
        <f t="shared" si="30"/>
        <v/>
      </c>
      <c r="F1949" s="3" t="str">
        <f>IF(TableRefills3[[#This Row],[prev_refill_days]]="","",TableRefills3[[#This Row],[prev_refill_days]]+TableRefills3[[#This Row],[quantity_days]])</f>
        <v/>
      </c>
      <c r="G1949" t="str">
        <f>IF(TableRefills3[[#This Row],[prev_refill_end]]="","",TableRefills3[[#This Row],[refill_date]]-TableRefills3[[#This Row],[prev_refill_end]])</f>
        <v/>
      </c>
      <c r="H1949" s="10">
        <f>IF(TableRefills3[[#This Row],[gap_days]]="",0,IF(TableRefills3[[#This Row],[gap_days]]&gt;2,1,0))</f>
        <v>0</v>
      </c>
      <c r="I1949">
        <f>_xlfn.MAXIFS(TableRefills3[discountinuation_flag], TableRefills3[patient_id], A1949)</f>
        <v>0</v>
      </c>
    </row>
    <row r="1950" spans="1:9" x14ac:dyDescent="0.25">
      <c r="A1950" t="s">
        <v>3102</v>
      </c>
      <c r="B1950" t="s">
        <v>3103</v>
      </c>
      <c r="C1950" s="3">
        <v>45935</v>
      </c>
      <c r="D1950">
        <v>28</v>
      </c>
      <c r="E1950" s="3">
        <f t="shared" si="30"/>
        <v>45905</v>
      </c>
      <c r="F1950" s="3">
        <f>IF(TableRefills3[[#This Row],[prev_refill_days]]="","",TableRefills3[[#This Row],[prev_refill_days]]+TableRefills3[[#This Row],[quantity_days]])</f>
        <v>45933</v>
      </c>
      <c r="G1950">
        <f>IF(TableRefills3[[#This Row],[prev_refill_end]]="","",TableRefills3[[#This Row],[refill_date]]-TableRefills3[[#This Row],[prev_refill_end]])</f>
        <v>2</v>
      </c>
      <c r="H1950" s="10">
        <f>IF(TableRefills3[[#This Row],[gap_days]]="",0,IF(TableRefills3[[#This Row],[gap_days]]&gt;2,1,0))</f>
        <v>0</v>
      </c>
      <c r="I1950">
        <f>_xlfn.MAXIFS(TableRefills3[discountinuation_flag], TableRefills3[patient_id], A1950)</f>
        <v>0</v>
      </c>
    </row>
    <row r="1951" spans="1:9" x14ac:dyDescent="0.25">
      <c r="A1951" t="s">
        <v>3106</v>
      </c>
      <c r="B1951" t="s">
        <v>3107</v>
      </c>
      <c r="C1951" s="3">
        <v>45803</v>
      </c>
      <c r="D1951">
        <v>28</v>
      </c>
      <c r="E1951" s="3" t="str">
        <f t="shared" si="30"/>
        <v/>
      </c>
      <c r="F1951" s="3" t="str">
        <f>IF(TableRefills3[[#This Row],[prev_refill_days]]="","",TableRefills3[[#This Row],[prev_refill_days]]+TableRefills3[[#This Row],[quantity_days]])</f>
        <v/>
      </c>
      <c r="G1951" t="str">
        <f>IF(TableRefills3[[#This Row],[prev_refill_end]]="","",TableRefills3[[#This Row],[refill_date]]-TableRefills3[[#This Row],[prev_refill_end]])</f>
        <v/>
      </c>
      <c r="H1951" s="10">
        <f>IF(TableRefills3[[#This Row],[gap_days]]="",0,IF(TableRefills3[[#This Row],[gap_days]]&gt;2,1,0))</f>
        <v>0</v>
      </c>
      <c r="I1951">
        <f>_xlfn.MAXIFS(TableRefills3[discountinuation_flag], TableRefills3[patient_id], A1951)</f>
        <v>0</v>
      </c>
    </row>
    <row r="1952" spans="1:9" x14ac:dyDescent="0.25">
      <c r="A1952" t="s">
        <v>3106</v>
      </c>
      <c r="B1952" t="s">
        <v>3107</v>
      </c>
      <c r="C1952" s="3">
        <v>45833</v>
      </c>
      <c r="D1952">
        <v>28</v>
      </c>
      <c r="E1952" s="3">
        <f t="shared" si="30"/>
        <v>45803</v>
      </c>
      <c r="F1952" s="3">
        <f>IF(TableRefills3[[#This Row],[prev_refill_days]]="","",TableRefills3[[#This Row],[prev_refill_days]]+TableRefills3[[#This Row],[quantity_days]])</f>
        <v>45831</v>
      </c>
      <c r="G1952">
        <f>IF(TableRefills3[[#This Row],[prev_refill_end]]="","",TableRefills3[[#This Row],[refill_date]]-TableRefills3[[#This Row],[prev_refill_end]])</f>
        <v>2</v>
      </c>
      <c r="H1952" s="10">
        <f>IF(TableRefills3[[#This Row],[gap_days]]="",0,IF(TableRefills3[[#This Row],[gap_days]]&gt;2,1,0))</f>
        <v>0</v>
      </c>
      <c r="I1952">
        <f>_xlfn.MAXIFS(TableRefills3[discountinuation_flag], TableRefills3[patient_id], A1952)</f>
        <v>0</v>
      </c>
    </row>
    <row r="1953" spans="1:9" x14ac:dyDescent="0.25">
      <c r="A1953" t="s">
        <v>3106</v>
      </c>
      <c r="B1953" t="s">
        <v>3107</v>
      </c>
      <c r="C1953" s="3">
        <v>45863</v>
      </c>
      <c r="D1953">
        <v>28</v>
      </c>
      <c r="E1953" s="3">
        <f t="shared" si="30"/>
        <v>45833</v>
      </c>
      <c r="F1953" s="3">
        <f>IF(TableRefills3[[#This Row],[prev_refill_days]]="","",TableRefills3[[#This Row],[prev_refill_days]]+TableRefills3[[#This Row],[quantity_days]])</f>
        <v>45861</v>
      </c>
      <c r="G1953">
        <f>IF(TableRefills3[[#This Row],[prev_refill_end]]="","",TableRefills3[[#This Row],[refill_date]]-TableRefills3[[#This Row],[prev_refill_end]])</f>
        <v>2</v>
      </c>
      <c r="H1953" s="10">
        <f>IF(TableRefills3[[#This Row],[gap_days]]="",0,IF(TableRefills3[[#This Row],[gap_days]]&gt;2,1,0))</f>
        <v>0</v>
      </c>
      <c r="I1953">
        <f>_xlfn.MAXIFS(TableRefills3[discountinuation_flag], TableRefills3[patient_id], A1953)</f>
        <v>0</v>
      </c>
    </row>
    <row r="1954" spans="1:9" x14ac:dyDescent="0.25">
      <c r="A1954" t="s">
        <v>3106</v>
      </c>
      <c r="B1954" t="s">
        <v>3107</v>
      </c>
      <c r="C1954" s="3">
        <v>45889</v>
      </c>
      <c r="D1954">
        <v>28</v>
      </c>
      <c r="E1954" s="3">
        <f t="shared" si="30"/>
        <v>45863</v>
      </c>
      <c r="F1954" s="3">
        <f>IF(TableRefills3[[#This Row],[prev_refill_days]]="","",TableRefills3[[#This Row],[prev_refill_days]]+TableRefills3[[#This Row],[quantity_days]])</f>
        <v>45891</v>
      </c>
      <c r="G1954">
        <f>IF(TableRefills3[[#This Row],[prev_refill_end]]="","",TableRefills3[[#This Row],[refill_date]]-TableRefills3[[#This Row],[prev_refill_end]])</f>
        <v>-2</v>
      </c>
      <c r="H1954" s="10">
        <f>IF(TableRefills3[[#This Row],[gap_days]]="",0,IF(TableRefills3[[#This Row],[gap_days]]&gt;2,1,0))</f>
        <v>0</v>
      </c>
      <c r="I1954">
        <f>_xlfn.MAXIFS(TableRefills3[discountinuation_flag], TableRefills3[patient_id], A1954)</f>
        <v>0</v>
      </c>
    </row>
    <row r="1955" spans="1:9" x14ac:dyDescent="0.25">
      <c r="A1955" t="s">
        <v>3106</v>
      </c>
      <c r="B1955" t="s">
        <v>3107</v>
      </c>
      <c r="C1955" s="3">
        <v>45915</v>
      </c>
      <c r="D1955">
        <v>28</v>
      </c>
      <c r="E1955" s="3">
        <f t="shared" si="30"/>
        <v>45889</v>
      </c>
      <c r="F1955" s="3">
        <f>IF(TableRefills3[[#This Row],[prev_refill_days]]="","",TableRefills3[[#This Row],[prev_refill_days]]+TableRefills3[[#This Row],[quantity_days]])</f>
        <v>45917</v>
      </c>
      <c r="G1955">
        <f>IF(TableRefills3[[#This Row],[prev_refill_end]]="","",TableRefills3[[#This Row],[refill_date]]-TableRefills3[[#This Row],[prev_refill_end]])</f>
        <v>-2</v>
      </c>
      <c r="H1955" s="10">
        <f>IF(TableRefills3[[#This Row],[gap_days]]="",0,IF(TableRefills3[[#This Row],[gap_days]]&gt;2,1,0))</f>
        <v>0</v>
      </c>
      <c r="I1955">
        <f>_xlfn.MAXIFS(TableRefills3[discountinuation_flag], TableRefills3[patient_id], A1955)</f>
        <v>0</v>
      </c>
    </row>
    <row r="1956" spans="1:9" x14ac:dyDescent="0.25">
      <c r="A1956" t="s">
        <v>3106</v>
      </c>
      <c r="B1956" t="s">
        <v>3107</v>
      </c>
      <c r="C1956" s="3">
        <v>45941</v>
      </c>
      <c r="D1956">
        <v>28</v>
      </c>
      <c r="E1956" s="3">
        <f t="shared" si="30"/>
        <v>45915</v>
      </c>
      <c r="F1956" s="3">
        <f>IF(TableRefills3[[#This Row],[prev_refill_days]]="","",TableRefills3[[#This Row],[prev_refill_days]]+TableRefills3[[#This Row],[quantity_days]])</f>
        <v>45943</v>
      </c>
      <c r="G1956">
        <f>IF(TableRefills3[[#This Row],[prev_refill_end]]="","",TableRefills3[[#This Row],[refill_date]]-TableRefills3[[#This Row],[prev_refill_end]])</f>
        <v>-2</v>
      </c>
      <c r="H1956" s="10">
        <f>IF(TableRefills3[[#This Row],[gap_days]]="",0,IF(TableRefills3[[#This Row],[gap_days]]&gt;2,1,0))</f>
        <v>0</v>
      </c>
      <c r="I1956">
        <f>_xlfn.MAXIFS(TableRefills3[discountinuation_flag], TableRefills3[patient_id], A1956)</f>
        <v>0</v>
      </c>
    </row>
    <row r="1957" spans="1:9" x14ac:dyDescent="0.25">
      <c r="A1957" t="s">
        <v>3114</v>
      </c>
      <c r="B1957" t="s">
        <v>3115</v>
      </c>
      <c r="C1957" s="3">
        <v>45898</v>
      </c>
      <c r="D1957">
        <v>28</v>
      </c>
      <c r="E1957" s="3" t="str">
        <f t="shared" si="30"/>
        <v/>
      </c>
      <c r="F1957" s="3" t="str">
        <f>IF(TableRefills3[[#This Row],[prev_refill_days]]="","",TableRefills3[[#This Row],[prev_refill_days]]+TableRefills3[[#This Row],[quantity_days]])</f>
        <v/>
      </c>
      <c r="G1957" t="str">
        <f>IF(TableRefills3[[#This Row],[prev_refill_end]]="","",TableRefills3[[#This Row],[refill_date]]-TableRefills3[[#This Row],[prev_refill_end]])</f>
        <v/>
      </c>
      <c r="H1957" s="10">
        <f>IF(TableRefills3[[#This Row],[gap_days]]="",0,IF(TableRefills3[[#This Row],[gap_days]]&gt;2,1,0))</f>
        <v>0</v>
      </c>
      <c r="I1957">
        <f>_xlfn.MAXIFS(TableRefills3[discountinuation_flag], TableRefills3[patient_id], A1957)</f>
        <v>0</v>
      </c>
    </row>
    <row r="1958" spans="1:9" x14ac:dyDescent="0.25">
      <c r="A1958" t="s">
        <v>3114</v>
      </c>
      <c r="B1958" t="s">
        <v>3115</v>
      </c>
      <c r="C1958" s="3">
        <v>45927</v>
      </c>
      <c r="D1958">
        <v>28</v>
      </c>
      <c r="E1958" s="3">
        <f t="shared" si="30"/>
        <v>45898</v>
      </c>
      <c r="F1958" s="3">
        <f>IF(TableRefills3[[#This Row],[prev_refill_days]]="","",TableRefills3[[#This Row],[prev_refill_days]]+TableRefills3[[#This Row],[quantity_days]])</f>
        <v>45926</v>
      </c>
      <c r="G1958">
        <f>IF(TableRefills3[[#This Row],[prev_refill_end]]="","",TableRefills3[[#This Row],[refill_date]]-TableRefills3[[#This Row],[prev_refill_end]])</f>
        <v>1</v>
      </c>
      <c r="H1958" s="10">
        <f>IF(TableRefills3[[#This Row],[gap_days]]="",0,IF(TableRefills3[[#This Row],[gap_days]]&gt;2,1,0))</f>
        <v>0</v>
      </c>
      <c r="I1958">
        <f>_xlfn.MAXIFS(TableRefills3[discountinuation_flag], TableRefills3[patient_id], A1958)</f>
        <v>0</v>
      </c>
    </row>
    <row r="1959" spans="1:9" x14ac:dyDescent="0.25">
      <c r="A1959" t="s">
        <v>3114</v>
      </c>
      <c r="B1959" t="s">
        <v>3115</v>
      </c>
      <c r="C1959" s="3">
        <v>45954</v>
      </c>
      <c r="D1959">
        <v>28</v>
      </c>
      <c r="E1959" s="3">
        <f t="shared" si="30"/>
        <v>45927</v>
      </c>
      <c r="F1959" s="3">
        <f>IF(TableRefills3[[#This Row],[prev_refill_days]]="","",TableRefills3[[#This Row],[prev_refill_days]]+TableRefills3[[#This Row],[quantity_days]])</f>
        <v>45955</v>
      </c>
      <c r="G1959">
        <f>IF(TableRefills3[[#This Row],[prev_refill_end]]="","",TableRefills3[[#This Row],[refill_date]]-TableRefills3[[#This Row],[prev_refill_end]])</f>
        <v>-1</v>
      </c>
      <c r="H1959" s="10">
        <f>IF(TableRefills3[[#This Row],[gap_days]]="",0,IF(TableRefills3[[#This Row],[gap_days]]&gt;2,1,0))</f>
        <v>0</v>
      </c>
      <c r="I1959">
        <f>_xlfn.MAXIFS(TableRefills3[discountinuation_flag], TableRefills3[patient_id], A1959)</f>
        <v>0</v>
      </c>
    </row>
    <row r="1960" spans="1:9" x14ac:dyDescent="0.25">
      <c r="A1960" t="s">
        <v>3119</v>
      </c>
      <c r="B1960" t="s">
        <v>3120</v>
      </c>
      <c r="C1960" s="3">
        <v>45859</v>
      </c>
      <c r="D1960">
        <v>14</v>
      </c>
      <c r="E1960" s="3" t="str">
        <f t="shared" si="30"/>
        <v/>
      </c>
      <c r="F1960" s="3" t="str">
        <f>IF(TableRefills3[[#This Row],[prev_refill_days]]="","",TableRefills3[[#This Row],[prev_refill_days]]+TableRefills3[[#This Row],[quantity_days]])</f>
        <v/>
      </c>
      <c r="G1960" t="str">
        <f>IF(TableRefills3[[#This Row],[prev_refill_end]]="","",TableRefills3[[#This Row],[refill_date]]-TableRefills3[[#This Row],[prev_refill_end]])</f>
        <v/>
      </c>
      <c r="H1960" s="10">
        <f>IF(TableRefills3[[#This Row],[gap_days]]="",0,IF(TableRefills3[[#This Row],[gap_days]]&gt;2,1,0))</f>
        <v>0</v>
      </c>
      <c r="I1960">
        <f>_xlfn.MAXIFS(TableRefills3[discountinuation_flag], TableRefills3[patient_id], A1960)</f>
        <v>0</v>
      </c>
    </row>
    <row r="1961" spans="1:9" x14ac:dyDescent="0.25">
      <c r="A1961" t="s">
        <v>3119</v>
      </c>
      <c r="B1961" t="s">
        <v>3120</v>
      </c>
      <c r="C1961" s="3">
        <v>45871</v>
      </c>
      <c r="D1961">
        <v>14</v>
      </c>
      <c r="E1961" s="3">
        <f t="shared" si="30"/>
        <v>45859</v>
      </c>
      <c r="F1961" s="3">
        <f>IF(TableRefills3[[#This Row],[prev_refill_days]]="","",TableRefills3[[#This Row],[prev_refill_days]]+TableRefills3[[#This Row],[quantity_days]])</f>
        <v>45873</v>
      </c>
      <c r="G1961">
        <f>IF(TableRefills3[[#This Row],[prev_refill_end]]="","",TableRefills3[[#This Row],[refill_date]]-TableRefills3[[#This Row],[prev_refill_end]])</f>
        <v>-2</v>
      </c>
      <c r="H1961" s="10">
        <f>IF(TableRefills3[[#This Row],[gap_days]]="",0,IF(TableRefills3[[#This Row],[gap_days]]&gt;2,1,0))</f>
        <v>0</v>
      </c>
      <c r="I1961">
        <f>_xlfn.MAXIFS(TableRefills3[discountinuation_flag], TableRefills3[patient_id], A1961)</f>
        <v>0</v>
      </c>
    </row>
    <row r="1962" spans="1:9" x14ac:dyDescent="0.25">
      <c r="A1962" t="s">
        <v>3119</v>
      </c>
      <c r="B1962" t="s">
        <v>3120</v>
      </c>
      <c r="C1962" s="3">
        <v>45883</v>
      </c>
      <c r="D1962">
        <v>14</v>
      </c>
      <c r="E1962" s="3">
        <f t="shared" si="30"/>
        <v>45871</v>
      </c>
      <c r="F1962" s="3">
        <f>IF(TableRefills3[[#This Row],[prev_refill_days]]="","",TableRefills3[[#This Row],[prev_refill_days]]+TableRefills3[[#This Row],[quantity_days]])</f>
        <v>45885</v>
      </c>
      <c r="G1962">
        <f>IF(TableRefills3[[#This Row],[prev_refill_end]]="","",TableRefills3[[#This Row],[refill_date]]-TableRefills3[[#This Row],[prev_refill_end]])</f>
        <v>-2</v>
      </c>
      <c r="H1962" s="10">
        <f>IF(TableRefills3[[#This Row],[gap_days]]="",0,IF(TableRefills3[[#This Row],[gap_days]]&gt;2,1,0))</f>
        <v>0</v>
      </c>
      <c r="I1962">
        <f>_xlfn.MAXIFS(TableRefills3[discountinuation_flag], TableRefills3[patient_id], A1962)</f>
        <v>0</v>
      </c>
    </row>
    <row r="1963" spans="1:9" x14ac:dyDescent="0.25">
      <c r="A1963" t="s">
        <v>3119</v>
      </c>
      <c r="B1963" t="s">
        <v>3120</v>
      </c>
      <c r="C1963" s="3">
        <v>45899</v>
      </c>
      <c r="D1963">
        <v>14</v>
      </c>
      <c r="E1963" s="3">
        <f t="shared" si="30"/>
        <v>45883</v>
      </c>
      <c r="F1963" s="3">
        <f>IF(TableRefills3[[#This Row],[prev_refill_days]]="","",TableRefills3[[#This Row],[prev_refill_days]]+TableRefills3[[#This Row],[quantity_days]])</f>
        <v>45897</v>
      </c>
      <c r="G1963">
        <f>IF(TableRefills3[[#This Row],[prev_refill_end]]="","",TableRefills3[[#This Row],[refill_date]]-TableRefills3[[#This Row],[prev_refill_end]])</f>
        <v>2</v>
      </c>
      <c r="H1963" s="10">
        <f>IF(TableRefills3[[#This Row],[gap_days]]="",0,IF(TableRefills3[[#This Row],[gap_days]]&gt;2,1,0))</f>
        <v>0</v>
      </c>
      <c r="I1963">
        <f>_xlfn.MAXIFS(TableRefills3[discountinuation_flag], TableRefills3[patient_id], A1963)</f>
        <v>0</v>
      </c>
    </row>
    <row r="1964" spans="1:9" x14ac:dyDescent="0.25">
      <c r="A1964" t="s">
        <v>3119</v>
      </c>
      <c r="B1964" t="s">
        <v>3120</v>
      </c>
      <c r="C1964" s="3">
        <v>45912</v>
      </c>
      <c r="D1964">
        <v>14</v>
      </c>
      <c r="E1964" s="3">
        <f t="shared" si="30"/>
        <v>45899</v>
      </c>
      <c r="F1964" s="3">
        <f>IF(TableRefills3[[#This Row],[prev_refill_days]]="","",TableRefills3[[#This Row],[prev_refill_days]]+TableRefills3[[#This Row],[quantity_days]])</f>
        <v>45913</v>
      </c>
      <c r="G1964">
        <f>IF(TableRefills3[[#This Row],[prev_refill_end]]="","",TableRefills3[[#This Row],[refill_date]]-TableRefills3[[#This Row],[prev_refill_end]])</f>
        <v>-1</v>
      </c>
      <c r="H1964" s="10">
        <f>IF(TableRefills3[[#This Row],[gap_days]]="",0,IF(TableRefills3[[#This Row],[gap_days]]&gt;2,1,0))</f>
        <v>0</v>
      </c>
      <c r="I1964">
        <f>_xlfn.MAXIFS(TableRefills3[discountinuation_flag], TableRefills3[patient_id], A1964)</f>
        <v>0</v>
      </c>
    </row>
    <row r="1965" spans="1:9" x14ac:dyDescent="0.25">
      <c r="A1965" t="s">
        <v>3119</v>
      </c>
      <c r="B1965" t="s">
        <v>3120</v>
      </c>
      <c r="C1965" s="3">
        <v>45928</v>
      </c>
      <c r="D1965">
        <v>14</v>
      </c>
      <c r="E1965" s="3">
        <f t="shared" si="30"/>
        <v>45912</v>
      </c>
      <c r="F1965" s="3">
        <f>IF(TableRefills3[[#This Row],[prev_refill_days]]="","",TableRefills3[[#This Row],[prev_refill_days]]+TableRefills3[[#This Row],[quantity_days]])</f>
        <v>45926</v>
      </c>
      <c r="G1965">
        <f>IF(TableRefills3[[#This Row],[prev_refill_end]]="","",TableRefills3[[#This Row],[refill_date]]-TableRefills3[[#This Row],[prev_refill_end]])</f>
        <v>2</v>
      </c>
      <c r="H1965" s="10">
        <f>IF(TableRefills3[[#This Row],[gap_days]]="",0,IF(TableRefills3[[#This Row],[gap_days]]&gt;2,1,0))</f>
        <v>0</v>
      </c>
      <c r="I1965">
        <f>_xlfn.MAXIFS(TableRefills3[discountinuation_flag], TableRefills3[patient_id], A1965)</f>
        <v>0</v>
      </c>
    </row>
    <row r="1966" spans="1:9" x14ac:dyDescent="0.25">
      <c r="A1966" t="s">
        <v>3119</v>
      </c>
      <c r="B1966" t="s">
        <v>3120</v>
      </c>
      <c r="C1966" s="3">
        <v>45942</v>
      </c>
      <c r="D1966">
        <v>14</v>
      </c>
      <c r="E1966" s="3">
        <f t="shared" si="30"/>
        <v>45928</v>
      </c>
      <c r="F1966" s="3">
        <f>IF(TableRefills3[[#This Row],[prev_refill_days]]="","",TableRefills3[[#This Row],[prev_refill_days]]+TableRefills3[[#This Row],[quantity_days]])</f>
        <v>45942</v>
      </c>
      <c r="G1966">
        <f>IF(TableRefills3[[#This Row],[prev_refill_end]]="","",TableRefills3[[#This Row],[refill_date]]-TableRefills3[[#This Row],[prev_refill_end]])</f>
        <v>0</v>
      </c>
      <c r="H1966" s="10">
        <f>IF(TableRefills3[[#This Row],[gap_days]]="",0,IF(TableRefills3[[#This Row],[gap_days]]&gt;2,1,0))</f>
        <v>0</v>
      </c>
      <c r="I1966">
        <f>_xlfn.MAXIFS(TableRefills3[discountinuation_flag], TableRefills3[patient_id], A1966)</f>
        <v>0</v>
      </c>
    </row>
    <row r="1967" spans="1:9" x14ac:dyDescent="0.25">
      <c r="A1967" t="s">
        <v>3119</v>
      </c>
      <c r="B1967" t="s">
        <v>3120</v>
      </c>
      <c r="C1967" s="3">
        <v>45957</v>
      </c>
      <c r="D1967">
        <v>14</v>
      </c>
      <c r="E1967" s="3">
        <f t="shared" si="30"/>
        <v>45942</v>
      </c>
      <c r="F1967" s="3">
        <f>IF(TableRefills3[[#This Row],[prev_refill_days]]="","",TableRefills3[[#This Row],[prev_refill_days]]+TableRefills3[[#This Row],[quantity_days]])</f>
        <v>45956</v>
      </c>
      <c r="G1967">
        <f>IF(TableRefills3[[#This Row],[prev_refill_end]]="","",TableRefills3[[#This Row],[refill_date]]-TableRefills3[[#This Row],[prev_refill_end]])</f>
        <v>1</v>
      </c>
      <c r="H1967" s="10">
        <f>IF(TableRefills3[[#This Row],[gap_days]]="",0,IF(TableRefills3[[#This Row],[gap_days]]&gt;2,1,0))</f>
        <v>0</v>
      </c>
      <c r="I1967">
        <f>_xlfn.MAXIFS(TableRefills3[discountinuation_flag], TableRefills3[patient_id], A1967)</f>
        <v>0</v>
      </c>
    </row>
    <row r="1968" spans="1:9" x14ac:dyDescent="0.25">
      <c r="A1968" t="s">
        <v>3129</v>
      </c>
      <c r="B1968" t="s">
        <v>3130</v>
      </c>
      <c r="C1968" s="3">
        <v>45872</v>
      </c>
      <c r="D1968">
        <v>30</v>
      </c>
      <c r="E1968" s="3" t="str">
        <f t="shared" si="30"/>
        <v/>
      </c>
      <c r="F1968" s="3" t="str">
        <f>IF(TableRefills3[[#This Row],[prev_refill_days]]="","",TableRefills3[[#This Row],[prev_refill_days]]+TableRefills3[[#This Row],[quantity_days]])</f>
        <v/>
      </c>
      <c r="G1968" t="str">
        <f>IF(TableRefills3[[#This Row],[prev_refill_end]]="","",TableRefills3[[#This Row],[refill_date]]-TableRefills3[[#This Row],[prev_refill_end]])</f>
        <v/>
      </c>
      <c r="H1968" s="10">
        <f>IF(TableRefills3[[#This Row],[gap_days]]="",0,IF(TableRefills3[[#This Row],[gap_days]]&gt;2,1,0))</f>
        <v>0</v>
      </c>
      <c r="I1968">
        <f>_xlfn.MAXIFS(TableRefills3[discountinuation_flag], TableRefills3[patient_id], A1968)</f>
        <v>0</v>
      </c>
    </row>
    <row r="1969" spans="1:9" x14ac:dyDescent="0.25">
      <c r="A1969" t="s">
        <v>3129</v>
      </c>
      <c r="B1969" t="s">
        <v>3130</v>
      </c>
      <c r="C1969" s="3">
        <v>45904</v>
      </c>
      <c r="D1969">
        <v>30</v>
      </c>
      <c r="E1969" s="3">
        <f t="shared" si="30"/>
        <v>45872</v>
      </c>
      <c r="F1969" s="3">
        <f>IF(TableRefills3[[#This Row],[prev_refill_days]]="","",TableRefills3[[#This Row],[prev_refill_days]]+TableRefills3[[#This Row],[quantity_days]])</f>
        <v>45902</v>
      </c>
      <c r="G1969">
        <f>IF(TableRefills3[[#This Row],[prev_refill_end]]="","",TableRefills3[[#This Row],[refill_date]]-TableRefills3[[#This Row],[prev_refill_end]])</f>
        <v>2</v>
      </c>
      <c r="H1969" s="10">
        <f>IF(TableRefills3[[#This Row],[gap_days]]="",0,IF(TableRefills3[[#This Row],[gap_days]]&gt;2,1,0))</f>
        <v>0</v>
      </c>
      <c r="I1969">
        <f>_xlfn.MAXIFS(TableRefills3[discountinuation_flag], TableRefills3[patient_id], A1969)</f>
        <v>0</v>
      </c>
    </row>
    <row r="1970" spans="1:9" x14ac:dyDescent="0.25">
      <c r="A1970" t="s">
        <v>3129</v>
      </c>
      <c r="B1970" t="s">
        <v>3130</v>
      </c>
      <c r="C1970" s="3">
        <v>45933</v>
      </c>
      <c r="D1970">
        <v>30</v>
      </c>
      <c r="E1970" s="3">
        <f t="shared" si="30"/>
        <v>45904</v>
      </c>
      <c r="F1970" s="3">
        <f>IF(TableRefills3[[#This Row],[prev_refill_days]]="","",TableRefills3[[#This Row],[prev_refill_days]]+TableRefills3[[#This Row],[quantity_days]])</f>
        <v>45934</v>
      </c>
      <c r="G1970">
        <f>IF(TableRefills3[[#This Row],[prev_refill_end]]="","",TableRefills3[[#This Row],[refill_date]]-TableRefills3[[#This Row],[prev_refill_end]])</f>
        <v>-1</v>
      </c>
      <c r="H1970" s="10">
        <f>IF(TableRefills3[[#This Row],[gap_days]]="",0,IF(TableRefills3[[#This Row],[gap_days]]&gt;2,1,0))</f>
        <v>0</v>
      </c>
      <c r="I1970">
        <f>_xlfn.MAXIFS(TableRefills3[discountinuation_flag], TableRefills3[patient_id], A1970)</f>
        <v>0</v>
      </c>
    </row>
    <row r="1971" spans="1:9" x14ac:dyDescent="0.25">
      <c r="A1971" t="s">
        <v>3134</v>
      </c>
      <c r="B1971" t="s">
        <v>3135</v>
      </c>
      <c r="C1971" s="3">
        <v>45883</v>
      </c>
      <c r="D1971">
        <v>28</v>
      </c>
      <c r="E1971" s="3" t="str">
        <f t="shared" si="30"/>
        <v/>
      </c>
      <c r="F1971" s="3" t="str">
        <f>IF(TableRefills3[[#This Row],[prev_refill_days]]="","",TableRefills3[[#This Row],[prev_refill_days]]+TableRefills3[[#This Row],[quantity_days]])</f>
        <v/>
      </c>
      <c r="G1971" t="str">
        <f>IF(TableRefills3[[#This Row],[prev_refill_end]]="","",TableRefills3[[#This Row],[refill_date]]-TableRefills3[[#This Row],[prev_refill_end]])</f>
        <v/>
      </c>
      <c r="H1971" s="10">
        <f>IF(TableRefills3[[#This Row],[gap_days]]="",0,IF(TableRefills3[[#This Row],[gap_days]]&gt;2,1,0))</f>
        <v>0</v>
      </c>
      <c r="I1971">
        <f>_xlfn.MAXIFS(TableRefills3[discountinuation_flag], TableRefills3[patient_id], A1971)</f>
        <v>0</v>
      </c>
    </row>
    <row r="1972" spans="1:9" x14ac:dyDescent="0.25">
      <c r="A1972" t="s">
        <v>3134</v>
      </c>
      <c r="B1972" t="s">
        <v>3135</v>
      </c>
      <c r="C1972" s="3">
        <v>45911</v>
      </c>
      <c r="D1972">
        <v>28</v>
      </c>
      <c r="E1972" s="3">
        <f t="shared" si="30"/>
        <v>45883</v>
      </c>
      <c r="F1972" s="3">
        <f>IF(TableRefills3[[#This Row],[prev_refill_days]]="","",TableRefills3[[#This Row],[prev_refill_days]]+TableRefills3[[#This Row],[quantity_days]])</f>
        <v>45911</v>
      </c>
      <c r="G1972">
        <f>IF(TableRefills3[[#This Row],[prev_refill_end]]="","",TableRefills3[[#This Row],[refill_date]]-TableRefills3[[#This Row],[prev_refill_end]])</f>
        <v>0</v>
      </c>
      <c r="H1972" s="10">
        <f>IF(TableRefills3[[#This Row],[gap_days]]="",0,IF(TableRefills3[[#This Row],[gap_days]]&gt;2,1,0))</f>
        <v>0</v>
      </c>
      <c r="I1972">
        <f>_xlfn.MAXIFS(TableRefills3[discountinuation_flag], TableRefills3[patient_id], A1972)</f>
        <v>0</v>
      </c>
    </row>
    <row r="1973" spans="1:9" x14ac:dyDescent="0.25">
      <c r="A1973" t="s">
        <v>3138</v>
      </c>
      <c r="B1973" t="s">
        <v>3139</v>
      </c>
      <c r="C1973" s="3">
        <v>45922</v>
      </c>
      <c r="D1973">
        <v>21</v>
      </c>
      <c r="E1973" s="3" t="str">
        <f t="shared" si="30"/>
        <v/>
      </c>
      <c r="F1973" s="3" t="str">
        <f>IF(TableRefills3[[#This Row],[prev_refill_days]]="","",TableRefills3[[#This Row],[prev_refill_days]]+TableRefills3[[#This Row],[quantity_days]])</f>
        <v/>
      </c>
      <c r="G1973" t="str">
        <f>IF(TableRefills3[[#This Row],[prev_refill_end]]="","",TableRefills3[[#This Row],[refill_date]]-TableRefills3[[#This Row],[prev_refill_end]])</f>
        <v/>
      </c>
      <c r="H1973" s="10">
        <f>IF(TableRefills3[[#This Row],[gap_days]]="",0,IF(TableRefills3[[#This Row],[gap_days]]&gt;2,1,0))</f>
        <v>0</v>
      </c>
      <c r="I1973">
        <f>_xlfn.MAXIFS(TableRefills3[discountinuation_flag], TableRefills3[patient_id], A1973)</f>
        <v>0</v>
      </c>
    </row>
    <row r="1974" spans="1:9" x14ac:dyDescent="0.25">
      <c r="A1974" t="s">
        <v>3138</v>
      </c>
      <c r="B1974" t="s">
        <v>3139</v>
      </c>
      <c r="C1974" s="3">
        <v>45941</v>
      </c>
      <c r="D1974">
        <v>21</v>
      </c>
      <c r="E1974" s="3">
        <f t="shared" si="30"/>
        <v>45922</v>
      </c>
      <c r="F1974" s="3">
        <f>IF(TableRefills3[[#This Row],[prev_refill_days]]="","",TableRefills3[[#This Row],[prev_refill_days]]+TableRefills3[[#This Row],[quantity_days]])</f>
        <v>45943</v>
      </c>
      <c r="G1974">
        <f>IF(TableRefills3[[#This Row],[prev_refill_end]]="","",TableRefills3[[#This Row],[refill_date]]-TableRefills3[[#This Row],[prev_refill_end]])</f>
        <v>-2</v>
      </c>
      <c r="H1974" s="10">
        <f>IF(TableRefills3[[#This Row],[gap_days]]="",0,IF(TableRefills3[[#This Row],[gap_days]]&gt;2,1,0))</f>
        <v>0</v>
      </c>
      <c r="I1974">
        <f>_xlfn.MAXIFS(TableRefills3[discountinuation_flag], TableRefills3[patient_id], A1974)</f>
        <v>0</v>
      </c>
    </row>
    <row r="1975" spans="1:9" x14ac:dyDescent="0.25">
      <c r="A1975" t="s">
        <v>3142</v>
      </c>
      <c r="B1975" t="s">
        <v>3143</v>
      </c>
      <c r="C1975" s="3">
        <v>45815</v>
      </c>
      <c r="D1975">
        <v>30</v>
      </c>
      <c r="E1975" s="3" t="str">
        <f t="shared" si="30"/>
        <v/>
      </c>
      <c r="F1975" s="3" t="str">
        <f>IF(TableRefills3[[#This Row],[prev_refill_days]]="","",TableRefills3[[#This Row],[prev_refill_days]]+TableRefills3[[#This Row],[quantity_days]])</f>
        <v/>
      </c>
      <c r="G1975" t="str">
        <f>IF(TableRefills3[[#This Row],[prev_refill_end]]="","",TableRefills3[[#This Row],[refill_date]]-TableRefills3[[#This Row],[prev_refill_end]])</f>
        <v/>
      </c>
      <c r="H1975" s="10">
        <f>IF(TableRefills3[[#This Row],[gap_days]]="",0,IF(TableRefills3[[#This Row],[gap_days]]&gt;2,1,0))</f>
        <v>0</v>
      </c>
      <c r="I1975">
        <f>_xlfn.MAXIFS(TableRefills3[discountinuation_flag], TableRefills3[patient_id], A1975)</f>
        <v>0</v>
      </c>
    </row>
    <row r="1976" spans="1:9" x14ac:dyDescent="0.25">
      <c r="A1976" t="s">
        <v>3145</v>
      </c>
      <c r="B1976" t="s">
        <v>3146</v>
      </c>
      <c r="C1976" s="3">
        <v>45844</v>
      </c>
      <c r="D1976">
        <v>28</v>
      </c>
      <c r="E1976" s="3" t="str">
        <f t="shared" si="30"/>
        <v/>
      </c>
      <c r="F1976" s="3" t="str">
        <f>IF(TableRefills3[[#This Row],[prev_refill_days]]="","",TableRefills3[[#This Row],[prev_refill_days]]+TableRefills3[[#This Row],[quantity_days]])</f>
        <v/>
      </c>
      <c r="G1976" t="str">
        <f>IF(TableRefills3[[#This Row],[prev_refill_end]]="","",TableRefills3[[#This Row],[refill_date]]-TableRefills3[[#This Row],[prev_refill_end]])</f>
        <v/>
      </c>
      <c r="H1976" s="10">
        <f>IF(TableRefills3[[#This Row],[gap_days]]="",0,IF(TableRefills3[[#This Row],[gap_days]]&gt;2,1,0))</f>
        <v>0</v>
      </c>
      <c r="I1976">
        <f>_xlfn.MAXIFS(TableRefills3[discountinuation_flag], TableRefills3[patient_id], A1976)</f>
        <v>0</v>
      </c>
    </row>
    <row r="1977" spans="1:9" x14ac:dyDescent="0.25">
      <c r="A1977" t="s">
        <v>3145</v>
      </c>
      <c r="B1977" t="s">
        <v>3146</v>
      </c>
      <c r="C1977" s="3">
        <v>45871</v>
      </c>
      <c r="D1977">
        <v>28</v>
      </c>
      <c r="E1977" s="3">
        <f t="shared" si="30"/>
        <v>45844</v>
      </c>
      <c r="F1977" s="3">
        <f>IF(TableRefills3[[#This Row],[prev_refill_days]]="","",TableRefills3[[#This Row],[prev_refill_days]]+TableRefills3[[#This Row],[quantity_days]])</f>
        <v>45872</v>
      </c>
      <c r="G1977">
        <f>IF(TableRefills3[[#This Row],[prev_refill_end]]="","",TableRefills3[[#This Row],[refill_date]]-TableRefills3[[#This Row],[prev_refill_end]])</f>
        <v>-1</v>
      </c>
      <c r="H1977" s="10">
        <f>IF(TableRefills3[[#This Row],[gap_days]]="",0,IF(TableRefills3[[#This Row],[gap_days]]&gt;2,1,0))</f>
        <v>0</v>
      </c>
      <c r="I1977">
        <f>_xlfn.MAXIFS(TableRefills3[discountinuation_flag], TableRefills3[patient_id], A1977)</f>
        <v>0</v>
      </c>
    </row>
    <row r="1978" spans="1:9" x14ac:dyDescent="0.25">
      <c r="A1978" t="s">
        <v>3145</v>
      </c>
      <c r="B1978" t="s">
        <v>3146</v>
      </c>
      <c r="C1978" s="3">
        <v>45899</v>
      </c>
      <c r="D1978">
        <v>28</v>
      </c>
      <c r="E1978" s="3">
        <f t="shared" si="30"/>
        <v>45871</v>
      </c>
      <c r="F1978" s="3">
        <f>IF(TableRefills3[[#This Row],[prev_refill_days]]="","",TableRefills3[[#This Row],[prev_refill_days]]+TableRefills3[[#This Row],[quantity_days]])</f>
        <v>45899</v>
      </c>
      <c r="G1978">
        <f>IF(TableRefills3[[#This Row],[prev_refill_end]]="","",TableRefills3[[#This Row],[refill_date]]-TableRefills3[[#This Row],[prev_refill_end]])</f>
        <v>0</v>
      </c>
      <c r="H1978" s="10">
        <f>IF(TableRefills3[[#This Row],[gap_days]]="",0,IF(TableRefills3[[#This Row],[gap_days]]&gt;2,1,0))</f>
        <v>0</v>
      </c>
      <c r="I1978">
        <f>_xlfn.MAXIFS(TableRefills3[discountinuation_flag], TableRefills3[patient_id], A1978)</f>
        <v>0</v>
      </c>
    </row>
    <row r="1979" spans="1:9" x14ac:dyDescent="0.25">
      <c r="A1979" t="s">
        <v>3145</v>
      </c>
      <c r="B1979" t="s">
        <v>3146</v>
      </c>
      <c r="C1979" s="3">
        <v>45929</v>
      </c>
      <c r="D1979">
        <v>28</v>
      </c>
      <c r="E1979" s="3">
        <f t="shared" si="30"/>
        <v>45899</v>
      </c>
      <c r="F1979" s="3">
        <f>IF(TableRefills3[[#This Row],[prev_refill_days]]="","",TableRefills3[[#This Row],[prev_refill_days]]+TableRefills3[[#This Row],[quantity_days]])</f>
        <v>45927</v>
      </c>
      <c r="G1979">
        <f>IF(TableRefills3[[#This Row],[prev_refill_end]]="","",TableRefills3[[#This Row],[refill_date]]-TableRefills3[[#This Row],[prev_refill_end]])</f>
        <v>2</v>
      </c>
      <c r="H1979" s="10">
        <f>IF(TableRefills3[[#This Row],[gap_days]]="",0,IF(TableRefills3[[#This Row],[gap_days]]&gt;2,1,0))</f>
        <v>0</v>
      </c>
      <c r="I1979">
        <f>_xlfn.MAXIFS(TableRefills3[discountinuation_flag], TableRefills3[patient_id], A1979)</f>
        <v>0</v>
      </c>
    </row>
    <row r="1980" spans="1:9" x14ac:dyDescent="0.25">
      <c r="A1980" t="s">
        <v>3145</v>
      </c>
      <c r="B1980" t="s">
        <v>3146</v>
      </c>
      <c r="C1980" s="3">
        <v>45955</v>
      </c>
      <c r="D1980">
        <v>28</v>
      </c>
      <c r="E1980" s="3">
        <f t="shared" si="30"/>
        <v>45929</v>
      </c>
      <c r="F1980" s="3">
        <f>IF(TableRefills3[[#This Row],[prev_refill_days]]="","",TableRefills3[[#This Row],[prev_refill_days]]+TableRefills3[[#This Row],[quantity_days]])</f>
        <v>45957</v>
      </c>
      <c r="G1980">
        <f>IF(TableRefills3[[#This Row],[prev_refill_end]]="","",TableRefills3[[#This Row],[refill_date]]-TableRefills3[[#This Row],[prev_refill_end]])</f>
        <v>-2</v>
      </c>
      <c r="H1980" s="10">
        <f>IF(TableRefills3[[#This Row],[gap_days]]="",0,IF(TableRefills3[[#This Row],[gap_days]]&gt;2,1,0))</f>
        <v>0</v>
      </c>
      <c r="I1980">
        <f>_xlfn.MAXIFS(TableRefills3[discountinuation_flag], TableRefills3[patient_id], A1980)</f>
        <v>0</v>
      </c>
    </row>
    <row r="1981" spans="1:9" x14ac:dyDescent="0.25">
      <c r="A1981" t="s">
        <v>3152</v>
      </c>
      <c r="B1981" t="s">
        <v>3153</v>
      </c>
      <c r="C1981" s="3">
        <v>45927</v>
      </c>
      <c r="D1981">
        <v>56</v>
      </c>
      <c r="E1981" s="3" t="str">
        <f t="shared" si="30"/>
        <v/>
      </c>
      <c r="F1981" s="3" t="str">
        <f>IF(TableRefills3[[#This Row],[prev_refill_days]]="","",TableRefills3[[#This Row],[prev_refill_days]]+TableRefills3[[#This Row],[quantity_days]])</f>
        <v/>
      </c>
      <c r="G1981" t="str">
        <f>IF(TableRefills3[[#This Row],[prev_refill_end]]="","",TableRefills3[[#This Row],[refill_date]]-TableRefills3[[#This Row],[prev_refill_end]])</f>
        <v/>
      </c>
      <c r="H1981" s="10">
        <f>IF(TableRefills3[[#This Row],[gap_days]]="",0,IF(TableRefills3[[#This Row],[gap_days]]&gt;2,1,0))</f>
        <v>0</v>
      </c>
      <c r="I1981">
        <f>_xlfn.MAXIFS(TableRefills3[discountinuation_flag], TableRefills3[patient_id], A1981)</f>
        <v>0</v>
      </c>
    </row>
    <row r="1982" spans="1:9" x14ac:dyDescent="0.25">
      <c r="A1982" t="s">
        <v>3155</v>
      </c>
      <c r="B1982" t="s">
        <v>3156</v>
      </c>
      <c r="C1982" s="3">
        <v>45884</v>
      </c>
      <c r="D1982">
        <v>30</v>
      </c>
      <c r="E1982" s="3" t="str">
        <f t="shared" si="30"/>
        <v/>
      </c>
      <c r="F1982" s="3" t="str">
        <f>IF(TableRefills3[[#This Row],[prev_refill_days]]="","",TableRefills3[[#This Row],[prev_refill_days]]+TableRefills3[[#This Row],[quantity_days]])</f>
        <v/>
      </c>
      <c r="G1982" t="str">
        <f>IF(TableRefills3[[#This Row],[prev_refill_end]]="","",TableRefills3[[#This Row],[refill_date]]-TableRefills3[[#This Row],[prev_refill_end]])</f>
        <v/>
      </c>
      <c r="H1982" s="10">
        <f>IF(TableRefills3[[#This Row],[gap_days]]="",0,IF(TableRefills3[[#This Row],[gap_days]]&gt;2,1,0))</f>
        <v>0</v>
      </c>
      <c r="I1982">
        <f>_xlfn.MAXIFS(TableRefills3[discountinuation_flag], TableRefills3[patient_id], A1982)</f>
        <v>0</v>
      </c>
    </row>
    <row r="1983" spans="1:9" x14ac:dyDescent="0.25">
      <c r="A1983" t="s">
        <v>3155</v>
      </c>
      <c r="B1983" t="s">
        <v>3156</v>
      </c>
      <c r="C1983" s="3">
        <v>45914</v>
      </c>
      <c r="D1983">
        <v>30</v>
      </c>
      <c r="E1983" s="3">
        <f t="shared" si="30"/>
        <v>45884</v>
      </c>
      <c r="F1983" s="3">
        <f>IF(TableRefills3[[#This Row],[prev_refill_days]]="","",TableRefills3[[#This Row],[prev_refill_days]]+TableRefills3[[#This Row],[quantity_days]])</f>
        <v>45914</v>
      </c>
      <c r="G1983">
        <f>IF(TableRefills3[[#This Row],[prev_refill_end]]="","",TableRefills3[[#This Row],[refill_date]]-TableRefills3[[#This Row],[prev_refill_end]])</f>
        <v>0</v>
      </c>
      <c r="H1983" s="10">
        <f>IF(TableRefills3[[#This Row],[gap_days]]="",0,IF(TableRefills3[[#This Row],[gap_days]]&gt;2,1,0))</f>
        <v>0</v>
      </c>
      <c r="I1983">
        <f>_xlfn.MAXIFS(TableRefills3[discountinuation_flag], TableRefills3[patient_id], A1983)</f>
        <v>0</v>
      </c>
    </row>
    <row r="1984" spans="1:9" x14ac:dyDescent="0.25">
      <c r="A1984" t="s">
        <v>3155</v>
      </c>
      <c r="B1984" t="s">
        <v>3156</v>
      </c>
      <c r="C1984" s="3">
        <v>45945</v>
      </c>
      <c r="D1984">
        <v>30</v>
      </c>
      <c r="E1984" s="3">
        <f t="shared" si="30"/>
        <v>45914</v>
      </c>
      <c r="F1984" s="3">
        <f>IF(TableRefills3[[#This Row],[prev_refill_days]]="","",TableRefills3[[#This Row],[prev_refill_days]]+TableRefills3[[#This Row],[quantity_days]])</f>
        <v>45944</v>
      </c>
      <c r="G1984">
        <f>IF(TableRefills3[[#This Row],[prev_refill_end]]="","",TableRefills3[[#This Row],[refill_date]]-TableRefills3[[#This Row],[prev_refill_end]])</f>
        <v>1</v>
      </c>
      <c r="H1984" s="10">
        <f>IF(TableRefills3[[#This Row],[gap_days]]="",0,IF(TableRefills3[[#This Row],[gap_days]]&gt;2,1,0))</f>
        <v>0</v>
      </c>
      <c r="I1984">
        <f>_xlfn.MAXIFS(TableRefills3[discountinuation_flag], TableRefills3[patient_id], A1984)</f>
        <v>0</v>
      </c>
    </row>
    <row r="1985" spans="1:9" x14ac:dyDescent="0.25">
      <c r="A1985" t="s">
        <v>3160</v>
      </c>
      <c r="B1985" t="s">
        <v>3161</v>
      </c>
      <c r="C1985" s="3">
        <v>45817</v>
      </c>
      <c r="D1985">
        <v>28</v>
      </c>
      <c r="E1985" s="3" t="str">
        <f t="shared" si="30"/>
        <v/>
      </c>
      <c r="F1985" s="3" t="str">
        <f>IF(TableRefills3[[#This Row],[prev_refill_days]]="","",TableRefills3[[#This Row],[prev_refill_days]]+TableRefills3[[#This Row],[quantity_days]])</f>
        <v/>
      </c>
      <c r="G1985" t="str">
        <f>IF(TableRefills3[[#This Row],[prev_refill_end]]="","",TableRefills3[[#This Row],[refill_date]]-TableRefills3[[#This Row],[prev_refill_end]])</f>
        <v/>
      </c>
      <c r="H1985" s="10">
        <f>IF(TableRefills3[[#This Row],[gap_days]]="",0,IF(TableRefills3[[#This Row],[gap_days]]&gt;2,1,0))</f>
        <v>0</v>
      </c>
      <c r="I1985">
        <f>_xlfn.MAXIFS(TableRefills3[discountinuation_flag], TableRefills3[patient_id], A1985)</f>
        <v>1</v>
      </c>
    </row>
    <row r="1986" spans="1:9" x14ac:dyDescent="0.25">
      <c r="A1986" t="s">
        <v>3160</v>
      </c>
      <c r="B1986" t="s">
        <v>3161</v>
      </c>
      <c r="C1986" s="3">
        <v>45848</v>
      </c>
      <c r="D1986">
        <v>28</v>
      </c>
      <c r="E1986" s="3">
        <f t="shared" ref="E1986:E2049" si="31">IF(A1985=A1986,C1985,"")</f>
        <v>45817</v>
      </c>
      <c r="F1986" s="3">
        <f>IF(TableRefills3[[#This Row],[prev_refill_days]]="","",TableRefills3[[#This Row],[prev_refill_days]]+TableRefills3[[#This Row],[quantity_days]])</f>
        <v>45845</v>
      </c>
      <c r="G1986">
        <f>IF(TableRefills3[[#This Row],[prev_refill_end]]="","",TableRefills3[[#This Row],[refill_date]]-TableRefills3[[#This Row],[prev_refill_end]])</f>
        <v>3</v>
      </c>
      <c r="H1986" s="10">
        <f>IF(TableRefills3[[#This Row],[gap_days]]="",0,IF(TableRefills3[[#This Row],[gap_days]]&gt;2,1,0))</f>
        <v>1</v>
      </c>
      <c r="I1986">
        <f>_xlfn.MAXIFS(TableRefills3[discountinuation_flag], TableRefills3[patient_id], A1986)</f>
        <v>1</v>
      </c>
    </row>
    <row r="1987" spans="1:9" x14ac:dyDescent="0.25">
      <c r="A1987" t="s">
        <v>3160</v>
      </c>
      <c r="B1987" t="s">
        <v>3161</v>
      </c>
      <c r="C1987" s="3">
        <v>45874</v>
      </c>
      <c r="D1987">
        <v>28</v>
      </c>
      <c r="E1987" s="3">
        <f t="shared" si="31"/>
        <v>45848</v>
      </c>
      <c r="F1987" s="3">
        <f>IF(TableRefills3[[#This Row],[prev_refill_days]]="","",TableRefills3[[#This Row],[prev_refill_days]]+TableRefills3[[#This Row],[quantity_days]])</f>
        <v>45876</v>
      </c>
      <c r="G1987">
        <f>IF(TableRefills3[[#This Row],[prev_refill_end]]="","",TableRefills3[[#This Row],[refill_date]]-TableRefills3[[#This Row],[prev_refill_end]])</f>
        <v>-2</v>
      </c>
      <c r="H1987" s="10">
        <f>IF(TableRefills3[[#This Row],[gap_days]]="",0,IF(TableRefills3[[#This Row],[gap_days]]&gt;2,1,0))</f>
        <v>0</v>
      </c>
      <c r="I1987">
        <f>_xlfn.MAXIFS(TableRefills3[discountinuation_flag], TableRefills3[patient_id], A1987)</f>
        <v>1</v>
      </c>
    </row>
    <row r="1988" spans="1:9" x14ac:dyDescent="0.25">
      <c r="A1988" t="s">
        <v>3160</v>
      </c>
      <c r="B1988" t="s">
        <v>3161</v>
      </c>
      <c r="C1988" s="3">
        <v>45902</v>
      </c>
      <c r="D1988">
        <v>28</v>
      </c>
      <c r="E1988" s="3">
        <f t="shared" si="31"/>
        <v>45874</v>
      </c>
      <c r="F1988" s="3">
        <f>IF(TableRefills3[[#This Row],[prev_refill_days]]="","",TableRefills3[[#This Row],[prev_refill_days]]+TableRefills3[[#This Row],[quantity_days]])</f>
        <v>45902</v>
      </c>
      <c r="G1988">
        <f>IF(TableRefills3[[#This Row],[prev_refill_end]]="","",TableRefills3[[#This Row],[refill_date]]-TableRefills3[[#This Row],[prev_refill_end]])</f>
        <v>0</v>
      </c>
      <c r="H1988" s="10">
        <f>IF(TableRefills3[[#This Row],[gap_days]]="",0,IF(TableRefills3[[#This Row],[gap_days]]&gt;2,1,0))</f>
        <v>0</v>
      </c>
      <c r="I1988">
        <f>_xlfn.MAXIFS(TableRefills3[discountinuation_flag], TableRefills3[patient_id], A1988)</f>
        <v>1</v>
      </c>
    </row>
    <row r="1989" spans="1:9" x14ac:dyDescent="0.25">
      <c r="A1989" t="s">
        <v>3160</v>
      </c>
      <c r="B1989" t="s">
        <v>3161</v>
      </c>
      <c r="C1989" s="3">
        <v>45927</v>
      </c>
      <c r="D1989">
        <v>28</v>
      </c>
      <c r="E1989" s="3">
        <f t="shared" si="31"/>
        <v>45902</v>
      </c>
      <c r="F1989" s="3">
        <f>IF(TableRefills3[[#This Row],[prev_refill_days]]="","",TableRefills3[[#This Row],[prev_refill_days]]+TableRefills3[[#This Row],[quantity_days]])</f>
        <v>45930</v>
      </c>
      <c r="G1989">
        <f>IF(TableRefills3[[#This Row],[prev_refill_end]]="","",TableRefills3[[#This Row],[refill_date]]-TableRefills3[[#This Row],[prev_refill_end]])</f>
        <v>-3</v>
      </c>
      <c r="H1989" s="10">
        <f>IF(TableRefills3[[#This Row],[gap_days]]="",0,IF(TableRefills3[[#This Row],[gap_days]]&gt;2,1,0))</f>
        <v>0</v>
      </c>
      <c r="I1989">
        <f>_xlfn.MAXIFS(TableRefills3[discountinuation_flag], TableRefills3[patient_id], A1989)</f>
        <v>1</v>
      </c>
    </row>
    <row r="1990" spans="1:9" x14ac:dyDescent="0.25">
      <c r="A1990" t="s">
        <v>3160</v>
      </c>
      <c r="B1990" t="s">
        <v>3161</v>
      </c>
      <c r="C1990" s="3">
        <v>45957</v>
      </c>
      <c r="D1990">
        <v>28</v>
      </c>
      <c r="E1990" s="3">
        <f t="shared" si="31"/>
        <v>45927</v>
      </c>
      <c r="F1990" s="3">
        <f>IF(TableRefills3[[#This Row],[prev_refill_days]]="","",TableRefills3[[#This Row],[prev_refill_days]]+TableRefills3[[#This Row],[quantity_days]])</f>
        <v>45955</v>
      </c>
      <c r="G1990">
        <f>IF(TableRefills3[[#This Row],[prev_refill_end]]="","",TableRefills3[[#This Row],[refill_date]]-TableRefills3[[#This Row],[prev_refill_end]])</f>
        <v>2</v>
      </c>
      <c r="H1990" s="10">
        <f>IF(TableRefills3[[#This Row],[gap_days]]="",0,IF(TableRefills3[[#This Row],[gap_days]]&gt;2,1,0))</f>
        <v>0</v>
      </c>
      <c r="I1990">
        <f>_xlfn.MAXIFS(TableRefills3[discountinuation_flag], TableRefills3[patient_id], A1990)</f>
        <v>1</v>
      </c>
    </row>
    <row r="1991" spans="1:9" x14ac:dyDescent="0.25">
      <c r="A1991" t="s">
        <v>3168</v>
      </c>
      <c r="B1991" t="s">
        <v>3169</v>
      </c>
      <c r="C1991" s="3">
        <v>45862</v>
      </c>
      <c r="D1991">
        <v>28</v>
      </c>
      <c r="E1991" s="3" t="str">
        <f t="shared" si="31"/>
        <v/>
      </c>
      <c r="F1991" s="3" t="str">
        <f>IF(TableRefills3[[#This Row],[prev_refill_days]]="","",TableRefills3[[#This Row],[prev_refill_days]]+TableRefills3[[#This Row],[quantity_days]])</f>
        <v/>
      </c>
      <c r="G1991" t="str">
        <f>IF(TableRefills3[[#This Row],[prev_refill_end]]="","",TableRefills3[[#This Row],[refill_date]]-TableRefills3[[#This Row],[prev_refill_end]])</f>
        <v/>
      </c>
      <c r="H1991" s="10">
        <f>IF(TableRefills3[[#This Row],[gap_days]]="",0,IF(TableRefills3[[#This Row],[gap_days]]&gt;2,1,0))</f>
        <v>0</v>
      </c>
      <c r="I1991">
        <f>_xlfn.MAXIFS(TableRefills3[discountinuation_flag], TableRefills3[patient_id], A1991)</f>
        <v>0</v>
      </c>
    </row>
    <row r="1992" spans="1:9" x14ac:dyDescent="0.25">
      <c r="A1992" t="s">
        <v>3168</v>
      </c>
      <c r="B1992" t="s">
        <v>3169</v>
      </c>
      <c r="C1992" s="3">
        <v>45889</v>
      </c>
      <c r="D1992">
        <v>28</v>
      </c>
      <c r="E1992" s="3">
        <f t="shared" si="31"/>
        <v>45862</v>
      </c>
      <c r="F1992" s="3">
        <f>IF(TableRefills3[[#This Row],[prev_refill_days]]="","",TableRefills3[[#This Row],[prev_refill_days]]+TableRefills3[[#This Row],[quantity_days]])</f>
        <v>45890</v>
      </c>
      <c r="G1992">
        <f>IF(TableRefills3[[#This Row],[prev_refill_end]]="","",TableRefills3[[#This Row],[refill_date]]-TableRefills3[[#This Row],[prev_refill_end]])</f>
        <v>-1</v>
      </c>
      <c r="H1992" s="10">
        <f>IF(TableRefills3[[#This Row],[gap_days]]="",0,IF(TableRefills3[[#This Row],[gap_days]]&gt;2,1,0))</f>
        <v>0</v>
      </c>
      <c r="I1992">
        <f>_xlfn.MAXIFS(TableRefills3[discountinuation_flag], TableRefills3[patient_id], A1992)</f>
        <v>0</v>
      </c>
    </row>
    <row r="1993" spans="1:9" x14ac:dyDescent="0.25">
      <c r="A1993" t="s">
        <v>3168</v>
      </c>
      <c r="B1993" t="s">
        <v>3169</v>
      </c>
      <c r="C1993" s="3">
        <v>45918</v>
      </c>
      <c r="D1993">
        <v>28</v>
      </c>
      <c r="E1993" s="3">
        <f t="shared" si="31"/>
        <v>45889</v>
      </c>
      <c r="F1993" s="3">
        <f>IF(TableRefills3[[#This Row],[prev_refill_days]]="","",TableRefills3[[#This Row],[prev_refill_days]]+TableRefills3[[#This Row],[quantity_days]])</f>
        <v>45917</v>
      </c>
      <c r="G1993">
        <f>IF(TableRefills3[[#This Row],[prev_refill_end]]="","",TableRefills3[[#This Row],[refill_date]]-TableRefills3[[#This Row],[prev_refill_end]])</f>
        <v>1</v>
      </c>
      <c r="H1993" s="10">
        <f>IF(TableRefills3[[#This Row],[gap_days]]="",0,IF(TableRefills3[[#This Row],[gap_days]]&gt;2,1,0))</f>
        <v>0</v>
      </c>
      <c r="I1993">
        <f>_xlfn.MAXIFS(TableRefills3[discountinuation_flag], TableRefills3[patient_id], A1993)</f>
        <v>0</v>
      </c>
    </row>
    <row r="1994" spans="1:9" x14ac:dyDescent="0.25">
      <c r="A1994" t="s">
        <v>3168</v>
      </c>
      <c r="B1994" t="s">
        <v>3169</v>
      </c>
      <c r="C1994" s="3">
        <v>45948</v>
      </c>
      <c r="D1994">
        <v>28</v>
      </c>
      <c r="E1994" s="3">
        <f t="shared" si="31"/>
        <v>45918</v>
      </c>
      <c r="F1994" s="3">
        <f>IF(TableRefills3[[#This Row],[prev_refill_days]]="","",TableRefills3[[#This Row],[prev_refill_days]]+TableRefills3[[#This Row],[quantity_days]])</f>
        <v>45946</v>
      </c>
      <c r="G1994">
        <f>IF(TableRefills3[[#This Row],[prev_refill_end]]="","",TableRefills3[[#This Row],[refill_date]]-TableRefills3[[#This Row],[prev_refill_end]])</f>
        <v>2</v>
      </c>
      <c r="H1994" s="10">
        <f>IF(TableRefills3[[#This Row],[gap_days]]="",0,IF(TableRefills3[[#This Row],[gap_days]]&gt;2,1,0))</f>
        <v>0</v>
      </c>
      <c r="I1994">
        <f>_xlfn.MAXIFS(TableRefills3[discountinuation_flag], TableRefills3[patient_id], A1994)</f>
        <v>0</v>
      </c>
    </row>
    <row r="1995" spans="1:9" x14ac:dyDescent="0.25">
      <c r="A1995" t="s">
        <v>3174</v>
      </c>
      <c r="B1995" t="s">
        <v>3175</v>
      </c>
      <c r="C1995" s="3">
        <v>45875</v>
      </c>
      <c r="D1995">
        <v>30</v>
      </c>
      <c r="E1995" s="3" t="str">
        <f t="shared" si="31"/>
        <v/>
      </c>
      <c r="F1995" s="3" t="str">
        <f>IF(TableRefills3[[#This Row],[prev_refill_days]]="","",TableRefills3[[#This Row],[prev_refill_days]]+TableRefills3[[#This Row],[quantity_days]])</f>
        <v/>
      </c>
      <c r="G1995" t="str">
        <f>IF(TableRefills3[[#This Row],[prev_refill_end]]="","",TableRefills3[[#This Row],[refill_date]]-TableRefills3[[#This Row],[prev_refill_end]])</f>
        <v/>
      </c>
      <c r="H1995" s="10">
        <f>IF(TableRefills3[[#This Row],[gap_days]]="",0,IF(TableRefills3[[#This Row],[gap_days]]&gt;2,1,0))</f>
        <v>0</v>
      </c>
      <c r="I1995">
        <f>_xlfn.MAXIFS(TableRefills3[discountinuation_flag], TableRefills3[patient_id], A1995)</f>
        <v>0</v>
      </c>
    </row>
    <row r="1996" spans="1:9" x14ac:dyDescent="0.25">
      <c r="A1996" t="s">
        <v>3174</v>
      </c>
      <c r="B1996" t="s">
        <v>3175</v>
      </c>
      <c r="C1996" s="3">
        <v>45906</v>
      </c>
      <c r="D1996">
        <v>30</v>
      </c>
      <c r="E1996" s="3">
        <f t="shared" si="31"/>
        <v>45875</v>
      </c>
      <c r="F1996" s="3">
        <f>IF(TableRefills3[[#This Row],[prev_refill_days]]="","",TableRefills3[[#This Row],[prev_refill_days]]+TableRefills3[[#This Row],[quantity_days]])</f>
        <v>45905</v>
      </c>
      <c r="G1996">
        <f>IF(TableRefills3[[#This Row],[prev_refill_end]]="","",TableRefills3[[#This Row],[refill_date]]-TableRefills3[[#This Row],[prev_refill_end]])</f>
        <v>1</v>
      </c>
      <c r="H1996" s="10">
        <f>IF(TableRefills3[[#This Row],[gap_days]]="",0,IF(TableRefills3[[#This Row],[gap_days]]&gt;2,1,0))</f>
        <v>0</v>
      </c>
      <c r="I1996">
        <f>_xlfn.MAXIFS(TableRefills3[discountinuation_flag], TableRefills3[patient_id], A1996)</f>
        <v>0</v>
      </c>
    </row>
    <row r="1997" spans="1:9" x14ac:dyDescent="0.25">
      <c r="A1997" t="s">
        <v>3174</v>
      </c>
      <c r="B1997" t="s">
        <v>3175</v>
      </c>
      <c r="C1997" s="3">
        <v>45938</v>
      </c>
      <c r="D1997">
        <v>30</v>
      </c>
      <c r="E1997" s="3">
        <f t="shared" si="31"/>
        <v>45906</v>
      </c>
      <c r="F1997" s="3">
        <f>IF(TableRefills3[[#This Row],[prev_refill_days]]="","",TableRefills3[[#This Row],[prev_refill_days]]+TableRefills3[[#This Row],[quantity_days]])</f>
        <v>45936</v>
      </c>
      <c r="G1997">
        <f>IF(TableRefills3[[#This Row],[prev_refill_end]]="","",TableRefills3[[#This Row],[refill_date]]-TableRefills3[[#This Row],[prev_refill_end]])</f>
        <v>2</v>
      </c>
      <c r="H1997" s="10">
        <f>IF(TableRefills3[[#This Row],[gap_days]]="",0,IF(TableRefills3[[#This Row],[gap_days]]&gt;2,1,0))</f>
        <v>0</v>
      </c>
      <c r="I1997">
        <f>_xlfn.MAXIFS(TableRefills3[discountinuation_flag], TableRefills3[patient_id], A1997)</f>
        <v>0</v>
      </c>
    </row>
    <row r="1998" spans="1:9" x14ac:dyDescent="0.25">
      <c r="A1998" t="s">
        <v>3179</v>
      </c>
      <c r="B1998" t="s">
        <v>3180</v>
      </c>
      <c r="C1998" s="3">
        <v>45840</v>
      </c>
      <c r="D1998">
        <v>56</v>
      </c>
      <c r="E1998" s="3" t="str">
        <f t="shared" si="31"/>
        <v/>
      </c>
      <c r="F1998" s="3" t="str">
        <f>IF(TableRefills3[[#This Row],[prev_refill_days]]="","",TableRefills3[[#This Row],[prev_refill_days]]+TableRefills3[[#This Row],[quantity_days]])</f>
        <v/>
      </c>
      <c r="G1998" t="str">
        <f>IF(TableRefills3[[#This Row],[prev_refill_end]]="","",TableRefills3[[#This Row],[refill_date]]-TableRefills3[[#This Row],[prev_refill_end]])</f>
        <v/>
      </c>
      <c r="H1998" s="10">
        <f>IF(TableRefills3[[#This Row],[gap_days]]="",0,IF(TableRefills3[[#This Row],[gap_days]]&gt;2,1,0))</f>
        <v>0</v>
      </c>
      <c r="I1998">
        <f>_xlfn.MAXIFS(TableRefills3[discountinuation_flag], TableRefills3[patient_id], A1998)</f>
        <v>0</v>
      </c>
    </row>
    <row r="1999" spans="1:9" x14ac:dyDescent="0.25">
      <c r="A1999" t="s">
        <v>3182</v>
      </c>
      <c r="B1999" t="s">
        <v>3183</v>
      </c>
      <c r="C1999" s="3">
        <v>45918</v>
      </c>
      <c r="D1999">
        <v>14</v>
      </c>
      <c r="E1999" s="3" t="str">
        <f t="shared" si="31"/>
        <v/>
      </c>
      <c r="F1999" s="3" t="str">
        <f>IF(TableRefills3[[#This Row],[prev_refill_days]]="","",TableRefills3[[#This Row],[prev_refill_days]]+TableRefills3[[#This Row],[quantity_days]])</f>
        <v/>
      </c>
      <c r="G1999" t="str">
        <f>IF(TableRefills3[[#This Row],[prev_refill_end]]="","",TableRefills3[[#This Row],[refill_date]]-TableRefills3[[#This Row],[prev_refill_end]])</f>
        <v/>
      </c>
      <c r="H1999" s="10">
        <f>IF(TableRefills3[[#This Row],[gap_days]]="",0,IF(TableRefills3[[#This Row],[gap_days]]&gt;2,1,0))</f>
        <v>0</v>
      </c>
      <c r="I1999">
        <f>_xlfn.MAXIFS(TableRefills3[discountinuation_flag], TableRefills3[patient_id], A1999)</f>
        <v>1</v>
      </c>
    </row>
    <row r="2000" spans="1:9" x14ac:dyDescent="0.25">
      <c r="A2000" t="s">
        <v>3182</v>
      </c>
      <c r="B2000" t="s">
        <v>3183</v>
      </c>
      <c r="C2000" s="3">
        <v>45935</v>
      </c>
      <c r="D2000">
        <v>14</v>
      </c>
      <c r="E2000" s="3">
        <f t="shared" si="31"/>
        <v>45918</v>
      </c>
      <c r="F2000" s="3">
        <f>IF(TableRefills3[[#This Row],[prev_refill_days]]="","",TableRefills3[[#This Row],[prev_refill_days]]+TableRefills3[[#This Row],[quantity_days]])</f>
        <v>45932</v>
      </c>
      <c r="G2000">
        <f>IF(TableRefills3[[#This Row],[prev_refill_end]]="","",TableRefills3[[#This Row],[refill_date]]-TableRefills3[[#This Row],[prev_refill_end]])</f>
        <v>3</v>
      </c>
      <c r="H2000" s="10">
        <f>IF(TableRefills3[[#This Row],[gap_days]]="",0,IF(TableRefills3[[#This Row],[gap_days]]&gt;2,1,0))</f>
        <v>1</v>
      </c>
      <c r="I2000">
        <f>_xlfn.MAXIFS(TableRefills3[discountinuation_flag], TableRefills3[patient_id], A2000)</f>
        <v>1</v>
      </c>
    </row>
    <row r="2001" spans="1:9" x14ac:dyDescent="0.25">
      <c r="A2001" t="s">
        <v>3186</v>
      </c>
      <c r="B2001" t="s">
        <v>3187</v>
      </c>
      <c r="C2001" s="3">
        <v>45953</v>
      </c>
      <c r="D2001">
        <v>28</v>
      </c>
      <c r="E2001" s="3" t="str">
        <f t="shared" si="31"/>
        <v/>
      </c>
      <c r="F2001" s="3" t="str">
        <f>IF(TableRefills3[[#This Row],[prev_refill_days]]="","",TableRefills3[[#This Row],[prev_refill_days]]+TableRefills3[[#This Row],[quantity_days]])</f>
        <v/>
      </c>
      <c r="G2001" t="str">
        <f>IF(TableRefills3[[#This Row],[prev_refill_end]]="","",TableRefills3[[#This Row],[refill_date]]-TableRefills3[[#This Row],[prev_refill_end]])</f>
        <v/>
      </c>
      <c r="H2001" s="10">
        <f>IF(TableRefills3[[#This Row],[gap_days]]="",0,IF(TableRefills3[[#This Row],[gap_days]]&gt;2,1,0))</f>
        <v>0</v>
      </c>
      <c r="I2001">
        <f>_xlfn.MAXIFS(TableRefills3[discountinuation_flag], TableRefills3[patient_id], A2001)</f>
        <v>0</v>
      </c>
    </row>
    <row r="2002" spans="1:9" x14ac:dyDescent="0.25">
      <c r="A2002" t="s">
        <v>3189</v>
      </c>
      <c r="B2002" t="s">
        <v>3190</v>
      </c>
      <c r="C2002" s="3">
        <v>45843</v>
      </c>
      <c r="D2002">
        <v>28</v>
      </c>
      <c r="E2002" s="3" t="str">
        <f t="shared" si="31"/>
        <v/>
      </c>
      <c r="F2002" s="3" t="str">
        <f>IF(TableRefills3[[#This Row],[prev_refill_days]]="","",TableRefills3[[#This Row],[prev_refill_days]]+TableRefills3[[#This Row],[quantity_days]])</f>
        <v/>
      </c>
      <c r="G2002" t="str">
        <f>IF(TableRefills3[[#This Row],[prev_refill_end]]="","",TableRefills3[[#This Row],[refill_date]]-TableRefills3[[#This Row],[prev_refill_end]])</f>
        <v/>
      </c>
      <c r="H2002" s="10">
        <f>IF(TableRefills3[[#This Row],[gap_days]]="",0,IF(TableRefills3[[#This Row],[gap_days]]&gt;2,1,0))</f>
        <v>0</v>
      </c>
      <c r="I2002">
        <f>_xlfn.MAXIFS(TableRefills3[discountinuation_flag], TableRefills3[patient_id], A2002)</f>
        <v>0</v>
      </c>
    </row>
    <row r="2003" spans="1:9" x14ac:dyDescent="0.25">
      <c r="A2003" t="s">
        <v>3189</v>
      </c>
      <c r="B2003" t="s">
        <v>3190</v>
      </c>
      <c r="C2003" s="3">
        <v>45872</v>
      </c>
      <c r="D2003">
        <v>28</v>
      </c>
      <c r="E2003" s="3">
        <f t="shared" si="31"/>
        <v>45843</v>
      </c>
      <c r="F2003" s="3">
        <f>IF(TableRefills3[[#This Row],[prev_refill_days]]="","",TableRefills3[[#This Row],[prev_refill_days]]+TableRefills3[[#This Row],[quantity_days]])</f>
        <v>45871</v>
      </c>
      <c r="G2003">
        <f>IF(TableRefills3[[#This Row],[prev_refill_end]]="","",TableRefills3[[#This Row],[refill_date]]-TableRefills3[[#This Row],[prev_refill_end]])</f>
        <v>1</v>
      </c>
      <c r="H2003" s="10">
        <f>IF(TableRefills3[[#This Row],[gap_days]]="",0,IF(TableRefills3[[#This Row],[gap_days]]&gt;2,1,0))</f>
        <v>0</v>
      </c>
      <c r="I2003">
        <f>_xlfn.MAXIFS(TableRefills3[discountinuation_flag], TableRefills3[patient_id], A2003)</f>
        <v>0</v>
      </c>
    </row>
    <row r="2004" spans="1:9" x14ac:dyDescent="0.25">
      <c r="A2004" t="s">
        <v>3189</v>
      </c>
      <c r="B2004" t="s">
        <v>3190</v>
      </c>
      <c r="C2004" s="3">
        <v>45902</v>
      </c>
      <c r="D2004">
        <v>28</v>
      </c>
      <c r="E2004" s="3">
        <f t="shared" si="31"/>
        <v>45872</v>
      </c>
      <c r="F2004" s="3">
        <f>IF(TableRefills3[[#This Row],[prev_refill_days]]="","",TableRefills3[[#This Row],[prev_refill_days]]+TableRefills3[[#This Row],[quantity_days]])</f>
        <v>45900</v>
      </c>
      <c r="G2004">
        <f>IF(TableRefills3[[#This Row],[prev_refill_end]]="","",TableRefills3[[#This Row],[refill_date]]-TableRefills3[[#This Row],[prev_refill_end]])</f>
        <v>2</v>
      </c>
      <c r="H2004" s="10">
        <f>IF(TableRefills3[[#This Row],[gap_days]]="",0,IF(TableRefills3[[#This Row],[gap_days]]&gt;2,1,0))</f>
        <v>0</v>
      </c>
      <c r="I2004">
        <f>_xlfn.MAXIFS(TableRefills3[discountinuation_flag], TableRefills3[patient_id], A2004)</f>
        <v>0</v>
      </c>
    </row>
    <row r="2005" spans="1:9" x14ac:dyDescent="0.25">
      <c r="A2005" t="s">
        <v>3189</v>
      </c>
      <c r="B2005" t="s">
        <v>3190</v>
      </c>
      <c r="C2005" s="3">
        <v>45931</v>
      </c>
      <c r="D2005">
        <v>28</v>
      </c>
      <c r="E2005" s="3">
        <f t="shared" si="31"/>
        <v>45902</v>
      </c>
      <c r="F2005" s="3">
        <f>IF(TableRefills3[[#This Row],[prev_refill_days]]="","",TableRefills3[[#This Row],[prev_refill_days]]+TableRefills3[[#This Row],[quantity_days]])</f>
        <v>45930</v>
      </c>
      <c r="G2005">
        <f>IF(TableRefills3[[#This Row],[prev_refill_end]]="","",TableRefills3[[#This Row],[refill_date]]-TableRefills3[[#This Row],[prev_refill_end]])</f>
        <v>1</v>
      </c>
      <c r="H2005" s="10">
        <f>IF(TableRefills3[[#This Row],[gap_days]]="",0,IF(TableRefills3[[#This Row],[gap_days]]&gt;2,1,0))</f>
        <v>0</v>
      </c>
      <c r="I2005">
        <f>_xlfn.MAXIFS(TableRefills3[discountinuation_flag], TableRefills3[patient_id], A2005)</f>
        <v>0</v>
      </c>
    </row>
    <row r="2006" spans="1:9" x14ac:dyDescent="0.25">
      <c r="A2006" t="s">
        <v>3189</v>
      </c>
      <c r="B2006" t="s">
        <v>3190</v>
      </c>
      <c r="C2006" s="3">
        <v>45960</v>
      </c>
      <c r="D2006">
        <v>28</v>
      </c>
      <c r="E2006" s="3">
        <f t="shared" si="31"/>
        <v>45931</v>
      </c>
      <c r="F2006" s="3">
        <f>IF(TableRefills3[[#This Row],[prev_refill_days]]="","",TableRefills3[[#This Row],[prev_refill_days]]+TableRefills3[[#This Row],[quantity_days]])</f>
        <v>45959</v>
      </c>
      <c r="G2006">
        <f>IF(TableRefills3[[#This Row],[prev_refill_end]]="","",TableRefills3[[#This Row],[refill_date]]-TableRefills3[[#This Row],[prev_refill_end]])</f>
        <v>1</v>
      </c>
      <c r="H2006" s="10">
        <f>IF(TableRefills3[[#This Row],[gap_days]]="",0,IF(TableRefills3[[#This Row],[gap_days]]&gt;2,1,0))</f>
        <v>0</v>
      </c>
      <c r="I2006">
        <f>_xlfn.MAXIFS(TableRefills3[discountinuation_flag], TableRefills3[patient_id], A2006)</f>
        <v>0</v>
      </c>
    </row>
    <row r="2007" spans="1:9" x14ac:dyDescent="0.25">
      <c r="A2007" t="s">
        <v>3196</v>
      </c>
      <c r="B2007" t="s">
        <v>3197</v>
      </c>
      <c r="C2007" s="3">
        <v>45903</v>
      </c>
      <c r="D2007">
        <v>30</v>
      </c>
      <c r="E2007" s="3" t="str">
        <f t="shared" si="31"/>
        <v/>
      </c>
      <c r="F2007" s="3" t="str">
        <f>IF(TableRefills3[[#This Row],[prev_refill_days]]="","",TableRefills3[[#This Row],[prev_refill_days]]+TableRefills3[[#This Row],[quantity_days]])</f>
        <v/>
      </c>
      <c r="G2007" t="str">
        <f>IF(TableRefills3[[#This Row],[prev_refill_end]]="","",TableRefills3[[#This Row],[refill_date]]-TableRefills3[[#This Row],[prev_refill_end]])</f>
        <v/>
      </c>
      <c r="H2007" s="10">
        <f>IF(TableRefills3[[#This Row],[gap_days]]="",0,IF(TableRefills3[[#This Row],[gap_days]]&gt;2,1,0))</f>
        <v>0</v>
      </c>
      <c r="I2007">
        <f>_xlfn.MAXIFS(TableRefills3[discountinuation_flag], TableRefills3[patient_id], A2007)</f>
        <v>0</v>
      </c>
    </row>
    <row r="2008" spans="1:9" x14ac:dyDescent="0.25">
      <c r="A2008" t="s">
        <v>3196</v>
      </c>
      <c r="B2008" t="s">
        <v>3197</v>
      </c>
      <c r="C2008" s="3">
        <v>45931</v>
      </c>
      <c r="D2008">
        <v>30</v>
      </c>
      <c r="E2008" s="3">
        <f t="shared" si="31"/>
        <v>45903</v>
      </c>
      <c r="F2008" s="3">
        <f>IF(TableRefills3[[#This Row],[prev_refill_days]]="","",TableRefills3[[#This Row],[prev_refill_days]]+TableRefills3[[#This Row],[quantity_days]])</f>
        <v>45933</v>
      </c>
      <c r="G2008">
        <f>IF(TableRefills3[[#This Row],[prev_refill_end]]="","",TableRefills3[[#This Row],[refill_date]]-TableRefills3[[#This Row],[prev_refill_end]])</f>
        <v>-2</v>
      </c>
      <c r="H2008" s="10">
        <f>IF(TableRefills3[[#This Row],[gap_days]]="",0,IF(TableRefills3[[#This Row],[gap_days]]&gt;2,1,0))</f>
        <v>0</v>
      </c>
      <c r="I2008">
        <f>_xlfn.MAXIFS(TableRefills3[discountinuation_flag], TableRefills3[patient_id], A2008)</f>
        <v>0</v>
      </c>
    </row>
    <row r="2009" spans="1:9" x14ac:dyDescent="0.25">
      <c r="A2009" t="s">
        <v>3196</v>
      </c>
      <c r="B2009" t="s">
        <v>3197</v>
      </c>
      <c r="C2009" s="3">
        <v>45961</v>
      </c>
      <c r="D2009">
        <v>30</v>
      </c>
      <c r="E2009" s="3">
        <f t="shared" si="31"/>
        <v>45931</v>
      </c>
      <c r="F2009" s="3">
        <f>IF(TableRefills3[[#This Row],[prev_refill_days]]="","",TableRefills3[[#This Row],[prev_refill_days]]+TableRefills3[[#This Row],[quantity_days]])</f>
        <v>45961</v>
      </c>
      <c r="G2009">
        <f>IF(TableRefills3[[#This Row],[prev_refill_end]]="","",TableRefills3[[#This Row],[refill_date]]-TableRefills3[[#This Row],[prev_refill_end]])</f>
        <v>0</v>
      </c>
      <c r="H2009" s="10">
        <f>IF(TableRefills3[[#This Row],[gap_days]]="",0,IF(TableRefills3[[#This Row],[gap_days]]&gt;2,1,0))</f>
        <v>0</v>
      </c>
      <c r="I2009">
        <f>_xlfn.MAXIFS(TableRefills3[discountinuation_flag], TableRefills3[patient_id], A2009)</f>
        <v>0</v>
      </c>
    </row>
    <row r="2010" spans="1:9" x14ac:dyDescent="0.25">
      <c r="A2010" t="s">
        <v>3201</v>
      </c>
      <c r="B2010" t="s">
        <v>3202</v>
      </c>
      <c r="C2010" s="3">
        <v>45942</v>
      </c>
      <c r="D2010">
        <v>28</v>
      </c>
      <c r="E2010" s="3" t="str">
        <f t="shared" si="31"/>
        <v/>
      </c>
      <c r="F2010" s="3" t="str">
        <f>IF(TableRefills3[[#This Row],[prev_refill_days]]="","",TableRefills3[[#This Row],[prev_refill_days]]+TableRefills3[[#This Row],[quantity_days]])</f>
        <v/>
      </c>
      <c r="G2010" t="str">
        <f>IF(TableRefills3[[#This Row],[prev_refill_end]]="","",TableRefills3[[#This Row],[refill_date]]-TableRefills3[[#This Row],[prev_refill_end]])</f>
        <v/>
      </c>
      <c r="H2010" s="10">
        <f>IF(TableRefills3[[#This Row],[gap_days]]="",0,IF(TableRefills3[[#This Row],[gap_days]]&gt;2,1,0))</f>
        <v>0</v>
      </c>
      <c r="I2010">
        <f>_xlfn.MAXIFS(TableRefills3[discountinuation_flag], TableRefills3[patient_id], A2010)</f>
        <v>0</v>
      </c>
    </row>
    <row r="2011" spans="1:9" x14ac:dyDescent="0.25">
      <c r="A2011" t="s">
        <v>3204</v>
      </c>
      <c r="B2011" t="s">
        <v>3205</v>
      </c>
      <c r="C2011" s="3">
        <v>45903</v>
      </c>
      <c r="D2011">
        <v>28</v>
      </c>
      <c r="E2011" s="3" t="str">
        <f t="shared" si="31"/>
        <v/>
      </c>
      <c r="F2011" s="3" t="str">
        <f>IF(TableRefills3[[#This Row],[prev_refill_days]]="","",TableRefills3[[#This Row],[prev_refill_days]]+TableRefills3[[#This Row],[quantity_days]])</f>
        <v/>
      </c>
      <c r="G2011" t="str">
        <f>IF(TableRefills3[[#This Row],[prev_refill_end]]="","",TableRefills3[[#This Row],[refill_date]]-TableRefills3[[#This Row],[prev_refill_end]])</f>
        <v/>
      </c>
      <c r="H2011" s="10">
        <f>IF(TableRefills3[[#This Row],[gap_days]]="",0,IF(TableRefills3[[#This Row],[gap_days]]&gt;2,1,0))</f>
        <v>0</v>
      </c>
      <c r="I2011">
        <f>_xlfn.MAXIFS(TableRefills3[discountinuation_flag], TableRefills3[patient_id], A2011)</f>
        <v>0</v>
      </c>
    </row>
    <row r="2012" spans="1:9" x14ac:dyDescent="0.25">
      <c r="A2012" t="s">
        <v>3204</v>
      </c>
      <c r="B2012" t="s">
        <v>3205</v>
      </c>
      <c r="C2012" s="3">
        <v>45931</v>
      </c>
      <c r="D2012">
        <v>28</v>
      </c>
      <c r="E2012" s="3">
        <f t="shared" si="31"/>
        <v>45903</v>
      </c>
      <c r="F2012" s="3">
        <f>IF(TableRefills3[[#This Row],[prev_refill_days]]="","",TableRefills3[[#This Row],[prev_refill_days]]+TableRefills3[[#This Row],[quantity_days]])</f>
        <v>45931</v>
      </c>
      <c r="G2012">
        <f>IF(TableRefills3[[#This Row],[prev_refill_end]]="","",TableRefills3[[#This Row],[refill_date]]-TableRefills3[[#This Row],[prev_refill_end]])</f>
        <v>0</v>
      </c>
      <c r="H2012" s="10">
        <f>IF(TableRefills3[[#This Row],[gap_days]]="",0,IF(TableRefills3[[#This Row],[gap_days]]&gt;2,1,0))</f>
        <v>0</v>
      </c>
      <c r="I2012">
        <f>_xlfn.MAXIFS(TableRefills3[discountinuation_flag], TableRefills3[patient_id], A2012)</f>
        <v>0</v>
      </c>
    </row>
    <row r="2013" spans="1:9" x14ac:dyDescent="0.25">
      <c r="A2013" t="s">
        <v>3204</v>
      </c>
      <c r="B2013" t="s">
        <v>3205</v>
      </c>
      <c r="C2013" s="3">
        <v>45959</v>
      </c>
      <c r="D2013">
        <v>28</v>
      </c>
      <c r="E2013" s="3">
        <f t="shared" si="31"/>
        <v>45931</v>
      </c>
      <c r="F2013" s="3">
        <f>IF(TableRefills3[[#This Row],[prev_refill_days]]="","",TableRefills3[[#This Row],[prev_refill_days]]+TableRefills3[[#This Row],[quantity_days]])</f>
        <v>45959</v>
      </c>
      <c r="G2013">
        <f>IF(TableRefills3[[#This Row],[prev_refill_end]]="","",TableRefills3[[#This Row],[refill_date]]-TableRefills3[[#This Row],[prev_refill_end]])</f>
        <v>0</v>
      </c>
      <c r="H2013" s="10">
        <f>IF(TableRefills3[[#This Row],[gap_days]]="",0,IF(TableRefills3[[#This Row],[gap_days]]&gt;2,1,0))</f>
        <v>0</v>
      </c>
      <c r="I2013">
        <f>_xlfn.MAXIFS(TableRefills3[discountinuation_flag], TableRefills3[patient_id], A2013)</f>
        <v>0</v>
      </c>
    </row>
    <row r="2014" spans="1:9" x14ac:dyDescent="0.25">
      <c r="A2014" t="s">
        <v>3209</v>
      </c>
      <c r="B2014" t="s">
        <v>3210</v>
      </c>
      <c r="C2014" s="3">
        <v>45821</v>
      </c>
      <c r="D2014">
        <v>28</v>
      </c>
      <c r="E2014" s="3" t="str">
        <f t="shared" si="31"/>
        <v/>
      </c>
      <c r="F2014" s="3" t="str">
        <f>IF(TableRefills3[[#This Row],[prev_refill_days]]="","",TableRefills3[[#This Row],[prev_refill_days]]+TableRefills3[[#This Row],[quantity_days]])</f>
        <v/>
      </c>
      <c r="G2014" t="str">
        <f>IF(TableRefills3[[#This Row],[prev_refill_end]]="","",TableRefills3[[#This Row],[refill_date]]-TableRefills3[[#This Row],[prev_refill_end]])</f>
        <v/>
      </c>
      <c r="H2014" s="10">
        <f>IF(TableRefills3[[#This Row],[gap_days]]="",0,IF(TableRefills3[[#This Row],[gap_days]]&gt;2,1,0))</f>
        <v>0</v>
      </c>
      <c r="I2014">
        <f>_xlfn.MAXIFS(TableRefills3[discountinuation_flag], TableRefills3[patient_id], A2014)</f>
        <v>1</v>
      </c>
    </row>
    <row r="2015" spans="1:9" x14ac:dyDescent="0.25">
      <c r="A2015" t="s">
        <v>3209</v>
      </c>
      <c r="B2015" t="s">
        <v>3210</v>
      </c>
      <c r="C2015" s="3">
        <v>45846</v>
      </c>
      <c r="D2015">
        <v>28</v>
      </c>
      <c r="E2015" s="3">
        <f t="shared" si="31"/>
        <v>45821</v>
      </c>
      <c r="F2015" s="3">
        <f>IF(TableRefills3[[#This Row],[prev_refill_days]]="","",TableRefills3[[#This Row],[prev_refill_days]]+TableRefills3[[#This Row],[quantity_days]])</f>
        <v>45849</v>
      </c>
      <c r="G2015">
        <f>IF(TableRefills3[[#This Row],[prev_refill_end]]="","",TableRefills3[[#This Row],[refill_date]]-TableRefills3[[#This Row],[prev_refill_end]])</f>
        <v>-3</v>
      </c>
      <c r="H2015" s="10">
        <f>IF(TableRefills3[[#This Row],[gap_days]]="",0,IF(TableRefills3[[#This Row],[gap_days]]&gt;2,1,0))</f>
        <v>0</v>
      </c>
      <c r="I2015">
        <f>_xlfn.MAXIFS(TableRefills3[discountinuation_flag], TableRefills3[patient_id], A2015)</f>
        <v>1</v>
      </c>
    </row>
    <row r="2016" spans="1:9" x14ac:dyDescent="0.25">
      <c r="A2016" t="s">
        <v>3209</v>
      </c>
      <c r="B2016" t="s">
        <v>3210</v>
      </c>
      <c r="C2016" s="3">
        <v>45875</v>
      </c>
      <c r="D2016">
        <v>28</v>
      </c>
      <c r="E2016" s="3">
        <f t="shared" si="31"/>
        <v>45846</v>
      </c>
      <c r="F2016" s="3">
        <f>IF(TableRefills3[[#This Row],[prev_refill_days]]="","",TableRefills3[[#This Row],[prev_refill_days]]+TableRefills3[[#This Row],[quantity_days]])</f>
        <v>45874</v>
      </c>
      <c r="G2016">
        <f>IF(TableRefills3[[#This Row],[prev_refill_end]]="","",TableRefills3[[#This Row],[refill_date]]-TableRefills3[[#This Row],[prev_refill_end]])</f>
        <v>1</v>
      </c>
      <c r="H2016" s="10">
        <f>IF(TableRefills3[[#This Row],[gap_days]]="",0,IF(TableRefills3[[#This Row],[gap_days]]&gt;2,1,0))</f>
        <v>0</v>
      </c>
      <c r="I2016">
        <f>_xlfn.MAXIFS(TableRefills3[discountinuation_flag], TableRefills3[patient_id], A2016)</f>
        <v>1</v>
      </c>
    </row>
    <row r="2017" spans="1:9" x14ac:dyDescent="0.25">
      <c r="A2017" t="s">
        <v>3209</v>
      </c>
      <c r="B2017" t="s">
        <v>3210</v>
      </c>
      <c r="C2017" s="3">
        <v>45901</v>
      </c>
      <c r="D2017">
        <v>28</v>
      </c>
      <c r="E2017" s="3">
        <f t="shared" si="31"/>
        <v>45875</v>
      </c>
      <c r="F2017" s="3">
        <f>IF(TableRefills3[[#This Row],[prev_refill_days]]="","",TableRefills3[[#This Row],[prev_refill_days]]+TableRefills3[[#This Row],[quantity_days]])</f>
        <v>45903</v>
      </c>
      <c r="G2017">
        <f>IF(TableRefills3[[#This Row],[prev_refill_end]]="","",TableRefills3[[#This Row],[refill_date]]-TableRefills3[[#This Row],[prev_refill_end]])</f>
        <v>-2</v>
      </c>
      <c r="H2017" s="10">
        <f>IF(TableRefills3[[#This Row],[gap_days]]="",0,IF(TableRefills3[[#This Row],[gap_days]]&gt;2,1,0))</f>
        <v>0</v>
      </c>
      <c r="I2017">
        <f>_xlfn.MAXIFS(TableRefills3[discountinuation_flag], TableRefills3[patient_id], A2017)</f>
        <v>1</v>
      </c>
    </row>
    <row r="2018" spans="1:9" x14ac:dyDescent="0.25">
      <c r="A2018" t="s">
        <v>3209</v>
      </c>
      <c r="B2018" t="s">
        <v>3210</v>
      </c>
      <c r="C2018" s="3">
        <v>45932</v>
      </c>
      <c r="D2018">
        <v>28</v>
      </c>
      <c r="E2018" s="3">
        <f t="shared" si="31"/>
        <v>45901</v>
      </c>
      <c r="F2018" s="3">
        <f>IF(TableRefills3[[#This Row],[prev_refill_days]]="","",TableRefills3[[#This Row],[prev_refill_days]]+TableRefills3[[#This Row],[quantity_days]])</f>
        <v>45929</v>
      </c>
      <c r="G2018">
        <f>IF(TableRefills3[[#This Row],[prev_refill_end]]="","",TableRefills3[[#This Row],[refill_date]]-TableRefills3[[#This Row],[prev_refill_end]])</f>
        <v>3</v>
      </c>
      <c r="H2018" s="10">
        <f>IF(TableRefills3[[#This Row],[gap_days]]="",0,IF(TableRefills3[[#This Row],[gap_days]]&gt;2,1,0))</f>
        <v>1</v>
      </c>
      <c r="I2018">
        <f>_xlfn.MAXIFS(TableRefills3[discountinuation_flag], TableRefills3[patient_id], A2018)</f>
        <v>1</v>
      </c>
    </row>
    <row r="2019" spans="1:9" x14ac:dyDescent="0.25">
      <c r="A2019" t="s">
        <v>3209</v>
      </c>
      <c r="B2019" t="s">
        <v>3210</v>
      </c>
      <c r="C2019" s="3">
        <v>45960</v>
      </c>
      <c r="D2019">
        <v>28</v>
      </c>
      <c r="E2019" s="3">
        <f t="shared" si="31"/>
        <v>45932</v>
      </c>
      <c r="F2019" s="3">
        <f>IF(TableRefills3[[#This Row],[prev_refill_days]]="","",TableRefills3[[#This Row],[prev_refill_days]]+TableRefills3[[#This Row],[quantity_days]])</f>
        <v>45960</v>
      </c>
      <c r="G2019">
        <f>IF(TableRefills3[[#This Row],[prev_refill_end]]="","",TableRefills3[[#This Row],[refill_date]]-TableRefills3[[#This Row],[prev_refill_end]])</f>
        <v>0</v>
      </c>
      <c r="H2019" s="10">
        <f>IF(TableRefills3[[#This Row],[gap_days]]="",0,IF(TableRefills3[[#This Row],[gap_days]]&gt;2,1,0))</f>
        <v>0</v>
      </c>
      <c r="I2019">
        <f>_xlfn.MAXIFS(TableRefills3[discountinuation_flag], TableRefills3[patient_id], A2019)</f>
        <v>1</v>
      </c>
    </row>
    <row r="2020" spans="1:9" x14ac:dyDescent="0.25">
      <c r="A2020" t="s">
        <v>3217</v>
      </c>
      <c r="B2020" t="s">
        <v>3218</v>
      </c>
      <c r="C2020" s="3">
        <v>45868</v>
      </c>
      <c r="D2020">
        <v>28</v>
      </c>
      <c r="E2020" s="3" t="str">
        <f t="shared" si="31"/>
        <v/>
      </c>
      <c r="F2020" s="3" t="str">
        <f>IF(TableRefills3[[#This Row],[prev_refill_days]]="","",TableRefills3[[#This Row],[prev_refill_days]]+TableRefills3[[#This Row],[quantity_days]])</f>
        <v/>
      </c>
      <c r="G2020" t="str">
        <f>IF(TableRefills3[[#This Row],[prev_refill_end]]="","",TableRefills3[[#This Row],[refill_date]]-TableRefills3[[#This Row],[prev_refill_end]])</f>
        <v/>
      </c>
      <c r="H2020" s="10">
        <f>IF(TableRefills3[[#This Row],[gap_days]]="",0,IF(TableRefills3[[#This Row],[gap_days]]&gt;2,1,0))</f>
        <v>0</v>
      </c>
      <c r="I2020">
        <f>_xlfn.MAXIFS(TableRefills3[discountinuation_flag], TableRefills3[patient_id], A2020)</f>
        <v>1</v>
      </c>
    </row>
    <row r="2021" spans="1:9" x14ac:dyDescent="0.25">
      <c r="A2021" t="s">
        <v>3217</v>
      </c>
      <c r="B2021" t="s">
        <v>3218</v>
      </c>
      <c r="C2021" s="3">
        <v>45893</v>
      </c>
      <c r="D2021">
        <v>28</v>
      </c>
      <c r="E2021" s="3">
        <f t="shared" si="31"/>
        <v>45868</v>
      </c>
      <c r="F2021" s="3">
        <f>IF(TableRefills3[[#This Row],[prev_refill_days]]="","",TableRefills3[[#This Row],[prev_refill_days]]+TableRefills3[[#This Row],[quantity_days]])</f>
        <v>45896</v>
      </c>
      <c r="G2021">
        <f>IF(TableRefills3[[#This Row],[prev_refill_end]]="","",TableRefills3[[#This Row],[refill_date]]-TableRefills3[[#This Row],[prev_refill_end]])</f>
        <v>-3</v>
      </c>
      <c r="H2021" s="10">
        <f>IF(TableRefills3[[#This Row],[gap_days]]="",0,IF(TableRefills3[[#This Row],[gap_days]]&gt;2,1,0))</f>
        <v>0</v>
      </c>
      <c r="I2021">
        <f>_xlfn.MAXIFS(TableRefills3[discountinuation_flag], TableRefills3[patient_id], A2021)</f>
        <v>1</v>
      </c>
    </row>
    <row r="2022" spans="1:9" x14ac:dyDescent="0.25">
      <c r="A2022" t="s">
        <v>3217</v>
      </c>
      <c r="B2022" t="s">
        <v>3218</v>
      </c>
      <c r="C2022" s="3">
        <v>45924</v>
      </c>
      <c r="D2022">
        <v>28</v>
      </c>
      <c r="E2022" s="3">
        <f t="shared" si="31"/>
        <v>45893</v>
      </c>
      <c r="F2022" s="3">
        <f>IF(TableRefills3[[#This Row],[prev_refill_days]]="","",TableRefills3[[#This Row],[prev_refill_days]]+TableRefills3[[#This Row],[quantity_days]])</f>
        <v>45921</v>
      </c>
      <c r="G2022">
        <f>IF(TableRefills3[[#This Row],[prev_refill_end]]="","",TableRefills3[[#This Row],[refill_date]]-TableRefills3[[#This Row],[prev_refill_end]])</f>
        <v>3</v>
      </c>
      <c r="H2022" s="10">
        <f>IF(TableRefills3[[#This Row],[gap_days]]="",0,IF(TableRefills3[[#This Row],[gap_days]]&gt;2,1,0))</f>
        <v>1</v>
      </c>
      <c r="I2022">
        <f>_xlfn.MAXIFS(TableRefills3[discountinuation_flag], TableRefills3[patient_id], A2022)</f>
        <v>1</v>
      </c>
    </row>
    <row r="2023" spans="1:9" x14ac:dyDescent="0.25">
      <c r="A2023" t="s">
        <v>3217</v>
      </c>
      <c r="B2023" t="s">
        <v>3218</v>
      </c>
      <c r="C2023" s="3">
        <v>45954</v>
      </c>
      <c r="D2023">
        <v>28</v>
      </c>
      <c r="E2023" s="3">
        <f t="shared" si="31"/>
        <v>45924</v>
      </c>
      <c r="F2023" s="3">
        <f>IF(TableRefills3[[#This Row],[prev_refill_days]]="","",TableRefills3[[#This Row],[prev_refill_days]]+TableRefills3[[#This Row],[quantity_days]])</f>
        <v>45952</v>
      </c>
      <c r="G2023">
        <f>IF(TableRefills3[[#This Row],[prev_refill_end]]="","",TableRefills3[[#This Row],[refill_date]]-TableRefills3[[#This Row],[prev_refill_end]])</f>
        <v>2</v>
      </c>
      <c r="H2023" s="10">
        <f>IF(TableRefills3[[#This Row],[gap_days]]="",0,IF(TableRefills3[[#This Row],[gap_days]]&gt;2,1,0))</f>
        <v>0</v>
      </c>
      <c r="I2023">
        <f>_xlfn.MAXIFS(TableRefills3[discountinuation_flag], TableRefills3[patient_id], A2023)</f>
        <v>1</v>
      </c>
    </row>
    <row r="2024" spans="1:9" x14ac:dyDescent="0.25">
      <c r="A2024" t="s">
        <v>3223</v>
      </c>
      <c r="B2024" t="s">
        <v>3224</v>
      </c>
      <c r="C2024" s="3">
        <v>45813</v>
      </c>
      <c r="D2024">
        <v>28</v>
      </c>
      <c r="E2024" s="3" t="str">
        <f t="shared" si="31"/>
        <v/>
      </c>
      <c r="F2024" s="3" t="str">
        <f>IF(TableRefills3[[#This Row],[prev_refill_days]]="","",TableRefills3[[#This Row],[prev_refill_days]]+TableRefills3[[#This Row],[quantity_days]])</f>
        <v/>
      </c>
      <c r="G2024" t="str">
        <f>IF(TableRefills3[[#This Row],[prev_refill_end]]="","",TableRefills3[[#This Row],[refill_date]]-TableRefills3[[#This Row],[prev_refill_end]])</f>
        <v/>
      </c>
      <c r="H2024" s="10">
        <f>IF(TableRefills3[[#This Row],[gap_days]]="",0,IF(TableRefills3[[#This Row],[gap_days]]&gt;2,1,0))</f>
        <v>0</v>
      </c>
      <c r="I2024">
        <f>_xlfn.MAXIFS(TableRefills3[discountinuation_flag], TableRefills3[patient_id], A2024)</f>
        <v>0</v>
      </c>
    </row>
    <row r="2025" spans="1:9" x14ac:dyDescent="0.25">
      <c r="A2025" t="s">
        <v>3223</v>
      </c>
      <c r="B2025" t="s">
        <v>3224</v>
      </c>
      <c r="C2025" s="3">
        <v>45841</v>
      </c>
      <c r="D2025">
        <v>28</v>
      </c>
      <c r="E2025" s="3">
        <f t="shared" si="31"/>
        <v>45813</v>
      </c>
      <c r="F2025" s="3">
        <f>IF(TableRefills3[[#This Row],[prev_refill_days]]="","",TableRefills3[[#This Row],[prev_refill_days]]+TableRefills3[[#This Row],[quantity_days]])</f>
        <v>45841</v>
      </c>
      <c r="G2025">
        <f>IF(TableRefills3[[#This Row],[prev_refill_end]]="","",TableRefills3[[#This Row],[refill_date]]-TableRefills3[[#This Row],[prev_refill_end]])</f>
        <v>0</v>
      </c>
      <c r="H2025" s="10">
        <f>IF(TableRefills3[[#This Row],[gap_days]]="",0,IF(TableRefills3[[#This Row],[gap_days]]&gt;2,1,0))</f>
        <v>0</v>
      </c>
      <c r="I2025">
        <f>_xlfn.MAXIFS(TableRefills3[discountinuation_flag], TableRefills3[patient_id], A2025)</f>
        <v>0</v>
      </c>
    </row>
    <row r="2026" spans="1:9" x14ac:dyDescent="0.25">
      <c r="A2026" t="s">
        <v>3223</v>
      </c>
      <c r="B2026" t="s">
        <v>3224</v>
      </c>
      <c r="C2026" s="3">
        <v>45869</v>
      </c>
      <c r="D2026">
        <v>28</v>
      </c>
      <c r="E2026" s="3">
        <f t="shared" si="31"/>
        <v>45841</v>
      </c>
      <c r="F2026" s="3">
        <f>IF(TableRefills3[[#This Row],[prev_refill_days]]="","",TableRefills3[[#This Row],[prev_refill_days]]+TableRefills3[[#This Row],[quantity_days]])</f>
        <v>45869</v>
      </c>
      <c r="G2026">
        <f>IF(TableRefills3[[#This Row],[prev_refill_end]]="","",TableRefills3[[#This Row],[refill_date]]-TableRefills3[[#This Row],[prev_refill_end]])</f>
        <v>0</v>
      </c>
      <c r="H2026" s="10">
        <f>IF(TableRefills3[[#This Row],[gap_days]]="",0,IF(TableRefills3[[#This Row],[gap_days]]&gt;2,1,0))</f>
        <v>0</v>
      </c>
      <c r="I2026">
        <f>_xlfn.MAXIFS(TableRefills3[discountinuation_flag], TableRefills3[patient_id], A2026)</f>
        <v>0</v>
      </c>
    </row>
    <row r="2027" spans="1:9" x14ac:dyDescent="0.25">
      <c r="A2027" t="s">
        <v>3223</v>
      </c>
      <c r="B2027" t="s">
        <v>3224</v>
      </c>
      <c r="C2027" s="3">
        <v>45895</v>
      </c>
      <c r="D2027">
        <v>28</v>
      </c>
      <c r="E2027" s="3">
        <f t="shared" si="31"/>
        <v>45869</v>
      </c>
      <c r="F2027" s="3">
        <f>IF(TableRefills3[[#This Row],[prev_refill_days]]="","",TableRefills3[[#This Row],[prev_refill_days]]+TableRefills3[[#This Row],[quantity_days]])</f>
        <v>45897</v>
      </c>
      <c r="G2027">
        <f>IF(TableRefills3[[#This Row],[prev_refill_end]]="","",TableRefills3[[#This Row],[refill_date]]-TableRefills3[[#This Row],[prev_refill_end]])</f>
        <v>-2</v>
      </c>
      <c r="H2027" s="10">
        <f>IF(TableRefills3[[#This Row],[gap_days]]="",0,IF(TableRefills3[[#This Row],[gap_days]]&gt;2,1,0))</f>
        <v>0</v>
      </c>
      <c r="I2027">
        <f>_xlfn.MAXIFS(TableRefills3[discountinuation_flag], TableRefills3[patient_id], A2027)</f>
        <v>0</v>
      </c>
    </row>
    <row r="2028" spans="1:9" x14ac:dyDescent="0.25">
      <c r="A2028" t="s">
        <v>3223</v>
      </c>
      <c r="B2028" t="s">
        <v>3224</v>
      </c>
      <c r="C2028" s="3">
        <v>45924</v>
      </c>
      <c r="D2028">
        <v>28</v>
      </c>
      <c r="E2028" s="3">
        <f t="shared" si="31"/>
        <v>45895</v>
      </c>
      <c r="F2028" s="3">
        <f>IF(TableRefills3[[#This Row],[prev_refill_days]]="","",TableRefills3[[#This Row],[prev_refill_days]]+TableRefills3[[#This Row],[quantity_days]])</f>
        <v>45923</v>
      </c>
      <c r="G2028">
        <f>IF(TableRefills3[[#This Row],[prev_refill_end]]="","",TableRefills3[[#This Row],[refill_date]]-TableRefills3[[#This Row],[prev_refill_end]])</f>
        <v>1</v>
      </c>
      <c r="H2028" s="10">
        <f>IF(TableRefills3[[#This Row],[gap_days]]="",0,IF(TableRefills3[[#This Row],[gap_days]]&gt;2,1,0))</f>
        <v>0</v>
      </c>
      <c r="I2028">
        <f>_xlfn.MAXIFS(TableRefills3[discountinuation_flag], TableRefills3[patient_id], A2028)</f>
        <v>0</v>
      </c>
    </row>
    <row r="2029" spans="1:9" x14ac:dyDescent="0.25">
      <c r="A2029" t="s">
        <v>3223</v>
      </c>
      <c r="B2029" t="s">
        <v>3224</v>
      </c>
      <c r="C2029" s="3">
        <v>45954</v>
      </c>
      <c r="D2029">
        <v>28</v>
      </c>
      <c r="E2029" s="3">
        <f t="shared" si="31"/>
        <v>45924</v>
      </c>
      <c r="F2029" s="3">
        <f>IF(TableRefills3[[#This Row],[prev_refill_days]]="","",TableRefills3[[#This Row],[prev_refill_days]]+TableRefills3[[#This Row],[quantity_days]])</f>
        <v>45952</v>
      </c>
      <c r="G2029">
        <f>IF(TableRefills3[[#This Row],[prev_refill_end]]="","",TableRefills3[[#This Row],[refill_date]]-TableRefills3[[#This Row],[prev_refill_end]])</f>
        <v>2</v>
      </c>
      <c r="H2029" s="10">
        <f>IF(TableRefills3[[#This Row],[gap_days]]="",0,IF(TableRefills3[[#This Row],[gap_days]]&gt;2,1,0))</f>
        <v>0</v>
      </c>
      <c r="I2029">
        <f>_xlfn.MAXIFS(TableRefills3[discountinuation_flag], TableRefills3[patient_id], A2029)</f>
        <v>0</v>
      </c>
    </row>
    <row r="2030" spans="1:9" x14ac:dyDescent="0.25">
      <c r="A2030" t="s">
        <v>3231</v>
      </c>
      <c r="B2030" t="s">
        <v>3232</v>
      </c>
      <c r="C2030" s="3">
        <v>45917</v>
      </c>
      <c r="D2030">
        <v>28</v>
      </c>
      <c r="E2030" s="3" t="str">
        <f t="shared" si="31"/>
        <v/>
      </c>
      <c r="F2030" s="3" t="str">
        <f>IF(TableRefills3[[#This Row],[prev_refill_days]]="","",TableRefills3[[#This Row],[prev_refill_days]]+TableRefills3[[#This Row],[quantity_days]])</f>
        <v/>
      </c>
      <c r="G2030" t="str">
        <f>IF(TableRefills3[[#This Row],[prev_refill_end]]="","",TableRefills3[[#This Row],[refill_date]]-TableRefills3[[#This Row],[prev_refill_end]])</f>
        <v/>
      </c>
      <c r="H2030" s="10">
        <f>IF(TableRefills3[[#This Row],[gap_days]]="",0,IF(TableRefills3[[#This Row],[gap_days]]&gt;2,1,0))</f>
        <v>0</v>
      </c>
      <c r="I2030">
        <f>_xlfn.MAXIFS(TableRefills3[discountinuation_flag], TableRefills3[patient_id], A2030)</f>
        <v>0</v>
      </c>
    </row>
    <row r="2031" spans="1:9" x14ac:dyDescent="0.25">
      <c r="A2031" t="s">
        <v>3231</v>
      </c>
      <c r="B2031" t="s">
        <v>3232</v>
      </c>
      <c r="C2031" s="3">
        <v>45945</v>
      </c>
      <c r="D2031">
        <v>28</v>
      </c>
      <c r="E2031" s="3">
        <f t="shared" si="31"/>
        <v>45917</v>
      </c>
      <c r="F2031" s="3">
        <f>IF(TableRefills3[[#This Row],[prev_refill_days]]="","",TableRefills3[[#This Row],[prev_refill_days]]+TableRefills3[[#This Row],[quantity_days]])</f>
        <v>45945</v>
      </c>
      <c r="G2031">
        <f>IF(TableRefills3[[#This Row],[prev_refill_end]]="","",TableRefills3[[#This Row],[refill_date]]-TableRefills3[[#This Row],[prev_refill_end]])</f>
        <v>0</v>
      </c>
      <c r="H2031" s="10">
        <f>IF(TableRefills3[[#This Row],[gap_days]]="",0,IF(TableRefills3[[#This Row],[gap_days]]&gt;2,1,0))</f>
        <v>0</v>
      </c>
      <c r="I2031">
        <f>_xlfn.MAXIFS(TableRefills3[discountinuation_flag], TableRefills3[patient_id], A2031)</f>
        <v>0</v>
      </c>
    </row>
    <row r="2032" spans="1:9" x14ac:dyDescent="0.25">
      <c r="A2032" t="s">
        <v>3235</v>
      </c>
      <c r="B2032" t="s">
        <v>3236</v>
      </c>
      <c r="C2032" s="3">
        <v>45825</v>
      </c>
      <c r="D2032">
        <v>28</v>
      </c>
      <c r="E2032" s="3" t="str">
        <f t="shared" si="31"/>
        <v/>
      </c>
      <c r="F2032" s="3" t="str">
        <f>IF(TableRefills3[[#This Row],[prev_refill_days]]="","",TableRefills3[[#This Row],[prev_refill_days]]+TableRefills3[[#This Row],[quantity_days]])</f>
        <v/>
      </c>
      <c r="G2032" t="str">
        <f>IF(TableRefills3[[#This Row],[prev_refill_end]]="","",TableRefills3[[#This Row],[refill_date]]-TableRefills3[[#This Row],[prev_refill_end]])</f>
        <v/>
      </c>
      <c r="H2032" s="10">
        <f>IF(TableRefills3[[#This Row],[gap_days]]="",0,IF(TableRefills3[[#This Row],[gap_days]]&gt;2,1,0))</f>
        <v>0</v>
      </c>
      <c r="I2032">
        <f>_xlfn.MAXIFS(TableRefills3[discountinuation_flag], TableRefills3[patient_id], A2032)</f>
        <v>0</v>
      </c>
    </row>
    <row r="2033" spans="1:9" x14ac:dyDescent="0.25">
      <c r="A2033" t="s">
        <v>3235</v>
      </c>
      <c r="B2033" t="s">
        <v>3236</v>
      </c>
      <c r="C2033" s="3">
        <v>45855</v>
      </c>
      <c r="D2033">
        <v>28</v>
      </c>
      <c r="E2033" s="3">
        <f t="shared" si="31"/>
        <v>45825</v>
      </c>
      <c r="F2033" s="3">
        <f>IF(TableRefills3[[#This Row],[prev_refill_days]]="","",TableRefills3[[#This Row],[prev_refill_days]]+TableRefills3[[#This Row],[quantity_days]])</f>
        <v>45853</v>
      </c>
      <c r="G2033">
        <f>IF(TableRefills3[[#This Row],[prev_refill_end]]="","",TableRefills3[[#This Row],[refill_date]]-TableRefills3[[#This Row],[prev_refill_end]])</f>
        <v>2</v>
      </c>
      <c r="H2033" s="10">
        <f>IF(TableRefills3[[#This Row],[gap_days]]="",0,IF(TableRefills3[[#This Row],[gap_days]]&gt;2,1,0))</f>
        <v>0</v>
      </c>
      <c r="I2033">
        <f>_xlfn.MAXIFS(TableRefills3[discountinuation_flag], TableRefills3[patient_id], A2033)</f>
        <v>0</v>
      </c>
    </row>
    <row r="2034" spans="1:9" x14ac:dyDescent="0.25">
      <c r="A2034" t="s">
        <v>3235</v>
      </c>
      <c r="B2034" t="s">
        <v>3236</v>
      </c>
      <c r="C2034" s="3">
        <v>45885</v>
      </c>
      <c r="D2034">
        <v>28</v>
      </c>
      <c r="E2034" s="3">
        <f t="shared" si="31"/>
        <v>45855</v>
      </c>
      <c r="F2034" s="3">
        <f>IF(TableRefills3[[#This Row],[prev_refill_days]]="","",TableRefills3[[#This Row],[prev_refill_days]]+TableRefills3[[#This Row],[quantity_days]])</f>
        <v>45883</v>
      </c>
      <c r="G2034">
        <f>IF(TableRefills3[[#This Row],[prev_refill_end]]="","",TableRefills3[[#This Row],[refill_date]]-TableRefills3[[#This Row],[prev_refill_end]])</f>
        <v>2</v>
      </c>
      <c r="H2034" s="10">
        <f>IF(TableRefills3[[#This Row],[gap_days]]="",0,IF(TableRefills3[[#This Row],[gap_days]]&gt;2,1,0))</f>
        <v>0</v>
      </c>
      <c r="I2034">
        <f>_xlfn.MAXIFS(TableRefills3[discountinuation_flag], TableRefills3[patient_id], A2034)</f>
        <v>0</v>
      </c>
    </row>
    <row r="2035" spans="1:9" x14ac:dyDescent="0.25">
      <c r="A2035" t="s">
        <v>3235</v>
      </c>
      <c r="B2035" t="s">
        <v>3236</v>
      </c>
      <c r="C2035" s="3">
        <v>45911</v>
      </c>
      <c r="D2035">
        <v>28</v>
      </c>
      <c r="E2035" s="3">
        <f t="shared" si="31"/>
        <v>45885</v>
      </c>
      <c r="F2035" s="3">
        <f>IF(TableRefills3[[#This Row],[prev_refill_days]]="","",TableRefills3[[#This Row],[prev_refill_days]]+TableRefills3[[#This Row],[quantity_days]])</f>
        <v>45913</v>
      </c>
      <c r="G2035">
        <f>IF(TableRefills3[[#This Row],[prev_refill_end]]="","",TableRefills3[[#This Row],[refill_date]]-TableRefills3[[#This Row],[prev_refill_end]])</f>
        <v>-2</v>
      </c>
      <c r="H2035" s="10">
        <f>IF(TableRefills3[[#This Row],[gap_days]]="",0,IF(TableRefills3[[#This Row],[gap_days]]&gt;2,1,0))</f>
        <v>0</v>
      </c>
      <c r="I2035">
        <f>_xlfn.MAXIFS(TableRefills3[discountinuation_flag], TableRefills3[patient_id], A2035)</f>
        <v>0</v>
      </c>
    </row>
    <row r="2036" spans="1:9" x14ac:dyDescent="0.25">
      <c r="A2036" t="s">
        <v>3235</v>
      </c>
      <c r="B2036" t="s">
        <v>3236</v>
      </c>
      <c r="C2036" s="3">
        <v>45941</v>
      </c>
      <c r="D2036">
        <v>28</v>
      </c>
      <c r="E2036" s="3">
        <f t="shared" si="31"/>
        <v>45911</v>
      </c>
      <c r="F2036" s="3">
        <f>IF(TableRefills3[[#This Row],[prev_refill_days]]="","",TableRefills3[[#This Row],[prev_refill_days]]+TableRefills3[[#This Row],[quantity_days]])</f>
        <v>45939</v>
      </c>
      <c r="G2036">
        <f>IF(TableRefills3[[#This Row],[prev_refill_end]]="","",TableRefills3[[#This Row],[refill_date]]-TableRefills3[[#This Row],[prev_refill_end]])</f>
        <v>2</v>
      </c>
      <c r="H2036" s="10">
        <f>IF(TableRefills3[[#This Row],[gap_days]]="",0,IF(TableRefills3[[#This Row],[gap_days]]&gt;2,1,0))</f>
        <v>0</v>
      </c>
      <c r="I2036">
        <f>_xlfn.MAXIFS(TableRefills3[discountinuation_flag], TableRefills3[patient_id], A2036)</f>
        <v>0</v>
      </c>
    </row>
    <row r="2037" spans="1:9" x14ac:dyDescent="0.25">
      <c r="A2037" t="s">
        <v>3242</v>
      </c>
      <c r="B2037" t="s">
        <v>3243</v>
      </c>
      <c r="C2037" s="3">
        <v>45942</v>
      </c>
      <c r="D2037">
        <v>21</v>
      </c>
      <c r="E2037" s="3" t="str">
        <f t="shared" si="31"/>
        <v/>
      </c>
      <c r="F2037" s="3" t="str">
        <f>IF(TableRefills3[[#This Row],[prev_refill_days]]="","",TableRefills3[[#This Row],[prev_refill_days]]+TableRefills3[[#This Row],[quantity_days]])</f>
        <v/>
      </c>
      <c r="G2037" t="str">
        <f>IF(TableRefills3[[#This Row],[prev_refill_end]]="","",TableRefills3[[#This Row],[refill_date]]-TableRefills3[[#This Row],[prev_refill_end]])</f>
        <v/>
      </c>
      <c r="H2037" s="10">
        <f>IF(TableRefills3[[#This Row],[gap_days]]="",0,IF(TableRefills3[[#This Row],[gap_days]]&gt;2,1,0))</f>
        <v>0</v>
      </c>
      <c r="I2037">
        <f>_xlfn.MAXIFS(TableRefills3[discountinuation_flag], TableRefills3[patient_id], A2037)</f>
        <v>0</v>
      </c>
    </row>
    <row r="2038" spans="1:9" x14ac:dyDescent="0.25">
      <c r="A2038" t="s">
        <v>3245</v>
      </c>
      <c r="B2038" t="s">
        <v>3246</v>
      </c>
      <c r="C2038" s="3">
        <v>45912</v>
      </c>
      <c r="D2038">
        <v>21</v>
      </c>
      <c r="E2038" s="3" t="str">
        <f t="shared" si="31"/>
        <v/>
      </c>
      <c r="F2038" s="3" t="str">
        <f>IF(TableRefills3[[#This Row],[prev_refill_days]]="","",TableRefills3[[#This Row],[prev_refill_days]]+TableRefills3[[#This Row],[quantity_days]])</f>
        <v/>
      </c>
      <c r="G2038" t="str">
        <f>IF(TableRefills3[[#This Row],[prev_refill_end]]="","",TableRefills3[[#This Row],[refill_date]]-TableRefills3[[#This Row],[prev_refill_end]])</f>
        <v/>
      </c>
      <c r="H2038" s="10">
        <f>IF(TableRefills3[[#This Row],[gap_days]]="",0,IF(TableRefills3[[#This Row],[gap_days]]&gt;2,1,0))</f>
        <v>0</v>
      </c>
      <c r="I2038">
        <f>_xlfn.MAXIFS(TableRefills3[discountinuation_flag], TableRefills3[patient_id], A2038)</f>
        <v>0</v>
      </c>
    </row>
    <row r="2039" spans="1:9" x14ac:dyDescent="0.25">
      <c r="A2039" t="s">
        <v>3245</v>
      </c>
      <c r="B2039" t="s">
        <v>3246</v>
      </c>
      <c r="C2039" s="3">
        <v>45935</v>
      </c>
      <c r="D2039">
        <v>21</v>
      </c>
      <c r="E2039" s="3">
        <f t="shared" si="31"/>
        <v>45912</v>
      </c>
      <c r="F2039" s="3">
        <f>IF(TableRefills3[[#This Row],[prev_refill_days]]="","",TableRefills3[[#This Row],[prev_refill_days]]+TableRefills3[[#This Row],[quantity_days]])</f>
        <v>45933</v>
      </c>
      <c r="G2039">
        <f>IF(TableRefills3[[#This Row],[prev_refill_end]]="","",TableRefills3[[#This Row],[refill_date]]-TableRefills3[[#This Row],[prev_refill_end]])</f>
        <v>2</v>
      </c>
      <c r="H2039" s="10">
        <f>IF(TableRefills3[[#This Row],[gap_days]]="",0,IF(TableRefills3[[#This Row],[gap_days]]&gt;2,1,0))</f>
        <v>0</v>
      </c>
      <c r="I2039">
        <f>_xlfn.MAXIFS(TableRefills3[discountinuation_flag], TableRefills3[patient_id], A2039)</f>
        <v>0</v>
      </c>
    </row>
    <row r="2040" spans="1:9" x14ac:dyDescent="0.25">
      <c r="A2040" t="s">
        <v>3245</v>
      </c>
      <c r="B2040" t="s">
        <v>3246</v>
      </c>
      <c r="C2040" s="3">
        <v>45953</v>
      </c>
      <c r="D2040">
        <v>21</v>
      </c>
      <c r="E2040" s="3">
        <f t="shared" si="31"/>
        <v>45935</v>
      </c>
      <c r="F2040" s="3">
        <f>IF(TableRefills3[[#This Row],[prev_refill_days]]="","",TableRefills3[[#This Row],[prev_refill_days]]+TableRefills3[[#This Row],[quantity_days]])</f>
        <v>45956</v>
      </c>
      <c r="G2040">
        <f>IF(TableRefills3[[#This Row],[prev_refill_end]]="","",TableRefills3[[#This Row],[refill_date]]-TableRefills3[[#This Row],[prev_refill_end]])</f>
        <v>-3</v>
      </c>
      <c r="H2040" s="10">
        <f>IF(TableRefills3[[#This Row],[gap_days]]="",0,IF(TableRefills3[[#This Row],[gap_days]]&gt;2,1,0))</f>
        <v>0</v>
      </c>
      <c r="I2040">
        <f>_xlfn.MAXIFS(TableRefills3[discountinuation_flag], TableRefills3[patient_id], A2040)</f>
        <v>0</v>
      </c>
    </row>
    <row r="2041" spans="1:9" x14ac:dyDescent="0.25">
      <c r="A2041" t="s">
        <v>3250</v>
      </c>
      <c r="B2041" t="s">
        <v>3251</v>
      </c>
      <c r="C2041" s="3">
        <v>45797</v>
      </c>
      <c r="D2041">
        <v>28</v>
      </c>
      <c r="E2041" s="3" t="str">
        <f t="shared" si="31"/>
        <v/>
      </c>
      <c r="F2041" s="3" t="str">
        <f>IF(TableRefills3[[#This Row],[prev_refill_days]]="","",TableRefills3[[#This Row],[prev_refill_days]]+TableRefills3[[#This Row],[quantity_days]])</f>
        <v/>
      </c>
      <c r="G2041" t="str">
        <f>IF(TableRefills3[[#This Row],[prev_refill_end]]="","",TableRefills3[[#This Row],[refill_date]]-TableRefills3[[#This Row],[prev_refill_end]])</f>
        <v/>
      </c>
      <c r="H2041" s="10">
        <f>IF(TableRefills3[[#This Row],[gap_days]]="",0,IF(TableRefills3[[#This Row],[gap_days]]&gt;2,1,0))</f>
        <v>0</v>
      </c>
      <c r="I2041">
        <f>_xlfn.MAXIFS(TableRefills3[discountinuation_flag], TableRefills3[patient_id], A2041)</f>
        <v>0</v>
      </c>
    </row>
    <row r="2042" spans="1:9" x14ac:dyDescent="0.25">
      <c r="A2042" t="s">
        <v>3250</v>
      </c>
      <c r="B2042" t="s">
        <v>3251</v>
      </c>
      <c r="C2042" s="3">
        <v>45827</v>
      </c>
      <c r="D2042">
        <v>28</v>
      </c>
      <c r="E2042" s="3">
        <f t="shared" si="31"/>
        <v>45797</v>
      </c>
      <c r="F2042" s="3">
        <f>IF(TableRefills3[[#This Row],[prev_refill_days]]="","",TableRefills3[[#This Row],[prev_refill_days]]+TableRefills3[[#This Row],[quantity_days]])</f>
        <v>45825</v>
      </c>
      <c r="G2042">
        <f>IF(TableRefills3[[#This Row],[prev_refill_end]]="","",TableRefills3[[#This Row],[refill_date]]-TableRefills3[[#This Row],[prev_refill_end]])</f>
        <v>2</v>
      </c>
      <c r="H2042" s="10">
        <f>IF(TableRefills3[[#This Row],[gap_days]]="",0,IF(TableRefills3[[#This Row],[gap_days]]&gt;2,1,0))</f>
        <v>0</v>
      </c>
      <c r="I2042">
        <f>_xlfn.MAXIFS(TableRefills3[discountinuation_flag], TableRefills3[patient_id], A2042)</f>
        <v>0</v>
      </c>
    </row>
    <row r="2043" spans="1:9" x14ac:dyDescent="0.25">
      <c r="A2043" t="s">
        <v>3250</v>
      </c>
      <c r="B2043" t="s">
        <v>3251</v>
      </c>
      <c r="C2043" s="3">
        <v>45856</v>
      </c>
      <c r="D2043">
        <v>28</v>
      </c>
      <c r="E2043" s="3">
        <f t="shared" si="31"/>
        <v>45827</v>
      </c>
      <c r="F2043" s="3">
        <f>IF(TableRefills3[[#This Row],[prev_refill_days]]="","",TableRefills3[[#This Row],[prev_refill_days]]+TableRefills3[[#This Row],[quantity_days]])</f>
        <v>45855</v>
      </c>
      <c r="G2043">
        <f>IF(TableRefills3[[#This Row],[prev_refill_end]]="","",TableRefills3[[#This Row],[refill_date]]-TableRefills3[[#This Row],[prev_refill_end]])</f>
        <v>1</v>
      </c>
      <c r="H2043" s="10">
        <f>IF(TableRefills3[[#This Row],[gap_days]]="",0,IF(TableRefills3[[#This Row],[gap_days]]&gt;2,1,0))</f>
        <v>0</v>
      </c>
      <c r="I2043">
        <f>_xlfn.MAXIFS(TableRefills3[discountinuation_flag], TableRefills3[patient_id], A2043)</f>
        <v>0</v>
      </c>
    </row>
    <row r="2044" spans="1:9" x14ac:dyDescent="0.25">
      <c r="A2044" t="s">
        <v>3250</v>
      </c>
      <c r="B2044" t="s">
        <v>3251</v>
      </c>
      <c r="C2044" s="3">
        <v>45882</v>
      </c>
      <c r="D2044">
        <v>28</v>
      </c>
      <c r="E2044" s="3">
        <f t="shared" si="31"/>
        <v>45856</v>
      </c>
      <c r="F2044" s="3">
        <f>IF(TableRefills3[[#This Row],[prev_refill_days]]="","",TableRefills3[[#This Row],[prev_refill_days]]+TableRefills3[[#This Row],[quantity_days]])</f>
        <v>45884</v>
      </c>
      <c r="G2044">
        <f>IF(TableRefills3[[#This Row],[prev_refill_end]]="","",TableRefills3[[#This Row],[refill_date]]-TableRefills3[[#This Row],[prev_refill_end]])</f>
        <v>-2</v>
      </c>
      <c r="H2044" s="10">
        <f>IF(TableRefills3[[#This Row],[gap_days]]="",0,IF(TableRefills3[[#This Row],[gap_days]]&gt;2,1,0))</f>
        <v>0</v>
      </c>
      <c r="I2044">
        <f>_xlfn.MAXIFS(TableRefills3[discountinuation_flag], TableRefills3[patient_id], A2044)</f>
        <v>0</v>
      </c>
    </row>
    <row r="2045" spans="1:9" x14ac:dyDescent="0.25">
      <c r="A2045" t="s">
        <v>3250</v>
      </c>
      <c r="B2045" t="s">
        <v>3251</v>
      </c>
      <c r="C2045" s="3">
        <v>45911</v>
      </c>
      <c r="D2045">
        <v>28</v>
      </c>
      <c r="E2045" s="3">
        <f t="shared" si="31"/>
        <v>45882</v>
      </c>
      <c r="F2045" s="3">
        <f>IF(TableRefills3[[#This Row],[prev_refill_days]]="","",TableRefills3[[#This Row],[prev_refill_days]]+TableRefills3[[#This Row],[quantity_days]])</f>
        <v>45910</v>
      </c>
      <c r="G2045">
        <f>IF(TableRefills3[[#This Row],[prev_refill_end]]="","",TableRefills3[[#This Row],[refill_date]]-TableRefills3[[#This Row],[prev_refill_end]])</f>
        <v>1</v>
      </c>
      <c r="H2045" s="10">
        <f>IF(TableRefills3[[#This Row],[gap_days]]="",0,IF(TableRefills3[[#This Row],[gap_days]]&gt;2,1,0))</f>
        <v>0</v>
      </c>
      <c r="I2045">
        <f>_xlfn.MAXIFS(TableRefills3[discountinuation_flag], TableRefills3[patient_id], A2045)</f>
        <v>0</v>
      </c>
    </row>
    <row r="2046" spans="1:9" x14ac:dyDescent="0.25">
      <c r="A2046" t="s">
        <v>3250</v>
      </c>
      <c r="B2046" t="s">
        <v>3251</v>
      </c>
      <c r="C2046" s="3">
        <v>45936</v>
      </c>
      <c r="D2046">
        <v>28</v>
      </c>
      <c r="E2046" s="3">
        <f t="shared" si="31"/>
        <v>45911</v>
      </c>
      <c r="F2046" s="3">
        <f>IF(TableRefills3[[#This Row],[prev_refill_days]]="","",TableRefills3[[#This Row],[prev_refill_days]]+TableRefills3[[#This Row],[quantity_days]])</f>
        <v>45939</v>
      </c>
      <c r="G2046">
        <f>IF(TableRefills3[[#This Row],[prev_refill_end]]="","",TableRefills3[[#This Row],[refill_date]]-TableRefills3[[#This Row],[prev_refill_end]])</f>
        <v>-3</v>
      </c>
      <c r="H2046" s="10">
        <f>IF(TableRefills3[[#This Row],[gap_days]]="",0,IF(TableRefills3[[#This Row],[gap_days]]&gt;2,1,0))</f>
        <v>0</v>
      </c>
      <c r="I2046">
        <f>_xlfn.MAXIFS(TableRefills3[discountinuation_flag], TableRefills3[patient_id], A2046)</f>
        <v>0</v>
      </c>
    </row>
    <row r="2047" spans="1:9" x14ac:dyDescent="0.25">
      <c r="A2047" t="s">
        <v>3258</v>
      </c>
      <c r="B2047" t="s">
        <v>3259</v>
      </c>
      <c r="C2047" s="3">
        <v>45949</v>
      </c>
      <c r="D2047">
        <v>21</v>
      </c>
      <c r="E2047" s="3" t="str">
        <f t="shared" si="31"/>
        <v/>
      </c>
      <c r="F2047" s="3" t="str">
        <f>IF(TableRefills3[[#This Row],[prev_refill_days]]="","",TableRefills3[[#This Row],[prev_refill_days]]+TableRefills3[[#This Row],[quantity_days]])</f>
        <v/>
      </c>
      <c r="G2047" t="str">
        <f>IF(TableRefills3[[#This Row],[prev_refill_end]]="","",TableRefills3[[#This Row],[refill_date]]-TableRefills3[[#This Row],[prev_refill_end]])</f>
        <v/>
      </c>
      <c r="H2047" s="10">
        <f>IF(TableRefills3[[#This Row],[gap_days]]="",0,IF(TableRefills3[[#This Row],[gap_days]]&gt;2,1,0))</f>
        <v>0</v>
      </c>
      <c r="I2047">
        <f>_xlfn.MAXIFS(TableRefills3[discountinuation_flag], TableRefills3[patient_id], A2047)</f>
        <v>0</v>
      </c>
    </row>
    <row r="2048" spans="1:9" x14ac:dyDescent="0.25">
      <c r="A2048" t="s">
        <v>3261</v>
      </c>
      <c r="B2048" t="s">
        <v>3262</v>
      </c>
      <c r="C2048" s="3">
        <v>45779</v>
      </c>
      <c r="D2048">
        <v>30</v>
      </c>
      <c r="E2048" s="3" t="str">
        <f t="shared" si="31"/>
        <v/>
      </c>
      <c r="F2048" s="3" t="str">
        <f>IF(TableRefills3[[#This Row],[prev_refill_days]]="","",TableRefills3[[#This Row],[prev_refill_days]]+TableRefills3[[#This Row],[quantity_days]])</f>
        <v/>
      </c>
      <c r="G2048" t="str">
        <f>IF(TableRefills3[[#This Row],[prev_refill_end]]="","",TableRefills3[[#This Row],[refill_date]]-TableRefills3[[#This Row],[prev_refill_end]])</f>
        <v/>
      </c>
      <c r="H2048" s="10">
        <f>IF(TableRefills3[[#This Row],[gap_days]]="",0,IF(TableRefills3[[#This Row],[gap_days]]&gt;2,1,0))</f>
        <v>0</v>
      </c>
      <c r="I2048">
        <f>_xlfn.MAXIFS(TableRefills3[discountinuation_flag], TableRefills3[patient_id], A2048)</f>
        <v>1</v>
      </c>
    </row>
    <row r="2049" spans="1:9" x14ac:dyDescent="0.25">
      <c r="A2049" t="s">
        <v>3261</v>
      </c>
      <c r="B2049" t="s">
        <v>3262</v>
      </c>
      <c r="C2049" s="3">
        <v>45812</v>
      </c>
      <c r="D2049">
        <v>30</v>
      </c>
      <c r="E2049" s="3">
        <f t="shared" si="31"/>
        <v>45779</v>
      </c>
      <c r="F2049" s="3">
        <f>IF(TableRefills3[[#This Row],[prev_refill_days]]="","",TableRefills3[[#This Row],[prev_refill_days]]+TableRefills3[[#This Row],[quantity_days]])</f>
        <v>45809</v>
      </c>
      <c r="G2049">
        <f>IF(TableRefills3[[#This Row],[prev_refill_end]]="","",TableRefills3[[#This Row],[refill_date]]-TableRefills3[[#This Row],[prev_refill_end]])</f>
        <v>3</v>
      </c>
      <c r="H2049" s="10">
        <f>IF(TableRefills3[[#This Row],[gap_days]]="",0,IF(TableRefills3[[#This Row],[gap_days]]&gt;2,1,0))</f>
        <v>1</v>
      </c>
      <c r="I2049">
        <f>_xlfn.MAXIFS(TableRefills3[discountinuation_flag], TableRefills3[patient_id], A2049)</f>
        <v>1</v>
      </c>
    </row>
    <row r="2050" spans="1:9" x14ac:dyDescent="0.25">
      <c r="A2050" t="s">
        <v>3261</v>
      </c>
      <c r="B2050" t="s">
        <v>3262</v>
      </c>
      <c r="C2050" s="3">
        <v>45845</v>
      </c>
      <c r="D2050">
        <v>30</v>
      </c>
      <c r="E2050" s="3">
        <f t="shared" ref="E2050:E2113" si="32">IF(A2049=A2050,C2049,"")</f>
        <v>45812</v>
      </c>
      <c r="F2050" s="3">
        <f>IF(TableRefills3[[#This Row],[prev_refill_days]]="","",TableRefills3[[#This Row],[prev_refill_days]]+TableRefills3[[#This Row],[quantity_days]])</f>
        <v>45842</v>
      </c>
      <c r="G2050">
        <f>IF(TableRefills3[[#This Row],[prev_refill_end]]="","",TableRefills3[[#This Row],[refill_date]]-TableRefills3[[#This Row],[prev_refill_end]])</f>
        <v>3</v>
      </c>
      <c r="H2050" s="10">
        <f>IF(TableRefills3[[#This Row],[gap_days]]="",0,IF(TableRefills3[[#This Row],[gap_days]]&gt;2,1,0))</f>
        <v>1</v>
      </c>
      <c r="I2050">
        <f>_xlfn.MAXIFS(TableRefills3[discountinuation_flag], TableRefills3[patient_id], A2050)</f>
        <v>1</v>
      </c>
    </row>
    <row r="2051" spans="1:9" x14ac:dyDescent="0.25">
      <c r="A2051" t="s">
        <v>3261</v>
      </c>
      <c r="B2051" t="s">
        <v>3262</v>
      </c>
      <c r="C2051" s="3">
        <v>45873</v>
      </c>
      <c r="D2051">
        <v>30</v>
      </c>
      <c r="E2051" s="3">
        <f t="shared" si="32"/>
        <v>45845</v>
      </c>
      <c r="F2051" s="3">
        <f>IF(TableRefills3[[#This Row],[prev_refill_days]]="","",TableRefills3[[#This Row],[prev_refill_days]]+TableRefills3[[#This Row],[quantity_days]])</f>
        <v>45875</v>
      </c>
      <c r="G2051">
        <f>IF(TableRefills3[[#This Row],[prev_refill_end]]="","",TableRefills3[[#This Row],[refill_date]]-TableRefills3[[#This Row],[prev_refill_end]])</f>
        <v>-2</v>
      </c>
      <c r="H2051" s="10">
        <f>IF(TableRefills3[[#This Row],[gap_days]]="",0,IF(TableRefills3[[#This Row],[gap_days]]&gt;2,1,0))</f>
        <v>0</v>
      </c>
      <c r="I2051">
        <f>_xlfn.MAXIFS(TableRefills3[discountinuation_flag], TableRefills3[patient_id], A2051)</f>
        <v>1</v>
      </c>
    </row>
    <row r="2052" spans="1:9" x14ac:dyDescent="0.25">
      <c r="A2052" t="s">
        <v>3261</v>
      </c>
      <c r="B2052" t="s">
        <v>3262</v>
      </c>
      <c r="C2052" s="3">
        <v>45901</v>
      </c>
      <c r="D2052">
        <v>30</v>
      </c>
      <c r="E2052" s="3">
        <f t="shared" si="32"/>
        <v>45873</v>
      </c>
      <c r="F2052" s="3">
        <f>IF(TableRefills3[[#This Row],[prev_refill_days]]="","",TableRefills3[[#This Row],[prev_refill_days]]+TableRefills3[[#This Row],[quantity_days]])</f>
        <v>45903</v>
      </c>
      <c r="G2052">
        <f>IF(TableRefills3[[#This Row],[prev_refill_end]]="","",TableRefills3[[#This Row],[refill_date]]-TableRefills3[[#This Row],[prev_refill_end]])</f>
        <v>-2</v>
      </c>
      <c r="H2052" s="10">
        <f>IF(TableRefills3[[#This Row],[gap_days]]="",0,IF(TableRefills3[[#This Row],[gap_days]]&gt;2,1,0))</f>
        <v>0</v>
      </c>
      <c r="I2052">
        <f>_xlfn.MAXIFS(TableRefills3[discountinuation_flag], TableRefills3[patient_id], A2052)</f>
        <v>1</v>
      </c>
    </row>
    <row r="2053" spans="1:9" x14ac:dyDescent="0.25">
      <c r="A2053" t="s">
        <v>3261</v>
      </c>
      <c r="B2053" t="s">
        <v>3262</v>
      </c>
      <c r="C2053" s="3">
        <v>45934</v>
      </c>
      <c r="D2053">
        <v>30</v>
      </c>
      <c r="E2053" s="3">
        <f t="shared" si="32"/>
        <v>45901</v>
      </c>
      <c r="F2053" s="3">
        <f>IF(TableRefills3[[#This Row],[prev_refill_days]]="","",TableRefills3[[#This Row],[prev_refill_days]]+TableRefills3[[#This Row],[quantity_days]])</f>
        <v>45931</v>
      </c>
      <c r="G2053">
        <f>IF(TableRefills3[[#This Row],[prev_refill_end]]="","",TableRefills3[[#This Row],[refill_date]]-TableRefills3[[#This Row],[prev_refill_end]])</f>
        <v>3</v>
      </c>
      <c r="H2053" s="10">
        <f>IF(TableRefills3[[#This Row],[gap_days]]="",0,IF(TableRefills3[[#This Row],[gap_days]]&gt;2,1,0))</f>
        <v>1</v>
      </c>
      <c r="I2053">
        <f>_xlfn.MAXIFS(TableRefills3[discountinuation_flag], TableRefills3[patient_id], A2053)</f>
        <v>1</v>
      </c>
    </row>
    <row r="2054" spans="1:9" x14ac:dyDescent="0.25">
      <c r="A2054" t="s">
        <v>3261</v>
      </c>
      <c r="B2054" t="s">
        <v>3262</v>
      </c>
      <c r="C2054" s="3">
        <v>45961</v>
      </c>
      <c r="D2054">
        <v>30</v>
      </c>
      <c r="E2054" s="3">
        <f t="shared" si="32"/>
        <v>45934</v>
      </c>
      <c r="F2054" s="3">
        <f>IF(TableRefills3[[#This Row],[prev_refill_days]]="","",TableRefills3[[#This Row],[prev_refill_days]]+TableRefills3[[#This Row],[quantity_days]])</f>
        <v>45964</v>
      </c>
      <c r="G2054">
        <f>IF(TableRefills3[[#This Row],[prev_refill_end]]="","",TableRefills3[[#This Row],[refill_date]]-TableRefills3[[#This Row],[prev_refill_end]])</f>
        <v>-3</v>
      </c>
      <c r="H2054" s="10">
        <f>IF(TableRefills3[[#This Row],[gap_days]]="",0,IF(TableRefills3[[#This Row],[gap_days]]&gt;2,1,0))</f>
        <v>0</v>
      </c>
      <c r="I2054">
        <f>_xlfn.MAXIFS(TableRefills3[discountinuation_flag], TableRefills3[patient_id], A2054)</f>
        <v>1</v>
      </c>
    </row>
    <row r="2055" spans="1:9" x14ac:dyDescent="0.25">
      <c r="A2055" t="s">
        <v>3270</v>
      </c>
      <c r="B2055" t="s">
        <v>3271</v>
      </c>
      <c r="C2055" s="3">
        <v>45813</v>
      </c>
      <c r="D2055">
        <v>21</v>
      </c>
      <c r="E2055" s="3" t="str">
        <f t="shared" si="32"/>
        <v/>
      </c>
      <c r="F2055" s="3" t="str">
        <f>IF(TableRefills3[[#This Row],[prev_refill_days]]="","",TableRefills3[[#This Row],[prev_refill_days]]+TableRefills3[[#This Row],[quantity_days]])</f>
        <v/>
      </c>
      <c r="G2055" t="str">
        <f>IF(TableRefills3[[#This Row],[prev_refill_end]]="","",TableRefills3[[#This Row],[refill_date]]-TableRefills3[[#This Row],[prev_refill_end]])</f>
        <v/>
      </c>
      <c r="H2055" s="10">
        <f>IF(TableRefills3[[#This Row],[gap_days]]="",0,IF(TableRefills3[[#This Row],[gap_days]]&gt;2,1,0))</f>
        <v>0</v>
      </c>
      <c r="I2055">
        <f>_xlfn.MAXIFS(TableRefills3[discountinuation_flag], TableRefills3[patient_id], A2055)</f>
        <v>1</v>
      </c>
    </row>
    <row r="2056" spans="1:9" x14ac:dyDescent="0.25">
      <c r="A2056" t="s">
        <v>3270</v>
      </c>
      <c r="B2056" t="s">
        <v>3271</v>
      </c>
      <c r="C2056" s="3">
        <v>45837</v>
      </c>
      <c r="D2056">
        <v>21</v>
      </c>
      <c r="E2056" s="3">
        <f t="shared" si="32"/>
        <v>45813</v>
      </c>
      <c r="F2056" s="3">
        <f>IF(TableRefills3[[#This Row],[prev_refill_days]]="","",TableRefills3[[#This Row],[prev_refill_days]]+TableRefills3[[#This Row],[quantity_days]])</f>
        <v>45834</v>
      </c>
      <c r="G2056">
        <f>IF(TableRefills3[[#This Row],[prev_refill_end]]="","",TableRefills3[[#This Row],[refill_date]]-TableRefills3[[#This Row],[prev_refill_end]])</f>
        <v>3</v>
      </c>
      <c r="H2056" s="10">
        <f>IF(TableRefills3[[#This Row],[gap_days]]="",0,IF(TableRefills3[[#This Row],[gap_days]]&gt;2,1,0))</f>
        <v>1</v>
      </c>
      <c r="I2056">
        <f>_xlfn.MAXIFS(TableRefills3[discountinuation_flag], TableRefills3[patient_id], A2056)</f>
        <v>1</v>
      </c>
    </row>
    <row r="2057" spans="1:9" x14ac:dyDescent="0.25">
      <c r="A2057" t="s">
        <v>3274</v>
      </c>
      <c r="B2057" t="s">
        <v>3275</v>
      </c>
      <c r="C2057" s="3">
        <v>45939</v>
      </c>
      <c r="D2057">
        <v>30</v>
      </c>
      <c r="E2057" s="3" t="str">
        <f t="shared" si="32"/>
        <v/>
      </c>
      <c r="F2057" s="3" t="str">
        <f>IF(TableRefills3[[#This Row],[prev_refill_days]]="","",TableRefills3[[#This Row],[prev_refill_days]]+TableRefills3[[#This Row],[quantity_days]])</f>
        <v/>
      </c>
      <c r="G2057" t="str">
        <f>IF(TableRefills3[[#This Row],[prev_refill_end]]="","",TableRefills3[[#This Row],[refill_date]]-TableRefills3[[#This Row],[prev_refill_end]])</f>
        <v/>
      </c>
      <c r="H2057" s="10">
        <f>IF(TableRefills3[[#This Row],[gap_days]]="",0,IF(TableRefills3[[#This Row],[gap_days]]&gt;2,1,0))</f>
        <v>0</v>
      </c>
      <c r="I2057">
        <f>_xlfn.MAXIFS(TableRefills3[discountinuation_flag], TableRefills3[patient_id], A2057)</f>
        <v>0</v>
      </c>
    </row>
    <row r="2058" spans="1:9" x14ac:dyDescent="0.25">
      <c r="A2058" t="s">
        <v>3277</v>
      </c>
      <c r="B2058" t="s">
        <v>3278</v>
      </c>
      <c r="C2058" s="3">
        <v>45795</v>
      </c>
      <c r="D2058">
        <v>30</v>
      </c>
      <c r="E2058" s="3" t="str">
        <f t="shared" si="32"/>
        <v/>
      </c>
      <c r="F2058" s="3" t="str">
        <f>IF(TableRefills3[[#This Row],[prev_refill_days]]="","",TableRefills3[[#This Row],[prev_refill_days]]+TableRefills3[[#This Row],[quantity_days]])</f>
        <v/>
      </c>
      <c r="G2058" t="str">
        <f>IF(TableRefills3[[#This Row],[prev_refill_end]]="","",TableRefills3[[#This Row],[refill_date]]-TableRefills3[[#This Row],[prev_refill_end]])</f>
        <v/>
      </c>
      <c r="H2058" s="10">
        <f>IF(TableRefills3[[#This Row],[gap_days]]="",0,IF(TableRefills3[[#This Row],[gap_days]]&gt;2,1,0))</f>
        <v>0</v>
      </c>
      <c r="I2058">
        <f>_xlfn.MAXIFS(TableRefills3[discountinuation_flag], TableRefills3[patient_id], A2058)</f>
        <v>1</v>
      </c>
    </row>
    <row r="2059" spans="1:9" x14ac:dyDescent="0.25">
      <c r="A2059" t="s">
        <v>3277</v>
      </c>
      <c r="B2059" t="s">
        <v>3278</v>
      </c>
      <c r="C2059" s="3">
        <v>45823</v>
      </c>
      <c r="D2059">
        <v>30</v>
      </c>
      <c r="E2059" s="3">
        <f t="shared" si="32"/>
        <v>45795</v>
      </c>
      <c r="F2059" s="3">
        <f>IF(TableRefills3[[#This Row],[prev_refill_days]]="","",TableRefills3[[#This Row],[prev_refill_days]]+TableRefills3[[#This Row],[quantity_days]])</f>
        <v>45825</v>
      </c>
      <c r="G2059">
        <f>IF(TableRefills3[[#This Row],[prev_refill_end]]="","",TableRefills3[[#This Row],[refill_date]]-TableRefills3[[#This Row],[prev_refill_end]])</f>
        <v>-2</v>
      </c>
      <c r="H2059" s="10">
        <f>IF(TableRefills3[[#This Row],[gap_days]]="",0,IF(TableRefills3[[#This Row],[gap_days]]&gt;2,1,0))</f>
        <v>0</v>
      </c>
      <c r="I2059">
        <f>_xlfn.MAXIFS(TableRefills3[discountinuation_flag], TableRefills3[patient_id], A2059)</f>
        <v>1</v>
      </c>
    </row>
    <row r="2060" spans="1:9" x14ac:dyDescent="0.25">
      <c r="A2060" t="s">
        <v>3277</v>
      </c>
      <c r="B2060" t="s">
        <v>3278</v>
      </c>
      <c r="C2060" s="3">
        <v>45850</v>
      </c>
      <c r="D2060">
        <v>30</v>
      </c>
      <c r="E2060" s="3">
        <f t="shared" si="32"/>
        <v>45823</v>
      </c>
      <c r="F2060" s="3">
        <f>IF(TableRefills3[[#This Row],[prev_refill_days]]="","",TableRefills3[[#This Row],[prev_refill_days]]+TableRefills3[[#This Row],[quantity_days]])</f>
        <v>45853</v>
      </c>
      <c r="G2060">
        <f>IF(TableRefills3[[#This Row],[prev_refill_end]]="","",TableRefills3[[#This Row],[refill_date]]-TableRefills3[[#This Row],[prev_refill_end]])</f>
        <v>-3</v>
      </c>
      <c r="H2060" s="10">
        <f>IF(TableRefills3[[#This Row],[gap_days]]="",0,IF(TableRefills3[[#This Row],[gap_days]]&gt;2,1,0))</f>
        <v>0</v>
      </c>
      <c r="I2060">
        <f>_xlfn.MAXIFS(TableRefills3[discountinuation_flag], TableRefills3[patient_id], A2060)</f>
        <v>1</v>
      </c>
    </row>
    <row r="2061" spans="1:9" x14ac:dyDescent="0.25">
      <c r="A2061" t="s">
        <v>3277</v>
      </c>
      <c r="B2061" t="s">
        <v>3278</v>
      </c>
      <c r="C2061" s="3">
        <v>45883</v>
      </c>
      <c r="D2061">
        <v>30</v>
      </c>
      <c r="E2061" s="3">
        <f t="shared" si="32"/>
        <v>45850</v>
      </c>
      <c r="F2061" s="3">
        <f>IF(TableRefills3[[#This Row],[prev_refill_days]]="","",TableRefills3[[#This Row],[prev_refill_days]]+TableRefills3[[#This Row],[quantity_days]])</f>
        <v>45880</v>
      </c>
      <c r="G2061">
        <f>IF(TableRefills3[[#This Row],[prev_refill_end]]="","",TableRefills3[[#This Row],[refill_date]]-TableRefills3[[#This Row],[prev_refill_end]])</f>
        <v>3</v>
      </c>
      <c r="H2061" s="10">
        <f>IF(TableRefills3[[#This Row],[gap_days]]="",0,IF(TableRefills3[[#This Row],[gap_days]]&gt;2,1,0))</f>
        <v>1</v>
      </c>
      <c r="I2061">
        <f>_xlfn.MAXIFS(TableRefills3[discountinuation_flag], TableRefills3[patient_id], A2061)</f>
        <v>1</v>
      </c>
    </row>
    <row r="2062" spans="1:9" x14ac:dyDescent="0.25">
      <c r="A2062" t="s">
        <v>3277</v>
      </c>
      <c r="B2062" t="s">
        <v>3278</v>
      </c>
      <c r="C2062" s="3">
        <v>45910</v>
      </c>
      <c r="D2062">
        <v>30</v>
      </c>
      <c r="E2062" s="3">
        <f t="shared" si="32"/>
        <v>45883</v>
      </c>
      <c r="F2062" s="3">
        <f>IF(TableRefills3[[#This Row],[prev_refill_days]]="","",TableRefills3[[#This Row],[prev_refill_days]]+TableRefills3[[#This Row],[quantity_days]])</f>
        <v>45913</v>
      </c>
      <c r="G2062">
        <f>IF(TableRefills3[[#This Row],[prev_refill_end]]="","",TableRefills3[[#This Row],[refill_date]]-TableRefills3[[#This Row],[prev_refill_end]])</f>
        <v>-3</v>
      </c>
      <c r="H2062" s="10">
        <f>IF(TableRefills3[[#This Row],[gap_days]]="",0,IF(TableRefills3[[#This Row],[gap_days]]&gt;2,1,0))</f>
        <v>0</v>
      </c>
      <c r="I2062">
        <f>_xlfn.MAXIFS(TableRefills3[discountinuation_flag], TableRefills3[patient_id], A2062)</f>
        <v>1</v>
      </c>
    </row>
    <row r="2063" spans="1:9" x14ac:dyDescent="0.25">
      <c r="A2063" t="s">
        <v>3277</v>
      </c>
      <c r="B2063" t="s">
        <v>3278</v>
      </c>
      <c r="C2063" s="3">
        <v>45940</v>
      </c>
      <c r="D2063">
        <v>30</v>
      </c>
      <c r="E2063" s="3">
        <f t="shared" si="32"/>
        <v>45910</v>
      </c>
      <c r="F2063" s="3">
        <f>IF(TableRefills3[[#This Row],[prev_refill_days]]="","",TableRefills3[[#This Row],[prev_refill_days]]+TableRefills3[[#This Row],[quantity_days]])</f>
        <v>45940</v>
      </c>
      <c r="G2063">
        <f>IF(TableRefills3[[#This Row],[prev_refill_end]]="","",TableRefills3[[#This Row],[refill_date]]-TableRefills3[[#This Row],[prev_refill_end]])</f>
        <v>0</v>
      </c>
      <c r="H2063" s="10">
        <f>IF(TableRefills3[[#This Row],[gap_days]]="",0,IF(TableRefills3[[#This Row],[gap_days]]&gt;2,1,0))</f>
        <v>0</v>
      </c>
      <c r="I2063">
        <f>_xlfn.MAXIFS(TableRefills3[discountinuation_flag], TableRefills3[patient_id], A2063)</f>
        <v>1</v>
      </c>
    </row>
    <row r="2064" spans="1:9" x14ac:dyDescent="0.25">
      <c r="A2064" t="s">
        <v>3285</v>
      </c>
      <c r="B2064" t="s">
        <v>3286</v>
      </c>
      <c r="C2064" s="3">
        <v>45816</v>
      </c>
      <c r="D2064">
        <v>28</v>
      </c>
      <c r="E2064" s="3" t="str">
        <f t="shared" si="32"/>
        <v/>
      </c>
      <c r="F2064" s="3" t="str">
        <f>IF(TableRefills3[[#This Row],[prev_refill_days]]="","",TableRefills3[[#This Row],[prev_refill_days]]+TableRefills3[[#This Row],[quantity_days]])</f>
        <v/>
      </c>
      <c r="G2064" t="str">
        <f>IF(TableRefills3[[#This Row],[prev_refill_end]]="","",TableRefills3[[#This Row],[refill_date]]-TableRefills3[[#This Row],[prev_refill_end]])</f>
        <v/>
      </c>
      <c r="H2064" s="10">
        <f>IF(TableRefills3[[#This Row],[gap_days]]="",0,IF(TableRefills3[[#This Row],[gap_days]]&gt;2,1,0))</f>
        <v>0</v>
      </c>
      <c r="I2064">
        <f>_xlfn.MAXIFS(TableRefills3[discountinuation_flag], TableRefills3[patient_id], A2064)</f>
        <v>1</v>
      </c>
    </row>
    <row r="2065" spans="1:9" x14ac:dyDescent="0.25">
      <c r="A2065" t="s">
        <v>3285</v>
      </c>
      <c r="B2065" t="s">
        <v>3286</v>
      </c>
      <c r="C2065" s="3">
        <v>45847</v>
      </c>
      <c r="D2065">
        <v>28</v>
      </c>
      <c r="E2065" s="3">
        <f t="shared" si="32"/>
        <v>45816</v>
      </c>
      <c r="F2065" s="3">
        <f>IF(TableRefills3[[#This Row],[prev_refill_days]]="","",TableRefills3[[#This Row],[prev_refill_days]]+TableRefills3[[#This Row],[quantity_days]])</f>
        <v>45844</v>
      </c>
      <c r="G2065">
        <f>IF(TableRefills3[[#This Row],[prev_refill_end]]="","",TableRefills3[[#This Row],[refill_date]]-TableRefills3[[#This Row],[prev_refill_end]])</f>
        <v>3</v>
      </c>
      <c r="H2065" s="10">
        <f>IF(TableRefills3[[#This Row],[gap_days]]="",0,IF(TableRefills3[[#This Row],[gap_days]]&gt;2,1,0))</f>
        <v>1</v>
      </c>
      <c r="I2065">
        <f>_xlfn.MAXIFS(TableRefills3[discountinuation_flag], TableRefills3[patient_id], A2065)</f>
        <v>1</v>
      </c>
    </row>
    <row r="2066" spans="1:9" x14ac:dyDescent="0.25">
      <c r="A2066" t="s">
        <v>3285</v>
      </c>
      <c r="B2066" t="s">
        <v>3286</v>
      </c>
      <c r="C2066" s="3">
        <v>45876</v>
      </c>
      <c r="D2066">
        <v>28</v>
      </c>
      <c r="E2066" s="3">
        <f t="shared" si="32"/>
        <v>45847</v>
      </c>
      <c r="F2066" s="3">
        <f>IF(TableRefills3[[#This Row],[prev_refill_days]]="","",TableRefills3[[#This Row],[prev_refill_days]]+TableRefills3[[#This Row],[quantity_days]])</f>
        <v>45875</v>
      </c>
      <c r="G2066">
        <f>IF(TableRefills3[[#This Row],[prev_refill_end]]="","",TableRefills3[[#This Row],[refill_date]]-TableRefills3[[#This Row],[prev_refill_end]])</f>
        <v>1</v>
      </c>
      <c r="H2066" s="10">
        <f>IF(TableRefills3[[#This Row],[gap_days]]="",0,IF(TableRefills3[[#This Row],[gap_days]]&gt;2,1,0))</f>
        <v>0</v>
      </c>
      <c r="I2066">
        <f>_xlfn.MAXIFS(TableRefills3[discountinuation_flag], TableRefills3[patient_id], A2066)</f>
        <v>1</v>
      </c>
    </row>
    <row r="2067" spans="1:9" x14ac:dyDescent="0.25">
      <c r="A2067" t="s">
        <v>3285</v>
      </c>
      <c r="B2067" t="s">
        <v>3286</v>
      </c>
      <c r="C2067" s="3">
        <v>45904</v>
      </c>
      <c r="D2067">
        <v>28</v>
      </c>
      <c r="E2067" s="3">
        <f t="shared" si="32"/>
        <v>45876</v>
      </c>
      <c r="F2067" s="3">
        <f>IF(TableRefills3[[#This Row],[prev_refill_days]]="","",TableRefills3[[#This Row],[prev_refill_days]]+TableRefills3[[#This Row],[quantity_days]])</f>
        <v>45904</v>
      </c>
      <c r="G2067">
        <f>IF(TableRefills3[[#This Row],[prev_refill_end]]="","",TableRefills3[[#This Row],[refill_date]]-TableRefills3[[#This Row],[prev_refill_end]])</f>
        <v>0</v>
      </c>
      <c r="H2067" s="10">
        <f>IF(TableRefills3[[#This Row],[gap_days]]="",0,IF(TableRefills3[[#This Row],[gap_days]]&gt;2,1,0))</f>
        <v>0</v>
      </c>
      <c r="I2067">
        <f>_xlfn.MAXIFS(TableRefills3[discountinuation_flag], TableRefills3[patient_id], A2067)</f>
        <v>1</v>
      </c>
    </row>
    <row r="2068" spans="1:9" x14ac:dyDescent="0.25">
      <c r="A2068" t="s">
        <v>3285</v>
      </c>
      <c r="B2068" t="s">
        <v>3286</v>
      </c>
      <c r="C2068" s="3">
        <v>45930</v>
      </c>
      <c r="D2068">
        <v>28</v>
      </c>
      <c r="E2068" s="3">
        <f t="shared" si="32"/>
        <v>45904</v>
      </c>
      <c r="F2068" s="3">
        <f>IF(TableRefills3[[#This Row],[prev_refill_days]]="","",TableRefills3[[#This Row],[prev_refill_days]]+TableRefills3[[#This Row],[quantity_days]])</f>
        <v>45932</v>
      </c>
      <c r="G2068">
        <f>IF(TableRefills3[[#This Row],[prev_refill_end]]="","",TableRefills3[[#This Row],[refill_date]]-TableRefills3[[#This Row],[prev_refill_end]])</f>
        <v>-2</v>
      </c>
      <c r="H2068" s="10">
        <f>IF(TableRefills3[[#This Row],[gap_days]]="",0,IF(TableRefills3[[#This Row],[gap_days]]&gt;2,1,0))</f>
        <v>0</v>
      </c>
      <c r="I2068">
        <f>_xlfn.MAXIFS(TableRefills3[discountinuation_flag], TableRefills3[patient_id], A2068)</f>
        <v>1</v>
      </c>
    </row>
    <row r="2069" spans="1:9" x14ac:dyDescent="0.25">
      <c r="A2069" t="s">
        <v>3285</v>
      </c>
      <c r="B2069" t="s">
        <v>3286</v>
      </c>
      <c r="C2069" s="3">
        <v>45960</v>
      </c>
      <c r="D2069">
        <v>28</v>
      </c>
      <c r="E2069" s="3">
        <f t="shared" si="32"/>
        <v>45930</v>
      </c>
      <c r="F2069" s="3">
        <f>IF(TableRefills3[[#This Row],[prev_refill_days]]="","",TableRefills3[[#This Row],[prev_refill_days]]+TableRefills3[[#This Row],[quantity_days]])</f>
        <v>45958</v>
      </c>
      <c r="G2069">
        <f>IF(TableRefills3[[#This Row],[prev_refill_end]]="","",TableRefills3[[#This Row],[refill_date]]-TableRefills3[[#This Row],[prev_refill_end]])</f>
        <v>2</v>
      </c>
      <c r="H2069" s="10">
        <f>IF(TableRefills3[[#This Row],[gap_days]]="",0,IF(TableRefills3[[#This Row],[gap_days]]&gt;2,1,0))</f>
        <v>0</v>
      </c>
      <c r="I2069">
        <f>_xlfn.MAXIFS(TableRefills3[discountinuation_flag], TableRefills3[patient_id], A2069)</f>
        <v>1</v>
      </c>
    </row>
    <row r="2070" spans="1:9" x14ac:dyDescent="0.25">
      <c r="A2070" t="s">
        <v>3293</v>
      </c>
      <c r="B2070" t="s">
        <v>3294</v>
      </c>
      <c r="C2070" s="3">
        <v>45833</v>
      </c>
      <c r="D2070">
        <v>28</v>
      </c>
      <c r="E2070" s="3" t="str">
        <f t="shared" si="32"/>
        <v/>
      </c>
      <c r="F2070" s="3" t="str">
        <f>IF(TableRefills3[[#This Row],[prev_refill_days]]="","",TableRefills3[[#This Row],[prev_refill_days]]+TableRefills3[[#This Row],[quantity_days]])</f>
        <v/>
      </c>
      <c r="G2070" t="str">
        <f>IF(TableRefills3[[#This Row],[prev_refill_end]]="","",TableRefills3[[#This Row],[refill_date]]-TableRefills3[[#This Row],[prev_refill_end]])</f>
        <v/>
      </c>
      <c r="H2070" s="10">
        <f>IF(TableRefills3[[#This Row],[gap_days]]="",0,IF(TableRefills3[[#This Row],[gap_days]]&gt;2,1,0))</f>
        <v>0</v>
      </c>
      <c r="I2070">
        <f>_xlfn.MAXIFS(TableRefills3[discountinuation_flag], TableRefills3[patient_id], A2070)</f>
        <v>0</v>
      </c>
    </row>
    <row r="2071" spans="1:9" x14ac:dyDescent="0.25">
      <c r="A2071" t="s">
        <v>3293</v>
      </c>
      <c r="B2071" t="s">
        <v>3294</v>
      </c>
      <c r="C2071" s="3">
        <v>45861</v>
      </c>
      <c r="D2071">
        <v>28</v>
      </c>
      <c r="E2071" s="3">
        <f t="shared" si="32"/>
        <v>45833</v>
      </c>
      <c r="F2071" s="3">
        <f>IF(TableRefills3[[#This Row],[prev_refill_days]]="","",TableRefills3[[#This Row],[prev_refill_days]]+TableRefills3[[#This Row],[quantity_days]])</f>
        <v>45861</v>
      </c>
      <c r="G2071">
        <f>IF(TableRefills3[[#This Row],[prev_refill_end]]="","",TableRefills3[[#This Row],[refill_date]]-TableRefills3[[#This Row],[prev_refill_end]])</f>
        <v>0</v>
      </c>
      <c r="H2071" s="10">
        <f>IF(TableRefills3[[#This Row],[gap_days]]="",0,IF(TableRefills3[[#This Row],[gap_days]]&gt;2,1,0))</f>
        <v>0</v>
      </c>
      <c r="I2071">
        <f>_xlfn.MAXIFS(TableRefills3[discountinuation_flag], TableRefills3[patient_id], A2071)</f>
        <v>0</v>
      </c>
    </row>
    <row r="2072" spans="1:9" x14ac:dyDescent="0.25">
      <c r="A2072" t="s">
        <v>3293</v>
      </c>
      <c r="B2072" t="s">
        <v>3294</v>
      </c>
      <c r="C2072" s="3">
        <v>45890</v>
      </c>
      <c r="D2072">
        <v>28</v>
      </c>
      <c r="E2072" s="3">
        <f t="shared" si="32"/>
        <v>45861</v>
      </c>
      <c r="F2072" s="3">
        <f>IF(TableRefills3[[#This Row],[prev_refill_days]]="","",TableRefills3[[#This Row],[prev_refill_days]]+TableRefills3[[#This Row],[quantity_days]])</f>
        <v>45889</v>
      </c>
      <c r="G2072">
        <f>IF(TableRefills3[[#This Row],[prev_refill_end]]="","",TableRefills3[[#This Row],[refill_date]]-TableRefills3[[#This Row],[prev_refill_end]])</f>
        <v>1</v>
      </c>
      <c r="H2072" s="10">
        <f>IF(TableRefills3[[#This Row],[gap_days]]="",0,IF(TableRefills3[[#This Row],[gap_days]]&gt;2,1,0))</f>
        <v>0</v>
      </c>
      <c r="I2072">
        <f>_xlfn.MAXIFS(TableRefills3[discountinuation_flag], TableRefills3[patient_id], A2072)</f>
        <v>0</v>
      </c>
    </row>
    <row r="2073" spans="1:9" x14ac:dyDescent="0.25">
      <c r="A2073" t="s">
        <v>3293</v>
      </c>
      <c r="B2073" t="s">
        <v>3294</v>
      </c>
      <c r="C2073" s="3">
        <v>45915</v>
      </c>
      <c r="D2073">
        <v>28</v>
      </c>
      <c r="E2073" s="3">
        <f t="shared" si="32"/>
        <v>45890</v>
      </c>
      <c r="F2073" s="3">
        <f>IF(TableRefills3[[#This Row],[prev_refill_days]]="","",TableRefills3[[#This Row],[prev_refill_days]]+TableRefills3[[#This Row],[quantity_days]])</f>
        <v>45918</v>
      </c>
      <c r="G2073">
        <f>IF(TableRefills3[[#This Row],[prev_refill_end]]="","",TableRefills3[[#This Row],[refill_date]]-TableRefills3[[#This Row],[prev_refill_end]])</f>
        <v>-3</v>
      </c>
      <c r="H2073" s="10">
        <f>IF(TableRefills3[[#This Row],[gap_days]]="",0,IF(TableRefills3[[#This Row],[gap_days]]&gt;2,1,0))</f>
        <v>0</v>
      </c>
      <c r="I2073">
        <f>_xlfn.MAXIFS(TableRefills3[discountinuation_flag], TableRefills3[patient_id], A2073)</f>
        <v>0</v>
      </c>
    </row>
    <row r="2074" spans="1:9" x14ac:dyDescent="0.25">
      <c r="A2074" t="s">
        <v>3293</v>
      </c>
      <c r="B2074" t="s">
        <v>3294</v>
      </c>
      <c r="C2074" s="3">
        <v>45944</v>
      </c>
      <c r="D2074">
        <v>28</v>
      </c>
      <c r="E2074" s="3">
        <f t="shared" si="32"/>
        <v>45915</v>
      </c>
      <c r="F2074" s="3">
        <f>IF(TableRefills3[[#This Row],[prev_refill_days]]="","",TableRefills3[[#This Row],[prev_refill_days]]+TableRefills3[[#This Row],[quantity_days]])</f>
        <v>45943</v>
      </c>
      <c r="G2074">
        <f>IF(TableRefills3[[#This Row],[prev_refill_end]]="","",TableRefills3[[#This Row],[refill_date]]-TableRefills3[[#This Row],[prev_refill_end]])</f>
        <v>1</v>
      </c>
      <c r="H2074" s="10">
        <f>IF(TableRefills3[[#This Row],[gap_days]]="",0,IF(TableRefills3[[#This Row],[gap_days]]&gt;2,1,0))</f>
        <v>0</v>
      </c>
      <c r="I2074">
        <f>_xlfn.MAXIFS(TableRefills3[discountinuation_flag], TableRefills3[patient_id], A2074)</f>
        <v>0</v>
      </c>
    </row>
    <row r="2075" spans="1:9" x14ac:dyDescent="0.25">
      <c r="A2075" t="s">
        <v>3300</v>
      </c>
      <c r="B2075" t="s">
        <v>3301</v>
      </c>
      <c r="C2075" s="3">
        <v>45894</v>
      </c>
      <c r="D2075">
        <v>56</v>
      </c>
      <c r="E2075" s="3" t="str">
        <f t="shared" si="32"/>
        <v/>
      </c>
      <c r="F2075" s="3" t="str">
        <f>IF(TableRefills3[[#This Row],[prev_refill_days]]="","",TableRefills3[[#This Row],[prev_refill_days]]+TableRefills3[[#This Row],[quantity_days]])</f>
        <v/>
      </c>
      <c r="G2075" t="str">
        <f>IF(TableRefills3[[#This Row],[prev_refill_end]]="","",TableRefills3[[#This Row],[refill_date]]-TableRefills3[[#This Row],[prev_refill_end]])</f>
        <v/>
      </c>
      <c r="H2075" s="10">
        <f>IF(TableRefills3[[#This Row],[gap_days]]="",0,IF(TableRefills3[[#This Row],[gap_days]]&gt;2,1,0))</f>
        <v>0</v>
      </c>
      <c r="I2075">
        <f>_xlfn.MAXIFS(TableRefills3[discountinuation_flag], TableRefills3[patient_id], A2075)</f>
        <v>1</v>
      </c>
    </row>
    <row r="2076" spans="1:9" x14ac:dyDescent="0.25">
      <c r="A2076" t="s">
        <v>3300</v>
      </c>
      <c r="B2076" t="s">
        <v>3301</v>
      </c>
      <c r="C2076" s="3">
        <v>45953</v>
      </c>
      <c r="D2076">
        <v>56</v>
      </c>
      <c r="E2076" s="3">
        <f t="shared" si="32"/>
        <v>45894</v>
      </c>
      <c r="F2076" s="3">
        <f>IF(TableRefills3[[#This Row],[prev_refill_days]]="","",TableRefills3[[#This Row],[prev_refill_days]]+TableRefills3[[#This Row],[quantity_days]])</f>
        <v>45950</v>
      </c>
      <c r="G2076">
        <f>IF(TableRefills3[[#This Row],[prev_refill_end]]="","",TableRefills3[[#This Row],[refill_date]]-TableRefills3[[#This Row],[prev_refill_end]])</f>
        <v>3</v>
      </c>
      <c r="H2076" s="10">
        <f>IF(TableRefills3[[#This Row],[gap_days]]="",0,IF(TableRefills3[[#This Row],[gap_days]]&gt;2,1,0))</f>
        <v>1</v>
      </c>
      <c r="I2076">
        <f>_xlfn.MAXIFS(TableRefills3[discountinuation_flag], TableRefills3[patient_id], A2076)</f>
        <v>1</v>
      </c>
    </row>
    <row r="2077" spans="1:9" x14ac:dyDescent="0.25">
      <c r="A2077" t="s">
        <v>3304</v>
      </c>
      <c r="B2077" t="s">
        <v>3305</v>
      </c>
      <c r="C2077" s="3">
        <v>45793</v>
      </c>
      <c r="D2077">
        <v>30</v>
      </c>
      <c r="E2077" s="3" t="str">
        <f t="shared" si="32"/>
        <v/>
      </c>
      <c r="F2077" s="3" t="str">
        <f>IF(TableRefills3[[#This Row],[prev_refill_days]]="","",TableRefills3[[#This Row],[prev_refill_days]]+TableRefills3[[#This Row],[quantity_days]])</f>
        <v/>
      </c>
      <c r="G2077" t="str">
        <f>IF(TableRefills3[[#This Row],[prev_refill_end]]="","",TableRefills3[[#This Row],[refill_date]]-TableRefills3[[#This Row],[prev_refill_end]])</f>
        <v/>
      </c>
      <c r="H2077" s="10">
        <f>IF(TableRefills3[[#This Row],[gap_days]]="",0,IF(TableRefills3[[#This Row],[gap_days]]&gt;2,1,0))</f>
        <v>0</v>
      </c>
      <c r="I2077">
        <f>_xlfn.MAXIFS(TableRefills3[discountinuation_flag], TableRefills3[patient_id], A2077)</f>
        <v>0</v>
      </c>
    </row>
    <row r="2078" spans="1:9" x14ac:dyDescent="0.25">
      <c r="A2078" t="s">
        <v>3304</v>
      </c>
      <c r="B2078" t="s">
        <v>3305</v>
      </c>
      <c r="C2078" s="3">
        <v>45821</v>
      </c>
      <c r="D2078">
        <v>30</v>
      </c>
      <c r="E2078" s="3">
        <f t="shared" si="32"/>
        <v>45793</v>
      </c>
      <c r="F2078" s="3">
        <f>IF(TableRefills3[[#This Row],[prev_refill_days]]="","",TableRefills3[[#This Row],[prev_refill_days]]+TableRefills3[[#This Row],[quantity_days]])</f>
        <v>45823</v>
      </c>
      <c r="G2078">
        <f>IF(TableRefills3[[#This Row],[prev_refill_end]]="","",TableRefills3[[#This Row],[refill_date]]-TableRefills3[[#This Row],[prev_refill_end]])</f>
        <v>-2</v>
      </c>
      <c r="H2078" s="10">
        <f>IF(TableRefills3[[#This Row],[gap_days]]="",0,IF(TableRefills3[[#This Row],[gap_days]]&gt;2,1,0))</f>
        <v>0</v>
      </c>
      <c r="I2078">
        <f>_xlfn.MAXIFS(TableRefills3[discountinuation_flag], TableRefills3[patient_id], A2078)</f>
        <v>0</v>
      </c>
    </row>
    <row r="2079" spans="1:9" x14ac:dyDescent="0.25">
      <c r="A2079" t="s">
        <v>3304</v>
      </c>
      <c r="B2079" t="s">
        <v>3305</v>
      </c>
      <c r="C2079" s="3">
        <v>45848</v>
      </c>
      <c r="D2079">
        <v>30</v>
      </c>
      <c r="E2079" s="3">
        <f t="shared" si="32"/>
        <v>45821</v>
      </c>
      <c r="F2079" s="3">
        <f>IF(TableRefills3[[#This Row],[prev_refill_days]]="","",TableRefills3[[#This Row],[prev_refill_days]]+TableRefills3[[#This Row],[quantity_days]])</f>
        <v>45851</v>
      </c>
      <c r="G2079">
        <f>IF(TableRefills3[[#This Row],[prev_refill_end]]="","",TableRefills3[[#This Row],[refill_date]]-TableRefills3[[#This Row],[prev_refill_end]])</f>
        <v>-3</v>
      </c>
      <c r="H2079" s="10">
        <f>IF(TableRefills3[[#This Row],[gap_days]]="",0,IF(TableRefills3[[#This Row],[gap_days]]&gt;2,1,0))</f>
        <v>0</v>
      </c>
      <c r="I2079">
        <f>_xlfn.MAXIFS(TableRefills3[discountinuation_flag], TableRefills3[patient_id], A2079)</f>
        <v>0</v>
      </c>
    </row>
    <row r="2080" spans="1:9" x14ac:dyDescent="0.25">
      <c r="A2080" t="s">
        <v>3304</v>
      </c>
      <c r="B2080" t="s">
        <v>3305</v>
      </c>
      <c r="C2080" s="3">
        <v>45877</v>
      </c>
      <c r="D2080">
        <v>30</v>
      </c>
      <c r="E2080" s="3">
        <f t="shared" si="32"/>
        <v>45848</v>
      </c>
      <c r="F2080" s="3">
        <f>IF(TableRefills3[[#This Row],[prev_refill_days]]="","",TableRefills3[[#This Row],[prev_refill_days]]+TableRefills3[[#This Row],[quantity_days]])</f>
        <v>45878</v>
      </c>
      <c r="G2080">
        <f>IF(TableRefills3[[#This Row],[prev_refill_end]]="","",TableRefills3[[#This Row],[refill_date]]-TableRefills3[[#This Row],[prev_refill_end]])</f>
        <v>-1</v>
      </c>
      <c r="H2080" s="10">
        <f>IF(TableRefills3[[#This Row],[gap_days]]="",0,IF(TableRefills3[[#This Row],[gap_days]]&gt;2,1,0))</f>
        <v>0</v>
      </c>
      <c r="I2080">
        <f>_xlfn.MAXIFS(TableRefills3[discountinuation_flag], TableRefills3[patient_id], A2080)</f>
        <v>0</v>
      </c>
    </row>
    <row r="2081" spans="1:9" x14ac:dyDescent="0.25">
      <c r="A2081" t="s">
        <v>3304</v>
      </c>
      <c r="B2081" t="s">
        <v>3305</v>
      </c>
      <c r="C2081" s="3">
        <v>45905</v>
      </c>
      <c r="D2081">
        <v>30</v>
      </c>
      <c r="E2081" s="3">
        <f t="shared" si="32"/>
        <v>45877</v>
      </c>
      <c r="F2081" s="3">
        <f>IF(TableRefills3[[#This Row],[prev_refill_days]]="","",TableRefills3[[#This Row],[prev_refill_days]]+TableRefills3[[#This Row],[quantity_days]])</f>
        <v>45907</v>
      </c>
      <c r="G2081">
        <f>IF(TableRefills3[[#This Row],[prev_refill_end]]="","",TableRefills3[[#This Row],[refill_date]]-TableRefills3[[#This Row],[prev_refill_end]])</f>
        <v>-2</v>
      </c>
      <c r="H2081" s="10">
        <f>IF(TableRefills3[[#This Row],[gap_days]]="",0,IF(TableRefills3[[#This Row],[gap_days]]&gt;2,1,0))</f>
        <v>0</v>
      </c>
      <c r="I2081">
        <f>_xlfn.MAXIFS(TableRefills3[discountinuation_flag], TableRefills3[patient_id], A2081)</f>
        <v>0</v>
      </c>
    </row>
    <row r="2082" spans="1:9" x14ac:dyDescent="0.25">
      <c r="A2082" t="s">
        <v>3304</v>
      </c>
      <c r="B2082" t="s">
        <v>3305</v>
      </c>
      <c r="C2082" s="3">
        <v>45932</v>
      </c>
      <c r="D2082">
        <v>30</v>
      </c>
      <c r="E2082" s="3">
        <f t="shared" si="32"/>
        <v>45905</v>
      </c>
      <c r="F2082" s="3">
        <f>IF(TableRefills3[[#This Row],[prev_refill_days]]="","",TableRefills3[[#This Row],[prev_refill_days]]+TableRefills3[[#This Row],[quantity_days]])</f>
        <v>45935</v>
      </c>
      <c r="G2082">
        <f>IF(TableRefills3[[#This Row],[prev_refill_end]]="","",TableRefills3[[#This Row],[refill_date]]-TableRefills3[[#This Row],[prev_refill_end]])</f>
        <v>-3</v>
      </c>
      <c r="H2082" s="10">
        <f>IF(TableRefills3[[#This Row],[gap_days]]="",0,IF(TableRefills3[[#This Row],[gap_days]]&gt;2,1,0))</f>
        <v>0</v>
      </c>
      <c r="I2082">
        <f>_xlfn.MAXIFS(TableRefills3[discountinuation_flag], TableRefills3[patient_id], A2082)</f>
        <v>0</v>
      </c>
    </row>
    <row r="2083" spans="1:9" x14ac:dyDescent="0.25">
      <c r="A2083" t="s">
        <v>3312</v>
      </c>
      <c r="B2083" t="s">
        <v>3313</v>
      </c>
      <c r="C2083" s="3">
        <v>45941</v>
      </c>
      <c r="D2083">
        <v>28</v>
      </c>
      <c r="E2083" s="3" t="str">
        <f t="shared" si="32"/>
        <v/>
      </c>
      <c r="F2083" s="3" t="str">
        <f>IF(TableRefills3[[#This Row],[prev_refill_days]]="","",TableRefills3[[#This Row],[prev_refill_days]]+TableRefills3[[#This Row],[quantity_days]])</f>
        <v/>
      </c>
      <c r="G2083" t="str">
        <f>IF(TableRefills3[[#This Row],[prev_refill_end]]="","",TableRefills3[[#This Row],[refill_date]]-TableRefills3[[#This Row],[prev_refill_end]])</f>
        <v/>
      </c>
      <c r="H2083" s="10">
        <f>IF(TableRefills3[[#This Row],[gap_days]]="",0,IF(TableRefills3[[#This Row],[gap_days]]&gt;2,1,0))</f>
        <v>0</v>
      </c>
      <c r="I2083">
        <f>_xlfn.MAXIFS(TableRefills3[discountinuation_flag], TableRefills3[patient_id], A2083)</f>
        <v>0</v>
      </c>
    </row>
    <row r="2084" spans="1:9" x14ac:dyDescent="0.25">
      <c r="A2084" t="s">
        <v>3315</v>
      </c>
      <c r="B2084" t="s">
        <v>3316</v>
      </c>
      <c r="C2084" s="3">
        <v>45935</v>
      </c>
      <c r="D2084">
        <v>28</v>
      </c>
      <c r="E2084" s="3" t="str">
        <f t="shared" si="32"/>
        <v/>
      </c>
      <c r="F2084" s="3" t="str">
        <f>IF(TableRefills3[[#This Row],[prev_refill_days]]="","",TableRefills3[[#This Row],[prev_refill_days]]+TableRefills3[[#This Row],[quantity_days]])</f>
        <v/>
      </c>
      <c r="G2084" t="str">
        <f>IF(TableRefills3[[#This Row],[prev_refill_end]]="","",TableRefills3[[#This Row],[refill_date]]-TableRefills3[[#This Row],[prev_refill_end]])</f>
        <v/>
      </c>
      <c r="H2084" s="10">
        <f>IF(TableRefills3[[#This Row],[gap_days]]="",0,IF(TableRefills3[[#This Row],[gap_days]]&gt;2,1,0))</f>
        <v>0</v>
      </c>
      <c r="I2084">
        <f>_xlfn.MAXIFS(TableRefills3[discountinuation_flag], TableRefills3[patient_id], A2084)</f>
        <v>0</v>
      </c>
    </row>
    <row r="2085" spans="1:9" x14ac:dyDescent="0.25">
      <c r="A2085" t="s">
        <v>3315</v>
      </c>
      <c r="B2085" t="s">
        <v>3316</v>
      </c>
      <c r="C2085" s="3">
        <v>45960</v>
      </c>
      <c r="D2085">
        <v>28</v>
      </c>
      <c r="E2085" s="3">
        <f t="shared" si="32"/>
        <v>45935</v>
      </c>
      <c r="F2085" s="3">
        <f>IF(TableRefills3[[#This Row],[prev_refill_days]]="","",TableRefills3[[#This Row],[prev_refill_days]]+TableRefills3[[#This Row],[quantity_days]])</f>
        <v>45963</v>
      </c>
      <c r="G2085">
        <f>IF(TableRefills3[[#This Row],[prev_refill_end]]="","",TableRefills3[[#This Row],[refill_date]]-TableRefills3[[#This Row],[prev_refill_end]])</f>
        <v>-3</v>
      </c>
      <c r="H2085" s="10">
        <f>IF(TableRefills3[[#This Row],[gap_days]]="",0,IF(TableRefills3[[#This Row],[gap_days]]&gt;2,1,0))</f>
        <v>0</v>
      </c>
      <c r="I2085">
        <f>_xlfn.MAXIFS(TableRefills3[discountinuation_flag], TableRefills3[patient_id], A2085)</f>
        <v>0</v>
      </c>
    </row>
    <row r="2086" spans="1:9" x14ac:dyDescent="0.25">
      <c r="A2086" t="s">
        <v>3319</v>
      </c>
      <c r="B2086" t="s">
        <v>3320</v>
      </c>
      <c r="C2086" s="3">
        <v>45946</v>
      </c>
      <c r="D2086">
        <v>28</v>
      </c>
      <c r="E2086" s="3" t="str">
        <f t="shared" si="32"/>
        <v/>
      </c>
      <c r="F2086" s="3" t="str">
        <f>IF(TableRefills3[[#This Row],[prev_refill_days]]="","",TableRefills3[[#This Row],[prev_refill_days]]+TableRefills3[[#This Row],[quantity_days]])</f>
        <v/>
      </c>
      <c r="G2086" t="str">
        <f>IF(TableRefills3[[#This Row],[prev_refill_end]]="","",TableRefills3[[#This Row],[refill_date]]-TableRefills3[[#This Row],[prev_refill_end]])</f>
        <v/>
      </c>
      <c r="H2086" s="10">
        <f>IF(TableRefills3[[#This Row],[gap_days]]="",0,IF(TableRefills3[[#This Row],[gap_days]]&gt;2,1,0))</f>
        <v>0</v>
      </c>
      <c r="I2086">
        <f>_xlfn.MAXIFS(TableRefills3[discountinuation_flag], TableRefills3[patient_id], A2086)</f>
        <v>0</v>
      </c>
    </row>
    <row r="2087" spans="1:9" x14ac:dyDescent="0.25">
      <c r="A2087" t="s">
        <v>3322</v>
      </c>
      <c r="B2087" t="s">
        <v>3323</v>
      </c>
      <c r="C2087" s="3">
        <v>45782</v>
      </c>
      <c r="D2087">
        <v>28</v>
      </c>
      <c r="E2087" s="3" t="str">
        <f t="shared" si="32"/>
        <v/>
      </c>
      <c r="F2087" s="3" t="str">
        <f>IF(TableRefills3[[#This Row],[prev_refill_days]]="","",TableRefills3[[#This Row],[prev_refill_days]]+TableRefills3[[#This Row],[quantity_days]])</f>
        <v/>
      </c>
      <c r="G2087" t="str">
        <f>IF(TableRefills3[[#This Row],[prev_refill_end]]="","",TableRefills3[[#This Row],[refill_date]]-TableRefills3[[#This Row],[prev_refill_end]])</f>
        <v/>
      </c>
      <c r="H2087" s="10">
        <f>IF(TableRefills3[[#This Row],[gap_days]]="",0,IF(TableRefills3[[#This Row],[gap_days]]&gt;2,1,0))</f>
        <v>0</v>
      </c>
      <c r="I2087">
        <f>_xlfn.MAXIFS(TableRefills3[discountinuation_flag], TableRefills3[patient_id], A2087)</f>
        <v>1</v>
      </c>
    </row>
    <row r="2088" spans="1:9" x14ac:dyDescent="0.25">
      <c r="A2088" t="s">
        <v>3322</v>
      </c>
      <c r="B2088" t="s">
        <v>3323</v>
      </c>
      <c r="C2088" s="3">
        <v>45812</v>
      </c>
      <c r="D2088">
        <v>28</v>
      </c>
      <c r="E2088" s="3">
        <f t="shared" si="32"/>
        <v>45782</v>
      </c>
      <c r="F2088" s="3">
        <f>IF(TableRefills3[[#This Row],[prev_refill_days]]="","",TableRefills3[[#This Row],[prev_refill_days]]+TableRefills3[[#This Row],[quantity_days]])</f>
        <v>45810</v>
      </c>
      <c r="G2088">
        <f>IF(TableRefills3[[#This Row],[prev_refill_end]]="","",TableRefills3[[#This Row],[refill_date]]-TableRefills3[[#This Row],[prev_refill_end]])</f>
        <v>2</v>
      </c>
      <c r="H2088" s="10">
        <f>IF(TableRefills3[[#This Row],[gap_days]]="",0,IF(TableRefills3[[#This Row],[gap_days]]&gt;2,1,0))</f>
        <v>0</v>
      </c>
      <c r="I2088">
        <f>_xlfn.MAXIFS(TableRefills3[discountinuation_flag], TableRefills3[patient_id], A2088)</f>
        <v>1</v>
      </c>
    </row>
    <row r="2089" spans="1:9" x14ac:dyDescent="0.25">
      <c r="A2089" t="s">
        <v>3322</v>
      </c>
      <c r="B2089" t="s">
        <v>3323</v>
      </c>
      <c r="C2089" s="3">
        <v>45841</v>
      </c>
      <c r="D2089">
        <v>28</v>
      </c>
      <c r="E2089" s="3">
        <f t="shared" si="32"/>
        <v>45812</v>
      </c>
      <c r="F2089" s="3">
        <f>IF(TableRefills3[[#This Row],[prev_refill_days]]="","",TableRefills3[[#This Row],[prev_refill_days]]+TableRefills3[[#This Row],[quantity_days]])</f>
        <v>45840</v>
      </c>
      <c r="G2089">
        <f>IF(TableRefills3[[#This Row],[prev_refill_end]]="","",TableRefills3[[#This Row],[refill_date]]-TableRefills3[[#This Row],[prev_refill_end]])</f>
        <v>1</v>
      </c>
      <c r="H2089" s="10">
        <f>IF(TableRefills3[[#This Row],[gap_days]]="",0,IF(TableRefills3[[#This Row],[gap_days]]&gt;2,1,0))</f>
        <v>0</v>
      </c>
      <c r="I2089">
        <f>_xlfn.MAXIFS(TableRefills3[discountinuation_flag], TableRefills3[patient_id], A2089)</f>
        <v>1</v>
      </c>
    </row>
    <row r="2090" spans="1:9" x14ac:dyDescent="0.25">
      <c r="A2090" t="s">
        <v>3322</v>
      </c>
      <c r="B2090" t="s">
        <v>3323</v>
      </c>
      <c r="C2090" s="3">
        <v>45871</v>
      </c>
      <c r="D2090">
        <v>28</v>
      </c>
      <c r="E2090" s="3">
        <f t="shared" si="32"/>
        <v>45841</v>
      </c>
      <c r="F2090" s="3">
        <f>IF(TableRefills3[[#This Row],[prev_refill_days]]="","",TableRefills3[[#This Row],[prev_refill_days]]+TableRefills3[[#This Row],[quantity_days]])</f>
        <v>45869</v>
      </c>
      <c r="G2090">
        <f>IF(TableRefills3[[#This Row],[prev_refill_end]]="","",TableRefills3[[#This Row],[refill_date]]-TableRefills3[[#This Row],[prev_refill_end]])</f>
        <v>2</v>
      </c>
      <c r="H2090" s="10">
        <f>IF(TableRefills3[[#This Row],[gap_days]]="",0,IF(TableRefills3[[#This Row],[gap_days]]&gt;2,1,0))</f>
        <v>0</v>
      </c>
      <c r="I2090">
        <f>_xlfn.MAXIFS(TableRefills3[discountinuation_flag], TableRefills3[patient_id], A2090)</f>
        <v>1</v>
      </c>
    </row>
    <row r="2091" spans="1:9" x14ac:dyDescent="0.25">
      <c r="A2091" t="s">
        <v>3322</v>
      </c>
      <c r="B2091" t="s">
        <v>3323</v>
      </c>
      <c r="C2091" s="3">
        <v>45900</v>
      </c>
      <c r="D2091">
        <v>28</v>
      </c>
      <c r="E2091" s="3">
        <f t="shared" si="32"/>
        <v>45871</v>
      </c>
      <c r="F2091" s="3">
        <f>IF(TableRefills3[[#This Row],[prev_refill_days]]="","",TableRefills3[[#This Row],[prev_refill_days]]+TableRefills3[[#This Row],[quantity_days]])</f>
        <v>45899</v>
      </c>
      <c r="G2091">
        <f>IF(TableRefills3[[#This Row],[prev_refill_end]]="","",TableRefills3[[#This Row],[refill_date]]-TableRefills3[[#This Row],[prev_refill_end]])</f>
        <v>1</v>
      </c>
      <c r="H2091" s="10">
        <f>IF(TableRefills3[[#This Row],[gap_days]]="",0,IF(TableRefills3[[#This Row],[gap_days]]&gt;2,1,0))</f>
        <v>0</v>
      </c>
      <c r="I2091">
        <f>_xlfn.MAXIFS(TableRefills3[discountinuation_flag], TableRefills3[patient_id], A2091)</f>
        <v>1</v>
      </c>
    </row>
    <row r="2092" spans="1:9" x14ac:dyDescent="0.25">
      <c r="A2092" t="s">
        <v>3322</v>
      </c>
      <c r="B2092" t="s">
        <v>3323</v>
      </c>
      <c r="C2092" s="3">
        <v>45931</v>
      </c>
      <c r="D2092">
        <v>28</v>
      </c>
      <c r="E2092" s="3">
        <f t="shared" si="32"/>
        <v>45900</v>
      </c>
      <c r="F2092" s="3">
        <f>IF(TableRefills3[[#This Row],[prev_refill_days]]="","",TableRefills3[[#This Row],[prev_refill_days]]+TableRefills3[[#This Row],[quantity_days]])</f>
        <v>45928</v>
      </c>
      <c r="G2092">
        <f>IF(TableRefills3[[#This Row],[prev_refill_end]]="","",TableRefills3[[#This Row],[refill_date]]-TableRefills3[[#This Row],[prev_refill_end]])</f>
        <v>3</v>
      </c>
      <c r="H2092" s="10">
        <f>IF(TableRefills3[[#This Row],[gap_days]]="",0,IF(TableRefills3[[#This Row],[gap_days]]&gt;2,1,0))</f>
        <v>1</v>
      </c>
      <c r="I2092">
        <f>_xlfn.MAXIFS(TableRefills3[discountinuation_flag], TableRefills3[patient_id], A2092)</f>
        <v>1</v>
      </c>
    </row>
    <row r="2093" spans="1:9" x14ac:dyDescent="0.25">
      <c r="A2093" t="s">
        <v>3322</v>
      </c>
      <c r="B2093" t="s">
        <v>3323</v>
      </c>
      <c r="C2093" s="3">
        <v>45957</v>
      </c>
      <c r="D2093">
        <v>28</v>
      </c>
      <c r="E2093" s="3">
        <f t="shared" si="32"/>
        <v>45931</v>
      </c>
      <c r="F2093" s="3">
        <f>IF(TableRefills3[[#This Row],[prev_refill_days]]="","",TableRefills3[[#This Row],[prev_refill_days]]+TableRefills3[[#This Row],[quantity_days]])</f>
        <v>45959</v>
      </c>
      <c r="G2093">
        <f>IF(TableRefills3[[#This Row],[prev_refill_end]]="","",TableRefills3[[#This Row],[refill_date]]-TableRefills3[[#This Row],[prev_refill_end]])</f>
        <v>-2</v>
      </c>
      <c r="H2093" s="10">
        <f>IF(TableRefills3[[#This Row],[gap_days]]="",0,IF(TableRefills3[[#This Row],[gap_days]]&gt;2,1,0))</f>
        <v>0</v>
      </c>
      <c r="I2093">
        <f>_xlfn.MAXIFS(TableRefills3[discountinuation_flag], TableRefills3[patient_id], A2093)</f>
        <v>1</v>
      </c>
    </row>
    <row r="2094" spans="1:9" x14ac:dyDescent="0.25">
      <c r="A2094" t="s">
        <v>3331</v>
      </c>
      <c r="B2094" t="s">
        <v>3332</v>
      </c>
      <c r="C2094" s="3">
        <v>45914</v>
      </c>
      <c r="D2094">
        <v>56</v>
      </c>
      <c r="E2094" s="3" t="str">
        <f t="shared" si="32"/>
        <v/>
      </c>
      <c r="F2094" s="3" t="str">
        <f>IF(TableRefills3[[#This Row],[prev_refill_days]]="","",TableRefills3[[#This Row],[prev_refill_days]]+TableRefills3[[#This Row],[quantity_days]])</f>
        <v/>
      </c>
      <c r="G2094" t="str">
        <f>IF(TableRefills3[[#This Row],[prev_refill_end]]="","",TableRefills3[[#This Row],[refill_date]]-TableRefills3[[#This Row],[prev_refill_end]])</f>
        <v/>
      </c>
      <c r="H2094" s="10">
        <f>IF(TableRefills3[[#This Row],[gap_days]]="",0,IF(TableRefills3[[#This Row],[gap_days]]&gt;2,1,0))</f>
        <v>0</v>
      </c>
      <c r="I2094">
        <f>_xlfn.MAXIFS(TableRefills3[discountinuation_flag], TableRefills3[patient_id], A2094)</f>
        <v>0</v>
      </c>
    </row>
    <row r="2095" spans="1:9" x14ac:dyDescent="0.25">
      <c r="A2095" t="s">
        <v>3334</v>
      </c>
      <c r="B2095" t="s">
        <v>3335</v>
      </c>
      <c r="C2095" s="3">
        <v>45883</v>
      </c>
      <c r="D2095">
        <v>28</v>
      </c>
      <c r="E2095" s="3" t="str">
        <f t="shared" si="32"/>
        <v/>
      </c>
      <c r="F2095" s="3" t="str">
        <f>IF(TableRefills3[[#This Row],[prev_refill_days]]="","",TableRefills3[[#This Row],[prev_refill_days]]+TableRefills3[[#This Row],[quantity_days]])</f>
        <v/>
      </c>
      <c r="G2095" t="str">
        <f>IF(TableRefills3[[#This Row],[prev_refill_end]]="","",TableRefills3[[#This Row],[refill_date]]-TableRefills3[[#This Row],[prev_refill_end]])</f>
        <v/>
      </c>
      <c r="H2095" s="10">
        <f>IF(TableRefills3[[#This Row],[gap_days]]="",0,IF(TableRefills3[[#This Row],[gap_days]]&gt;2,1,0))</f>
        <v>0</v>
      </c>
      <c r="I2095">
        <f>_xlfn.MAXIFS(TableRefills3[discountinuation_flag], TableRefills3[patient_id], A2095)</f>
        <v>1</v>
      </c>
    </row>
    <row r="2096" spans="1:9" x14ac:dyDescent="0.25">
      <c r="A2096" t="s">
        <v>3334</v>
      </c>
      <c r="B2096" t="s">
        <v>3335</v>
      </c>
      <c r="C2096" s="3">
        <v>45908</v>
      </c>
      <c r="D2096">
        <v>28</v>
      </c>
      <c r="E2096" s="3">
        <f t="shared" si="32"/>
        <v>45883</v>
      </c>
      <c r="F2096" s="3">
        <f>IF(TableRefills3[[#This Row],[prev_refill_days]]="","",TableRefills3[[#This Row],[prev_refill_days]]+TableRefills3[[#This Row],[quantity_days]])</f>
        <v>45911</v>
      </c>
      <c r="G2096">
        <f>IF(TableRefills3[[#This Row],[prev_refill_end]]="","",TableRefills3[[#This Row],[refill_date]]-TableRefills3[[#This Row],[prev_refill_end]])</f>
        <v>-3</v>
      </c>
      <c r="H2096" s="10">
        <f>IF(TableRefills3[[#This Row],[gap_days]]="",0,IF(TableRefills3[[#This Row],[gap_days]]&gt;2,1,0))</f>
        <v>0</v>
      </c>
      <c r="I2096">
        <f>_xlfn.MAXIFS(TableRefills3[discountinuation_flag], TableRefills3[patient_id], A2096)</f>
        <v>1</v>
      </c>
    </row>
    <row r="2097" spans="1:9" x14ac:dyDescent="0.25">
      <c r="A2097" t="s">
        <v>3334</v>
      </c>
      <c r="B2097" t="s">
        <v>3335</v>
      </c>
      <c r="C2097" s="3">
        <v>45939</v>
      </c>
      <c r="D2097">
        <v>28</v>
      </c>
      <c r="E2097" s="3">
        <f t="shared" si="32"/>
        <v>45908</v>
      </c>
      <c r="F2097" s="3">
        <f>IF(TableRefills3[[#This Row],[prev_refill_days]]="","",TableRefills3[[#This Row],[prev_refill_days]]+TableRefills3[[#This Row],[quantity_days]])</f>
        <v>45936</v>
      </c>
      <c r="G2097">
        <f>IF(TableRefills3[[#This Row],[prev_refill_end]]="","",TableRefills3[[#This Row],[refill_date]]-TableRefills3[[#This Row],[prev_refill_end]])</f>
        <v>3</v>
      </c>
      <c r="H2097" s="10">
        <f>IF(TableRefills3[[#This Row],[gap_days]]="",0,IF(TableRefills3[[#This Row],[gap_days]]&gt;2,1,0))</f>
        <v>1</v>
      </c>
      <c r="I2097">
        <f>_xlfn.MAXIFS(TableRefills3[discountinuation_flag], TableRefills3[patient_id], A2097)</f>
        <v>1</v>
      </c>
    </row>
    <row r="2098" spans="1:9" x14ac:dyDescent="0.25">
      <c r="A2098" t="s">
        <v>3339</v>
      </c>
      <c r="B2098" t="s">
        <v>3340</v>
      </c>
      <c r="C2098" s="3">
        <v>45782</v>
      </c>
      <c r="D2098">
        <v>28</v>
      </c>
      <c r="E2098" s="3" t="str">
        <f t="shared" si="32"/>
        <v/>
      </c>
      <c r="F2098" s="3" t="str">
        <f>IF(TableRefills3[[#This Row],[prev_refill_days]]="","",TableRefills3[[#This Row],[prev_refill_days]]+TableRefills3[[#This Row],[quantity_days]])</f>
        <v/>
      </c>
      <c r="G2098" t="str">
        <f>IF(TableRefills3[[#This Row],[prev_refill_end]]="","",TableRefills3[[#This Row],[refill_date]]-TableRefills3[[#This Row],[prev_refill_end]])</f>
        <v/>
      </c>
      <c r="H2098" s="10">
        <f>IF(TableRefills3[[#This Row],[gap_days]]="",0,IF(TableRefills3[[#This Row],[gap_days]]&gt;2,1,0))</f>
        <v>0</v>
      </c>
      <c r="I2098">
        <f>_xlfn.MAXIFS(TableRefills3[discountinuation_flag], TableRefills3[patient_id], A2098)</f>
        <v>0</v>
      </c>
    </row>
    <row r="2099" spans="1:9" x14ac:dyDescent="0.25">
      <c r="A2099" t="s">
        <v>3339</v>
      </c>
      <c r="B2099" t="s">
        <v>3340</v>
      </c>
      <c r="C2099" s="3">
        <v>45810</v>
      </c>
      <c r="D2099">
        <v>28</v>
      </c>
      <c r="E2099" s="3">
        <f t="shared" si="32"/>
        <v>45782</v>
      </c>
      <c r="F2099" s="3">
        <f>IF(TableRefills3[[#This Row],[prev_refill_days]]="","",TableRefills3[[#This Row],[prev_refill_days]]+TableRefills3[[#This Row],[quantity_days]])</f>
        <v>45810</v>
      </c>
      <c r="G2099">
        <f>IF(TableRefills3[[#This Row],[prev_refill_end]]="","",TableRefills3[[#This Row],[refill_date]]-TableRefills3[[#This Row],[prev_refill_end]])</f>
        <v>0</v>
      </c>
      <c r="H2099" s="10">
        <f>IF(TableRefills3[[#This Row],[gap_days]]="",0,IF(TableRefills3[[#This Row],[gap_days]]&gt;2,1,0))</f>
        <v>0</v>
      </c>
      <c r="I2099">
        <f>_xlfn.MAXIFS(TableRefills3[discountinuation_flag], TableRefills3[patient_id], A2099)</f>
        <v>0</v>
      </c>
    </row>
    <row r="2100" spans="1:9" x14ac:dyDescent="0.25">
      <c r="A2100" t="s">
        <v>3339</v>
      </c>
      <c r="B2100" t="s">
        <v>3340</v>
      </c>
      <c r="C2100" s="3">
        <v>45835</v>
      </c>
      <c r="D2100">
        <v>28</v>
      </c>
      <c r="E2100" s="3">
        <f t="shared" si="32"/>
        <v>45810</v>
      </c>
      <c r="F2100" s="3">
        <f>IF(TableRefills3[[#This Row],[prev_refill_days]]="","",TableRefills3[[#This Row],[prev_refill_days]]+TableRefills3[[#This Row],[quantity_days]])</f>
        <v>45838</v>
      </c>
      <c r="G2100">
        <f>IF(TableRefills3[[#This Row],[prev_refill_end]]="","",TableRefills3[[#This Row],[refill_date]]-TableRefills3[[#This Row],[prev_refill_end]])</f>
        <v>-3</v>
      </c>
      <c r="H2100" s="10">
        <f>IF(TableRefills3[[#This Row],[gap_days]]="",0,IF(TableRefills3[[#This Row],[gap_days]]&gt;2,1,0))</f>
        <v>0</v>
      </c>
      <c r="I2100">
        <f>_xlfn.MAXIFS(TableRefills3[discountinuation_flag], TableRefills3[patient_id], A2100)</f>
        <v>0</v>
      </c>
    </row>
    <row r="2101" spans="1:9" x14ac:dyDescent="0.25">
      <c r="A2101" t="s">
        <v>3339</v>
      </c>
      <c r="B2101" t="s">
        <v>3340</v>
      </c>
      <c r="C2101" s="3">
        <v>45863</v>
      </c>
      <c r="D2101">
        <v>28</v>
      </c>
      <c r="E2101" s="3">
        <f t="shared" si="32"/>
        <v>45835</v>
      </c>
      <c r="F2101" s="3">
        <f>IF(TableRefills3[[#This Row],[prev_refill_days]]="","",TableRefills3[[#This Row],[prev_refill_days]]+TableRefills3[[#This Row],[quantity_days]])</f>
        <v>45863</v>
      </c>
      <c r="G2101">
        <f>IF(TableRefills3[[#This Row],[prev_refill_end]]="","",TableRefills3[[#This Row],[refill_date]]-TableRefills3[[#This Row],[prev_refill_end]])</f>
        <v>0</v>
      </c>
      <c r="H2101" s="10">
        <f>IF(TableRefills3[[#This Row],[gap_days]]="",0,IF(TableRefills3[[#This Row],[gap_days]]&gt;2,1,0))</f>
        <v>0</v>
      </c>
      <c r="I2101">
        <f>_xlfn.MAXIFS(TableRefills3[discountinuation_flag], TableRefills3[patient_id], A2101)</f>
        <v>0</v>
      </c>
    </row>
    <row r="2102" spans="1:9" x14ac:dyDescent="0.25">
      <c r="A2102" t="s">
        <v>3339</v>
      </c>
      <c r="B2102" t="s">
        <v>3340</v>
      </c>
      <c r="C2102" s="3">
        <v>45892</v>
      </c>
      <c r="D2102">
        <v>28</v>
      </c>
      <c r="E2102" s="3">
        <f t="shared" si="32"/>
        <v>45863</v>
      </c>
      <c r="F2102" s="3">
        <f>IF(TableRefills3[[#This Row],[prev_refill_days]]="","",TableRefills3[[#This Row],[prev_refill_days]]+TableRefills3[[#This Row],[quantity_days]])</f>
        <v>45891</v>
      </c>
      <c r="G2102">
        <f>IF(TableRefills3[[#This Row],[prev_refill_end]]="","",TableRefills3[[#This Row],[refill_date]]-TableRefills3[[#This Row],[prev_refill_end]])</f>
        <v>1</v>
      </c>
      <c r="H2102" s="10">
        <f>IF(TableRefills3[[#This Row],[gap_days]]="",0,IF(TableRefills3[[#This Row],[gap_days]]&gt;2,1,0))</f>
        <v>0</v>
      </c>
      <c r="I2102">
        <f>_xlfn.MAXIFS(TableRefills3[discountinuation_flag], TableRefills3[patient_id], A2102)</f>
        <v>0</v>
      </c>
    </row>
    <row r="2103" spans="1:9" x14ac:dyDescent="0.25">
      <c r="A2103" t="s">
        <v>3339</v>
      </c>
      <c r="B2103" t="s">
        <v>3340</v>
      </c>
      <c r="C2103" s="3">
        <v>45919</v>
      </c>
      <c r="D2103">
        <v>28</v>
      </c>
      <c r="E2103" s="3">
        <f t="shared" si="32"/>
        <v>45892</v>
      </c>
      <c r="F2103" s="3">
        <f>IF(TableRefills3[[#This Row],[prev_refill_days]]="","",TableRefills3[[#This Row],[prev_refill_days]]+TableRefills3[[#This Row],[quantity_days]])</f>
        <v>45920</v>
      </c>
      <c r="G2103">
        <f>IF(TableRefills3[[#This Row],[prev_refill_end]]="","",TableRefills3[[#This Row],[refill_date]]-TableRefills3[[#This Row],[prev_refill_end]])</f>
        <v>-1</v>
      </c>
      <c r="H2103" s="10">
        <f>IF(TableRefills3[[#This Row],[gap_days]]="",0,IF(TableRefills3[[#This Row],[gap_days]]&gt;2,1,0))</f>
        <v>0</v>
      </c>
      <c r="I2103">
        <f>_xlfn.MAXIFS(TableRefills3[discountinuation_flag], TableRefills3[patient_id], A2103)</f>
        <v>0</v>
      </c>
    </row>
    <row r="2104" spans="1:9" x14ac:dyDescent="0.25">
      <c r="A2104" t="s">
        <v>3339</v>
      </c>
      <c r="B2104" t="s">
        <v>3340</v>
      </c>
      <c r="C2104" s="3">
        <v>45945</v>
      </c>
      <c r="D2104">
        <v>28</v>
      </c>
      <c r="E2104" s="3">
        <f t="shared" si="32"/>
        <v>45919</v>
      </c>
      <c r="F2104" s="3">
        <f>IF(TableRefills3[[#This Row],[prev_refill_days]]="","",TableRefills3[[#This Row],[prev_refill_days]]+TableRefills3[[#This Row],[quantity_days]])</f>
        <v>45947</v>
      </c>
      <c r="G2104">
        <f>IF(TableRefills3[[#This Row],[prev_refill_end]]="","",TableRefills3[[#This Row],[refill_date]]-TableRefills3[[#This Row],[prev_refill_end]])</f>
        <v>-2</v>
      </c>
      <c r="H2104" s="10">
        <f>IF(TableRefills3[[#This Row],[gap_days]]="",0,IF(TableRefills3[[#This Row],[gap_days]]&gt;2,1,0))</f>
        <v>0</v>
      </c>
      <c r="I2104">
        <f>_xlfn.MAXIFS(TableRefills3[discountinuation_flag], TableRefills3[patient_id], A2104)</f>
        <v>0</v>
      </c>
    </row>
    <row r="2105" spans="1:9" x14ac:dyDescent="0.25">
      <c r="A2105" t="s">
        <v>3348</v>
      </c>
      <c r="B2105" t="s">
        <v>3349</v>
      </c>
      <c r="C2105" s="3">
        <v>45848</v>
      </c>
      <c r="D2105">
        <v>28</v>
      </c>
      <c r="E2105" s="3" t="str">
        <f t="shared" si="32"/>
        <v/>
      </c>
      <c r="F2105" s="3" t="str">
        <f>IF(TableRefills3[[#This Row],[prev_refill_days]]="","",TableRefills3[[#This Row],[prev_refill_days]]+TableRefills3[[#This Row],[quantity_days]])</f>
        <v/>
      </c>
      <c r="G2105" t="str">
        <f>IF(TableRefills3[[#This Row],[prev_refill_end]]="","",TableRefills3[[#This Row],[refill_date]]-TableRefills3[[#This Row],[prev_refill_end]])</f>
        <v/>
      </c>
      <c r="H2105" s="10">
        <f>IF(TableRefills3[[#This Row],[gap_days]]="",0,IF(TableRefills3[[#This Row],[gap_days]]&gt;2,1,0))</f>
        <v>0</v>
      </c>
      <c r="I2105">
        <f>_xlfn.MAXIFS(TableRefills3[discountinuation_flag], TableRefills3[patient_id], A2105)</f>
        <v>0</v>
      </c>
    </row>
    <row r="2106" spans="1:9" x14ac:dyDescent="0.25">
      <c r="A2106" t="s">
        <v>3348</v>
      </c>
      <c r="B2106" t="s">
        <v>3349</v>
      </c>
      <c r="C2106" s="3">
        <v>45875</v>
      </c>
      <c r="D2106">
        <v>28</v>
      </c>
      <c r="E2106" s="3">
        <f t="shared" si="32"/>
        <v>45848</v>
      </c>
      <c r="F2106" s="3">
        <f>IF(TableRefills3[[#This Row],[prev_refill_days]]="","",TableRefills3[[#This Row],[prev_refill_days]]+TableRefills3[[#This Row],[quantity_days]])</f>
        <v>45876</v>
      </c>
      <c r="G2106">
        <f>IF(TableRefills3[[#This Row],[prev_refill_end]]="","",TableRefills3[[#This Row],[refill_date]]-TableRefills3[[#This Row],[prev_refill_end]])</f>
        <v>-1</v>
      </c>
      <c r="H2106" s="10">
        <f>IF(TableRefills3[[#This Row],[gap_days]]="",0,IF(TableRefills3[[#This Row],[gap_days]]&gt;2,1,0))</f>
        <v>0</v>
      </c>
      <c r="I2106">
        <f>_xlfn.MAXIFS(TableRefills3[discountinuation_flag], TableRefills3[patient_id], A2106)</f>
        <v>0</v>
      </c>
    </row>
    <row r="2107" spans="1:9" x14ac:dyDescent="0.25">
      <c r="A2107" t="s">
        <v>3348</v>
      </c>
      <c r="B2107" t="s">
        <v>3349</v>
      </c>
      <c r="C2107" s="3">
        <v>45904</v>
      </c>
      <c r="D2107">
        <v>28</v>
      </c>
      <c r="E2107" s="3">
        <f t="shared" si="32"/>
        <v>45875</v>
      </c>
      <c r="F2107" s="3">
        <f>IF(TableRefills3[[#This Row],[prev_refill_days]]="","",TableRefills3[[#This Row],[prev_refill_days]]+TableRefills3[[#This Row],[quantity_days]])</f>
        <v>45903</v>
      </c>
      <c r="G2107">
        <f>IF(TableRefills3[[#This Row],[prev_refill_end]]="","",TableRefills3[[#This Row],[refill_date]]-TableRefills3[[#This Row],[prev_refill_end]])</f>
        <v>1</v>
      </c>
      <c r="H2107" s="10">
        <f>IF(TableRefills3[[#This Row],[gap_days]]="",0,IF(TableRefills3[[#This Row],[gap_days]]&gt;2,1,0))</f>
        <v>0</v>
      </c>
      <c r="I2107">
        <f>_xlfn.MAXIFS(TableRefills3[discountinuation_flag], TableRefills3[patient_id], A2107)</f>
        <v>0</v>
      </c>
    </row>
    <row r="2108" spans="1:9" x14ac:dyDescent="0.25">
      <c r="A2108" t="s">
        <v>3348</v>
      </c>
      <c r="B2108" t="s">
        <v>3349</v>
      </c>
      <c r="C2108" s="3">
        <v>45933</v>
      </c>
      <c r="D2108">
        <v>28</v>
      </c>
      <c r="E2108" s="3">
        <f t="shared" si="32"/>
        <v>45904</v>
      </c>
      <c r="F2108" s="3">
        <f>IF(TableRefills3[[#This Row],[prev_refill_days]]="","",TableRefills3[[#This Row],[prev_refill_days]]+TableRefills3[[#This Row],[quantity_days]])</f>
        <v>45932</v>
      </c>
      <c r="G2108">
        <f>IF(TableRefills3[[#This Row],[prev_refill_end]]="","",TableRefills3[[#This Row],[refill_date]]-TableRefills3[[#This Row],[prev_refill_end]])</f>
        <v>1</v>
      </c>
      <c r="H2108" s="10">
        <f>IF(TableRefills3[[#This Row],[gap_days]]="",0,IF(TableRefills3[[#This Row],[gap_days]]&gt;2,1,0))</f>
        <v>0</v>
      </c>
      <c r="I2108">
        <f>_xlfn.MAXIFS(TableRefills3[discountinuation_flag], TableRefills3[patient_id], A2108)</f>
        <v>0</v>
      </c>
    </row>
    <row r="2109" spans="1:9" x14ac:dyDescent="0.25">
      <c r="A2109" t="s">
        <v>3354</v>
      </c>
      <c r="B2109" t="s">
        <v>3355</v>
      </c>
      <c r="C2109" s="3">
        <v>45851</v>
      </c>
      <c r="D2109">
        <v>28</v>
      </c>
      <c r="E2109" s="3" t="str">
        <f t="shared" si="32"/>
        <v/>
      </c>
      <c r="F2109" s="3" t="str">
        <f>IF(TableRefills3[[#This Row],[prev_refill_days]]="","",TableRefills3[[#This Row],[prev_refill_days]]+TableRefills3[[#This Row],[quantity_days]])</f>
        <v/>
      </c>
      <c r="G2109" t="str">
        <f>IF(TableRefills3[[#This Row],[prev_refill_end]]="","",TableRefills3[[#This Row],[refill_date]]-TableRefills3[[#This Row],[prev_refill_end]])</f>
        <v/>
      </c>
      <c r="H2109" s="10">
        <f>IF(TableRefills3[[#This Row],[gap_days]]="",0,IF(TableRefills3[[#This Row],[gap_days]]&gt;2,1,0))</f>
        <v>0</v>
      </c>
      <c r="I2109">
        <f>_xlfn.MAXIFS(TableRefills3[discountinuation_flag], TableRefills3[patient_id], A2109)</f>
        <v>0</v>
      </c>
    </row>
    <row r="2110" spans="1:9" x14ac:dyDescent="0.25">
      <c r="A2110" t="s">
        <v>3354</v>
      </c>
      <c r="B2110" t="s">
        <v>3355</v>
      </c>
      <c r="C2110" s="3">
        <v>45880</v>
      </c>
      <c r="D2110">
        <v>28</v>
      </c>
      <c r="E2110" s="3">
        <f t="shared" si="32"/>
        <v>45851</v>
      </c>
      <c r="F2110" s="3">
        <f>IF(TableRefills3[[#This Row],[prev_refill_days]]="","",TableRefills3[[#This Row],[prev_refill_days]]+TableRefills3[[#This Row],[quantity_days]])</f>
        <v>45879</v>
      </c>
      <c r="G2110">
        <f>IF(TableRefills3[[#This Row],[prev_refill_end]]="","",TableRefills3[[#This Row],[refill_date]]-TableRefills3[[#This Row],[prev_refill_end]])</f>
        <v>1</v>
      </c>
      <c r="H2110" s="10">
        <f>IF(TableRefills3[[#This Row],[gap_days]]="",0,IF(TableRefills3[[#This Row],[gap_days]]&gt;2,1,0))</f>
        <v>0</v>
      </c>
      <c r="I2110">
        <f>_xlfn.MAXIFS(TableRefills3[discountinuation_flag], TableRefills3[patient_id], A2110)</f>
        <v>0</v>
      </c>
    </row>
    <row r="2111" spans="1:9" x14ac:dyDescent="0.25">
      <c r="A2111" t="s">
        <v>3354</v>
      </c>
      <c r="B2111" t="s">
        <v>3355</v>
      </c>
      <c r="C2111" s="3">
        <v>45905</v>
      </c>
      <c r="D2111">
        <v>28</v>
      </c>
      <c r="E2111" s="3">
        <f t="shared" si="32"/>
        <v>45880</v>
      </c>
      <c r="F2111" s="3">
        <f>IF(TableRefills3[[#This Row],[prev_refill_days]]="","",TableRefills3[[#This Row],[prev_refill_days]]+TableRefills3[[#This Row],[quantity_days]])</f>
        <v>45908</v>
      </c>
      <c r="G2111">
        <f>IF(TableRefills3[[#This Row],[prev_refill_end]]="","",TableRefills3[[#This Row],[refill_date]]-TableRefills3[[#This Row],[prev_refill_end]])</f>
        <v>-3</v>
      </c>
      <c r="H2111" s="10">
        <f>IF(TableRefills3[[#This Row],[gap_days]]="",0,IF(TableRefills3[[#This Row],[gap_days]]&gt;2,1,0))</f>
        <v>0</v>
      </c>
      <c r="I2111">
        <f>_xlfn.MAXIFS(TableRefills3[discountinuation_flag], TableRefills3[patient_id], A2111)</f>
        <v>0</v>
      </c>
    </row>
    <row r="2112" spans="1:9" x14ac:dyDescent="0.25">
      <c r="A2112" t="s">
        <v>3354</v>
      </c>
      <c r="B2112" t="s">
        <v>3355</v>
      </c>
      <c r="C2112" s="3">
        <v>45935</v>
      </c>
      <c r="D2112">
        <v>28</v>
      </c>
      <c r="E2112" s="3">
        <f t="shared" si="32"/>
        <v>45905</v>
      </c>
      <c r="F2112" s="3">
        <f>IF(TableRefills3[[#This Row],[prev_refill_days]]="","",TableRefills3[[#This Row],[prev_refill_days]]+TableRefills3[[#This Row],[quantity_days]])</f>
        <v>45933</v>
      </c>
      <c r="G2112">
        <f>IF(TableRefills3[[#This Row],[prev_refill_end]]="","",TableRefills3[[#This Row],[refill_date]]-TableRefills3[[#This Row],[prev_refill_end]])</f>
        <v>2</v>
      </c>
      <c r="H2112" s="10">
        <f>IF(TableRefills3[[#This Row],[gap_days]]="",0,IF(TableRefills3[[#This Row],[gap_days]]&gt;2,1,0))</f>
        <v>0</v>
      </c>
      <c r="I2112">
        <f>_xlfn.MAXIFS(TableRefills3[discountinuation_flag], TableRefills3[patient_id], A2112)</f>
        <v>0</v>
      </c>
    </row>
    <row r="2113" spans="1:9" x14ac:dyDescent="0.25">
      <c r="A2113" t="s">
        <v>3360</v>
      </c>
      <c r="B2113" t="s">
        <v>3361</v>
      </c>
      <c r="C2113" s="3">
        <v>45906</v>
      </c>
      <c r="D2113">
        <v>28</v>
      </c>
      <c r="E2113" s="3" t="str">
        <f t="shared" si="32"/>
        <v/>
      </c>
      <c r="F2113" s="3" t="str">
        <f>IF(TableRefills3[[#This Row],[prev_refill_days]]="","",TableRefills3[[#This Row],[prev_refill_days]]+TableRefills3[[#This Row],[quantity_days]])</f>
        <v/>
      </c>
      <c r="G2113" t="str">
        <f>IF(TableRefills3[[#This Row],[prev_refill_end]]="","",TableRefills3[[#This Row],[refill_date]]-TableRefills3[[#This Row],[prev_refill_end]])</f>
        <v/>
      </c>
      <c r="H2113" s="10">
        <f>IF(TableRefills3[[#This Row],[gap_days]]="",0,IF(TableRefills3[[#This Row],[gap_days]]&gt;2,1,0))</f>
        <v>0</v>
      </c>
      <c r="I2113">
        <f>_xlfn.MAXIFS(TableRefills3[discountinuation_flag], TableRefills3[patient_id], A2113)</f>
        <v>0</v>
      </c>
    </row>
    <row r="2114" spans="1:9" x14ac:dyDescent="0.25">
      <c r="A2114" t="s">
        <v>3360</v>
      </c>
      <c r="B2114" t="s">
        <v>3361</v>
      </c>
      <c r="C2114" s="3">
        <v>45934</v>
      </c>
      <c r="D2114">
        <v>28</v>
      </c>
      <c r="E2114" s="3">
        <f t="shared" ref="E2114:E2177" si="33">IF(A2113=A2114,C2113,"")</f>
        <v>45906</v>
      </c>
      <c r="F2114" s="3">
        <f>IF(TableRefills3[[#This Row],[prev_refill_days]]="","",TableRefills3[[#This Row],[prev_refill_days]]+TableRefills3[[#This Row],[quantity_days]])</f>
        <v>45934</v>
      </c>
      <c r="G2114">
        <f>IF(TableRefills3[[#This Row],[prev_refill_end]]="","",TableRefills3[[#This Row],[refill_date]]-TableRefills3[[#This Row],[prev_refill_end]])</f>
        <v>0</v>
      </c>
      <c r="H2114" s="10">
        <f>IF(TableRefills3[[#This Row],[gap_days]]="",0,IF(TableRefills3[[#This Row],[gap_days]]&gt;2,1,0))</f>
        <v>0</v>
      </c>
      <c r="I2114">
        <f>_xlfn.MAXIFS(TableRefills3[discountinuation_flag], TableRefills3[patient_id], A2114)</f>
        <v>0</v>
      </c>
    </row>
    <row r="2115" spans="1:9" x14ac:dyDescent="0.25">
      <c r="A2115" t="s">
        <v>3364</v>
      </c>
      <c r="B2115" t="s">
        <v>3365</v>
      </c>
      <c r="C2115" s="3">
        <v>45956</v>
      </c>
      <c r="D2115">
        <v>56</v>
      </c>
      <c r="E2115" s="3" t="str">
        <f t="shared" si="33"/>
        <v/>
      </c>
      <c r="F2115" s="3" t="str">
        <f>IF(TableRefills3[[#This Row],[prev_refill_days]]="","",TableRefills3[[#This Row],[prev_refill_days]]+TableRefills3[[#This Row],[quantity_days]])</f>
        <v/>
      </c>
      <c r="G2115" t="str">
        <f>IF(TableRefills3[[#This Row],[prev_refill_end]]="","",TableRefills3[[#This Row],[refill_date]]-TableRefills3[[#This Row],[prev_refill_end]])</f>
        <v/>
      </c>
      <c r="H2115" s="10">
        <f>IF(TableRefills3[[#This Row],[gap_days]]="",0,IF(TableRefills3[[#This Row],[gap_days]]&gt;2,1,0))</f>
        <v>0</v>
      </c>
      <c r="I2115">
        <f>_xlfn.MAXIFS(TableRefills3[discountinuation_flag], TableRefills3[patient_id], A2115)</f>
        <v>0</v>
      </c>
    </row>
    <row r="2116" spans="1:9" x14ac:dyDescent="0.25">
      <c r="A2116" t="s">
        <v>3367</v>
      </c>
      <c r="B2116" t="s">
        <v>3368</v>
      </c>
      <c r="C2116" s="3">
        <v>45888</v>
      </c>
      <c r="D2116">
        <v>30</v>
      </c>
      <c r="E2116" s="3" t="str">
        <f t="shared" si="33"/>
        <v/>
      </c>
      <c r="F2116" s="3" t="str">
        <f>IF(TableRefills3[[#This Row],[prev_refill_days]]="","",TableRefills3[[#This Row],[prev_refill_days]]+TableRefills3[[#This Row],[quantity_days]])</f>
        <v/>
      </c>
      <c r="G2116" t="str">
        <f>IF(TableRefills3[[#This Row],[prev_refill_end]]="","",TableRefills3[[#This Row],[refill_date]]-TableRefills3[[#This Row],[prev_refill_end]])</f>
        <v/>
      </c>
      <c r="H2116" s="10">
        <f>IF(TableRefills3[[#This Row],[gap_days]]="",0,IF(TableRefills3[[#This Row],[gap_days]]&gt;2,1,0))</f>
        <v>0</v>
      </c>
      <c r="I2116">
        <f>_xlfn.MAXIFS(TableRefills3[discountinuation_flag], TableRefills3[patient_id], A2116)</f>
        <v>0</v>
      </c>
    </row>
    <row r="2117" spans="1:9" x14ac:dyDescent="0.25">
      <c r="A2117" t="s">
        <v>3367</v>
      </c>
      <c r="B2117" t="s">
        <v>3368</v>
      </c>
      <c r="C2117" s="3">
        <v>45918</v>
      </c>
      <c r="D2117">
        <v>30</v>
      </c>
      <c r="E2117" s="3">
        <f t="shared" si="33"/>
        <v>45888</v>
      </c>
      <c r="F2117" s="3">
        <f>IF(TableRefills3[[#This Row],[prev_refill_days]]="","",TableRefills3[[#This Row],[prev_refill_days]]+TableRefills3[[#This Row],[quantity_days]])</f>
        <v>45918</v>
      </c>
      <c r="G2117">
        <f>IF(TableRefills3[[#This Row],[prev_refill_end]]="","",TableRefills3[[#This Row],[refill_date]]-TableRefills3[[#This Row],[prev_refill_end]])</f>
        <v>0</v>
      </c>
      <c r="H2117" s="10">
        <f>IF(TableRefills3[[#This Row],[gap_days]]="",0,IF(TableRefills3[[#This Row],[gap_days]]&gt;2,1,0))</f>
        <v>0</v>
      </c>
      <c r="I2117">
        <f>_xlfn.MAXIFS(TableRefills3[discountinuation_flag], TableRefills3[patient_id], A2117)</f>
        <v>0</v>
      </c>
    </row>
    <row r="2118" spans="1:9" x14ac:dyDescent="0.25">
      <c r="A2118" t="s">
        <v>3371</v>
      </c>
      <c r="B2118" t="s">
        <v>3372</v>
      </c>
      <c r="C2118" s="3">
        <v>45823</v>
      </c>
      <c r="D2118">
        <v>30</v>
      </c>
      <c r="E2118" s="3" t="str">
        <f t="shared" si="33"/>
        <v/>
      </c>
      <c r="F2118" s="3" t="str">
        <f>IF(TableRefills3[[#This Row],[prev_refill_days]]="","",TableRefills3[[#This Row],[prev_refill_days]]+TableRefills3[[#This Row],[quantity_days]])</f>
        <v/>
      </c>
      <c r="G2118" t="str">
        <f>IF(TableRefills3[[#This Row],[prev_refill_end]]="","",TableRefills3[[#This Row],[refill_date]]-TableRefills3[[#This Row],[prev_refill_end]])</f>
        <v/>
      </c>
      <c r="H2118" s="10">
        <f>IF(TableRefills3[[#This Row],[gap_days]]="",0,IF(TableRefills3[[#This Row],[gap_days]]&gt;2,1,0))</f>
        <v>0</v>
      </c>
      <c r="I2118">
        <f>_xlfn.MAXIFS(TableRefills3[discountinuation_flag], TableRefills3[patient_id], A2118)</f>
        <v>0</v>
      </c>
    </row>
    <row r="2119" spans="1:9" x14ac:dyDescent="0.25">
      <c r="A2119" t="s">
        <v>3371</v>
      </c>
      <c r="B2119" t="s">
        <v>3372</v>
      </c>
      <c r="C2119" s="3">
        <v>45854</v>
      </c>
      <c r="D2119">
        <v>30</v>
      </c>
      <c r="E2119" s="3">
        <f t="shared" si="33"/>
        <v>45823</v>
      </c>
      <c r="F2119" s="3">
        <f>IF(TableRefills3[[#This Row],[prev_refill_days]]="","",TableRefills3[[#This Row],[prev_refill_days]]+TableRefills3[[#This Row],[quantity_days]])</f>
        <v>45853</v>
      </c>
      <c r="G2119">
        <f>IF(TableRefills3[[#This Row],[prev_refill_end]]="","",TableRefills3[[#This Row],[refill_date]]-TableRefills3[[#This Row],[prev_refill_end]])</f>
        <v>1</v>
      </c>
      <c r="H2119" s="10">
        <f>IF(TableRefills3[[#This Row],[gap_days]]="",0,IF(TableRefills3[[#This Row],[gap_days]]&gt;2,1,0))</f>
        <v>0</v>
      </c>
      <c r="I2119">
        <f>_xlfn.MAXIFS(TableRefills3[discountinuation_flag], TableRefills3[patient_id], A2119)</f>
        <v>0</v>
      </c>
    </row>
    <row r="2120" spans="1:9" x14ac:dyDescent="0.25">
      <c r="A2120" t="s">
        <v>3371</v>
      </c>
      <c r="B2120" t="s">
        <v>3372</v>
      </c>
      <c r="C2120" s="3">
        <v>45885</v>
      </c>
      <c r="D2120">
        <v>30</v>
      </c>
      <c r="E2120" s="3">
        <f t="shared" si="33"/>
        <v>45854</v>
      </c>
      <c r="F2120" s="3">
        <f>IF(TableRefills3[[#This Row],[prev_refill_days]]="","",TableRefills3[[#This Row],[prev_refill_days]]+TableRefills3[[#This Row],[quantity_days]])</f>
        <v>45884</v>
      </c>
      <c r="G2120">
        <f>IF(TableRefills3[[#This Row],[prev_refill_end]]="","",TableRefills3[[#This Row],[refill_date]]-TableRefills3[[#This Row],[prev_refill_end]])</f>
        <v>1</v>
      </c>
      <c r="H2120" s="10">
        <f>IF(TableRefills3[[#This Row],[gap_days]]="",0,IF(TableRefills3[[#This Row],[gap_days]]&gt;2,1,0))</f>
        <v>0</v>
      </c>
      <c r="I2120">
        <f>_xlfn.MAXIFS(TableRefills3[discountinuation_flag], TableRefills3[patient_id], A2120)</f>
        <v>0</v>
      </c>
    </row>
    <row r="2121" spans="1:9" x14ac:dyDescent="0.25">
      <c r="A2121" t="s">
        <v>3371</v>
      </c>
      <c r="B2121" t="s">
        <v>3372</v>
      </c>
      <c r="C2121" s="3">
        <v>45913</v>
      </c>
      <c r="D2121">
        <v>30</v>
      </c>
      <c r="E2121" s="3">
        <f t="shared" si="33"/>
        <v>45885</v>
      </c>
      <c r="F2121" s="3">
        <f>IF(TableRefills3[[#This Row],[prev_refill_days]]="","",TableRefills3[[#This Row],[prev_refill_days]]+TableRefills3[[#This Row],[quantity_days]])</f>
        <v>45915</v>
      </c>
      <c r="G2121">
        <f>IF(TableRefills3[[#This Row],[prev_refill_end]]="","",TableRefills3[[#This Row],[refill_date]]-TableRefills3[[#This Row],[prev_refill_end]])</f>
        <v>-2</v>
      </c>
      <c r="H2121" s="10">
        <f>IF(TableRefills3[[#This Row],[gap_days]]="",0,IF(TableRefills3[[#This Row],[gap_days]]&gt;2,1,0))</f>
        <v>0</v>
      </c>
      <c r="I2121">
        <f>_xlfn.MAXIFS(TableRefills3[discountinuation_flag], TableRefills3[patient_id], A2121)</f>
        <v>0</v>
      </c>
    </row>
    <row r="2122" spans="1:9" x14ac:dyDescent="0.25">
      <c r="A2122" t="s">
        <v>3371</v>
      </c>
      <c r="B2122" t="s">
        <v>3372</v>
      </c>
      <c r="C2122" s="3">
        <v>45944</v>
      </c>
      <c r="D2122">
        <v>30</v>
      </c>
      <c r="E2122" s="3">
        <f t="shared" si="33"/>
        <v>45913</v>
      </c>
      <c r="F2122" s="3">
        <f>IF(TableRefills3[[#This Row],[prev_refill_days]]="","",TableRefills3[[#This Row],[prev_refill_days]]+TableRefills3[[#This Row],[quantity_days]])</f>
        <v>45943</v>
      </c>
      <c r="G2122">
        <f>IF(TableRefills3[[#This Row],[prev_refill_end]]="","",TableRefills3[[#This Row],[refill_date]]-TableRefills3[[#This Row],[prev_refill_end]])</f>
        <v>1</v>
      </c>
      <c r="H2122" s="10">
        <f>IF(TableRefills3[[#This Row],[gap_days]]="",0,IF(TableRefills3[[#This Row],[gap_days]]&gt;2,1,0))</f>
        <v>0</v>
      </c>
      <c r="I2122">
        <f>_xlfn.MAXIFS(TableRefills3[discountinuation_flag], TableRefills3[patient_id], A2122)</f>
        <v>0</v>
      </c>
    </row>
    <row r="2123" spans="1:9" x14ac:dyDescent="0.25">
      <c r="A2123" t="s">
        <v>3378</v>
      </c>
      <c r="B2123" t="s">
        <v>3379</v>
      </c>
      <c r="C2123" s="3">
        <v>45802</v>
      </c>
      <c r="D2123">
        <v>28</v>
      </c>
      <c r="E2123" s="3" t="str">
        <f t="shared" si="33"/>
        <v/>
      </c>
      <c r="F2123" s="3" t="str">
        <f>IF(TableRefills3[[#This Row],[prev_refill_days]]="","",TableRefills3[[#This Row],[prev_refill_days]]+TableRefills3[[#This Row],[quantity_days]])</f>
        <v/>
      </c>
      <c r="G2123" t="str">
        <f>IF(TableRefills3[[#This Row],[prev_refill_end]]="","",TableRefills3[[#This Row],[refill_date]]-TableRefills3[[#This Row],[prev_refill_end]])</f>
        <v/>
      </c>
      <c r="H2123" s="10">
        <f>IF(TableRefills3[[#This Row],[gap_days]]="",0,IF(TableRefills3[[#This Row],[gap_days]]&gt;2,1,0))</f>
        <v>0</v>
      </c>
      <c r="I2123">
        <f>_xlfn.MAXIFS(TableRefills3[discountinuation_flag], TableRefills3[patient_id], A2123)</f>
        <v>0</v>
      </c>
    </row>
    <row r="2124" spans="1:9" x14ac:dyDescent="0.25">
      <c r="A2124" t="s">
        <v>3378</v>
      </c>
      <c r="B2124" t="s">
        <v>3379</v>
      </c>
      <c r="C2124" s="3">
        <v>45832</v>
      </c>
      <c r="D2124">
        <v>28</v>
      </c>
      <c r="E2124" s="3">
        <f t="shared" si="33"/>
        <v>45802</v>
      </c>
      <c r="F2124" s="3">
        <f>IF(TableRefills3[[#This Row],[prev_refill_days]]="","",TableRefills3[[#This Row],[prev_refill_days]]+TableRefills3[[#This Row],[quantity_days]])</f>
        <v>45830</v>
      </c>
      <c r="G2124">
        <f>IF(TableRefills3[[#This Row],[prev_refill_end]]="","",TableRefills3[[#This Row],[refill_date]]-TableRefills3[[#This Row],[prev_refill_end]])</f>
        <v>2</v>
      </c>
      <c r="H2124" s="10">
        <f>IF(TableRefills3[[#This Row],[gap_days]]="",0,IF(TableRefills3[[#This Row],[gap_days]]&gt;2,1,0))</f>
        <v>0</v>
      </c>
      <c r="I2124">
        <f>_xlfn.MAXIFS(TableRefills3[discountinuation_flag], TableRefills3[patient_id], A2124)</f>
        <v>0</v>
      </c>
    </row>
    <row r="2125" spans="1:9" x14ac:dyDescent="0.25">
      <c r="A2125" t="s">
        <v>3378</v>
      </c>
      <c r="B2125" t="s">
        <v>3379</v>
      </c>
      <c r="C2125" s="3">
        <v>45860</v>
      </c>
      <c r="D2125">
        <v>28</v>
      </c>
      <c r="E2125" s="3">
        <f t="shared" si="33"/>
        <v>45832</v>
      </c>
      <c r="F2125" s="3">
        <f>IF(TableRefills3[[#This Row],[prev_refill_days]]="","",TableRefills3[[#This Row],[prev_refill_days]]+TableRefills3[[#This Row],[quantity_days]])</f>
        <v>45860</v>
      </c>
      <c r="G2125">
        <f>IF(TableRefills3[[#This Row],[prev_refill_end]]="","",TableRefills3[[#This Row],[refill_date]]-TableRefills3[[#This Row],[prev_refill_end]])</f>
        <v>0</v>
      </c>
      <c r="H2125" s="10">
        <f>IF(TableRefills3[[#This Row],[gap_days]]="",0,IF(TableRefills3[[#This Row],[gap_days]]&gt;2,1,0))</f>
        <v>0</v>
      </c>
      <c r="I2125">
        <f>_xlfn.MAXIFS(TableRefills3[discountinuation_flag], TableRefills3[patient_id], A2125)</f>
        <v>0</v>
      </c>
    </row>
    <row r="2126" spans="1:9" x14ac:dyDescent="0.25">
      <c r="A2126" t="s">
        <v>3378</v>
      </c>
      <c r="B2126" t="s">
        <v>3379</v>
      </c>
      <c r="C2126" s="3">
        <v>45886</v>
      </c>
      <c r="D2126">
        <v>28</v>
      </c>
      <c r="E2126" s="3">
        <f t="shared" si="33"/>
        <v>45860</v>
      </c>
      <c r="F2126" s="3">
        <f>IF(TableRefills3[[#This Row],[prev_refill_days]]="","",TableRefills3[[#This Row],[prev_refill_days]]+TableRefills3[[#This Row],[quantity_days]])</f>
        <v>45888</v>
      </c>
      <c r="G2126">
        <f>IF(TableRefills3[[#This Row],[prev_refill_end]]="","",TableRefills3[[#This Row],[refill_date]]-TableRefills3[[#This Row],[prev_refill_end]])</f>
        <v>-2</v>
      </c>
      <c r="H2126" s="10">
        <f>IF(TableRefills3[[#This Row],[gap_days]]="",0,IF(TableRefills3[[#This Row],[gap_days]]&gt;2,1,0))</f>
        <v>0</v>
      </c>
      <c r="I2126">
        <f>_xlfn.MAXIFS(TableRefills3[discountinuation_flag], TableRefills3[patient_id], A2126)</f>
        <v>0</v>
      </c>
    </row>
    <row r="2127" spans="1:9" x14ac:dyDescent="0.25">
      <c r="A2127" t="s">
        <v>3378</v>
      </c>
      <c r="B2127" t="s">
        <v>3379</v>
      </c>
      <c r="C2127" s="3">
        <v>45915</v>
      </c>
      <c r="D2127">
        <v>28</v>
      </c>
      <c r="E2127" s="3">
        <f t="shared" si="33"/>
        <v>45886</v>
      </c>
      <c r="F2127" s="3">
        <f>IF(TableRefills3[[#This Row],[prev_refill_days]]="","",TableRefills3[[#This Row],[prev_refill_days]]+TableRefills3[[#This Row],[quantity_days]])</f>
        <v>45914</v>
      </c>
      <c r="G2127">
        <f>IF(TableRefills3[[#This Row],[prev_refill_end]]="","",TableRefills3[[#This Row],[refill_date]]-TableRefills3[[#This Row],[prev_refill_end]])</f>
        <v>1</v>
      </c>
      <c r="H2127" s="10">
        <f>IF(TableRefills3[[#This Row],[gap_days]]="",0,IF(TableRefills3[[#This Row],[gap_days]]&gt;2,1,0))</f>
        <v>0</v>
      </c>
      <c r="I2127">
        <f>_xlfn.MAXIFS(TableRefills3[discountinuation_flag], TableRefills3[patient_id], A2127)</f>
        <v>0</v>
      </c>
    </row>
    <row r="2128" spans="1:9" x14ac:dyDescent="0.25">
      <c r="A2128" t="s">
        <v>3378</v>
      </c>
      <c r="B2128" t="s">
        <v>3379</v>
      </c>
      <c r="C2128" s="3">
        <v>45945</v>
      </c>
      <c r="D2128">
        <v>28</v>
      </c>
      <c r="E2128" s="3">
        <f t="shared" si="33"/>
        <v>45915</v>
      </c>
      <c r="F2128" s="3">
        <f>IF(TableRefills3[[#This Row],[prev_refill_days]]="","",TableRefills3[[#This Row],[prev_refill_days]]+TableRefills3[[#This Row],[quantity_days]])</f>
        <v>45943</v>
      </c>
      <c r="G2128">
        <f>IF(TableRefills3[[#This Row],[prev_refill_end]]="","",TableRefills3[[#This Row],[refill_date]]-TableRefills3[[#This Row],[prev_refill_end]])</f>
        <v>2</v>
      </c>
      <c r="H2128" s="10">
        <f>IF(TableRefills3[[#This Row],[gap_days]]="",0,IF(TableRefills3[[#This Row],[gap_days]]&gt;2,1,0))</f>
        <v>0</v>
      </c>
      <c r="I2128">
        <f>_xlfn.MAXIFS(TableRefills3[discountinuation_flag], TableRefills3[patient_id], A2128)</f>
        <v>0</v>
      </c>
    </row>
    <row r="2129" spans="1:9" x14ac:dyDescent="0.25">
      <c r="A2129" t="s">
        <v>3386</v>
      </c>
      <c r="B2129" t="s">
        <v>3387</v>
      </c>
      <c r="C2129" s="3">
        <v>45816</v>
      </c>
      <c r="D2129">
        <v>30</v>
      </c>
      <c r="E2129" s="3" t="str">
        <f t="shared" si="33"/>
        <v/>
      </c>
      <c r="F2129" s="3" t="str">
        <f>IF(TableRefills3[[#This Row],[prev_refill_days]]="","",TableRefills3[[#This Row],[prev_refill_days]]+TableRefills3[[#This Row],[quantity_days]])</f>
        <v/>
      </c>
      <c r="G2129" t="str">
        <f>IF(TableRefills3[[#This Row],[prev_refill_end]]="","",TableRefills3[[#This Row],[refill_date]]-TableRefills3[[#This Row],[prev_refill_end]])</f>
        <v/>
      </c>
      <c r="H2129" s="10">
        <f>IF(TableRefills3[[#This Row],[gap_days]]="",0,IF(TableRefills3[[#This Row],[gap_days]]&gt;2,1,0))</f>
        <v>0</v>
      </c>
      <c r="I2129">
        <f>_xlfn.MAXIFS(TableRefills3[discountinuation_flag], TableRefills3[patient_id], A2129)</f>
        <v>0</v>
      </c>
    </row>
    <row r="2130" spans="1:9" x14ac:dyDescent="0.25">
      <c r="A2130" t="s">
        <v>3389</v>
      </c>
      <c r="B2130" t="s">
        <v>3390</v>
      </c>
      <c r="C2130" s="3">
        <v>45827</v>
      </c>
      <c r="D2130">
        <v>28</v>
      </c>
      <c r="E2130" s="3" t="str">
        <f t="shared" si="33"/>
        <v/>
      </c>
      <c r="F2130" s="3" t="str">
        <f>IF(TableRefills3[[#This Row],[prev_refill_days]]="","",TableRefills3[[#This Row],[prev_refill_days]]+TableRefills3[[#This Row],[quantity_days]])</f>
        <v/>
      </c>
      <c r="G2130" t="str">
        <f>IF(TableRefills3[[#This Row],[prev_refill_end]]="","",TableRefills3[[#This Row],[refill_date]]-TableRefills3[[#This Row],[prev_refill_end]])</f>
        <v/>
      </c>
      <c r="H2130" s="10">
        <f>IF(TableRefills3[[#This Row],[gap_days]]="",0,IF(TableRefills3[[#This Row],[gap_days]]&gt;2,1,0))</f>
        <v>0</v>
      </c>
      <c r="I2130">
        <f>_xlfn.MAXIFS(TableRefills3[discountinuation_flag], TableRefills3[patient_id], A2130)</f>
        <v>1</v>
      </c>
    </row>
    <row r="2131" spans="1:9" x14ac:dyDescent="0.25">
      <c r="A2131" t="s">
        <v>3389</v>
      </c>
      <c r="B2131" t="s">
        <v>3390</v>
      </c>
      <c r="C2131" s="3">
        <v>45855</v>
      </c>
      <c r="D2131">
        <v>28</v>
      </c>
      <c r="E2131" s="3">
        <f t="shared" si="33"/>
        <v>45827</v>
      </c>
      <c r="F2131" s="3">
        <f>IF(TableRefills3[[#This Row],[prev_refill_days]]="","",TableRefills3[[#This Row],[prev_refill_days]]+TableRefills3[[#This Row],[quantity_days]])</f>
        <v>45855</v>
      </c>
      <c r="G2131">
        <f>IF(TableRefills3[[#This Row],[prev_refill_end]]="","",TableRefills3[[#This Row],[refill_date]]-TableRefills3[[#This Row],[prev_refill_end]])</f>
        <v>0</v>
      </c>
      <c r="H2131" s="10">
        <f>IF(TableRefills3[[#This Row],[gap_days]]="",0,IF(TableRefills3[[#This Row],[gap_days]]&gt;2,1,0))</f>
        <v>0</v>
      </c>
      <c r="I2131">
        <f>_xlfn.MAXIFS(TableRefills3[discountinuation_flag], TableRefills3[patient_id], A2131)</f>
        <v>1</v>
      </c>
    </row>
    <row r="2132" spans="1:9" x14ac:dyDescent="0.25">
      <c r="A2132" t="s">
        <v>3389</v>
      </c>
      <c r="B2132" t="s">
        <v>3390</v>
      </c>
      <c r="C2132" s="3">
        <v>45886</v>
      </c>
      <c r="D2132">
        <v>28</v>
      </c>
      <c r="E2132" s="3">
        <f t="shared" si="33"/>
        <v>45855</v>
      </c>
      <c r="F2132" s="3">
        <f>IF(TableRefills3[[#This Row],[prev_refill_days]]="","",TableRefills3[[#This Row],[prev_refill_days]]+TableRefills3[[#This Row],[quantity_days]])</f>
        <v>45883</v>
      </c>
      <c r="G2132">
        <f>IF(TableRefills3[[#This Row],[prev_refill_end]]="","",TableRefills3[[#This Row],[refill_date]]-TableRefills3[[#This Row],[prev_refill_end]])</f>
        <v>3</v>
      </c>
      <c r="H2132" s="10">
        <f>IF(TableRefills3[[#This Row],[gap_days]]="",0,IF(TableRefills3[[#This Row],[gap_days]]&gt;2,1,0))</f>
        <v>1</v>
      </c>
      <c r="I2132">
        <f>_xlfn.MAXIFS(TableRefills3[discountinuation_flag], TableRefills3[patient_id], A2132)</f>
        <v>1</v>
      </c>
    </row>
    <row r="2133" spans="1:9" x14ac:dyDescent="0.25">
      <c r="A2133" t="s">
        <v>3389</v>
      </c>
      <c r="B2133" t="s">
        <v>3390</v>
      </c>
      <c r="C2133" s="3">
        <v>45916</v>
      </c>
      <c r="D2133">
        <v>28</v>
      </c>
      <c r="E2133" s="3">
        <f t="shared" si="33"/>
        <v>45886</v>
      </c>
      <c r="F2133" s="3">
        <f>IF(TableRefills3[[#This Row],[prev_refill_days]]="","",TableRefills3[[#This Row],[prev_refill_days]]+TableRefills3[[#This Row],[quantity_days]])</f>
        <v>45914</v>
      </c>
      <c r="G2133">
        <f>IF(TableRefills3[[#This Row],[prev_refill_end]]="","",TableRefills3[[#This Row],[refill_date]]-TableRefills3[[#This Row],[prev_refill_end]])</f>
        <v>2</v>
      </c>
      <c r="H2133" s="10">
        <f>IF(TableRefills3[[#This Row],[gap_days]]="",0,IF(TableRefills3[[#This Row],[gap_days]]&gt;2,1,0))</f>
        <v>0</v>
      </c>
      <c r="I2133">
        <f>_xlfn.MAXIFS(TableRefills3[discountinuation_flag], TableRefills3[patient_id], A2133)</f>
        <v>1</v>
      </c>
    </row>
    <row r="2134" spans="1:9" x14ac:dyDescent="0.25">
      <c r="A2134" t="s">
        <v>3389</v>
      </c>
      <c r="B2134" t="s">
        <v>3390</v>
      </c>
      <c r="C2134" s="3">
        <v>45942</v>
      </c>
      <c r="D2134">
        <v>28</v>
      </c>
      <c r="E2134" s="3">
        <f t="shared" si="33"/>
        <v>45916</v>
      </c>
      <c r="F2134" s="3">
        <f>IF(TableRefills3[[#This Row],[prev_refill_days]]="","",TableRefills3[[#This Row],[prev_refill_days]]+TableRefills3[[#This Row],[quantity_days]])</f>
        <v>45944</v>
      </c>
      <c r="G2134">
        <f>IF(TableRefills3[[#This Row],[prev_refill_end]]="","",TableRefills3[[#This Row],[refill_date]]-TableRefills3[[#This Row],[prev_refill_end]])</f>
        <v>-2</v>
      </c>
      <c r="H2134" s="10">
        <f>IF(TableRefills3[[#This Row],[gap_days]]="",0,IF(TableRefills3[[#This Row],[gap_days]]&gt;2,1,0))</f>
        <v>0</v>
      </c>
      <c r="I2134">
        <f>_xlfn.MAXIFS(TableRefills3[discountinuation_flag], TableRefills3[patient_id], A2134)</f>
        <v>1</v>
      </c>
    </row>
    <row r="2135" spans="1:9" x14ac:dyDescent="0.25">
      <c r="A2135" t="s">
        <v>3396</v>
      </c>
      <c r="B2135" t="s">
        <v>3397</v>
      </c>
      <c r="C2135" s="3">
        <v>45912</v>
      </c>
      <c r="D2135">
        <v>28</v>
      </c>
      <c r="E2135" s="3" t="str">
        <f t="shared" si="33"/>
        <v/>
      </c>
      <c r="F2135" s="3" t="str">
        <f>IF(TableRefills3[[#This Row],[prev_refill_days]]="","",TableRefills3[[#This Row],[prev_refill_days]]+TableRefills3[[#This Row],[quantity_days]])</f>
        <v/>
      </c>
      <c r="G2135" t="str">
        <f>IF(TableRefills3[[#This Row],[prev_refill_end]]="","",TableRefills3[[#This Row],[refill_date]]-TableRefills3[[#This Row],[prev_refill_end]])</f>
        <v/>
      </c>
      <c r="H2135" s="10">
        <f>IF(TableRefills3[[#This Row],[gap_days]]="",0,IF(TableRefills3[[#This Row],[gap_days]]&gt;2,1,0))</f>
        <v>0</v>
      </c>
      <c r="I2135">
        <f>_xlfn.MAXIFS(TableRefills3[discountinuation_flag], TableRefills3[patient_id], A2135)</f>
        <v>0</v>
      </c>
    </row>
    <row r="2136" spans="1:9" x14ac:dyDescent="0.25">
      <c r="A2136" t="s">
        <v>3396</v>
      </c>
      <c r="B2136" t="s">
        <v>3397</v>
      </c>
      <c r="C2136" s="3">
        <v>45940</v>
      </c>
      <c r="D2136">
        <v>28</v>
      </c>
      <c r="E2136" s="3">
        <f t="shared" si="33"/>
        <v>45912</v>
      </c>
      <c r="F2136" s="3">
        <f>IF(TableRefills3[[#This Row],[prev_refill_days]]="","",TableRefills3[[#This Row],[prev_refill_days]]+TableRefills3[[#This Row],[quantity_days]])</f>
        <v>45940</v>
      </c>
      <c r="G2136">
        <f>IF(TableRefills3[[#This Row],[prev_refill_end]]="","",TableRefills3[[#This Row],[refill_date]]-TableRefills3[[#This Row],[prev_refill_end]])</f>
        <v>0</v>
      </c>
      <c r="H2136" s="10">
        <f>IF(TableRefills3[[#This Row],[gap_days]]="",0,IF(TableRefills3[[#This Row],[gap_days]]&gt;2,1,0))</f>
        <v>0</v>
      </c>
      <c r="I2136">
        <f>_xlfn.MAXIFS(TableRefills3[discountinuation_flag], TableRefills3[patient_id], A2136)</f>
        <v>0</v>
      </c>
    </row>
    <row r="2137" spans="1:9" x14ac:dyDescent="0.25">
      <c r="A2137" t="s">
        <v>3400</v>
      </c>
      <c r="B2137" t="s">
        <v>3401</v>
      </c>
      <c r="C2137" s="3">
        <v>45868</v>
      </c>
      <c r="D2137">
        <v>56</v>
      </c>
      <c r="E2137" s="3" t="str">
        <f t="shared" si="33"/>
        <v/>
      </c>
      <c r="F2137" s="3" t="str">
        <f>IF(TableRefills3[[#This Row],[prev_refill_days]]="","",TableRefills3[[#This Row],[prev_refill_days]]+TableRefills3[[#This Row],[quantity_days]])</f>
        <v/>
      </c>
      <c r="G2137" t="str">
        <f>IF(TableRefills3[[#This Row],[prev_refill_end]]="","",TableRefills3[[#This Row],[refill_date]]-TableRefills3[[#This Row],[prev_refill_end]])</f>
        <v/>
      </c>
      <c r="H2137" s="10">
        <f>IF(TableRefills3[[#This Row],[gap_days]]="",0,IF(TableRefills3[[#This Row],[gap_days]]&gt;2,1,0))</f>
        <v>0</v>
      </c>
      <c r="I2137">
        <f>_xlfn.MAXIFS(TableRefills3[discountinuation_flag], TableRefills3[patient_id], A2137)</f>
        <v>0</v>
      </c>
    </row>
    <row r="2138" spans="1:9" x14ac:dyDescent="0.25">
      <c r="A2138" t="s">
        <v>3400</v>
      </c>
      <c r="B2138" t="s">
        <v>3401</v>
      </c>
      <c r="C2138" s="3">
        <v>45925</v>
      </c>
      <c r="D2138">
        <v>56</v>
      </c>
      <c r="E2138" s="3">
        <f t="shared" si="33"/>
        <v>45868</v>
      </c>
      <c r="F2138" s="3">
        <f>IF(TableRefills3[[#This Row],[prev_refill_days]]="","",TableRefills3[[#This Row],[prev_refill_days]]+TableRefills3[[#This Row],[quantity_days]])</f>
        <v>45924</v>
      </c>
      <c r="G2138">
        <f>IF(TableRefills3[[#This Row],[prev_refill_end]]="","",TableRefills3[[#This Row],[refill_date]]-TableRefills3[[#This Row],[prev_refill_end]])</f>
        <v>1</v>
      </c>
      <c r="H2138" s="10">
        <f>IF(TableRefills3[[#This Row],[gap_days]]="",0,IF(TableRefills3[[#This Row],[gap_days]]&gt;2,1,0))</f>
        <v>0</v>
      </c>
      <c r="I2138">
        <f>_xlfn.MAXIFS(TableRefills3[discountinuation_flag], TableRefills3[patient_id], A2138)</f>
        <v>0</v>
      </c>
    </row>
    <row r="2139" spans="1:9" x14ac:dyDescent="0.25">
      <c r="A2139" t="s">
        <v>3404</v>
      </c>
      <c r="B2139" t="s">
        <v>3405</v>
      </c>
      <c r="C2139" s="3">
        <v>45879</v>
      </c>
      <c r="D2139">
        <v>28</v>
      </c>
      <c r="E2139" s="3" t="str">
        <f t="shared" si="33"/>
        <v/>
      </c>
      <c r="F2139" s="3" t="str">
        <f>IF(TableRefills3[[#This Row],[prev_refill_days]]="","",TableRefills3[[#This Row],[prev_refill_days]]+TableRefills3[[#This Row],[quantity_days]])</f>
        <v/>
      </c>
      <c r="G2139" t="str">
        <f>IF(TableRefills3[[#This Row],[prev_refill_end]]="","",TableRefills3[[#This Row],[refill_date]]-TableRefills3[[#This Row],[prev_refill_end]])</f>
        <v/>
      </c>
      <c r="H2139" s="10">
        <f>IF(TableRefills3[[#This Row],[gap_days]]="",0,IF(TableRefills3[[#This Row],[gap_days]]&gt;2,1,0))</f>
        <v>0</v>
      </c>
      <c r="I2139">
        <f>_xlfn.MAXIFS(TableRefills3[discountinuation_flag], TableRefills3[patient_id], A2139)</f>
        <v>0</v>
      </c>
    </row>
    <row r="2140" spans="1:9" x14ac:dyDescent="0.25">
      <c r="A2140" t="s">
        <v>3404</v>
      </c>
      <c r="B2140" t="s">
        <v>3405</v>
      </c>
      <c r="C2140" s="3">
        <v>45904</v>
      </c>
      <c r="D2140">
        <v>28</v>
      </c>
      <c r="E2140" s="3">
        <f t="shared" si="33"/>
        <v>45879</v>
      </c>
      <c r="F2140" s="3">
        <f>IF(TableRefills3[[#This Row],[prev_refill_days]]="","",TableRefills3[[#This Row],[prev_refill_days]]+TableRefills3[[#This Row],[quantity_days]])</f>
        <v>45907</v>
      </c>
      <c r="G2140">
        <f>IF(TableRefills3[[#This Row],[prev_refill_end]]="","",TableRefills3[[#This Row],[refill_date]]-TableRefills3[[#This Row],[prev_refill_end]])</f>
        <v>-3</v>
      </c>
      <c r="H2140" s="10">
        <f>IF(TableRefills3[[#This Row],[gap_days]]="",0,IF(TableRefills3[[#This Row],[gap_days]]&gt;2,1,0))</f>
        <v>0</v>
      </c>
      <c r="I2140">
        <f>_xlfn.MAXIFS(TableRefills3[discountinuation_flag], TableRefills3[patient_id], A2140)</f>
        <v>0</v>
      </c>
    </row>
    <row r="2141" spans="1:9" x14ac:dyDescent="0.25">
      <c r="A2141" t="s">
        <v>3404</v>
      </c>
      <c r="B2141" t="s">
        <v>3405</v>
      </c>
      <c r="C2141" s="3">
        <v>45930</v>
      </c>
      <c r="D2141">
        <v>28</v>
      </c>
      <c r="E2141" s="3">
        <f t="shared" si="33"/>
        <v>45904</v>
      </c>
      <c r="F2141" s="3">
        <f>IF(TableRefills3[[#This Row],[prev_refill_days]]="","",TableRefills3[[#This Row],[prev_refill_days]]+TableRefills3[[#This Row],[quantity_days]])</f>
        <v>45932</v>
      </c>
      <c r="G2141">
        <f>IF(TableRefills3[[#This Row],[prev_refill_end]]="","",TableRefills3[[#This Row],[refill_date]]-TableRefills3[[#This Row],[prev_refill_end]])</f>
        <v>-2</v>
      </c>
      <c r="H2141" s="10">
        <f>IF(TableRefills3[[#This Row],[gap_days]]="",0,IF(TableRefills3[[#This Row],[gap_days]]&gt;2,1,0))</f>
        <v>0</v>
      </c>
      <c r="I2141">
        <f>_xlfn.MAXIFS(TableRefills3[discountinuation_flag], TableRefills3[patient_id], A2141)</f>
        <v>0</v>
      </c>
    </row>
    <row r="2142" spans="1:9" x14ac:dyDescent="0.25">
      <c r="A2142" t="s">
        <v>3404</v>
      </c>
      <c r="B2142" t="s">
        <v>3405</v>
      </c>
      <c r="C2142" s="3">
        <v>45957</v>
      </c>
      <c r="D2142">
        <v>28</v>
      </c>
      <c r="E2142" s="3">
        <f t="shared" si="33"/>
        <v>45930</v>
      </c>
      <c r="F2142" s="3">
        <f>IF(TableRefills3[[#This Row],[prev_refill_days]]="","",TableRefills3[[#This Row],[prev_refill_days]]+TableRefills3[[#This Row],[quantity_days]])</f>
        <v>45958</v>
      </c>
      <c r="G2142">
        <f>IF(TableRefills3[[#This Row],[prev_refill_end]]="","",TableRefills3[[#This Row],[refill_date]]-TableRefills3[[#This Row],[prev_refill_end]])</f>
        <v>-1</v>
      </c>
      <c r="H2142" s="10">
        <f>IF(TableRefills3[[#This Row],[gap_days]]="",0,IF(TableRefills3[[#This Row],[gap_days]]&gt;2,1,0))</f>
        <v>0</v>
      </c>
      <c r="I2142">
        <f>_xlfn.MAXIFS(TableRefills3[discountinuation_flag], TableRefills3[patient_id], A2142)</f>
        <v>0</v>
      </c>
    </row>
    <row r="2143" spans="1:9" x14ac:dyDescent="0.25">
      <c r="A2143" t="s">
        <v>3410</v>
      </c>
      <c r="B2143" t="s">
        <v>3411</v>
      </c>
      <c r="C2143" s="3">
        <v>45873</v>
      </c>
      <c r="D2143">
        <v>28</v>
      </c>
      <c r="E2143" s="3" t="str">
        <f t="shared" si="33"/>
        <v/>
      </c>
      <c r="F2143" s="3" t="str">
        <f>IF(TableRefills3[[#This Row],[prev_refill_days]]="","",TableRefills3[[#This Row],[prev_refill_days]]+TableRefills3[[#This Row],[quantity_days]])</f>
        <v/>
      </c>
      <c r="G2143" t="str">
        <f>IF(TableRefills3[[#This Row],[prev_refill_end]]="","",TableRefills3[[#This Row],[refill_date]]-TableRefills3[[#This Row],[prev_refill_end]])</f>
        <v/>
      </c>
      <c r="H2143" s="10">
        <f>IF(TableRefills3[[#This Row],[gap_days]]="",0,IF(TableRefills3[[#This Row],[gap_days]]&gt;2,1,0))</f>
        <v>0</v>
      </c>
      <c r="I2143">
        <f>_xlfn.MAXIFS(TableRefills3[discountinuation_flag], TableRefills3[patient_id], A2143)</f>
        <v>0</v>
      </c>
    </row>
    <row r="2144" spans="1:9" x14ac:dyDescent="0.25">
      <c r="A2144" t="s">
        <v>3410</v>
      </c>
      <c r="B2144" t="s">
        <v>3411</v>
      </c>
      <c r="C2144" s="3">
        <v>45900</v>
      </c>
      <c r="D2144">
        <v>28</v>
      </c>
      <c r="E2144" s="3">
        <f t="shared" si="33"/>
        <v>45873</v>
      </c>
      <c r="F2144" s="3">
        <f>IF(TableRefills3[[#This Row],[prev_refill_days]]="","",TableRefills3[[#This Row],[prev_refill_days]]+TableRefills3[[#This Row],[quantity_days]])</f>
        <v>45901</v>
      </c>
      <c r="G2144">
        <f>IF(TableRefills3[[#This Row],[prev_refill_end]]="","",TableRefills3[[#This Row],[refill_date]]-TableRefills3[[#This Row],[prev_refill_end]])</f>
        <v>-1</v>
      </c>
      <c r="H2144" s="10">
        <f>IF(TableRefills3[[#This Row],[gap_days]]="",0,IF(TableRefills3[[#This Row],[gap_days]]&gt;2,1,0))</f>
        <v>0</v>
      </c>
      <c r="I2144">
        <f>_xlfn.MAXIFS(TableRefills3[discountinuation_flag], TableRefills3[patient_id], A2144)</f>
        <v>0</v>
      </c>
    </row>
    <row r="2145" spans="1:9" x14ac:dyDescent="0.25">
      <c r="A2145" t="s">
        <v>3410</v>
      </c>
      <c r="B2145" t="s">
        <v>3411</v>
      </c>
      <c r="C2145" s="3">
        <v>45929</v>
      </c>
      <c r="D2145">
        <v>28</v>
      </c>
      <c r="E2145" s="3">
        <f t="shared" si="33"/>
        <v>45900</v>
      </c>
      <c r="F2145" s="3">
        <f>IF(TableRefills3[[#This Row],[prev_refill_days]]="","",TableRefills3[[#This Row],[prev_refill_days]]+TableRefills3[[#This Row],[quantity_days]])</f>
        <v>45928</v>
      </c>
      <c r="G2145">
        <f>IF(TableRefills3[[#This Row],[prev_refill_end]]="","",TableRefills3[[#This Row],[refill_date]]-TableRefills3[[#This Row],[prev_refill_end]])</f>
        <v>1</v>
      </c>
      <c r="H2145" s="10">
        <f>IF(TableRefills3[[#This Row],[gap_days]]="",0,IF(TableRefills3[[#This Row],[gap_days]]&gt;2,1,0))</f>
        <v>0</v>
      </c>
      <c r="I2145">
        <f>_xlfn.MAXIFS(TableRefills3[discountinuation_flag], TableRefills3[patient_id], A2145)</f>
        <v>0</v>
      </c>
    </row>
    <row r="2146" spans="1:9" x14ac:dyDescent="0.25">
      <c r="A2146" t="s">
        <v>3410</v>
      </c>
      <c r="B2146" t="s">
        <v>3411</v>
      </c>
      <c r="C2146" s="3">
        <v>45956</v>
      </c>
      <c r="D2146">
        <v>28</v>
      </c>
      <c r="E2146" s="3">
        <f t="shared" si="33"/>
        <v>45929</v>
      </c>
      <c r="F2146" s="3">
        <f>IF(TableRefills3[[#This Row],[prev_refill_days]]="","",TableRefills3[[#This Row],[prev_refill_days]]+TableRefills3[[#This Row],[quantity_days]])</f>
        <v>45957</v>
      </c>
      <c r="G2146">
        <f>IF(TableRefills3[[#This Row],[prev_refill_end]]="","",TableRefills3[[#This Row],[refill_date]]-TableRefills3[[#This Row],[prev_refill_end]])</f>
        <v>-1</v>
      </c>
      <c r="H2146" s="10">
        <f>IF(TableRefills3[[#This Row],[gap_days]]="",0,IF(TableRefills3[[#This Row],[gap_days]]&gt;2,1,0))</f>
        <v>0</v>
      </c>
      <c r="I2146">
        <f>_xlfn.MAXIFS(TableRefills3[discountinuation_flag], TableRefills3[patient_id], A2146)</f>
        <v>0</v>
      </c>
    </row>
    <row r="2147" spans="1:9" x14ac:dyDescent="0.25">
      <c r="A2147" t="s">
        <v>3416</v>
      </c>
      <c r="B2147" t="s">
        <v>3417</v>
      </c>
      <c r="C2147" s="3">
        <v>45895</v>
      </c>
      <c r="D2147">
        <v>30</v>
      </c>
      <c r="E2147" s="3" t="str">
        <f t="shared" si="33"/>
        <v/>
      </c>
      <c r="F2147" s="3" t="str">
        <f>IF(TableRefills3[[#This Row],[prev_refill_days]]="","",TableRefills3[[#This Row],[prev_refill_days]]+TableRefills3[[#This Row],[quantity_days]])</f>
        <v/>
      </c>
      <c r="G2147" t="str">
        <f>IF(TableRefills3[[#This Row],[prev_refill_end]]="","",TableRefills3[[#This Row],[refill_date]]-TableRefills3[[#This Row],[prev_refill_end]])</f>
        <v/>
      </c>
      <c r="H2147" s="10">
        <f>IF(TableRefills3[[#This Row],[gap_days]]="",0,IF(TableRefills3[[#This Row],[gap_days]]&gt;2,1,0))</f>
        <v>0</v>
      </c>
      <c r="I2147">
        <f>_xlfn.MAXIFS(TableRefills3[discountinuation_flag], TableRefills3[patient_id], A2147)</f>
        <v>0</v>
      </c>
    </row>
    <row r="2148" spans="1:9" x14ac:dyDescent="0.25">
      <c r="A2148" t="s">
        <v>3416</v>
      </c>
      <c r="B2148" t="s">
        <v>3417</v>
      </c>
      <c r="C2148" s="3">
        <v>45927</v>
      </c>
      <c r="D2148">
        <v>30</v>
      </c>
      <c r="E2148" s="3">
        <f t="shared" si="33"/>
        <v>45895</v>
      </c>
      <c r="F2148" s="3">
        <f>IF(TableRefills3[[#This Row],[prev_refill_days]]="","",TableRefills3[[#This Row],[prev_refill_days]]+TableRefills3[[#This Row],[quantity_days]])</f>
        <v>45925</v>
      </c>
      <c r="G2148">
        <f>IF(TableRefills3[[#This Row],[prev_refill_end]]="","",TableRefills3[[#This Row],[refill_date]]-TableRefills3[[#This Row],[prev_refill_end]])</f>
        <v>2</v>
      </c>
      <c r="H2148" s="10">
        <f>IF(TableRefills3[[#This Row],[gap_days]]="",0,IF(TableRefills3[[#This Row],[gap_days]]&gt;2,1,0))</f>
        <v>0</v>
      </c>
      <c r="I2148">
        <f>_xlfn.MAXIFS(TableRefills3[discountinuation_flag], TableRefills3[patient_id], A2148)</f>
        <v>0</v>
      </c>
    </row>
    <row r="2149" spans="1:9" x14ac:dyDescent="0.25">
      <c r="A2149" t="s">
        <v>3416</v>
      </c>
      <c r="B2149" t="s">
        <v>3417</v>
      </c>
      <c r="C2149" s="3">
        <v>45956</v>
      </c>
      <c r="D2149">
        <v>30</v>
      </c>
      <c r="E2149" s="3">
        <f t="shared" si="33"/>
        <v>45927</v>
      </c>
      <c r="F2149" s="3">
        <f>IF(TableRefills3[[#This Row],[prev_refill_days]]="","",TableRefills3[[#This Row],[prev_refill_days]]+TableRefills3[[#This Row],[quantity_days]])</f>
        <v>45957</v>
      </c>
      <c r="G2149">
        <f>IF(TableRefills3[[#This Row],[prev_refill_end]]="","",TableRefills3[[#This Row],[refill_date]]-TableRefills3[[#This Row],[prev_refill_end]])</f>
        <v>-1</v>
      </c>
      <c r="H2149" s="10">
        <f>IF(TableRefills3[[#This Row],[gap_days]]="",0,IF(TableRefills3[[#This Row],[gap_days]]&gt;2,1,0))</f>
        <v>0</v>
      </c>
      <c r="I2149">
        <f>_xlfn.MAXIFS(TableRefills3[discountinuation_flag], TableRefills3[patient_id], A2149)</f>
        <v>0</v>
      </c>
    </row>
    <row r="2150" spans="1:9" x14ac:dyDescent="0.25">
      <c r="A2150" t="s">
        <v>3421</v>
      </c>
      <c r="B2150" t="s">
        <v>3422</v>
      </c>
      <c r="C2150" s="3">
        <v>45840</v>
      </c>
      <c r="D2150">
        <v>21</v>
      </c>
      <c r="E2150" s="3" t="str">
        <f t="shared" si="33"/>
        <v/>
      </c>
      <c r="F2150" s="3" t="str">
        <f>IF(TableRefills3[[#This Row],[prev_refill_days]]="","",TableRefills3[[#This Row],[prev_refill_days]]+TableRefills3[[#This Row],[quantity_days]])</f>
        <v/>
      </c>
      <c r="G2150" t="str">
        <f>IF(TableRefills3[[#This Row],[prev_refill_end]]="","",TableRefills3[[#This Row],[refill_date]]-TableRefills3[[#This Row],[prev_refill_end]])</f>
        <v/>
      </c>
      <c r="H2150" s="10">
        <f>IF(TableRefills3[[#This Row],[gap_days]]="",0,IF(TableRefills3[[#This Row],[gap_days]]&gt;2,1,0))</f>
        <v>0</v>
      </c>
      <c r="I2150">
        <f>_xlfn.MAXIFS(TableRefills3[discountinuation_flag], TableRefills3[patient_id], A2150)</f>
        <v>0</v>
      </c>
    </row>
    <row r="2151" spans="1:9" x14ac:dyDescent="0.25">
      <c r="A2151" t="s">
        <v>3421</v>
      </c>
      <c r="B2151" t="s">
        <v>3422</v>
      </c>
      <c r="C2151" s="3">
        <v>45858</v>
      </c>
      <c r="D2151">
        <v>21</v>
      </c>
      <c r="E2151" s="3">
        <f t="shared" si="33"/>
        <v>45840</v>
      </c>
      <c r="F2151" s="3">
        <f>IF(TableRefills3[[#This Row],[prev_refill_days]]="","",TableRefills3[[#This Row],[prev_refill_days]]+TableRefills3[[#This Row],[quantity_days]])</f>
        <v>45861</v>
      </c>
      <c r="G2151">
        <f>IF(TableRefills3[[#This Row],[prev_refill_end]]="","",TableRefills3[[#This Row],[refill_date]]-TableRefills3[[#This Row],[prev_refill_end]])</f>
        <v>-3</v>
      </c>
      <c r="H2151" s="10">
        <f>IF(TableRefills3[[#This Row],[gap_days]]="",0,IF(TableRefills3[[#This Row],[gap_days]]&gt;2,1,0))</f>
        <v>0</v>
      </c>
      <c r="I2151">
        <f>_xlfn.MAXIFS(TableRefills3[discountinuation_flag], TableRefills3[patient_id], A2151)</f>
        <v>0</v>
      </c>
    </row>
    <row r="2152" spans="1:9" x14ac:dyDescent="0.25">
      <c r="A2152" t="s">
        <v>3425</v>
      </c>
      <c r="B2152" t="s">
        <v>3426</v>
      </c>
      <c r="C2152" s="3">
        <v>45835</v>
      </c>
      <c r="D2152">
        <v>28</v>
      </c>
      <c r="E2152" s="3" t="str">
        <f t="shared" si="33"/>
        <v/>
      </c>
      <c r="F2152" s="3" t="str">
        <f>IF(TableRefills3[[#This Row],[prev_refill_days]]="","",TableRefills3[[#This Row],[prev_refill_days]]+TableRefills3[[#This Row],[quantity_days]])</f>
        <v/>
      </c>
      <c r="G2152" t="str">
        <f>IF(TableRefills3[[#This Row],[prev_refill_end]]="","",TableRefills3[[#This Row],[refill_date]]-TableRefills3[[#This Row],[prev_refill_end]])</f>
        <v/>
      </c>
      <c r="H2152" s="10">
        <f>IF(TableRefills3[[#This Row],[gap_days]]="",0,IF(TableRefills3[[#This Row],[gap_days]]&gt;2,1,0))</f>
        <v>0</v>
      </c>
      <c r="I2152">
        <f>_xlfn.MAXIFS(TableRefills3[discountinuation_flag], TableRefills3[patient_id], A2152)</f>
        <v>0</v>
      </c>
    </row>
    <row r="2153" spans="1:9" x14ac:dyDescent="0.25">
      <c r="A2153" t="s">
        <v>3425</v>
      </c>
      <c r="B2153" t="s">
        <v>3426</v>
      </c>
      <c r="C2153" s="3">
        <v>45862</v>
      </c>
      <c r="D2153">
        <v>28</v>
      </c>
      <c r="E2153" s="3">
        <f t="shared" si="33"/>
        <v>45835</v>
      </c>
      <c r="F2153" s="3">
        <f>IF(TableRefills3[[#This Row],[prev_refill_days]]="","",TableRefills3[[#This Row],[prev_refill_days]]+TableRefills3[[#This Row],[quantity_days]])</f>
        <v>45863</v>
      </c>
      <c r="G2153">
        <f>IF(TableRefills3[[#This Row],[prev_refill_end]]="","",TableRefills3[[#This Row],[refill_date]]-TableRefills3[[#This Row],[prev_refill_end]])</f>
        <v>-1</v>
      </c>
      <c r="H2153" s="10">
        <f>IF(TableRefills3[[#This Row],[gap_days]]="",0,IF(TableRefills3[[#This Row],[gap_days]]&gt;2,1,0))</f>
        <v>0</v>
      </c>
      <c r="I2153">
        <f>_xlfn.MAXIFS(TableRefills3[discountinuation_flag], TableRefills3[patient_id], A2153)</f>
        <v>0</v>
      </c>
    </row>
    <row r="2154" spans="1:9" x14ac:dyDescent="0.25">
      <c r="A2154" t="s">
        <v>3425</v>
      </c>
      <c r="B2154" t="s">
        <v>3426</v>
      </c>
      <c r="C2154" s="3">
        <v>45889</v>
      </c>
      <c r="D2154">
        <v>28</v>
      </c>
      <c r="E2154" s="3">
        <f t="shared" si="33"/>
        <v>45862</v>
      </c>
      <c r="F2154" s="3">
        <f>IF(TableRefills3[[#This Row],[prev_refill_days]]="","",TableRefills3[[#This Row],[prev_refill_days]]+TableRefills3[[#This Row],[quantity_days]])</f>
        <v>45890</v>
      </c>
      <c r="G2154">
        <f>IF(TableRefills3[[#This Row],[prev_refill_end]]="","",TableRefills3[[#This Row],[refill_date]]-TableRefills3[[#This Row],[prev_refill_end]])</f>
        <v>-1</v>
      </c>
      <c r="H2154" s="10">
        <f>IF(TableRefills3[[#This Row],[gap_days]]="",0,IF(TableRefills3[[#This Row],[gap_days]]&gt;2,1,0))</f>
        <v>0</v>
      </c>
      <c r="I2154">
        <f>_xlfn.MAXIFS(TableRefills3[discountinuation_flag], TableRefills3[patient_id], A2154)</f>
        <v>0</v>
      </c>
    </row>
    <row r="2155" spans="1:9" x14ac:dyDescent="0.25">
      <c r="A2155" t="s">
        <v>3425</v>
      </c>
      <c r="B2155" t="s">
        <v>3426</v>
      </c>
      <c r="C2155" s="3">
        <v>45919</v>
      </c>
      <c r="D2155">
        <v>28</v>
      </c>
      <c r="E2155" s="3">
        <f t="shared" si="33"/>
        <v>45889</v>
      </c>
      <c r="F2155" s="3">
        <f>IF(TableRefills3[[#This Row],[prev_refill_days]]="","",TableRefills3[[#This Row],[prev_refill_days]]+TableRefills3[[#This Row],[quantity_days]])</f>
        <v>45917</v>
      </c>
      <c r="G2155">
        <f>IF(TableRefills3[[#This Row],[prev_refill_end]]="","",TableRefills3[[#This Row],[refill_date]]-TableRefills3[[#This Row],[prev_refill_end]])</f>
        <v>2</v>
      </c>
      <c r="H2155" s="10">
        <f>IF(TableRefills3[[#This Row],[gap_days]]="",0,IF(TableRefills3[[#This Row],[gap_days]]&gt;2,1,0))</f>
        <v>0</v>
      </c>
      <c r="I2155">
        <f>_xlfn.MAXIFS(TableRefills3[discountinuation_flag], TableRefills3[patient_id], A2155)</f>
        <v>0</v>
      </c>
    </row>
    <row r="2156" spans="1:9" x14ac:dyDescent="0.25">
      <c r="A2156" t="s">
        <v>3425</v>
      </c>
      <c r="B2156" t="s">
        <v>3426</v>
      </c>
      <c r="C2156" s="3">
        <v>45947</v>
      </c>
      <c r="D2156">
        <v>28</v>
      </c>
      <c r="E2156" s="3">
        <f t="shared" si="33"/>
        <v>45919</v>
      </c>
      <c r="F2156" s="3">
        <f>IF(TableRefills3[[#This Row],[prev_refill_days]]="","",TableRefills3[[#This Row],[prev_refill_days]]+TableRefills3[[#This Row],[quantity_days]])</f>
        <v>45947</v>
      </c>
      <c r="G2156">
        <f>IF(TableRefills3[[#This Row],[prev_refill_end]]="","",TableRefills3[[#This Row],[refill_date]]-TableRefills3[[#This Row],[prev_refill_end]])</f>
        <v>0</v>
      </c>
      <c r="H2156" s="10">
        <f>IF(TableRefills3[[#This Row],[gap_days]]="",0,IF(TableRefills3[[#This Row],[gap_days]]&gt;2,1,0))</f>
        <v>0</v>
      </c>
      <c r="I2156">
        <f>_xlfn.MAXIFS(TableRefills3[discountinuation_flag], TableRefills3[patient_id], A2156)</f>
        <v>0</v>
      </c>
    </row>
    <row r="2157" spans="1:9" x14ac:dyDescent="0.25">
      <c r="A2157" t="s">
        <v>3432</v>
      </c>
      <c r="B2157" t="s">
        <v>3433</v>
      </c>
      <c r="C2157" s="3">
        <v>45953</v>
      </c>
      <c r="D2157">
        <v>28</v>
      </c>
      <c r="E2157" s="3" t="str">
        <f t="shared" si="33"/>
        <v/>
      </c>
      <c r="F2157" s="3" t="str">
        <f>IF(TableRefills3[[#This Row],[prev_refill_days]]="","",TableRefills3[[#This Row],[prev_refill_days]]+TableRefills3[[#This Row],[quantity_days]])</f>
        <v/>
      </c>
      <c r="G2157" t="str">
        <f>IF(TableRefills3[[#This Row],[prev_refill_end]]="","",TableRefills3[[#This Row],[refill_date]]-TableRefills3[[#This Row],[prev_refill_end]])</f>
        <v/>
      </c>
      <c r="H2157" s="10">
        <f>IF(TableRefills3[[#This Row],[gap_days]]="",0,IF(TableRefills3[[#This Row],[gap_days]]&gt;2,1,0))</f>
        <v>0</v>
      </c>
      <c r="I2157">
        <f>_xlfn.MAXIFS(TableRefills3[discountinuation_flag], TableRefills3[patient_id], A2157)</f>
        <v>0</v>
      </c>
    </row>
    <row r="2158" spans="1:9" x14ac:dyDescent="0.25">
      <c r="A2158" t="s">
        <v>3435</v>
      </c>
      <c r="B2158" t="s">
        <v>3436</v>
      </c>
      <c r="C2158" s="3">
        <v>45798</v>
      </c>
      <c r="D2158">
        <v>30</v>
      </c>
      <c r="E2158" s="3" t="str">
        <f t="shared" si="33"/>
        <v/>
      </c>
      <c r="F2158" s="3" t="str">
        <f>IF(TableRefills3[[#This Row],[prev_refill_days]]="","",TableRefills3[[#This Row],[prev_refill_days]]+TableRefills3[[#This Row],[quantity_days]])</f>
        <v/>
      </c>
      <c r="G2158" t="str">
        <f>IF(TableRefills3[[#This Row],[prev_refill_end]]="","",TableRefills3[[#This Row],[refill_date]]-TableRefills3[[#This Row],[prev_refill_end]])</f>
        <v/>
      </c>
      <c r="H2158" s="10">
        <f>IF(TableRefills3[[#This Row],[gap_days]]="",0,IF(TableRefills3[[#This Row],[gap_days]]&gt;2,1,0))</f>
        <v>0</v>
      </c>
      <c r="I2158">
        <f>_xlfn.MAXIFS(TableRefills3[discountinuation_flag], TableRefills3[patient_id], A2158)</f>
        <v>0</v>
      </c>
    </row>
    <row r="2159" spans="1:9" x14ac:dyDescent="0.25">
      <c r="A2159" t="s">
        <v>3438</v>
      </c>
      <c r="B2159" t="s">
        <v>3439</v>
      </c>
      <c r="C2159" s="3">
        <v>45944</v>
      </c>
      <c r="D2159">
        <v>56</v>
      </c>
      <c r="E2159" s="3" t="str">
        <f t="shared" si="33"/>
        <v/>
      </c>
      <c r="F2159" s="3" t="str">
        <f>IF(TableRefills3[[#This Row],[prev_refill_days]]="","",TableRefills3[[#This Row],[prev_refill_days]]+TableRefills3[[#This Row],[quantity_days]])</f>
        <v/>
      </c>
      <c r="G2159" t="str">
        <f>IF(TableRefills3[[#This Row],[prev_refill_end]]="","",TableRefills3[[#This Row],[refill_date]]-TableRefills3[[#This Row],[prev_refill_end]])</f>
        <v/>
      </c>
      <c r="H2159" s="10">
        <f>IF(TableRefills3[[#This Row],[gap_days]]="",0,IF(TableRefills3[[#This Row],[gap_days]]&gt;2,1,0))</f>
        <v>0</v>
      </c>
      <c r="I2159">
        <f>_xlfn.MAXIFS(TableRefills3[discountinuation_flag], TableRefills3[patient_id], A2159)</f>
        <v>0</v>
      </c>
    </row>
    <row r="2160" spans="1:9" x14ac:dyDescent="0.25">
      <c r="A2160" t="s">
        <v>3441</v>
      </c>
      <c r="B2160" t="s">
        <v>3442</v>
      </c>
      <c r="C2160" s="3">
        <v>45786</v>
      </c>
      <c r="D2160">
        <v>28</v>
      </c>
      <c r="E2160" s="3" t="str">
        <f t="shared" si="33"/>
        <v/>
      </c>
      <c r="F2160" s="3" t="str">
        <f>IF(TableRefills3[[#This Row],[prev_refill_days]]="","",TableRefills3[[#This Row],[prev_refill_days]]+TableRefills3[[#This Row],[quantity_days]])</f>
        <v/>
      </c>
      <c r="G2160" t="str">
        <f>IF(TableRefills3[[#This Row],[prev_refill_end]]="","",TableRefills3[[#This Row],[refill_date]]-TableRefills3[[#This Row],[prev_refill_end]])</f>
        <v/>
      </c>
      <c r="H2160" s="10">
        <f>IF(TableRefills3[[#This Row],[gap_days]]="",0,IF(TableRefills3[[#This Row],[gap_days]]&gt;2,1,0))</f>
        <v>0</v>
      </c>
      <c r="I2160">
        <f>_xlfn.MAXIFS(TableRefills3[discountinuation_flag], TableRefills3[patient_id], A2160)</f>
        <v>0</v>
      </c>
    </row>
    <row r="2161" spans="1:9" x14ac:dyDescent="0.25">
      <c r="A2161" t="s">
        <v>3441</v>
      </c>
      <c r="B2161" t="s">
        <v>3442</v>
      </c>
      <c r="C2161" s="3">
        <v>45813</v>
      </c>
      <c r="D2161">
        <v>28</v>
      </c>
      <c r="E2161" s="3">
        <f t="shared" si="33"/>
        <v>45786</v>
      </c>
      <c r="F2161" s="3">
        <f>IF(TableRefills3[[#This Row],[prev_refill_days]]="","",TableRefills3[[#This Row],[prev_refill_days]]+TableRefills3[[#This Row],[quantity_days]])</f>
        <v>45814</v>
      </c>
      <c r="G2161">
        <f>IF(TableRefills3[[#This Row],[prev_refill_end]]="","",TableRefills3[[#This Row],[refill_date]]-TableRefills3[[#This Row],[prev_refill_end]])</f>
        <v>-1</v>
      </c>
      <c r="H2161" s="10">
        <f>IF(TableRefills3[[#This Row],[gap_days]]="",0,IF(TableRefills3[[#This Row],[gap_days]]&gt;2,1,0))</f>
        <v>0</v>
      </c>
      <c r="I2161">
        <f>_xlfn.MAXIFS(TableRefills3[discountinuation_flag], TableRefills3[patient_id], A2161)</f>
        <v>0</v>
      </c>
    </row>
    <row r="2162" spans="1:9" x14ac:dyDescent="0.25">
      <c r="A2162" t="s">
        <v>3445</v>
      </c>
      <c r="B2162" t="s">
        <v>3446</v>
      </c>
      <c r="C2162" s="3">
        <v>45881</v>
      </c>
      <c r="D2162">
        <v>21</v>
      </c>
      <c r="E2162" s="3" t="str">
        <f t="shared" si="33"/>
        <v/>
      </c>
      <c r="F2162" s="3" t="str">
        <f>IF(TableRefills3[[#This Row],[prev_refill_days]]="","",TableRefills3[[#This Row],[prev_refill_days]]+TableRefills3[[#This Row],[quantity_days]])</f>
        <v/>
      </c>
      <c r="G2162" t="str">
        <f>IF(TableRefills3[[#This Row],[prev_refill_end]]="","",TableRefills3[[#This Row],[refill_date]]-TableRefills3[[#This Row],[prev_refill_end]])</f>
        <v/>
      </c>
      <c r="H2162" s="10">
        <f>IF(TableRefills3[[#This Row],[gap_days]]="",0,IF(TableRefills3[[#This Row],[gap_days]]&gt;2,1,0))</f>
        <v>0</v>
      </c>
      <c r="I2162">
        <f>_xlfn.MAXIFS(TableRefills3[discountinuation_flag], TableRefills3[patient_id], A2162)</f>
        <v>0</v>
      </c>
    </row>
    <row r="2163" spans="1:9" x14ac:dyDescent="0.25">
      <c r="A2163" t="s">
        <v>3445</v>
      </c>
      <c r="B2163" t="s">
        <v>3446</v>
      </c>
      <c r="C2163" s="3">
        <v>45899</v>
      </c>
      <c r="D2163">
        <v>21</v>
      </c>
      <c r="E2163" s="3">
        <f t="shared" si="33"/>
        <v>45881</v>
      </c>
      <c r="F2163" s="3">
        <f>IF(TableRefills3[[#This Row],[prev_refill_days]]="","",TableRefills3[[#This Row],[prev_refill_days]]+TableRefills3[[#This Row],[quantity_days]])</f>
        <v>45902</v>
      </c>
      <c r="G2163">
        <f>IF(TableRefills3[[#This Row],[prev_refill_end]]="","",TableRefills3[[#This Row],[refill_date]]-TableRefills3[[#This Row],[prev_refill_end]])</f>
        <v>-3</v>
      </c>
      <c r="H2163" s="10">
        <f>IF(TableRefills3[[#This Row],[gap_days]]="",0,IF(TableRefills3[[#This Row],[gap_days]]&gt;2,1,0))</f>
        <v>0</v>
      </c>
      <c r="I2163">
        <f>_xlfn.MAXIFS(TableRefills3[discountinuation_flag], TableRefills3[patient_id], A2163)</f>
        <v>0</v>
      </c>
    </row>
    <row r="2164" spans="1:9" x14ac:dyDescent="0.25">
      <c r="A2164" t="s">
        <v>3445</v>
      </c>
      <c r="B2164" t="s">
        <v>3446</v>
      </c>
      <c r="C2164" s="3">
        <v>45919</v>
      </c>
      <c r="D2164">
        <v>21</v>
      </c>
      <c r="E2164" s="3">
        <f t="shared" si="33"/>
        <v>45899</v>
      </c>
      <c r="F2164" s="3">
        <f>IF(TableRefills3[[#This Row],[prev_refill_days]]="","",TableRefills3[[#This Row],[prev_refill_days]]+TableRefills3[[#This Row],[quantity_days]])</f>
        <v>45920</v>
      </c>
      <c r="G2164">
        <f>IF(TableRefills3[[#This Row],[prev_refill_end]]="","",TableRefills3[[#This Row],[refill_date]]-TableRefills3[[#This Row],[prev_refill_end]])</f>
        <v>-1</v>
      </c>
      <c r="H2164" s="10">
        <f>IF(TableRefills3[[#This Row],[gap_days]]="",0,IF(TableRefills3[[#This Row],[gap_days]]&gt;2,1,0))</f>
        <v>0</v>
      </c>
      <c r="I2164">
        <f>_xlfn.MAXIFS(TableRefills3[discountinuation_flag], TableRefills3[patient_id], A2164)</f>
        <v>0</v>
      </c>
    </row>
    <row r="2165" spans="1:9" x14ac:dyDescent="0.25">
      <c r="A2165" t="s">
        <v>3450</v>
      </c>
      <c r="B2165" t="s">
        <v>3451</v>
      </c>
      <c r="C2165" s="3">
        <v>45874</v>
      </c>
      <c r="D2165">
        <v>28</v>
      </c>
      <c r="E2165" s="3" t="str">
        <f t="shared" si="33"/>
        <v/>
      </c>
      <c r="F2165" s="3" t="str">
        <f>IF(TableRefills3[[#This Row],[prev_refill_days]]="","",TableRefills3[[#This Row],[prev_refill_days]]+TableRefills3[[#This Row],[quantity_days]])</f>
        <v/>
      </c>
      <c r="G2165" t="str">
        <f>IF(TableRefills3[[#This Row],[prev_refill_end]]="","",TableRefills3[[#This Row],[refill_date]]-TableRefills3[[#This Row],[prev_refill_end]])</f>
        <v/>
      </c>
      <c r="H2165" s="10">
        <f>IF(TableRefills3[[#This Row],[gap_days]]="",0,IF(TableRefills3[[#This Row],[gap_days]]&gt;2,1,0))</f>
        <v>0</v>
      </c>
      <c r="I2165">
        <f>_xlfn.MAXIFS(TableRefills3[discountinuation_flag], TableRefills3[patient_id], A2165)</f>
        <v>0</v>
      </c>
    </row>
    <row r="2166" spans="1:9" x14ac:dyDescent="0.25">
      <c r="A2166" t="s">
        <v>3450</v>
      </c>
      <c r="B2166" t="s">
        <v>3451</v>
      </c>
      <c r="C2166" s="3">
        <v>45901</v>
      </c>
      <c r="D2166">
        <v>28</v>
      </c>
      <c r="E2166" s="3">
        <f t="shared" si="33"/>
        <v>45874</v>
      </c>
      <c r="F2166" s="3">
        <f>IF(TableRefills3[[#This Row],[prev_refill_days]]="","",TableRefills3[[#This Row],[prev_refill_days]]+TableRefills3[[#This Row],[quantity_days]])</f>
        <v>45902</v>
      </c>
      <c r="G2166">
        <f>IF(TableRefills3[[#This Row],[prev_refill_end]]="","",TableRefills3[[#This Row],[refill_date]]-TableRefills3[[#This Row],[prev_refill_end]])</f>
        <v>-1</v>
      </c>
      <c r="H2166" s="10">
        <f>IF(TableRefills3[[#This Row],[gap_days]]="",0,IF(TableRefills3[[#This Row],[gap_days]]&gt;2,1,0))</f>
        <v>0</v>
      </c>
      <c r="I2166">
        <f>_xlfn.MAXIFS(TableRefills3[discountinuation_flag], TableRefills3[patient_id], A2166)</f>
        <v>0</v>
      </c>
    </row>
    <row r="2167" spans="1:9" x14ac:dyDescent="0.25">
      <c r="A2167" t="s">
        <v>3450</v>
      </c>
      <c r="B2167" t="s">
        <v>3451</v>
      </c>
      <c r="C2167" s="3">
        <v>45930</v>
      </c>
      <c r="D2167">
        <v>28</v>
      </c>
      <c r="E2167" s="3">
        <f t="shared" si="33"/>
        <v>45901</v>
      </c>
      <c r="F2167" s="3">
        <f>IF(TableRefills3[[#This Row],[prev_refill_days]]="","",TableRefills3[[#This Row],[prev_refill_days]]+TableRefills3[[#This Row],[quantity_days]])</f>
        <v>45929</v>
      </c>
      <c r="G2167">
        <f>IF(TableRefills3[[#This Row],[prev_refill_end]]="","",TableRefills3[[#This Row],[refill_date]]-TableRefills3[[#This Row],[prev_refill_end]])</f>
        <v>1</v>
      </c>
      <c r="H2167" s="10">
        <f>IF(TableRefills3[[#This Row],[gap_days]]="",0,IF(TableRefills3[[#This Row],[gap_days]]&gt;2,1,0))</f>
        <v>0</v>
      </c>
      <c r="I2167">
        <f>_xlfn.MAXIFS(TableRefills3[discountinuation_flag], TableRefills3[patient_id], A2167)</f>
        <v>0</v>
      </c>
    </row>
    <row r="2168" spans="1:9" x14ac:dyDescent="0.25">
      <c r="A2168" t="s">
        <v>3450</v>
      </c>
      <c r="B2168" t="s">
        <v>3451</v>
      </c>
      <c r="C2168" s="3">
        <v>45956</v>
      </c>
      <c r="D2168">
        <v>28</v>
      </c>
      <c r="E2168" s="3">
        <f t="shared" si="33"/>
        <v>45930</v>
      </c>
      <c r="F2168" s="3">
        <f>IF(TableRefills3[[#This Row],[prev_refill_days]]="","",TableRefills3[[#This Row],[prev_refill_days]]+TableRefills3[[#This Row],[quantity_days]])</f>
        <v>45958</v>
      </c>
      <c r="G2168">
        <f>IF(TableRefills3[[#This Row],[prev_refill_end]]="","",TableRefills3[[#This Row],[refill_date]]-TableRefills3[[#This Row],[prev_refill_end]])</f>
        <v>-2</v>
      </c>
      <c r="H2168" s="10">
        <f>IF(TableRefills3[[#This Row],[gap_days]]="",0,IF(TableRefills3[[#This Row],[gap_days]]&gt;2,1,0))</f>
        <v>0</v>
      </c>
      <c r="I2168">
        <f>_xlfn.MAXIFS(TableRefills3[discountinuation_flag], TableRefills3[patient_id], A2168)</f>
        <v>0</v>
      </c>
    </row>
    <row r="2169" spans="1:9" x14ac:dyDescent="0.25">
      <c r="A2169" t="s">
        <v>3456</v>
      </c>
      <c r="B2169" t="s">
        <v>3457</v>
      </c>
      <c r="C2169" s="3">
        <v>45899</v>
      </c>
      <c r="D2169">
        <v>28</v>
      </c>
      <c r="E2169" s="3" t="str">
        <f t="shared" si="33"/>
        <v/>
      </c>
      <c r="F2169" s="3" t="str">
        <f>IF(TableRefills3[[#This Row],[prev_refill_days]]="","",TableRefills3[[#This Row],[prev_refill_days]]+TableRefills3[[#This Row],[quantity_days]])</f>
        <v/>
      </c>
      <c r="G2169" t="str">
        <f>IF(TableRefills3[[#This Row],[prev_refill_end]]="","",TableRefills3[[#This Row],[refill_date]]-TableRefills3[[#This Row],[prev_refill_end]])</f>
        <v/>
      </c>
      <c r="H2169" s="10">
        <f>IF(TableRefills3[[#This Row],[gap_days]]="",0,IF(TableRefills3[[#This Row],[gap_days]]&gt;2,1,0))</f>
        <v>0</v>
      </c>
      <c r="I2169">
        <f>_xlfn.MAXIFS(TableRefills3[discountinuation_flag], TableRefills3[patient_id], A2169)</f>
        <v>1</v>
      </c>
    </row>
    <row r="2170" spans="1:9" x14ac:dyDescent="0.25">
      <c r="A2170" t="s">
        <v>3456</v>
      </c>
      <c r="B2170" t="s">
        <v>3457</v>
      </c>
      <c r="C2170" s="3">
        <v>45930</v>
      </c>
      <c r="D2170">
        <v>28</v>
      </c>
      <c r="E2170" s="3">
        <f t="shared" si="33"/>
        <v>45899</v>
      </c>
      <c r="F2170" s="3">
        <f>IF(TableRefills3[[#This Row],[prev_refill_days]]="","",TableRefills3[[#This Row],[prev_refill_days]]+TableRefills3[[#This Row],[quantity_days]])</f>
        <v>45927</v>
      </c>
      <c r="G2170">
        <f>IF(TableRefills3[[#This Row],[prev_refill_end]]="","",TableRefills3[[#This Row],[refill_date]]-TableRefills3[[#This Row],[prev_refill_end]])</f>
        <v>3</v>
      </c>
      <c r="H2170" s="10">
        <f>IF(TableRefills3[[#This Row],[gap_days]]="",0,IF(TableRefills3[[#This Row],[gap_days]]&gt;2,1,0))</f>
        <v>1</v>
      </c>
      <c r="I2170">
        <f>_xlfn.MAXIFS(TableRefills3[discountinuation_flag], TableRefills3[patient_id], A2170)</f>
        <v>1</v>
      </c>
    </row>
    <row r="2171" spans="1:9" x14ac:dyDescent="0.25">
      <c r="A2171" t="s">
        <v>3456</v>
      </c>
      <c r="B2171" t="s">
        <v>3457</v>
      </c>
      <c r="C2171" s="3">
        <v>45961</v>
      </c>
      <c r="D2171">
        <v>28</v>
      </c>
      <c r="E2171" s="3">
        <f t="shared" si="33"/>
        <v>45930</v>
      </c>
      <c r="F2171" s="3">
        <f>IF(TableRefills3[[#This Row],[prev_refill_days]]="","",TableRefills3[[#This Row],[prev_refill_days]]+TableRefills3[[#This Row],[quantity_days]])</f>
        <v>45958</v>
      </c>
      <c r="G2171">
        <f>IF(TableRefills3[[#This Row],[prev_refill_end]]="","",TableRefills3[[#This Row],[refill_date]]-TableRefills3[[#This Row],[prev_refill_end]])</f>
        <v>3</v>
      </c>
      <c r="H2171" s="10">
        <f>IF(TableRefills3[[#This Row],[gap_days]]="",0,IF(TableRefills3[[#This Row],[gap_days]]&gt;2,1,0))</f>
        <v>1</v>
      </c>
      <c r="I2171">
        <f>_xlfn.MAXIFS(TableRefills3[discountinuation_flag], TableRefills3[patient_id], A2171)</f>
        <v>1</v>
      </c>
    </row>
    <row r="2172" spans="1:9" x14ac:dyDescent="0.25">
      <c r="A2172" t="s">
        <v>3461</v>
      </c>
      <c r="B2172" t="s">
        <v>3462</v>
      </c>
      <c r="C2172" s="3">
        <v>45941</v>
      </c>
      <c r="D2172">
        <v>21</v>
      </c>
      <c r="E2172" s="3" t="str">
        <f t="shared" si="33"/>
        <v/>
      </c>
      <c r="F2172" s="3" t="str">
        <f>IF(TableRefills3[[#This Row],[prev_refill_days]]="","",TableRefills3[[#This Row],[prev_refill_days]]+TableRefills3[[#This Row],[quantity_days]])</f>
        <v/>
      </c>
      <c r="G2172" t="str">
        <f>IF(TableRefills3[[#This Row],[prev_refill_end]]="","",TableRefills3[[#This Row],[refill_date]]-TableRefills3[[#This Row],[prev_refill_end]])</f>
        <v/>
      </c>
      <c r="H2172" s="10">
        <f>IF(TableRefills3[[#This Row],[gap_days]]="",0,IF(TableRefills3[[#This Row],[gap_days]]&gt;2,1,0))</f>
        <v>0</v>
      </c>
      <c r="I2172">
        <f>_xlfn.MAXIFS(TableRefills3[discountinuation_flag], TableRefills3[patient_id], A2172)</f>
        <v>0</v>
      </c>
    </row>
    <row r="2173" spans="1:9" x14ac:dyDescent="0.25">
      <c r="A2173" t="s">
        <v>3461</v>
      </c>
      <c r="B2173" t="s">
        <v>3462</v>
      </c>
      <c r="C2173" s="3">
        <v>45961</v>
      </c>
      <c r="D2173">
        <v>21</v>
      </c>
      <c r="E2173" s="3">
        <f t="shared" si="33"/>
        <v>45941</v>
      </c>
      <c r="F2173" s="3">
        <f>IF(TableRefills3[[#This Row],[prev_refill_days]]="","",TableRefills3[[#This Row],[prev_refill_days]]+TableRefills3[[#This Row],[quantity_days]])</f>
        <v>45962</v>
      </c>
      <c r="G2173">
        <f>IF(TableRefills3[[#This Row],[prev_refill_end]]="","",TableRefills3[[#This Row],[refill_date]]-TableRefills3[[#This Row],[prev_refill_end]])</f>
        <v>-1</v>
      </c>
      <c r="H2173" s="10">
        <f>IF(TableRefills3[[#This Row],[gap_days]]="",0,IF(TableRefills3[[#This Row],[gap_days]]&gt;2,1,0))</f>
        <v>0</v>
      </c>
      <c r="I2173">
        <f>_xlfn.MAXIFS(TableRefills3[discountinuation_flag], TableRefills3[patient_id], A2173)</f>
        <v>0</v>
      </c>
    </row>
    <row r="2174" spans="1:9" x14ac:dyDescent="0.25">
      <c r="A2174" t="s">
        <v>3465</v>
      </c>
      <c r="B2174" t="s">
        <v>3466</v>
      </c>
      <c r="C2174" s="3">
        <v>45957</v>
      </c>
      <c r="D2174">
        <v>30</v>
      </c>
      <c r="E2174" s="3" t="str">
        <f t="shared" si="33"/>
        <v/>
      </c>
      <c r="F2174" s="3" t="str">
        <f>IF(TableRefills3[[#This Row],[prev_refill_days]]="","",TableRefills3[[#This Row],[prev_refill_days]]+TableRefills3[[#This Row],[quantity_days]])</f>
        <v/>
      </c>
      <c r="G2174" t="str">
        <f>IF(TableRefills3[[#This Row],[prev_refill_end]]="","",TableRefills3[[#This Row],[refill_date]]-TableRefills3[[#This Row],[prev_refill_end]])</f>
        <v/>
      </c>
      <c r="H2174" s="10">
        <f>IF(TableRefills3[[#This Row],[gap_days]]="",0,IF(TableRefills3[[#This Row],[gap_days]]&gt;2,1,0))</f>
        <v>0</v>
      </c>
      <c r="I2174">
        <f>_xlfn.MAXIFS(TableRefills3[discountinuation_flag], TableRefills3[patient_id], A2174)</f>
        <v>0</v>
      </c>
    </row>
    <row r="2175" spans="1:9" x14ac:dyDescent="0.25">
      <c r="A2175" t="s">
        <v>3468</v>
      </c>
      <c r="B2175" t="s">
        <v>3469</v>
      </c>
      <c r="C2175" s="3">
        <v>45799</v>
      </c>
      <c r="D2175">
        <v>21</v>
      </c>
      <c r="E2175" s="3" t="str">
        <f t="shared" si="33"/>
        <v/>
      </c>
      <c r="F2175" s="3" t="str">
        <f>IF(TableRefills3[[#This Row],[prev_refill_days]]="","",TableRefills3[[#This Row],[prev_refill_days]]+TableRefills3[[#This Row],[quantity_days]])</f>
        <v/>
      </c>
      <c r="G2175" t="str">
        <f>IF(TableRefills3[[#This Row],[prev_refill_end]]="","",TableRefills3[[#This Row],[refill_date]]-TableRefills3[[#This Row],[prev_refill_end]])</f>
        <v/>
      </c>
      <c r="H2175" s="10">
        <f>IF(TableRefills3[[#This Row],[gap_days]]="",0,IF(TableRefills3[[#This Row],[gap_days]]&gt;2,1,0))</f>
        <v>0</v>
      </c>
      <c r="I2175">
        <f>_xlfn.MAXIFS(TableRefills3[discountinuation_flag], TableRefills3[patient_id], A2175)</f>
        <v>1</v>
      </c>
    </row>
    <row r="2176" spans="1:9" x14ac:dyDescent="0.25">
      <c r="A2176" t="s">
        <v>3468</v>
      </c>
      <c r="B2176" t="s">
        <v>3469</v>
      </c>
      <c r="C2176" s="3">
        <v>45821</v>
      </c>
      <c r="D2176">
        <v>21</v>
      </c>
      <c r="E2176" s="3">
        <f t="shared" si="33"/>
        <v>45799</v>
      </c>
      <c r="F2176" s="3">
        <f>IF(TableRefills3[[#This Row],[prev_refill_days]]="","",TableRefills3[[#This Row],[prev_refill_days]]+TableRefills3[[#This Row],[quantity_days]])</f>
        <v>45820</v>
      </c>
      <c r="G2176">
        <f>IF(TableRefills3[[#This Row],[prev_refill_end]]="","",TableRefills3[[#This Row],[refill_date]]-TableRefills3[[#This Row],[prev_refill_end]])</f>
        <v>1</v>
      </c>
      <c r="H2176" s="10">
        <f>IF(TableRefills3[[#This Row],[gap_days]]="",0,IF(TableRefills3[[#This Row],[gap_days]]&gt;2,1,0))</f>
        <v>0</v>
      </c>
      <c r="I2176">
        <f>_xlfn.MAXIFS(TableRefills3[discountinuation_flag], TableRefills3[patient_id], A2176)</f>
        <v>1</v>
      </c>
    </row>
    <row r="2177" spans="1:9" x14ac:dyDescent="0.25">
      <c r="A2177" t="s">
        <v>3468</v>
      </c>
      <c r="B2177" t="s">
        <v>3469</v>
      </c>
      <c r="C2177" s="3">
        <v>45840</v>
      </c>
      <c r="D2177">
        <v>21</v>
      </c>
      <c r="E2177" s="3">
        <f t="shared" si="33"/>
        <v>45821</v>
      </c>
      <c r="F2177" s="3">
        <f>IF(TableRefills3[[#This Row],[prev_refill_days]]="","",TableRefills3[[#This Row],[prev_refill_days]]+TableRefills3[[#This Row],[quantity_days]])</f>
        <v>45842</v>
      </c>
      <c r="G2177">
        <f>IF(TableRefills3[[#This Row],[prev_refill_end]]="","",TableRefills3[[#This Row],[refill_date]]-TableRefills3[[#This Row],[prev_refill_end]])</f>
        <v>-2</v>
      </c>
      <c r="H2177" s="10">
        <f>IF(TableRefills3[[#This Row],[gap_days]]="",0,IF(TableRefills3[[#This Row],[gap_days]]&gt;2,1,0))</f>
        <v>0</v>
      </c>
      <c r="I2177">
        <f>_xlfn.MAXIFS(TableRefills3[discountinuation_flag], TableRefills3[patient_id], A2177)</f>
        <v>1</v>
      </c>
    </row>
    <row r="2178" spans="1:9" x14ac:dyDescent="0.25">
      <c r="A2178" t="s">
        <v>3468</v>
      </c>
      <c r="B2178" t="s">
        <v>3469</v>
      </c>
      <c r="C2178" s="3">
        <v>45862</v>
      </c>
      <c r="D2178">
        <v>21</v>
      </c>
      <c r="E2178" s="3">
        <f t="shared" ref="E2178:E2241" si="34">IF(A2177=A2178,C2177,"")</f>
        <v>45840</v>
      </c>
      <c r="F2178" s="3">
        <f>IF(TableRefills3[[#This Row],[prev_refill_days]]="","",TableRefills3[[#This Row],[prev_refill_days]]+TableRefills3[[#This Row],[quantity_days]])</f>
        <v>45861</v>
      </c>
      <c r="G2178">
        <f>IF(TableRefills3[[#This Row],[prev_refill_end]]="","",TableRefills3[[#This Row],[refill_date]]-TableRefills3[[#This Row],[prev_refill_end]])</f>
        <v>1</v>
      </c>
      <c r="H2178" s="10">
        <f>IF(TableRefills3[[#This Row],[gap_days]]="",0,IF(TableRefills3[[#This Row],[gap_days]]&gt;2,1,0))</f>
        <v>0</v>
      </c>
      <c r="I2178">
        <f>_xlfn.MAXIFS(TableRefills3[discountinuation_flag], TableRefills3[patient_id], A2178)</f>
        <v>1</v>
      </c>
    </row>
    <row r="2179" spans="1:9" x14ac:dyDescent="0.25">
      <c r="A2179" t="s">
        <v>3468</v>
      </c>
      <c r="B2179" t="s">
        <v>3469</v>
      </c>
      <c r="C2179" s="3">
        <v>45881</v>
      </c>
      <c r="D2179">
        <v>21</v>
      </c>
      <c r="E2179" s="3">
        <f t="shared" si="34"/>
        <v>45862</v>
      </c>
      <c r="F2179" s="3">
        <f>IF(TableRefills3[[#This Row],[prev_refill_days]]="","",TableRefills3[[#This Row],[prev_refill_days]]+TableRefills3[[#This Row],[quantity_days]])</f>
        <v>45883</v>
      </c>
      <c r="G2179">
        <f>IF(TableRefills3[[#This Row],[prev_refill_end]]="","",TableRefills3[[#This Row],[refill_date]]-TableRefills3[[#This Row],[prev_refill_end]])</f>
        <v>-2</v>
      </c>
      <c r="H2179" s="10">
        <f>IF(TableRefills3[[#This Row],[gap_days]]="",0,IF(TableRefills3[[#This Row],[gap_days]]&gt;2,1,0))</f>
        <v>0</v>
      </c>
      <c r="I2179">
        <f>_xlfn.MAXIFS(TableRefills3[discountinuation_flag], TableRefills3[patient_id], A2179)</f>
        <v>1</v>
      </c>
    </row>
    <row r="2180" spans="1:9" x14ac:dyDescent="0.25">
      <c r="A2180" t="s">
        <v>3468</v>
      </c>
      <c r="B2180" t="s">
        <v>3469</v>
      </c>
      <c r="C2180" s="3">
        <v>45899</v>
      </c>
      <c r="D2180">
        <v>21</v>
      </c>
      <c r="E2180" s="3">
        <f t="shared" si="34"/>
        <v>45881</v>
      </c>
      <c r="F2180" s="3">
        <f>IF(TableRefills3[[#This Row],[prev_refill_days]]="","",TableRefills3[[#This Row],[prev_refill_days]]+TableRefills3[[#This Row],[quantity_days]])</f>
        <v>45902</v>
      </c>
      <c r="G2180">
        <f>IF(TableRefills3[[#This Row],[prev_refill_end]]="","",TableRefills3[[#This Row],[refill_date]]-TableRefills3[[#This Row],[prev_refill_end]])</f>
        <v>-3</v>
      </c>
      <c r="H2180" s="10">
        <f>IF(TableRefills3[[#This Row],[gap_days]]="",0,IF(TableRefills3[[#This Row],[gap_days]]&gt;2,1,0))</f>
        <v>0</v>
      </c>
      <c r="I2180">
        <f>_xlfn.MAXIFS(TableRefills3[discountinuation_flag], TableRefills3[patient_id], A2180)</f>
        <v>1</v>
      </c>
    </row>
    <row r="2181" spans="1:9" x14ac:dyDescent="0.25">
      <c r="A2181" t="s">
        <v>3468</v>
      </c>
      <c r="B2181" t="s">
        <v>3469</v>
      </c>
      <c r="C2181" s="3">
        <v>45923</v>
      </c>
      <c r="D2181">
        <v>21</v>
      </c>
      <c r="E2181" s="3">
        <f t="shared" si="34"/>
        <v>45899</v>
      </c>
      <c r="F2181" s="3">
        <f>IF(TableRefills3[[#This Row],[prev_refill_days]]="","",TableRefills3[[#This Row],[prev_refill_days]]+TableRefills3[[#This Row],[quantity_days]])</f>
        <v>45920</v>
      </c>
      <c r="G2181">
        <f>IF(TableRefills3[[#This Row],[prev_refill_end]]="","",TableRefills3[[#This Row],[refill_date]]-TableRefills3[[#This Row],[prev_refill_end]])</f>
        <v>3</v>
      </c>
      <c r="H2181" s="10">
        <f>IF(TableRefills3[[#This Row],[gap_days]]="",0,IF(TableRefills3[[#This Row],[gap_days]]&gt;2,1,0))</f>
        <v>1</v>
      </c>
      <c r="I2181">
        <f>_xlfn.MAXIFS(TableRefills3[discountinuation_flag], TableRefills3[patient_id], A2181)</f>
        <v>1</v>
      </c>
    </row>
    <row r="2182" spans="1:9" x14ac:dyDescent="0.25">
      <c r="A2182" t="s">
        <v>3468</v>
      </c>
      <c r="B2182" t="s">
        <v>3469</v>
      </c>
      <c r="C2182" s="3">
        <v>45943</v>
      </c>
      <c r="D2182">
        <v>21</v>
      </c>
      <c r="E2182" s="3">
        <f t="shared" si="34"/>
        <v>45923</v>
      </c>
      <c r="F2182" s="3">
        <f>IF(TableRefills3[[#This Row],[prev_refill_days]]="","",TableRefills3[[#This Row],[prev_refill_days]]+TableRefills3[[#This Row],[quantity_days]])</f>
        <v>45944</v>
      </c>
      <c r="G2182">
        <f>IF(TableRefills3[[#This Row],[prev_refill_end]]="","",TableRefills3[[#This Row],[refill_date]]-TableRefills3[[#This Row],[prev_refill_end]])</f>
        <v>-1</v>
      </c>
      <c r="H2182" s="10">
        <f>IF(TableRefills3[[#This Row],[gap_days]]="",0,IF(TableRefills3[[#This Row],[gap_days]]&gt;2,1,0))</f>
        <v>0</v>
      </c>
      <c r="I2182">
        <f>_xlfn.MAXIFS(TableRefills3[discountinuation_flag], TableRefills3[patient_id], A2182)</f>
        <v>1</v>
      </c>
    </row>
    <row r="2183" spans="1:9" x14ac:dyDescent="0.25">
      <c r="A2183" t="s">
        <v>3478</v>
      </c>
      <c r="B2183" t="s">
        <v>3479</v>
      </c>
      <c r="C2183" s="3">
        <v>45889</v>
      </c>
      <c r="D2183">
        <v>28</v>
      </c>
      <c r="E2183" s="3" t="str">
        <f t="shared" si="34"/>
        <v/>
      </c>
      <c r="F2183" s="3" t="str">
        <f>IF(TableRefills3[[#This Row],[prev_refill_days]]="","",TableRefills3[[#This Row],[prev_refill_days]]+TableRefills3[[#This Row],[quantity_days]])</f>
        <v/>
      </c>
      <c r="G2183" t="str">
        <f>IF(TableRefills3[[#This Row],[prev_refill_end]]="","",TableRefills3[[#This Row],[refill_date]]-TableRefills3[[#This Row],[prev_refill_end]])</f>
        <v/>
      </c>
      <c r="H2183" s="10">
        <f>IF(TableRefills3[[#This Row],[gap_days]]="",0,IF(TableRefills3[[#This Row],[gap_days]]&gt;2,1,0))</f>
        <v>0</v>
      </c>
      <c r="I2183">
        <f>_xlfn.MAXIFS(TableRefills3[discountinuation_flag], TableRefills3[patient_id], A2183)</f>
        <v>0</v>
      </c>
    </row>
    <row r="2184" spans="1:9" x14ac:dyDescent="0.25">
      <c r="A2184" t="s">
        <v>3478</v>
      </c>
      <c r="B2184" t="s">
        <v>3479</v>
      </c>
      <c r="C2184" s="3">
        <v>45919</v>
      </c>
      <c r="D2184">
        <v>28</v>
      </c>
      <c r="E2184" s="3">
        <f t="shared" si="34"/>
        <v>45889</v>
      </c>
      <c r="F2184" s="3">
        <f>IF(TableRefills3[[#This Row],[prev_refill_days]]="","",TableRefills3[[#This Row],[prev_refill_days]]+TableRefills3[[#This Row],[quantity_days]])</f>
        <v>45917</v>
      </c>
      <c r="G2184">
        <f>IF(TableRefills3[[#This Row],[prev_refill_end]]="","",TableRefills3[[#This Row],[refill_date]]-TableRefills3[[#This Row],[prev_refill_end]])</f>
        <v>2</v>
      </c>
      <c r="H2184" s="10">
        <f>IF(TableRefills3[[#This Row],[gap_days]]="",0,IF(TableRefills3[[#This Row],[gap_days]]&gt;2,1,0))</f>
        <v>0</v>
      </c>
      <c r="I2184">
        <f>_xlfn.MAXIFS(TableRefills3[discountinuation_flag], TableRefills3[patient_id], A2184)</f>
        <v>0</v>
      </c>
    </row>
    <row r="2185" spans="1:9" x14ac:dyDescent="0.25">
      <c r="A2185" t="s">
        <v>3478</v>
      </c>
      <c r="B2185" t="s">
        <v>3479</v>
      </c>
      <c r="C2185" s="3">
        <v>45946</v>
      </c>
      <c r="D2185">
        <v>28</v>
      </c>
      <c r="E2185" s="3">
        <f t="shared" si="34"/>
        <v>45919</v>
      </c>
      <c r="F2185" s="3">
        <f>IF(TableRefills3[[#This Row],[prev_refill_days]]="","",TableRefills3[[#This Row],[prev_refill_days]]+TableRefills3[[#This Row],[quantity_days]])</f>
        <v>45947</v>
      </c>
      <c r="G2185">
        <f>IF(TableRefills3[[#This Row],[prev_refill_end]]="","",TableRefills3[[#This Row],[refill_date]]-TableRefills3[[#This Row],[prev_refill_end]])</f>
        <v>-1</v>
      </c>
      <c r="H2185" s="10">
        <f>IF(TableRefills3[[#This Row],[gap_days]]="",0,IF(TableRefills3[[#This Row],[gap_days]]&gt;2,1,0))</f>
        <v>0</v>
      </c>
      <c r="I2185">
        <f>_xlfn.MAXIFS(TableRefills3[discountinuation_flag], TableRefills3[patient_id], A2185)</f>
        <v>0</v>
      </c>
    </row>
    <row r="2186" spans="1:9" x14ac:dyDescent="0.25">
      <c r="A2186" t="s">
        <v>3483</v>
      </c>
      <c r="B2186" t="s">
        <v>3484</v>
      </c>
      <c r="C2186" s="3">
        <v>45862</v>
      </c>
      <c r="D2186">
        <v>30</v>
      </c>
      <c r="E2186" s="3" t="str">
        <f t="shared" si="34"/>
        <v/>
      </c>
      <c r="F2186" s="3" t="str">
        <f>IF(TableRefills3[[#This Row],[prev_refill_days]]="","",TableRefills3[[#This Row],[prev_refill_days]]+TableRefills3[[#This Row],[quantity_days]])</f>
        <v/>
      </c>
      <c r="G2186" t="str">
        <f>IF(TableRefills3[[#This Row],[prev_refill_end]]="","",TableRefills3[[#This Row],[refill_date]]-TableRefills3[[#This Row],[prev_refill_end]])</f>
        <v/>
      </c>
      <c r="H2186" s="10">
        <f>IF(TableRefills3[[#This Row],[gap_days]]="",0,IF(TableRefills3[[#This Row],[gap_days]]&gt;2,1,0))</f>
        <v>0</v>
      </c>
      <c r="I2186">
        <f>_xlfn.MAXIFS(TableRefills3[discountinuation_flag], TableRefills3[patient_id], A2186)</f>
        <v>0</v>
      </c>
    </row>
    <row r="2187" spans="1:9" x14ac:dyDescent="0.25">
      <c r="A2187" t="s">
        <v>3483</v>
      </c>
      <c r="B2187" t="s">
        <v>3484</v>
      </c>
      <c r="C2187" s="3">
        <v>45890</v>
      </c>
      <c r="D2187">
        <v>30</v>
      </c>
      <c r="E2187" s="3">
        <f t="shared" si="34"/>
        <v>45862</v>
      </c>
      <c r="F2187" s="3">
        <f>IF(TableRefills3[[#This Row],[prev_refill_days]]="","",TableRefills3[[#This Row],[prev_refill_days]]+TableRefills3[[#This Row],[quantity_days]])</f>
        <v>45892</v>
      </c>
      <c r="G2187">
        <f>IF(TableRefills3[[#This Row],[prev_refill_end]]="","",TableRefills3[[#This Row],[refill_date]]-TableRefills3[[#This Row],[prev_refill_end]])</f>
        <v>-2</v>
      </c>
      <c r="H2187" s="10">
        <f>IF(TableRefills3[[#This Row],[gap_days]]="",0,IF(TableRefills3[[#This Row],[gap_days]]&gt;2,1,0))</f>
        <v>0</v>
      </c>
      <c r="I2187">
        <f>_xlfn.MAXIFS(TableRefills3[discountinuation_flag], TableRefills3[patient_id], A2187)</f>
        <v>0</v>
      </c>
    </row>
    <row r="2188" spans="1:9" x14ac:dyDescent="0.25">
      <c r="A2188" t="s">
        <v>3483</v>
      </c>
      <c r="B2188" t="s">
        <v>3484</v>
      </c>
      <c r="C2188" s="3">
        <v>45920</v>
      </c>
      <c r="D2188">
        <v>30</v>
      </c>
      <c r="E2188" s="3">
        <f t="shared" si="34"/>
        <v>45890</v>
      </c>
      <c r="F2188" s="3">
        <f>IF(TableRefills3[[#This Row],[prev_refill_days]]="","",TableRefills3[[#This Row],[prev_refill_days]]+TableRefills3[[#This Row],[quantity_days]])</f>
        <v>45920</v>
      </c>
      <c r="G2188">
        <f>IF(TableRefills3[[#This Row],[prev_refill_end]]="","",TableRefills3[[#This Row],[refill_date]]-TableRefills3[[#This Row],[prev_refill_end]])</f>
        <v>0</v>
      </c>
      <c r="H2188" s="10">
        <f>IF(TableRefills3[[#This Row],[gap_days]]="",0,IF(TableRefills3[[#This Row],[gap_days]]&gt;2,1,0))</f>
        <v>0</v>
      </c>
      <c r="I2188">
        <f>_xlfn.MAXIFS(TableRefills3[discountinuation_flag], TableRefills3[patient_id], A2188)</f>
        <v>0</v>
      </c>
    </row>
    <row r="2189" spans="1:9" x14ac:dyDescent="0.25">
      <c r="A2189" t="s">
        <v>3483</v>
      </c>
      <c r="B2189" t="s">
        <v>3484</v>
      </c>
      <c r="C2189" s="3">
        <v>45949</v>
      </c>
      <c r="D2189">
        <v>30</v>
      </c>
      <c r="E2189" s="3">
        <f t="shared" si="34"/>
        <v>45920</v>
      </c>
      <c r="F2189" s="3">
        <f>IF(TableRefills3[[#This Row],[prev_refill_days]]="","",TableRefills3[[#This Row],[prev_refill_days]]+TableRefills3[[#This Row],[quantity_days]])</f>
        <v>45950</v>
      </c>
      <c r="G2189">
        <f>IF(TableRefills3[[#This Row],[prev_refill_end]]="","",TableRefills3[[#This Row],[refill_date]]-TableRefills3[[#This Row],[prev_refill_end]])</f>
        <v>-1</v>
      </c>
      <c r="H2189" s="10">
        <f>IF(TableRefills3[[#This Row],[gap_days]]="",0,IF(TableRefills3[[#This Row],[gap_days]]&gt;2,1,0))</f>
        <v>0</v>
      </c>
      <c r="I2189">
        <f>_xlfn.MAXIFS(TableRefills3[discountinuation_flag], TableRefills3[patient_id], A2189)</f>
        <v>0</v>
      </c>
    </row>
    <row r="2190" spans="1:9" x14ac:dyDescent="0.25">
      <c r="A2190" t="s">
        <v>3489</v>
      </c>
      <c r="B2190" t="s">
        <v>3490</v>
      </c>
      <c r="C2190" s="3">
        <v>45802</v>
      </c>
      <c r="D2190">
        <v>21</v>
      </c>
      <c r="E2190" s="3" t="str">
        <f t="shared" si="34"/>
        <v/>
      </c>
      <c r="F2190" s="3" t="str">
        <f>IF(TableRefills3[[#This Row],[prev_refill_days]]="","",TableRefills3[[#This Row],[prev_refill_days]]+TableRefills3[[#This Row],[quantity_days]])</f>
        <v/>
      </c>
      <c r="G2190" t="str">
        <f>IF(TableRefills3[[#This Row],[prev_refill_end]]="","",TableRefills3[[#This Row],[refill_date]]-TableRefills3[[#This Row],[prev_refill_end]])</f>
        <v/>
      </c>
      <c r="H2190" s="10">
        <f>IF(TableRefills3[[#This Row],[gap_days]]="",0,IF(TableRefills3[[#This Row],[gap_days]]&gt;2,1,0))</f>
        <v>0</v>
      </c>
      <c r="I2190">
        <f>_xlfn.MAXIFS(TableRefills3[discountinuation_flag], TableRefills3[patient_id], A2190)</f>
        <v>0</v>
      </c>
    </row>
    <row r="2191" spans="1:9" x14ac:dyDescent="0.25">
      <c r="A2191" t="s">
        <v>3492</v>
      </c>
      <c r="B2191" t="s">
        <v>3493</v>
      </c>
      <c r="C2191" s="3">
        <v>45788</v>
      </c>
      <c r="D2191">
        <v>30</v>
      </c>
      <c r="E2191" s="3" t="str">
        <f t="shared" si="34"/>
        <v/>
      </c>
      <c r="F2191" s="3" t="str">
        <f>IF(TableRefills3[[#This Row],[prev_refill_days]]="","",TableRefills3[[#This Row],[prev_refill_days]]+TableRefills3[[#This Row],[quantity_days]])</f>
        <v/>
      </c>
      <c r="G2191" t="str">
        <f>IF(TableRefills3[[#This Row],[prev_refill_end]]="","",TableRefills3[[#This Row],[refill_date]]-TableRefills3[[#This Row],[prev_refill_end]])</f>
        <v/>
      </c>
      <c r="H2191" s="10">
        <f>IF(TableRefills3[[#This Row],[gap_days]]="",0,IF(TableRefills3[[#This Row],[gap_days]]&gt;2,1,0))</f>
        <v>0</v>
      </c>
      <c r="I2191">
        <f>_xlfn.MAXIFS(TableRefills3[discountinuation_flag], TableRefills3[patient_id], A2191)</f>
        <v>0</v>
      </c>
    </row>
    <row r="2192" spans="1:9" x14ac:dyDescent="0.25">
      <c r="A2192" t="s">
        <v>3492</v>
      </c>
      <c r="B2192" t="s">
        <v>3493</v>
      </c>
      <c r="C2192" s="3">
        <v>45817</v>
      </c>
      <c r="D2192">
        <v>30</v>
      </c>
      <c r="E2192" s="3">
        <f t="shared" si="34"/>
        <v>45788</v>
      </c>
      <c r="F2192" s="3">
        <f>IF(TableRefills3[[#This Row],[prev_refill_days]]="","",TableRefills3[[#This Row],[prev_refill_days]]+TableRefills3[[#This Row],[quantity_days]])</f>
        <v>45818</v>
      </c>
      <c r="G2192">
        <f>IF(TableRefills3[[#This Row],[prev_refill_end]]="","",TableRefills3[[#This Row],[refill_date]]-TableRefills3[[#This Row],[prev_refill_end]])</f>
        <v>-1</v>
      </c>
      <c r="H2192" s="10">
        <f>IF(TableRefills3[[#This Row],[gap_days]]="",0,IF(TableRefills3[[#This Row],[gap_days]]&gt;2,1,0))</f>
        <v>0</v>
      </c>
      <c r="I2192">
        <f>_xlfn.MAXIFS(TableRefills3[discountinuation_flag], TableRefills3[patient_id], A2192)</f>
        <v>0</v>
      </c>
    </row>
    <row r="2193" spans="1:9" x14ac:dyDescent="0.25">
      <c r="A2193" t="s">
        <v>3492</v>
      </c>
      <c r="B2193" t="s">
        <v>3493</v>
      </c>
      <c r="C2193" s="3">
        <v>45844</v>
      </c>
      <c r="D2193">
        <v>30</v>
      </c>
      <c r="E2193" s="3">
        <f t="shared" si="34"/>
        <v>45817</v>
      </c>
      <c r="F2193" s="3">
        <f>IF(TableRefills3[[#This Row],[prev_refill_days]]="","",TableRefills3[[#This Row],[prev_refill_days]]+TableRefills3[[#This Row],[quantity_days]])</f>
        <v>45847</v>
      </c>
      <c r="G2193">
        <f>IF(TableRefills3[[#This Row],[prev_refill_end]]="","",TableRefills3[[#This Row],[refill_date]]-TableRefills3[[#This Row],[prev_refill_end]])</f>
        <v>-3</v>
      </c>
      <c r="H2193" s="10">
        <f>IF(TableRefills3[[#This Row],[gap_days]]="",0,IF(TableRefills3[[#This Row],[gap_days]]&gt;2,1,0))</f>
        <v>0</v>
      </c>
      <c r="I2193">
        <f>_xlfn.MAXIFS(TableRefills3[discountinuation_flag], TableRefills3[patient_id], A2193)</f>
        <v>0</v>
      </c>
    </row>
    <row r="2194" spans="1:9" x14ac:dyDescent="0.25">
      <c r="A2194" t="s">
        <v>3492</v>
      </c>
      <c r="B2194" t="s">
        <v>3493</v>
      </c>
      <c r="C2194" s="3">
        <v>45872</v>
      </c>
      <c r="D2194">
        <v>30</v>
      </c>
      <c r="E2194" s="3">
        <f t="shared" si="34"/>
        <v>45844</v>
      </c>
      <c r="F2194" s="3">
        <f>IF(TableRefills3[[#This Row],[prev_refill_days]]="","",TableRefills3[[#This Row],[prev_refill_days]]+TableRefills3[[#This Row],[quantity_days]])</f>
        <v>45874</v>
      </c>
      <c r="G2194">
        <f>IF(TableRefills3[[#This Row],[prev_refill_end]]="","",TableRefills3[[#This Row],[refill_date]]-TableRefills3[[#This Row],[prev_refill_end]])</f>
        <v>-2</v>
      </c>
      <c r="H2194" s="10">
        <f>IF(TableRefills3[[#This Row],[gap_days]]="",0,IF(TableRefills3[[#This Row],[gap_days]]&gt;2,1,0))</f>
        <v>0</v>
      </c>
      <c r="I2194">
        <f>_xlfn.MAXIFS(TableRefills3[discountinuation_flag], TableRefills3[patient_id], A2194)</f>
        <v>0</v>
      </c>
    </row>
    <row r="2195" spans="1:9" x14ac:dyDescent="0.25">
      <c r="A2195" t="s">
        <v>3492</v>
      </c>
      <c r="B2195" t="s">
        <v>3493</v>
      </c>
      <c r="C2195" s="3">
        <v>45899</v>
      </c>
      <c r="D2195">
        <v>30</v>
      </c>
      <c r="E2195" s="3">
        <f t="shared" si="34"/>
        <v>45872</v>
      </c>
      <c r="F2195" s="3">
        <f>IF(TableRefills3[[#This Row],[prev_refill_days]]="","",TableRefills3[[#This Row],[prev_refill_days]]+TableRefills3[[#This Row],[quantity_days]])</f>
        <v>45902</v>
      </c>
      <c r="G2195">
        <f>IF(TableRefills3[[#This Row],[prev_refill_end]]="","",TableRefills3[[#This Row],[refill_date]]-TableRefills3[[#This Row],[prev_refill_end]])</f>
        <v>-3</v>
      </c>
      <c r="H2195" s="10">
        <f>IF(TableRefills3[[#This Row],[gap_days]]="",0,IF(TableRefills3[[#This Row],[gap_days]]&gt;2,1,0))</f>
        <v>0</v>
      </c>
      <c r="I2195">
        <f>_xlfn.MAXIFS(TableRefills3[discountinuation_flag], TableRefills3[patient_id], A2195)</f>
        <v>0</v>
      </c>
    </row>
    <row r="2196" spans="1:9" x14ac:dyDescent="0.25">
      <c r="A2196" t="s">
        <v>3492</v>
      </c>
      <c r="B2196" t="s">
        <v>3493</v>
      </c>
      <c r="C2196" s="3">
        <v>45930</v>
      </c>
      <c r="D2196">
        <v>30</v>
      </c>
      <c r="E2196" s="3">
        <f t="shared" si="34"/>
        <v>45899</v>
      </c>
      <c r="F2196" s="3">
        <f>IF(TableRefills3[[#This Row],[prev_refill_days]]="","",TableRefills3[[#This Row],[prev_refill_days]]+TableRefills3[[#This Row],[quantity_days]])</f>
        <v>45929</v>
      </c>
      <c r="G2196">
        <f>IF(TableRefills3[[#This Row],[prev_refill_end]]="","",TableRefills3[[#This Row],[refill_date]]-TableRefills3[[#This Row],[prev_refill_end]])</f>
        <v>1</v>
      </c>
      <c r="H2196" s="10">
        <f>IF(TableRefills3[[#This Row],[gap_days]]="",0,IF(TableRefills3[[#This Row],[gap_days]]&gt;2,1,0))</f>
        <v>0</v>
      </c>
      <c r="I2196">
        <f>_xlfn.MAXIFS(TableRefills3[discountinuation_flag], TableRefills3[patient_id], A2196)</f>
        <v>0</v>
      </c>
    </row>
    <row r="2197" spans="1:9" x14ac:dyDescent="0.25">
      <c r="A2197" t="s">
        <v>3500</v>
      </c>
      <c r="B2197" t="s">
        <v>3501</v>
      </c>
      <c r="C2197" s="3">
        <v>45832</v>
      </c>
      <c r="D2197">
        <v>28</v>
      </c>
      <c r="E2197" s="3" t="str">
        <f t="shared" si="34"/>
        <v/>
      </c>
      <c r="F2197" s="3" t="str">
        <f>IF(TableRefills3[[#This Row],[prev_refill_days]]="","",TableRefills3[[#This Row],[prev_refill_days]]+TableRefills3[[#This Row],[quantity_days]])</f>
        <v/>
      </c>
      <c r="G2197" t="str">
        <f>IF(TableRefills3[[#This Row],[prev_refill_end]]="","",TableRefills3[[#This Row],[refill_date]]-TableRefills3[[#This Row],[prev_refill_end]])</f>
        <v/>
      </c>
      <c r="H2197" s="10">
        <f>IF(TableRefills3[[#This Row],[gap_days]]="",0,IF(TableRefills3[[#This Row],[gap_days]]&gt;2,1,0))</f>
        <v>0</v>
      </c>
      <c r="I2197">
        <f>_xlfn.MAXIFS(TableRefills3[discountinuation_flag], TableRefills3[patient_id], A2197)</f>
        <v>1</v>
      </c>
    </row>
    <row r="2198" spans="1:9" x14ac:dyDescent="0.25">
      <c r="A2198" t="s">
        <v>3500</v>
      </c>
      <c r="B2198" t="s">
        <v>3501</v>
      </c>
      <c r="C2198" s="3">
        <v>45861</v>
      </c>
      <c r="D2198">
        <v>28</v>
      </c>
      <c r="E2198" s="3">
        <f t="shared" si="34"/>
        <v>45832</v>
      </c>
      <c r="F2198" s="3">
        <f>IF(TableRefills3[[#This Row],[prev_refill_days]]="","",TableRefills3[[#This Row],[prev_refill_days]]+TableRefills3[[#This Row],[quantity_days]])</f>
        <v>45860</v>
      </c>
      <c r="G2198">
        <f>IF(TableRefills3[[#This Row],[prev_refill_end]]="","",TableRefills3[[#This Row],[refill_date]]-TableRefills3[[#This Row],[prev_refill_end]])</f>
        <v>1</v>
      </c>
      <c r="H2198" s="10">
        <f>IF(TableRefills3[[#This Row],[gap_days]]="",0,IF(TableRefills3[[#This Row],[gap_days]]&gt;2,1,0))</f>
        <v>0</v>
      </c>
      <c r="I2198">
        <f>_xlfn.MAXIFS(TableRefills3[discountinuation_flag], TableRefills3[patient_id], A2198)</f>
        <v>1</v>
      </c>
    </row>
    <row r="2199" spans="1:9" x14ac:dyDescent="0.25">
      <c r="A2199" t="s">
        <v>3500</v>
      </c>
      <c r="B2199" t="s">
        <v>3501</v>
      </c>
      <c r="C2199" s="3">
        <v>45887</v>
      </c>
      <c r="D2199">
        <v>28</v>
      </c>
      <c r="E2199" s="3">
        <f t="shared" si="34"/>
        <v>45861</v>
      </c>
      <c r="F2199" s="3">
        <f>IF(TableRefills3[[#This Row],[prev_refill_days]]="","",TableRefills3[[#This Row],[prev_refill_days]]+TableRefills3[[#This Row],[quantity_days]])</f>
        <v>45889</v>
      </c>
      <c r="G2199">
        <f>IF(TableRefills3[[#This Row],[prev_refill_end]]="","",TableRefills3[[#This Row],[refill_date]]-TableRefills3[[#This Row],[prev_refill_end]])</f>
        <v>-2</v>
      </c>
      <c r="H2199" s="10">
        <f>IF(TableRefills3[[#This Row],[gap_days]]="",0,IF(TableRefills3[[#This Row],[gap_days]]&gt;2,1,0))</f>
        <v>0</v>
      </c>
      <c r="I2199">
        <f>_xlfn.MAXIFS(TableRefills3[discountinuation_flag], TableRefills3[patient_id], A2199)</f>
        <v>1</v>
      </c>
    </row>
    <row r="2200" spans="1:9" x14ac:dyDescent="0.25">
      <c r="A2200" t="s">
        <v>3500</v>
      </c>
      <c r="B2200" t="s">
        <v>3501</v>
      </c>
      <c r="C2200" s="3">
        <v>45915</v>
      </c>
      <c r="D2200">
        <v>28</v>
      </c>
      <c r="E2200" s="3">
        <f t="shared" si="34"/>
        <v>45887</v>
      </c>
      <c r="F2200" s="3">
        <f>IF(TableRefills3[[#This Row],[prev_refill_days]]="","",TableRefills3[[#This Row],[prev_refill_days]]+TableRefills3[[#This Row],[quantity_days]])</f>
        <v>45915</v>
      </c>
      <c r="G2200">
        <f>IF(TableRefills3[[#This Row],[prev_refill_end]]="","",TableRefills3[[#This Row],[refill_date]]-TableRefills3[[#This Row],[prev_refill_end]])</f>
        <v>0</v>
      </c>
      <c r="H2200" s="10">
        <f>IF(TableRefills3[[#This Row],[gap_days]]="",0,IF(TableRefills3[[#This Row],[gap_days]]&gt;2,1,0))</f>
        <v>0</v>
      </c>
      <c r="I2200">
        <f>_xlfn.MAXIFS(TableRefills3[discountinuation_flag], TableRefills3[patient_id], A2200)</f>
        <v>1</v>
      </c>
    </row>
    <row r="2201" spans="1:9" x14ac:dyDescent="0.25">
      <c r="A2201" t="s">
        <v>3500</v>
      </c>
      <c r="B2201" t="s">
        <v>3501</v>
      </c>
      <c r="C2201" s="3">
        <v>45946</v>
      </c>
      <c r="D2201">
        <v>28</v>
      </c>
      <c r="E2201" s="3">
        <f t="shared" si="34"/>
        <v>45915</v>
      </c>
      <c r="F2201" s="3">
        <f>IF(TableRefills3[[#This Row],[prev_refill_days]]="","",TableRefills3[[#This Row],[prev_refill_days]]+TableRefills3[[#This Row],[quantity_days]])</f>
        <v>45943</v>
      </c>
      <c r="G2201">
        <f>IF(TableRefills3[[#This Row],[prev_refill_end]]="","",TableRefills3[[#This Row],[refill_date]]-TableRefills3[[#This Row],[prev_refill_end]])</f>
        <v>3</v>
      </c>
      <c r="H2201" s="10">
        <f>IF(TableRefills3[[#This Row],[gap_days]]="",0,IF(TableRefills3[[#This Row],[gap_days]]&gt;2,1,0))</f>
        <v>1</v>
      </c>
      <c r="I2201">
        <f>_xlfn.MAXIFS(TableRefills3[discountinuation_flag], TableRefills3[patient_id], A2201)</f>
        <v>1</v>
      </c>
    </row>
    <row r="2202" spans="1:9" x14ac:dyDescent="0.25">
      <c r="A2202" t="s">
        <v>3507</v>
      </c>
      <c r="B2202" t="s">
        <v>3508</v>
      </c>
      <c r="C2202" s="3">
        <v>45923</v>
      </c>
      <c r="D2202">
        <v>28</v>
      </c>
      <c r="E2202" s="3" t="str">
        <f t="shared" si="34"/>
        <v/>
      </c>
      <c r="F2202" s="3" t="str">
        <f>IF(TableRefills3[[#This Row],[prev_refill_days]]="","",TableRefills3[[#This Row],[prev_refill_days]]+TableRefills3[[#This Row],[quantity_days]])</f>
        <v/>
      </c>
      <c r="G2202" t="str">
        <f>IF(TableRefills3[[#This Row],[prev_refill_end]]="","",TableRefills3[[#This Row],[refill_date]]-TableRefills3[[#This Row],[prev_refill_end]])</f>
        <v/>
      </c>
      <c r="H2202" s="10">
        <f>IF(TableRefills3[[#This Row],[gap_days]]="",0,IF(TableRefills3[[#This Row],[gap_days]]&gt;2,1,0))</f>
        <v>0</v>
      </c>
      <c r="I2202">
        <f>_xlfn.MAXIFS(TableRefills3[discountinuation_flag], TableRefills3[patient_id], A2202)</f>
        <v>0</v>
      </c>
    </row>
    <row r="2203" spans="1:9" x14ac:dyDescent="0.25">
      <c r="A2203" t="s">
        <v>3507</v>
      </c>
      <c r="B2203" t="s">
        <v>3508</v>
      </c>
      <c r="C2203" s="3">
        <v>45950</v>
      </c>
      <c r="D2203">
        <v>28</v>
      </c>
      <c r="E2203" s="3">
        <f t="shared" si="34"/>
        <v>45923</v>
      </c>
      <c r="F2203" s="3">
        <f>IF(TableRefills3[[#This Row],[prev_refill_days]]="","",TableRefills3[[#This Row],[prev_refill_days]]+TableRefills3[[#This Row],[quantity_days]])</f>
        <v>45951</v>
      </c>
      <c r="G2203">
        <f>IF(TableRefills3[[#This Row],[prev_refill_end]]="","",TableRefills3[[#This Row],[refill_date]]-TableRefills3[[#This Row],[prev_refill_end]])</f>
        <v>-1</v>
      </c>
      <c r="H2203" s="10">
        <f>IF(TableRefills3[[#This Row],[gap_days]]="",0,IF(TableRefills3[[#This Row],[gap_days]]&gt;2,1,0))</f>
        <v>0</v>
      </c>
      <c r="I2203">
        <f>_xlfn.MAXIFS(TableRefills3[discountinuation_flag], TableRefills3[patient_id], A2203)</f>
        <v>0</v>
      </c>
    </row>
    <row r="2204" spans="1:9" x14ac:dyDescent="0.25">
      <c r="A2204" t="s">
        <v>3511</v>
      </c>
      <c r="B2204" t="s">
        <v>3512</v>
      </c>
      <c r="C2204" s="3">
        <v>45847</v>
      </c>
      <c r="D2204">
        <v>21</v>
      </c>
      <c r="E2204" s="3" t="str">
        <f t="shared" si="34"/>
        <v/>
      </c>
      <c r="F2204" s="3" t="str">
        <f>IF(TableRefills3[[#This Row],[prev_refill_days]]="","",TableRefills3[[#This Row],[prev_refill_days]]+TableRefills3[[#This Row],[quantity_days]])</f>
        <v/>
      </c>
      <c r="G2204" t="str">
        <f>IF(TableRefills3[[#This Row],[prev_refill_end]]="","",TableRefills3[[#This Row],[refill_date]]-TableRefills3[[#This Row],[prev_refill_end]])</f>
        <v/>
      </c>
      <c r="H2204" s="10">
        <f>IF(TableRefills3[[#This Row],[gap_days]]="",0,IF(TableRefills3[[#This Row],[gap_days]]&gt;2,1,0))</f>
        <v>0</v>
      </c>
      <c r="I2204">
        <f>_xlfn.MAXIFS(TableRefills3[discountinuation_flag], TableRefills3[patient_id], A2204)</f>
        <v>0</v>
      </c>
    </row>
    <row r="2205" spans="1:9" x14ac:dyDescent="0.25">
      <c r="A2205" t="s">
        <v>3511</v>
      </c>
      <c r="B2205" t="s">
        <v>3512</v>
      </c>
      <c r="C2205" s="3">
        <v>45865</v>
      </c>
      <c r="D2205">
        <v>21</v>
      </c>
      <c r="E2205" s="3">
        <f t="shared" si="34"/>
        <v>45847</v>
      </c>
      <c r="F2205" s="3">
        <f>IF(TableRefills3[[#This Row],[prev_refill_days]]="","",TableRefills3[[#This Row],[prev_refill_days]]+TableRefills3[[#This Row],[quantity_days]])</f>
        <v>45868</v>
      </c>
      <c r="G2205">
        <f>IF(TableRefills3[[#This Row],[prev_refill_end]]="","",TableRefills3[[#This Row],[refill_date]]-TableRefills3[[#This Row],[prev_refill_end]])</f>
        <v>-3</v>
      </c>
      <c r="H2205" s="10">
        <f>IF(TableRefills3[[#This Row],[gap_days]]="",0,IF(TableRefills3[[#This Row],[gap_days]]&gt;2,1,0))</f>
        <v>0</v>
      </c>
      <c r="I2205">
        <f>_xlfn.MAXIFS(TableRefills3[discountinuation_flag], TableRefills3[patient_id], A2205)</f>
        <v>0</v>
      </c>
    </row>
    <row r="2206" spans="1:9" x14ac:dyDescent="0.25">
      <c r="A2206" t="s">
        <v>3511</v>
      </c>
      <c r="B2206" t="s">
        <v>3512</v>
      </c>
      <c r="C2206" s="3">
        <v>45887</v>
      </c>
      <c r="D2206">
        <v>21</v>
      </c>
      <c r="E2206" s="3">
        <f t="shared" si="34"/>
        <v>45865</v>
      </c>
      <c r="F2206" s="3">
        <f>IF(TableRefills3[[#This Row],[prev_refill_days]]="","",TableRefills3[[#This Row],[prev_refill_days]]+TableRefills3[[#This Row],[quantity_days]])</f>
        <v>45886</v>
      </c>
      <c r="G2206">
        <f>IF(TableRefills3[[#This Row],[prev_refill_end]]="","",TableRefills3[[#This Row],[refill_date]]-TableRefills3[[#This Row],[prev_refill_end]])</f>
        <v>1</v>
      </c>
      <c r="H2206" s="10">
        <f>IF(TableRefills3[[#This Row],[gap_days]]="",0,IF(TableRefills3[[#This Row],[gap_days]]&gt;2,1,0))</f>
        <v>0</v>
      </c>
      <c r="I2206">
        <f>_xlfn.MAXIFS(TableRefills3[discountinuation_flag], TableRefills3[patient_id], A2206)</f>
        <v>0</v>
      </c>
    </row>
    <row r="2207" spans="1:9" x14ac:dyDescent="0.25">
      <c r="A2207" t="s">
        <v>3511</v>
      </c>
      <c r="B2207" t="s">
        <v>3512</v>
      </c>
      <c r="C2207" s="3">
        <v>45906</v>
      </c>
      <c r="D2207">
        <v>21</v>
      </c>
      <c r="E2207" s="3">
        <f t="shared" si="34"/>
        <v>45887</v>
      </c>
      <c r="F2207" s="3">
        <f>IF(TableRefills3[[#This Row],[prev_refill_days]]="","",TableRefills3[[#This Row],[prev_refill_days]]+TableRefills3[[#This Row],[quantity_days]])</f>
        <v>45908</v>
      </c>
      <c r="G2207">
        <f>IF(TableRefills3[[#This Row],[prev_refill_end]]="","",TableRefills3[[#This Row],[refill_date]]-TableRefills3[[#This Row],[prev_refill_end]])</f>
        <v>-2</v>
      </c>
      <c r="H2207" s="10">
        <f>IF(TableRefills3[[#This Row],[gap_days]]="",0,IF(TableRefills3[[#This Row],[gap_days]]&gt;2,1,0))</f>
        <v>0</v>
      </c>
      <c r="I2207">
        <f>_xlfn.MAXIFS(TableRefills3[discountinuation_flag], TableRefills3[patient_id], A2207)</f>
        <v>0</v>
      </c>
    </row>
    <row r="2208" spans="1:9" x14ac:dyDescent="0.25">
      <c r="A2208" t="s">
        <v>3511</v>
      </c>
      <c r="B2208" t="s">
        <v>3512</v>
      </c>
      <c r="C2208" s="3">
        <v>45929</v>
      </c>
      <c r="D2208">
        <v>21</v>
      </c>
      <c r="E2208" s="3">
        <f t="shared" si="34"/>
        <v>45906</v>
      </c>
      <c r="F2208" s="3">
        <f>IF(TableRefills3[[#This Row],[prev_refill_days]]="","",TableRefills3[[#This Row],[prev_refill_days]]+TableRefills3[[#This Row],[quantity_days]])</f>
        <v>45927</v>
      </c>
      <c r="G2208">
        <f>IF(TableRefills3[[#This Row],[prev_refill_end]]="","",TableRefills3[[#This Row],[refill_date]]-TableRefills3[[#This Row],[prev_refill_end]])</f>
        <v>2</v>
      </c>
      <c r="H2208" s="10">
        <f>IF(TableRefills3[[#This Row],[gap_days]]="",0,IF(TableRefills3[[#This Row],[gap_days]]&gt;2,1,0))</f>
        <v>0</v>
      </c>
      <c r="I2208">
        <f>_xlfn.MAXIFS(TableRefills3[discountinuation_flag], TableRefills3[patient_id], A2208)</f>
        <v>0</v>
      </c>
    </row>
    <row r="2209" spans="1:9" x14ac:dyDescent="0.25">
      <c r="A2209" t="s">
        <v>3511</v>
      </c>
      <c r="B2209" t="s">
        <v>3512</v>
      </c>
      <c r="C2209" s="3">
        <v>45950</v>
      </c>
      <c r="D2209">
        <v>21</v>
      </c>
      <c r="E2209" s="3">
        <f t="shared" si="34"/>
        <v>45929</v>
      </c>
      <c r="F2209" s="3">
        <f>IF(TableRefills3[[#This Row],[prev_refill_days]]="","",TableRefills3[[#This Row],[prev_refill_days]]+TableRefills3[[#This Row],[quantity_days]])</f>
        <v>45950</v>
      </c>
      <c r="G2209">
        <f>IF(TableRefills3[[#This Row],[prev_refill_end]]="","",TableRefills3[[#This Row],[refill_date]]-TableRefills3[[#This Row],[prev_refill_end]])</f>
        <v>0</v>
      </c>
      <c r="H2209" s="10">
        <f>IF(TableRefills3[[#This Row],[gap_days]]="",0,IF(TableRefills3[[#This Row],[gap_days]]&gt;2,1,0))</f>
        <v>0</v>
      </c>
      <c r="I2209">
        <f>_xlfn.MAXIFS(TableRefills3[discountinuation_flag], TableRefills3[patient_id], A2209)</f>
        <v>0</v>
      </c>
    </row>
    <row r="2210" spans="1:9" x14ac:dyDescent="0.25">
      <c r="A2210" t="s">
        <v>3519</v>
      </c>
      <c r="B2210" t="s">
        <v>3520</v>
      </c>
      <c r="C2210" s="3">
        <v>45797</v>
      </c>
      <c r="D2210">
        <v>30</v>
      </c>
      <c r="E2210" s="3" t="str">
        <f t="shared" si="34"/>
        <v/>
      </c>
      <c r="F2210" s="3" t="str">
        <f>IF(TableRefills3[[#This Row],[prev_refill_days]]="","",TableRefills3[[#This Row],[prev_refill_days]]+TableRefills3[[#This Row],[quantity_days]])</f>
        <v/>
      </c>
      <c r="G2210" t="str">
        <f>IF(TableRefills3[[#This Row],[prev_refill_end]]="","",TableRefills3[[#This Row],[refill_date]]-TableRefills3[[#This Row],[prev_refill_end]])</f>
        <v/>
      </c>
      <c r="H2210" s="10">
        <f>IF(TableRefills3[[#This Row],[gap_days]]="",0,IF(TableRefills3[[#This Row],[gap_days]]&gt;2,1,0))</f>
        <v>0</v>
      </c>
      <c r="I2210">
        <f>_xlfn.MAXIFS(TableRefills3[discountinuation_flag], TableRefills3[patient_id], A2210)</f>
        <v>0</v>
      </c>
    </row>
    <row r="2211" spans="1:9" x14ac:dyDescent="0.25">
      <c r="A2211" t="s">
        <v>3519</v>
      </c>
      <c r="B2211" t="s">
        <v>3520</v>
      </c>
      <c r="C2211" s="3">
        <v>45824</v>
      </c>
      <c r="D2211">
        <v>30</v>
      </c>
      <c r="E2211" s="3">
        <f t="shared" si="34"/>
        <v>45797</v>
      </c>
      <c r="F2211" s="3">
        <f>IF(TableRefills3[[#This Row],[prev_refill_days]]="","",TableRefills3[[#This Row],[prev_refill_days]]+TableRefills3[[#This Row],[quantity_days]])</f>
        <v>45827</v>
      </c>
      <c r="G2211">
        <f>IF(TableRefills3[[#This Row],[prev_refill_end]]="","",TableRefills3[[#This Row],[refill_date]]-TableRefills3[[#This Row],[prev_refill_end]])</f>
        <v>-3</v>
      </c>
      <c r="H2211" s="10">
        <f>IF(TableRefills3[[#This Row],[gap_days]]="",0,IF(TableRefills3[[#This Row],[gap_days]]&gt;2,1,0))</f>
        <v>0</v>
      </c>
      <c r="I2211">
        <f>_xlfn.MAXIFS(TableRefills3[discountinuation_flag], TableRefills3[patient_id], A2211)</f>
        <v>0</v>
      </c>
    </row>
    <row r="2212" spans="1:9" x14ac:dyDescent="0.25">
      <c r="A2212" t="s">
        <v>3523</v>
      </c>
      <c r="B2212" t="s">
        <v>3524</v>
      </c>
      <c r="C2212" s="3">
        <v>45849</v>
      </c>
      <c r="D2212">
        <v>21</v>
      </c>
      <c r="E2212" s="3" t="str">
        <f t="shared" si="34"/>
        <v/>
      </c>
      <c r="F2212" s="3" t="str">
        <f>IF(TableRefills3[[#This Row],[prev_refill_days]]="","",TableRefills3[[#This Row],[prev_refill_days]]+TableRefills3[[#This Row],[quantity_days]])</f>
        <v/>
      </c>
      <c r="G2212" t="str">
        <f>IF(TableRefills3[[#This Row],[prev_refill_end]]="","",TableRefills3[[#This Row],[refill_date]]-TableRefills3[[#This Row],[prev_refill_end]])</f>
        <v/>
      </c>
      <c r="H2212" s="10">
        <f>IF(TableRefills3[[#This Row],[gap_days]]="",0,IF(TableRefills3[[#This Row],[gap_days]]&gt;2,1,0))</f>
        <v>0</v>
      </c>
      <c r="I2212">
        <f>_xlfn.MAXIFS(TableRefills3[discountinuation_flag], TableRefills3[patient_id], A2212)</f>
        <v>1</v>
      </c>
    </row>
    <row r="2213" spans="1:9" x14ac:dyDescent="0.25">
      <c r="A2213" t="s">
        <v>3523</v>
      </c>
      <c r="B2213" t="s">
        <v>3524</v>
      </c>
      <c r="C2213" s="3">
        <v>45867</v>
      </c>
      <c r="D2213">
        <v>21</v>
      </c>
      <c r="E2213" s="3">
        <f t="shared" si="34"/>
        <v>45849</v>
      </c>
      <c r="F2213" s="3">
        <f>IF(TableRefills3[[#This Row],[prev_refill_days]]="","",TableRefills3[[#This Row],[prev_refill_days]]+TableRefills3[[#This Row],[quantity_days]])</f>
        <v>45870</v>
      </c>
      <c r="G2213">
        <f>IF(TableRefills3[[#This Row],[prev_refill_end]]="","",TableRefills3[[#This Row],[refill_date]]-TableRefills3[[#This Row],[prev_refill_end]])</f>
        <v>-3</v>
      </c>
      <c r="H2213" s="10">
        <f>IF(TableRefills3[[#This Row],[gap_days]]="",0,IF(TableRefills3[[#This Row],[gap_days]]&gt;2,1,0))</f>
        <v>0</v>
      </c>
      <c r="I2213">
        <f>_xlfn.MAXIFS(TableRefills3[discountinuation_flag], TableRefills3[patient_id], A2213)</f>
        <v>1</v>
      </c>
    </row>
    <row r="2214" spans="1:9" x14ac:dyDescent="0.25">
      <c r="A2214" t="s">
        <v>3523</v>
      </c>
      <c r="B2214" t="s">
        <v>3524</v>
      </c>
      <c r="C2214" s="3">
        <v>45891</v>
      </c>
      <c r="D2214">
        <v>21</v>
      </c>
      <c r="E2214" s="3">
        <f t="shared" si="34"/>
        <v>45867</v>
      </c>
      <c r="F2214" s="3">
        <f>IF(TableRefills3[[#This Row],[prev_refill_days]]="","",TableRefills3[[#This Row],[prev_refill_days]]+TableRefills3[[#This Row],[quantity_days]])</f>
        <v>45888</v>
      </c>
      <c r="G2214">
        <f>IF(TableRefills3[[#This Row],[prev_refill_end]]="","",TableRefills3[[#This Row],[refill_date]]-TableRefills3[[#This Row],[prev_refill_end]])</f>
        <v>3</v>
      </c>
      <c r="H2214" s="10">
        <f>IF(TableRefills3[[#This Row],[gap_days]]="",0,IF(TableRefills3[[#This Row],[gap_days]]&gt;2,1,0))</f>
        <v>1</v>
      </c>
      <c r="I2214">
        <f>_xlfn.MAXIFS(TableRefills3[discountinuation_flag], TableRefills3[patient_id], A2214)</f>
        <v>1</v>
      </c>
    </row>
    <row r="2215" spans="1:9" x14ac:dyDescent="0.25">
      <c r="A2215" t="s">
        <v>3523</v>
      </c>
      <c r="B2215" t="s">
        <v>3524</v>
      </c>
      <c r="C2215" s="3">
        <v>45915</v>
      </c>
      <c r="D2215">
        <v>21</v>
      </c>
      <c r="E2215" s="3">
        <f t="shared" si="34"/>
        <v>45891</v>
      </c>
      <c r="F2215" s="3">
        <f>IF(TableRefills3[[#This Row],[prev_refill_days]]="","",TableRefills3[[#This Row],[prev_refill_days]]+TableRefills3[[#This Row],[quantity_days]])</f>
        <v>45912</v>
      </c>
      <c r="G2215">
        <f>IF(TableRefills3[[#This Row],[prev_refill_end]]="","",TableRefills3[[#This Row],[refill_date]]-TableRefills3[[#This Row],[prev_refill_end]])</f>
        <v>3</v>
      </c>
      <c r="H2215" s="10">
        <f>IF(TableRefills3[[#This Row],[gap_days]]="",0,IF(TableRefills3[[#This Row],[gap_days]]&gt;2,1,0))</f>
        <v>1</v>
      </c>
      <c r="I2215">
        <f>_xlfn.MAXIFS(TableRefills3[discountinuation_flag], TableRefills3[patient_id], A2215)</f>
        <v>1</v>
      </c>
    </row>
    <row r="2216" spans="1:9" x14ac:dyDescent="0.25">
      <c r="A2216" t="s">
        <v>3523</v>
      </c>
      <c r="B2216" t="s">
        <v>3524</v>
      </c>
      <c r="C2216" s="3">
        <v>45935</v>
      </c>
      <c r="D2216">
        <v>21</v>
      </c>
      <c r="E2216" s="3">
        <f t="shared" si="34"/>
        <v>45915</v>
      </c>
      <c r="F2216" s="3">
        <f>IF(TableRefills3[[#This Row],[prev_refill_days]]="","",TableRefills3[[#This Row],[prev_refill_days]]+TableRefills3[[#This Row],[quantity_days]])</f>
        <v>45936</v>
      </c>
      <c r="G2216">
        <f>IF(TableRefills3[[#This Row],[prev_refill_end]]="","",TableRefills3[[#This Row],[refill_date]]-TableRefills3[[#This Row],[prev_refill_end]])</f>
        <v>-1</v>
      </c>
      <c r="H2216" s="10">
        <f>IF(TableRefills3[[#This Row],[gap_days]]="",0,IF(TableRefills3[[#This Row],[gap_days]]&gt;2,1,0))</f>
        <v>0</v>
      </c>
      <c r="I2216">
        <f>_xlfn.MAXIFS(TableRefills3[discountinuation_flag], TableRefills3[patient_id], A2216)</f>
        <v>1</v>
      </c>
    </row>
    <row r="2217" spans="1:9" x14ac:dyDescent="0.25">
      <c r="A2217" t="s">
        <v>3523</v>
      </c>
      <c r="B2217" t="s">
        <v>3524</v>
      </c>
      <c r="C2217" s="3">
        <v>45953</v>
      </c>
      <c r="D2217">
        <v>21</v>
      </c>
      <c r="E2217" s="3">
        <f t="shared" si="34"/>
        <v>45935</v>
      </c>
      <c r="F2217" s="3">
        <f>IF(TableRefills3[[#This Row],[prev_refill_days]]="","",TableRefills3[[#This Row],[prev_refill_days]]+TableRefills3[[#This Row],[quantity_days]])</f>
        <v>45956</v>
      </c>
      <c r="G2217">
        <f>IF(TableRefills3[[#This Row],[prev_refill_end]]="","",TableRefills3[[#This Row],[refill_date]]-TableRefills3[[#This Row],[prev_refill_end]])</f>
        <v>-3</v>
      </c>
      <c r="H2217" s="10">
        <f>IF(TableRefills3[[#This Row],[gap_days]]="",0,IF(TableRefills3[[#This Row],[gap_days]]&gt;2,1,0))</f>
        <v>0</v>
      </c>
      <c r="I2217">
        <f>_xlfn.MAXIFS(TableRefills3[discountinuation_flag], TableRefills3[patient_id], A2217)</f>
        <v>1</v>
      </c>
    </row>
    <row r="2218" spans="1:9" x14ac:dyDescent="0.25">
      <c r="A2218" t="s">
        <v>3531</v>
      </c>
      <c r="B2218" t="s">
        <v>3532</v>
      </c>
      <c r="C2218" s="3">
        <v>45922</v>
      </c>
      <c r="D2218">
        <v>28</v>
      </c>
      <c r="E2218" s="3" t="str">
        <f t="shared" si="34"/>
        <v/>
      </c>
      <c r="F2218" s="3" t="str">
        <f>IF(TableRefills3[[#This Row],[prev_refill_days]]="","",TableRefills3[[#This Row],[prev_refill_days]]+TableRefills3[[#This Row],[quantity_days]])</f>
        <v/>
      </c>
      <c r="G2218" t="str">
        <f>IF(TableRefills3[[#This Row],[prev_refill_end]]="","",TableRefills3[[#This Row],[refill_date]]-TableRefills3[[#This Row],[prev_refill_end]])</f>
        <v/>
      </c>
      <c r="H2218" s="10">
        <f>IF(TableRefills3[[#This Row],[gap_days]]="",0,IF(TableRefills3[[#This Row],[gap_days]]&gt;2,1,0))</f>
        <v>0</v>
      </c>
      <c r="I2218">
        <f>_xlfn.MAXIFS(TableRefills3[discountinuation_flag], TableRefills3[patient_id], A2218)</f>
        <v>0</v>
      </c>
    </row>
    <row r="2219" spans="1:9" x14ac:dyDescent="0.25">
      <c r="A2219" t="s">
        <v>3531</v>
      </c>
      <c r="B2219" t="s">
        <v>3532</v>
      </c>
      <c r="C2219" s="3">
        <v>45952</v>
      </c>
      <c r="D2219">
        <v>28</v>
      </c>
      <c r="E2219" s="3">
        <f t="shared" si="34"/>
        <v>45922</v>
      </c>
      <c r="F2219" s="3">
        <f>IF(TableRefills3[[#This Row],[prev_refill_days]]="","",TableRefills3[[#This Row],[prev_refill_days]]+TableRefills3[[#This Row],[quantity_days]])</f>
        <v>45950</v>
      </c>
      <c r="G2219">
        <f>IF(TableRefills3[[#This Row],[prev_refill_end]]="","",TableRefills3[[#This Row],[refill_date]]-TableRefills3[[#This Row],[prev_refill_end]])</f>
        <v>2</v>
      </c>
      <c r="H2219" s="10">
        <f>IF(TableRefills3[[#This Row],[gap_days]]="",0,IF(TableRefills3[[#This Row],[gap_days]]&gt;2,1,0))</f>
        <v>0</v>
      </c>
      <c r="I2219">
        <f>_xlfn.MAXIFS(TableRefills3[discountinuation_flag], TableRefills3[patient_id], A2219)</f>
        <v>0</v>
      </c>
    </row>
    <row r="2220" spans="1:9" x14ac:dyDescent="0.25">
      <c r="A2220" t="s">
        <v>3535</v>
      </c>
      <c r="B2220" t="s">
        <v>3536</v>
      </c>
      <c r="C2220" s="3">
        <v>45786</v>
      </c>
      <c r="D2220">
        <v>28</v>
      </c>
      <c r="E2220" s="3" t="str">
        <f t="shared" si="34"/>
        <v/>
      </c>
      <c r="F2220" s="3" t="str">
        <f>IF(TableRefills3[[#This Row],[prev_refill_days]]="","",TableRefills3[[#This Row],[prev_refill_days]]+TableRefills3[[#This Row],[quantity_days]])</f>
        <v/>
      </c>
      <c r="G2220" t="str">
        <f>IF(TableRefills3[[#This Row],[prev_refill_end]]="","",TableRefills3[[#This Row],[refill_date]]-TableRefills3[[#This Row],[prev_refill_end]])</f>
        <v/>
      </c>
      <c r="H2220" s="10">
        <f>IF(TableRefills3[[#This Row],[gap_days]]="",0,IF(TableRefills3[[#This Row],[gap_days]]&gt;2,1,0))</f>
        <v>0</v>
      </c>
      <c r="I2220">
        <f>_xlfn.MAXIFS(TableRefills3[discountinuation_flag], TableRefills3[patient_id], A2220)</f>
        <v>1</v>
      </c>
    </row>
    <row r="2221" spans="1:9" x14ac:dyDescent="0.25">
      <c r="A2221" t="s">
        <v>3535</v>
      </c>
      <c r="B2221" t="s">
        <v>3536</v>
      </c>
      <c r="C2221" s="3">
        <v>45817</v>
      </c>
      <c r="D2221">
        <v>28</v>
      </c>
      <c r="E2221" s="3">
        <f t="shared" si="34"/>
        <v>45786</v>
      </c>
      <c r="F2221" s="3">
        <f>IF(TableRefills3[[#This Row],[prev_refill_days]]="","",TableRefills3[[#This Row],[prev_refill_days]]+TableRefills3[[#This Row],[quantity_days]])</f>
        <v>45814</v>
      </c>
      <c r="G2221">
        <f>IF(TableRefills3[[#This Row],[prev_refill_end]]="","",TableRefills3[[#This Row],[refill_date]]-TableRefills3[[#This Row],[prev_refill_end]])</f>
        <v>3</v>
      </c>
      <c r="H2221" s="10">
        <f>IF(TableRefills3[[#This Row],[gap_days]]="",0,IF(TableRefills3[[#This Row],[gap_days]]&gt;2,1,0))</f>
        <v>1</v>
      </c>
      <c r="I2221">
        <f>_xlfn.MAXIFS(TableRefills3[discountinuation_flag], TableRefills3[patient_id], A2221)</f>
        <v>1</v>
      </c>
    </row>
    <row r="2222" spans="1:9" x14ac:dyDescent="0.25">
      <c r="A2222" t="s">
        <v>3535</v>
      </c>
      <c r="B2222" t="s">
        <v>3536</v>
      </c>
      <c r="C2222" s="3">
        <v>45847</v>
      </c>
      <c r="D2222">
        <v>28</v>
      </c>
      <c r="E2222" s="3">
        <f t="shared" si="34"/>
        <v>45817</v>
      </c>
      <c r="F2222" s="3">
        <f>IF(TableRefills3[[#This Row],[prev_refill_days]]="","",TableRefills3[[#This Row],[prev_refill_days]]+TableRefills3[[#This Row],[quantity_days]])</f>
        <v>45845</v>
      </c>
      <c r="G2222">
        <f>IF(TableRefills3[[#This Row],[prev_refill_end]]="","",TableRefills3[[#This Row],[refill_date]]-TableRefills3[[#This Row],[prev_refill_end]])</f>
        <v>2</v>
      </c>
      <c r="H2222" s="10">
        <f>IF(TableRefills3[[#This Row],[gap_days]]="",0,IF(TableRefills3[[#This Row],[gap_days]]&gt;2,1,0))</f>
        <v>0</v>
      </c>
      <c r="I2222">
        <f>_xlfn.MAXIFS(TableRefills3[discountinuation_flag], TableRefills3[patient_id], A2222)</f>
        <v>1</v>
      </c>
    </row>
    <row r="2223" spans="1:9" x14ac:dyDescent="0.25">
      <c r="A2223" t="s">
        <v>3535</v>
      </c>
      <c r="B2223" t="s">
        <v>3536</v>
      </c>
      <c r="C2223" s="3">
        <v>45873</v>
      </c>
      <c r="D2223">
        <v>28</v>
      </c>
      <c r="E2223" s="3">
        <f t="shared" si="34"/>
        <v>45847</v>
      </c>
      <c r="F2223" s="3">
        <f>IF(TableRefills3[[#This Row],[prev_refill_days]]="","",TableRefills3[[#This Row],[prev_refill_days]]+TableRefills3[[#This Row],[quantity_days]])</f>
        <v>45875</v>
      </c>
      <c r="G2223">
        <f>IF(TableRefills3[[#This Row],[prev_refill_end]]="","",TableRefills3[[#This Row],[refill_date]]-TableRefills3[[#This Row],[prev_refill_end]])</f>
        <v>-2</v>
      </c>
      <c r="H2223" s="10">
        <f>IF(TableRefills3[[#This Row],[gap_days]]="",0,IF(TableRefills3[[#This Row],[gap_days]]&gt;2,1,0))</f>
        <v>0</v>
      </c>
      <c r="I2223">
        <f>_xlfn.MAXIFS(TableRefills3[discountinuation_flag], TableRefills3[patient_id], A2223)</f>
        <v>1</v>
      </c>
    </row>
    <row r="2224" spans="1:9" x14ac:dyDescent="0.25">
      <c r="A2224" t="s">
        <v>3535</v>
      </c>
      <c r="B2224" t="s">
        <v>3536</v>
      </c>
      <c r="C2224" s="3">
        <v>45899</v>
      </c>
      <c r="D2224">
        <v>28</v>
      </c>
      <c r="E2224" s="3">
        <f t="shared" si="34"/>
        <v>45873</v>
      </c>
      <c r="F2224" s="3">
        <f>IF(TableRefills3[[#This Row],[prev_refill_days]]="","",TableRefills3[[#This Row],[prev_refill_days]]+TableRefills3[[#This Row],[quantity_days]])</f>
        <v>45901</v>
      </c>
      <c r="G2224">
        <f>IF(TableRefills3[[#This Row],[prev_refill_end]]="","",TableRefills3[[#This Row],[refill_date]]-TableRefills3[[#This Row],[prev_refill_end]])</f>
        <v>-2</v>
      </c>
      <c r="H2224" s="10">
        <f>IF(TableRefills3[[#This Row],[gap_days]]="",0,IF(TableRefills3[[#This Row],[gap_days]]&gt;2,1,0))</f>
        <v>0</v>
      </c>
      <c r="I2224">
        <f>_xlfn.MAXIFS(TableRefills3[discountinuation_flag], TableRefills3[patient_id], A2224)</f>
        <v>1</v>
      </c>
    </row>
    <row r="2225" spans="1:9" x14ac:dyDescent="0.25">
      <c r="A2225" t="s">
        <v>3535</v>
      </c>
      <c r="B2225" t="s">
        <v>3536</v>
      </c>
      <c r="C2225" s="3">
        <v>45926</v>
      </c>
      <c r="D2225">
        <v>28</v>
      </c>
      <c r="E2225" s="3">
        <f t="shared" si="34"/>
        <v>45899</v>
      </c>
      <c r="F2225" s="3">
        <f>IF(TableRefills3[[#This Row],[prev_refill_days]]="","",TableRefills3[[#This Row],[prev_refill_days]]+TableRefills3[[#This Row],[quantity_days]])</f>
        <v>45927</v>
      </c>
      <c r="G2225">
        <f>IF(TableRefills3[[#This Row],[prev_refill_end]]="","",TableRefills3[[#This Row],[refill_date]]-TableRefills3[[#This Row],[prev_refill_end]])</f>
        <v>-1</v>
      </c>
      <c r="H2225" s="10">
        <f>IF(TableRefills3[[#This Row],[gap_days]]="",0,IF(TableRefills3[[#This Row],[gap_days]]&gt;2,1,0))</f>
        <v>0</v>
      </c>
      <c r="I2225">
        <f>_xlfn.MAXIFS(TableRefills3[discountinuation_flag], TableRefills3[patient_id], A2225)</f>
        <v>1</v>
      </c>
    </row>
    <row r="2226" spans="1:9" x14ac:dyDescent="0.25">
      <c r="A2226" t="s">
        <v>3535</v>
      </c>
      <c r="B2226" t="s">
        <v>3536</v>
      </c>
      <c r="C2226" s="3">
        <v>45955</v>
      </c>
      <c r="D2226">
        <v>28</v>
      </c>
      <c r="E2226" s="3">
        <f t="shared" si="34"/>
        <v>45926</v>
      </c>
      <c r="F2226" s="3">
        <f>IF(TableRefills3[[#This Row],[prev_refill_days]]="","",TableRefills3[[#This Row],[prev_refill_days]]+TableRefills3[[#This Row],[quantity_days]])</f>
        <v>45954</v>
      </c>
      <c r="G2226">
        <f>IF(TableRefills3[[#This Row],[prev_refill_end]]="","",TableRefills3[[#This Row],[refill_date]]-TableRefills3[[#This Row],[prev_refill_end]])</f>
        <v>1</v>
      </c>
      <c r="H2226" s="10">
        <f>IF(TableRefills3[[#This Row],[gap_days]]="",0,IF(TableRefills3[[#This Row],[gap_days]]&gt;2,1,0))</f>
        <v>0</v>
      </c>
      <c r="I2226">
        <f>_xlfn.MAXIFS(TableRefills3[discountinuation_flag], TableRefills3[patient_id], A2226)</f>
        <v>1</v>
      </c>
    </row>
    <row r="2227" spans="1:9" x14ac:dyDescent="0.25">
      <c r="A2227" t="s">
        <v>3544</v>
      </c>
      <c r="B2227" t="s">
        <v>3545</v>
      </c>
      <c r="C2227" s="3">
        <v>45858</v>
      </c>
      <c r="D2227">
        <v>30</v>
      </c>
      <c r="E2227" s="3" t="str">
        <f t="shared" si="34"/>
        <v/>
      </c>
      <c r="F2227" s="3" t="str">
        <f>IF(TableRefills3[[#This Row],[prev_refill_days]]="","",TableRefills3[[#This Row],[prev_refill_days]]+TableRefills3[[#This Row],[quantity_days]])</f>
        <v/>
      </c>
      <c r="G2227" t="str">
        <f>IF(TableRefills3[[#This Row],[prev_refill_end]]="","",TableRefills3[[#This Row],[refill_date]]-TableRefills3[[#This Row],[prev_refill_end]])</f>
        <v/>
      </c>
      <c r="H2227" s="10">
        <f>IF(TableRefills3[[#This Row],[gap_days]]="",0,IF(TableRefills3[[#This Row],[gap_days]]&gt;2,1,0))</f>
        <v>0</v>
      </c>
      <c r="I2227">
        <f>_xlfn.MAXIFS(TableRefills3[discountinuation_flag], TableRefills3[patient_id], A2227)</f>
        <v>0</v>
      </c>
    </row>
    <row r="2228" spans="1:9" x14ac:dyDescent="0.25">
      <c r="A2228" t="s">
        <v>3544</v>
      </c>
      <c r="B2228" t="s">
        <v>3545</v>
      </c>
      <c r="C2228" s="3">
        <v>45890</v>
      </c>
      <c r="D2228">
        <v>30</v>
      </c>
      <c r="E2228" s="3">
        <f t="shared" si="34"/>
        <v>45858</v>
      </c>
      <c r="F2228" s="3">
        <f>IF(TableRefills3[[#This Row],[prev_refill_days]]="","",TableRefills3[[#This Row],[prev_refill_days]]+TableRefills3[[#This Row],[quantity_days]])</f>
        <v>45888</v>
      </c>
      <c r="G2228">
        <f>IF(TableRefills3[[#This Row],[prev_refill_end]]="","",TableRefills3[[#This Row],[refill_date]]-TableRefills3[[#This Row],[prev_refill_end]])</f>
        <v>2</v>
      </c>
      <c r="H2228" s="10">
        <f>IF(TableRefills3[[#This Row],[gap_days]]="",0,IF(TableRefills3[[#This Row],[gap_days]]&gt;2,1,0))</f>
        <v>0</v>
      </c>
      <c r="I2228">
        <f>_xlfn.MAXIFS(TableRefills3[discountinuation_flag], TableRefills3[patient_id], A2228)</f>
        <v>0</v>
      </c>
    </row>
    <row r="2229" spans="1:9" x14ac:dyDescent="0.25">
      <c r="A2229" t="s">
        <v>3544</v>
      </c>
      <c r="B2229" t="s">
        <v>3545</v>
      </c>
      <c r="C2229" s="3">
        <v>45919</v>
      </c>
      <c r="D2229">
        <v>30</v>
      </c>
      <c r="E2229" s="3">
        <f t="shared" si="34"/>
        <v>45890</v>
      </c>
      <c r="F2229" s="3">
        <f>IF(TableRefills3[[#This Row],[prev_refill_days]]="","",TableRefills3[[#This Row],[prev_refill_days]]+TableRefills3[[#This Row],[quantity_days]])</f>
        <v>45920</v>
      </c>
      <c r="G2229">
        <f>IF(TableRefills3[[#This Row],[prev_refill_end]]="","",TableRefills3[[#This Row],[refill_date]]-TableRefills3[[#This Row],[prev_refill_end]])</f>
        <v>-1</v>
      </c>
      <c r="H2229" s="10">
        <f>IF(TableRefills3[[#This Row],[gap_days]]="",0,IF(TableRefills3[[#This Row],[gap_days]]&gt;2,1,0))</f>
        <v>0</v>
      </c>
      <c r="I2229">
        <f>_xlfn.MAXIFS(TableRefills3[discountinuation_flag], TableRefills3[patient_id], A2229)</f>
        <v>0</v>
      </c>
    </row>
    <row r="2230" spans="1:9" x14ac:dyDescent="0.25">
      <c r="A2230" t="s">
        <v>3544</v>
      </c>
      <c r="B2230" t="s">
        <v>3545</v>
      </c>
      <c r="C2230" s="3">
        <v>45947</v>
      </c>
      <c r="D2230">
        <v>30</v>
      </c>
      <c r="E2230" s="3">
        <f t="shared" si="34"/>
        <v>45919</v>
      </c>
      <c r="F2230" s="3">
        <f>IF(TableRefills3[[#This Row],[prev_refill_days]]="","",TableRefills3[[#This Row],[prev_refill_days]]+TableRefills3[[#This Row],[quantity_days]])</f>
        <v>45949</v>
      </c>
      <c r="G2230">
        <f>IF(TableRefills3[[#This Row],[prev_refill_end]]="","",TableRefills3[[#This Row],[refill_date]]-TableRefills3[[#This Row],[prev_refill_end]])</f>
        <v>-2</v>
      </c>
      <c r="H2230" s="10">
        <f>IF(TableRefills3[[#This Row],[gap_days]]="",0,IF(TableRefills3[[#This Row],[gap_days]]&gt;2,1,0))</f>
        <v>0</v>
      </c>
      <c r="I2230">
        <f>_xlfn.MAXIFS(TableRefills3[discountinuation_flag], TableRefills3[patient_id], A2230)</f>
        <v>0</v>
      </c>
    </row>
    <row r="2231" spans="1:9" x14ac:dyDescent="0.25">
      <c r="A2231" t="s">
        <v>3550</v>
      </c>
      <c r="B2231" t="s">
        <v>3551</v>
      </c>
      <c r="C2231" s="3">
        <v>45831</v>
      </c>
      <c r="D2231">
        <v>21</v>
      </c>
      <c r="E2231" s="3" t="str">
        <f t="shared" si="34"/>
        <v/>
      </c>
      <c r="F2231" s="3" t="str">
        <f>IF(TableRefills3[[#This Row],[prev_refill_days]]="","",TableRefills3[[#This Row],[prev_refill_days]]+TableRefills3[[#This Row],[quantity_days]])</f>
        <v/>
      </c>
      <c r="G2231" t="str">
        <f>IF(TableRefills3[[#This Row],[prev_refill_end]]="","",TableRefills3[[#This Row],[refill_date]]-TableRefills3[[#This Row],[prev_refill_end]])</f>
        <v/>
      </c>
      <c r="H2231" s="10">
        <f>IF(TableRefills3[[#This Row],[gap_days]]="",0,IF(TableRefills3[[#This Row],[gap_days]]&gt;2,1,0))</f>
        <v>0</v>
      </c>
      <c r="I2231">
        <f>_xlfn.MAXIFS(TableRefills3[discountinuation_flag], TableRefills3[patient_id], A2231)</f>
        <v>0</v>
      </c>
    </row>
    <row r="2232" spans="1:9" x14ac:dyDescent="0.25">
      <c r="A2232" t="s">
        <v>3550</v>
      </c>
      <c r="B2232" t="s">
        <v>3551</v>
      </c>
      <c r="C2232" s="3">
        <v>45853</v>
      </c>
      <c r="D2232">
        <v>21</v>
      </c>
      <c r="E2232" s="3">
        <f t="shared" si="34"/>
        <v>45831</v>
      </c>
      <c r="F2232" s="3">
        <f>IF(TableRefills3[[#This Row],[prev_refill_days]]="","",TableRefills3[[#This Row],[prev_refill_days]]+TableRefills3[[#This Row],[quantity_days]])</f>
        <v>45852</v>
      </c>
      <c r="G2232">
        <f>IF(TableRefills3[[#This Row],[prev_refill_end]]="","",TableRefills3[[#This Row],[refill_date]]-TableRefills3[[#This Row],[prev_refill_end]])</f>
        <v>1</v>
      </c>
      <c r="H2232" s="10">
        <f>IF(TableRefills3[[#This Row],[gap_days]]="",0,IF(TableRefills3[[#This Row],[gap_days]]&gt;2,1,0))</f>
        <v>0</v>
      </c>
      <c r="I2232">
        <f>_xlfn.MAXIFS(TableRefills3[discountinuation_flag], TableRefills3[patient_id], A2232)</f>
        <v>0</v>
      </c>
    </row>
    <row r="2233" spans="1:9" x14ac:dyDescent="0.25">
      <c r="A2233" t="s">
        <v>3550</v>
      </c>
      <c r="B2233" t="s">
        <v>3551</v>
      </c>
      <c r="C2233" s="3">
        <v>45875</v>
      </c>
      <c r="D2233">
        <v>21</v>
      </c>
      <c r="E2233" s="3">
        <f t="shared" si="34"/>
        <v>45853</v>
      </c>
      <c r="F2233" s="3">
        <f>IF(TableRefills3[[#This Row],[prev_refill_days]]="","",TableRefills3[[#This Row],[prev_refill_days]]+TableRefills3[[#This Row],[quantity_days]])</f>
        <v>45874</v>
      </c>
      <c r="G2233">
        <f>IF(TableRefills3[[#This Row],[prev_refill_end]]="","",TableRefills3[[#This Row],[refill_date]]-TableRefills3[[#This Row],[prev_refill_end]])</f>
        <v>1</v>
      </c>
      <c r="H2233" s="10">
        <f>IF(TableRefills3[[#This Row],[gap_days]]="",0,IF(TableRefills3[[#This Row],[gap_days]]&gt;2,1,0))</f>
        <v>0</v>
      </c>
      <c r="I2233">
        <f>_xlfn.MAXIFS(TableRefills3[discountinuation_flag], TableRefills3[patient_id], A2233)</f>
        <v>0</v>
      </c>
    </row>
    <row r="2234" spans="1:9" x14ac:dyDescent="0.25">
      <c r="A2234" t="s">
        <v>3550</v>
      </c>
      <c r="B2234" t="s">
        <v>3551</v>
      </c>
      <c r="C2234" s="3">
        <v>45894</v>
      </c>
      <c r="D2234">
        <v>21</v>
      </c>
      <c r="E2234" s="3">
        <f t="shared" si="34"/>
        <v>45875</v>
      </c>
      <c r="F2234" s="3">
        <f>IF(TableRefills3[[#This Row],[prev_refill_days]]="","",TableRefills3[[#This Row],[prev_refill_days]]+TableRefills3[[#This Row],[quantity_days]])</f>
        <v>45896</v>
      </c>
      <c r="G2234">
        <f>IF(TableRefills3[[#This Row],[prev_refill_end]]="","",TableRefills3[[#This Row],[refill_date]]-TableRefills3[[#This Row],[prev_refill_end]])</f>
        <v>-2</v>
      </c>
      <c r="H2234" s="10">
        <f>IF(TableRefills3[[#This Row],[gap_days]]="",0,IF(TableRefills3[[#This Row],[gap_days]]&gt;2,1,0))</f>
        <v>0</v>
      </c>
      <c r="I2234">
        <f>_xlfn.MAXIFS(TableRefills3[discountinuation_flag], TableRefills3[patient_id], A2234)</f>
        <v>0</v>
      </c>
    </row>
    <row r="2235" spans="1:9" x14ac:dyDescent="0.25">
      <c r="A2235" t="s">
        <v>3550</v>
      </c>
      <c r="B2235" t="s">
        <v>3551</v>
      </c>
      <c r="C2235" s="3">
        <v>45914</v>
      </c>
      <c r="D2235">
        <v>21</v>
      </c>
      <c r="E2235" s="3">
        <f t="shared" si="34"/>
        <v>45894</v>
      </c>
      <c r="F2235" s="3">
        <f>IF(TableRefills3[[#This Row],[prev_refill_days]]="","",TableRefills3[[#This Row],[prev_refill_days]]+TableRefills3[[#This Row],[quantity_days]])</f>
        <v>45915</v>
      </c>
      <c r="G2235">
        <f>IF(TableRefills3[[#This Row],[prev_refill_end]]="","",TableRefills3[[#This Row],[refill_date]]-TableRefills3[[#This Row],[prev_refill_end]])</f>
        <v>-1</v>
      </c>
      <c r="H2235" s="10">
        <f>IF(TableRefills3[[#This Row],[gap_days]]="",0,IF(TableRefills3[[#This Row],[gap_days]]&gt;2,1,0))</f>
        <v>0</v>
      </c>
      <c r="I2235">
        <f>_xlfn.MAXIFS(TableRefills3[discountinuation_flag], TableRefills3[patient_id], A2235)</f>
        <v>0</v>
      </c>
    </row>
    <row r="2236" spans="1:9" x14ac:dyDescent="0.25">
      <c r="A2236" t="s">
        <v>3550</v>
      </c>
      <c r="B2236" t="s">
        <v>3551</v>
      </c>
      <c r="C2236" s="3">
        <v>45934</v>
      </c>
      <c r="D2236">
        <v>21</v>
      </c>
      <c r="E2236" s="3">
        <f t="shared" si="34"/>
        <v>45914</v>
      </c>
      <c r="F2236" s="3">
        <f>IF(TableRefills3[[#This Row],[prev_refill_days]]="","",TableRefills3[[#This Row],[prev_refill_days]]+TableRefills3[[#This Row],[quantity_days]])</f>
        <v>45935</v>
      </c>
      <c r="G2236">
        <f>IF(TableRefills3[[#This Row],[prev_refill_end]]="","",TableRefills3[[#This Row],[refill_date]]-TableRefills3[[#This Row],[prev_refill_end]])</f>
        <v>-1</v>
      </c>
      <c r="H2236" s="10">
        <f>IF(TableRefills3[[#This Row],[gap_days]]="",0,IF(TableRefills3[[#This Row],[gap_days]]&gt;2,1,0))</f>
        <v>0</v>
      </c>
      <c r="I2236">
        <f>_xlfn.MAXIFS(TableRefills3[discountinuation_flag], TableRefills3[patient_id], A2236)</f>
        <v>0</v>
      </c>
    </row>
    <row r="2237" spans="1:9" x14ac:dyDescent="0.25">
      <c r="A2237" t="s">
        <v>3550</v>
      </c>
      <c r="B2237" t="s">
        <v>3551</v>
      </c>
      <c r="C2237" s="3">
        <v>45953</v>
      </c>
      <c r="D2237">
        <v>21</v>
      </c>
      <c r="E2237" s="3">
        <f t="shared" si="34"/>
        <v>45934</v>
      </c>
      <c r="F2237" s="3">
        <f>IF(TableRefills3[[#This Row],[prev_refill_days]]="","",TableRefills3[[#This Row],[prev_refill_days]]+TableRefills3[[#This Row],[quantity_days]])</f>
        <v>45955</v>
      </c>
      <c r="G2237">
        <f>IF(TableRefills3[[#This Row],[prev_refill_end]]="","",TableRefills3[[#This Row],[refill_date]]-TableRefills3[[#This Row],[prev_refill_end]])</f>
        <v>-2</v>
      </c>
      <c r="H2237" s="10">
        <f>IF(TableRefills3[[#This Row],[gap_days]]="",0,IF(TableRefills3[[#This Row],[gap_days]]&gt;2,1,0))</f>
        <v>0</v>
      </c>
      <c r="I2237">
        <f>_xlfn.MAXIFS(TableRefills3[discountinuation_flag], TableRefills3[patient_id], A2237)</f>
        <v>0</v>
      </c>
    </row>
    <row r="2238" spans="1:9" x14ac:dyDescent="0.25">
      <c r="A2238" t="s">
        <v>3559</v>
      </c>
      <c r="B2238" t="s">
        <v>3560</v>
      </c>
      <c r="C2238" s="3">
        <v>45814</v>
      </c>
      <c r="D2238">
        <v>30</v>
      </c>
      <c r="E2238" s="3" t="str">
        <f t="shared" si="34"/>
        <v/>
      </c>
      <c r="F2238" s="3" t="str">
        <f>IF(TableRefills3[[#This Row],[prev_refill_days]]="","",TableRefills3[[#This Row],[prev_refill_days]]+TableRefills3[[#This Row],[quantity_days]])</f>
        <v/>
      </c>
      <c r="G2238" t="str">
        <f>IF(TableRefills3[[#This Row],[prev_refill_end]]="","",TableRefills3[[#This Row],[refill_date]]-TableRefills3[[#This Row],[prev_refill_end]])</f>
        <v/>
      </c>
      <c r="H2238" s="10">
        <f>IF(TableRefills3[[#This Row],[gap_days]]="",0,IF(TableRefills3[[#This Row],[gap_days]]&gt;2,1,0))</f>
        <v>0</v>
      </c>
      <c r="I2238">
        <f>_xlfn.MAXIFS(TableRefills3[discountinuation_flag], TableRefills3[patient_id], A2238)</f>
        <v>0</v>
      </c>
    </row>
    <row r="2239" spans="1:9" x14ac:dyDescent="0.25">
      <c r="A2239" t="s">
        <v>3559</v>
      </c>
      <c r="B2239" t="s">
        <v>3560</v>
      </c>
      <c r="C2239" s="3">
        <v>45845</v>
      </c>
      <c r="D2239">
        <v>30</v>
      </c>
      <c r="E2239" s="3">
        <f t="shared" si="34"/>
        <v>45814</v>
      </c>
      <c r="F2239" s="3">
        <f>IF(TableRefills3[[#This Row],[prev_refill_days]]="","",TableRefills3[[#This Row],[prev_refill_days]]+TableRefills3[[#This Row],[quantity_days]])</f>
        <v>45844</v>
      </c>
      <c r="G2239">
        <f>IF(TableRefills3[[#This Row],[prev_refill_end]]="","",TableRefills3[[#This Row],[refill_date]]-TableRefills3[[#This Row],[prev_refill_end]])</f>
        <v>1</v>
      </c>
      <c r="H2239" s="10">
        <f>IF(TableRefills3[[#This Row],[gap_days]]="",0,IF(TableRefills3[[#This Row],[gap_days]]&gt;2,1,0))</f>
        <v>0</v>
      </c>
      <c r="I2239">
        <f>_xlfn.MAXIFS(TableRefills3[discountinuation_flag], TableRefills3[patient_id], A2239)</f>
        <v>0</v>
      </c>
    </row>
    <row r="2240" spans="1:9" x14ac:dyDescent="0.25">
      <c r="A2240" t="s">
        <v>3563</v>
      </c>
      <c r="B2240" t="s">
        <v>3564</v>
      </c>
      <c r="C2240" s="3">
        <v>45960</v>
      </c>
      <c r="D2240">
        <v>28</v>
      </c>
      <c r="E2240" s="3" t="str">
        <f t="shared" si="34"/>
        <v/>
      </c>
      <c r="F2240" s="3" t="str">
        <f>IF(TableRefills3[[#This Row],[prev_refill_days]]="","",TableRefills3[[#This Row],[prev_refill_days]]+TableRefills3[[#This Row],[quantity_days]])</f>
        <v/>
      </c>
      <c r="G2240" t="str">
        <f>IF(TableRefills3[[#This Row],[prev_refill_end]]="","",TableRefills3[[#This Row],[refill_date]]-TableRefills3[[#This Row],[prev_refill_end]])</f>
        <v/>
      </c>
      <c r="H2240" s="10">
        <f>IF(TableRefills3[[#This Row],[gap_days]]="",0,IF(TableRefills3[[#This Row],[gap_days]]&gt;2,1,0))</f>
        <v>0</v>
      </c>
      <c r="I2240">
        <f>_xlfn.MAXIFS(TableRefills3[discountinuation_flag], TableRefills3[patient_id], A2240)</f>
        <v>0</v>
      </c>
    </row>
    <row r="2241" spans="1:9" x14ac:dyDescent="0.25">
      <c r="A2241" t="s">
        <v>3566</v>
      </c>
      <c r="B2241" t="s">
        <v>3567</v>
      </c>
      <c r="C2241" s="3">
        <v>45879</v>
      </c>
      <c r="D2241">
        <v>28</v>
      </c>
      <c r="E2241" s="3" t="str">
        <f t="shared" si="34"/>
        <v/>
      </c>
      <c r="F2241" s="3" t="str">
        <f>IF(TableRefills3[[#This Row],[prev_refill_days]]="","",TableRefills3[[#This Row],[prev_refill_days]]+TableRefills3[[#This Row],[quantity_days]])</f>
        <v/>
      </c>
      <c r="G2241" t="str">
        <f>IF(TableRefills3[[#This Row],[prev_refill_end]]="","",TableRefills3[[#This Row],[refill_date]]-TableRefills3[[#This Row],[prev_refill_end]])</f>
        <v/>
      </c>
      <c r="H2241" s="10">
        <f>IF(TableRefills3[[#This Row],[gap_days]]="",0,IF(TableRefills3[[#This Row],[gap_days]]&gt;2,1,0))</f>
        <v>0</v>
      </c>
      <c r="I2241">
        <f>_xlfn.MAXIFS(TableRefills3[discountinuation_flag], TableRefills3[patient_id], A2241)</f>
        <v>0</v>
      </c>
    </row>
    <row r="2242" spans="1:9" x14ac:dyDescent="0.25">
      <c r="A2242" t="s">
        <v>3566</v>
      </c>
      <c r="B2242" t="s">
        <v>3567</v>
      </c>
      <c r="C2242" s="3">
        <v>45906</v>
      </c>
      <c r="D2242">
        <v>28</v>
      </c>
      <c r="E2242" s="3">
        <f t="shared" ref="E2242:E2305" si="35">IF(A2241=A2242,C2241,"")</f>
        <v>45879</v>
      </c>
      <c r="F2242" s="3">
        <f>IF(TableRefills3[[#This Row],[prev_refill_days]]="","",TableRefills3[[#This Row],[prev_refill_days]]+TableRefills3[[#This Row],[quantity_days]])</f>
        <v>45907</v>
      </c>
      <c r="G2242">
        <f>IF(TableRefills3[[#This Row],[prev_refill_end]]="","",TableRefills3[[#This Row],[refill_date]]-TableRefills3[[#This Row],[prev_refill_end]])</f>
        <v>-1</v>
      </c>
      <c r="H2242" s="10">
        <f>IF(TableRefills3[[#This Row],[gap_days]]="",0,IF(TableRefills3[[#This Row],[gap_days]]&gt;2,1,0))</f>
        <v>0</v>
      </c>
      <c r="I2242">
        <f>_xlfn.MAXIFS(TableRefills3[discountinuation_flag], TableRefills3[patient_id], A2242)</f>
        <v>0</v>
      </c>
    </row>
    <row r="2243" spans="1:9" x14ac:dyDescent="0.25">
      <c r="A2243" t="s">
        <v>3566</v>
      </c>
      <c r="B2243" t="s">
        <v>3567</v>
      </c>
      <c r="C2243" s="3">
        <v>45934</v>
      </c>
      <c r="D2243">
        <v>28</v>
      </c>
      <c r="E2243" s="3">
        <f t="shared" si="35"/>
        <v>45906</v>
      </c>
      <c r="F2243" s="3">
        <f>IF(TableRefills3[[#This Row],[prev_refill_days]]="","",TableRefills3[[#This Row],[prev_refill_days]]+TableRefills3[[#This Row],[quantity_days]])</f>
        <v>45934</v>
      </c>
      <c r="G2243">
        <f>IF(TableRefills3[[#This Row],[prev_refill_end]]="","",TableRefills3[[#This Row],[refill_date]]-TableRefills3[[#This Row],[prev_refill_end]])</f>
        <v>0</v>
      </c>
      <c r="H2243" s="10">
        <f>IF(TableRefills3[[#This Row],[gap_days]]="",0,IF(TableRefills3[[#This Row],[gap_days]]&gt;2,1,0))</f>
        <v>0</v>
      </c>
      <c r="I2243">
        <f>_xlfn.MAXIFS(TableRefills3[discountinuation_flag], TableRefills3[patient_id], A2243)</f>
        <v>0</v>
      </c>
    </row>
    <row r="2244" spans="1:9" x14ac:dyDescent="0.25">
      <c r="A2244" t="s">
        <v>3566</v>
      </c>
      <c r="B2244" t="s">
        <v>3567</v>
      </c>
      <c r="C2244" s="3">
        <v>45960</v>
      </c>
      <c r="D2244">
        <v>28</v>
      </c>
      <c r="E2244" s="3">
        <f t="shared" si="35"/>
        <v>45934</v>
      </c>
      <c r="F2244" s="3">
        <f>IF(TableRefills3[[#This Row],[prev_refill_days]]="","",TableRefills3[[#This Row],[prev_refill_days]]+TableRefills3[[#This Row],[quantity_days]])</f>
        <v>45962</v>
      </c>
      <c r="G2244">
        <f>IF(TableRefills3[[#This Row],[prev_refill_end]]="","",TableRefills3[[#This Row],[refill_date]]-TableRefills3[[#This Row],[prev_refill_end]])</f>
        <v>-2</v>
      </c>
      <c r="H2244" s="10">
        <f>IF(TableRefills3[[#This Row],[gap_days]]="",0,IF(TableRefills3[[#This Row],[gap_days]]&gt;2,1,0))</f>
        <v>0</v>
      </c>
      <c r="I2244">
        <f>_xlfn.MAXIFS(TableRefills3[discountinuation_flag], TableRefills3[patient_id], A2244)</f>
        <v>0</v>
      </c>
    </row>
    <row r="2245" spans="1:9" x14ac:dyDescent="0.25">
      <c r="A2245" t="s">
        <v>3572</v>
      </c>
      <c r="B2245" t="s">
        <v>3573</v>
      </c>
      <c r="C2245" s="3">
        <v>45854</v>
      </c>
      <c r="D2245">
        <v>30</v>
      </c>
      <c r="E2245" s="3" t="str">
        <f t="shared" si="35"/>
        <v/>
      </c>
      <c r="F2245" s="3" t="str">
        <f>IF(TableRefills3[[#This Row],[prev_refill_days]]="","",TableRefills3[[#This Row],[prev_refill_days]]+TableRefills3[[#This Row],[quantity_days]])</f>
        <v/>
      </c>
      <c r="G2245" t="str">
        <f>IF(TableRefills3[[#This Row],[prev_refill_end]]="","",TableRefills3[[#This Row],[refill_date]]-TableRefills3[[#This Row],[prev_refill_end]])</f>
        <v/>
      </c>
      <c r="H2245" s="10">
        <f>IF(TableRefills3[[#This Row],[gap_days]]="",0,IF(TableRefills3[[#This Row],[gap_days]]&gt;2,1,0))</f>
        <v>0</v>
      </c>
      <c r="I2245">
        <f>_xlfn.MAXIFS(TableRefills3[discountinuation_flag], TableRefills3[patient_id], A2245)</f>
        <v>0</v>
      </c>
    </row>
    <row r="2246" spans="1:9" x14ac:dyDescent="0.25">
      <c r="A2246" t="s">
        <v>3572</v>
      </c>
      <c r="B2246" t="s">
        <v>3573</v>
      </c>
      <c r="C2246" s="3">
        <v>45886</v>
      </c>
      <c r="D2246">
        <v>30</v>
      </c>
      <c r="E2246" s="3">
        <f t="shared" si="35"/>
        <v>45854</v>
      </c>
      <c r="F2246" s="3">
        <f>IF(TableRefills3[[#This Row],[prev_refill_days]]="","",TableRefills3[[#This Row],[prev_refill_days]]+TableRefills3[[#This Row],[quantity_days]])</f>
        <v>45884</v>
      </c>
      <c r="G2246">
        <f>IF(TableRefills3[[#This Row],[prev_refill_end]]="","",TableRefills3[[#This Row],[refill_date]]-TableRefills3[[#This Row],[prev_refill_end]])</f>
        <v>2</v>
      </c>
      <c r="H2246" s="10">
        <f>IF(TableRefills3[[#This Row],[gap_days]]="",0,IF(TableRefills3[[#This Row],[gap_days]]&gt;2,1,0))</f>
        <v>0</v>
      </c>
      <c r="I2246">
        <f>_xlfn.MAXIFS(TableRefills3[discountinuation_flag], TableRefills3[patient_id], A2246)</f>
        <v>0</v>
      </c>
    </row>
    <row r="2247" spans="1:9" x14ac:dyDescent="0.25">
      <c r="A2247" t="s">
        <v>3572</v>
      </c>
      <c r="B2247" t="s">
        <v>3573</v>
      </c>
      <c r="C2247" s="3">
        <v>45913</v>
      </c>
      <c r="D2247">
        <v>30</v>
      </c>
      <c r="E2247" s="3">
        <f t="shared" si="35"/>
        <v>45886</v>
      </c>
      <c r="F2247" s="3">
        <f>IF(TableRefills3[[#This Row],[prev_refill_days]]="","",TableRefills3[[#This Row],[prev_refill_days]]+TableRefills3[[#This Row],[quantity_days]])</f>
        <v>45916</v>
      </c>
      <c r="G2247">
        <f>IF(TableRefills3[[#This Row],[prev_refill_end]]="","",TableRefills3[[#This Row],[refill_date]]-TableRefills3[[#This Row],[prev_refill_end]])</f>
        <v>-3</v>
      </c>
      <c r="H2247" s="10">
        <f>IF(TableRefills3[[#This Row],[gap_days]]="",0,IF(TableRefills3[[#This Row],[gap_days]]&gt;2,1,0))</f>
        <v>0</v>
      </c>
      <c r="I2247">
        <f>_xlfn.MAXIFS(TableRefills3[discountinuation_flag], TableRefills3[patient_id], A2247)</f>
        <v>0</v>
      </c>
    </row>
    <row r="2248" spans="1:9" x14ac:dyDescent="0.25">
      <c r="A2248" t="s">
        <v>3572</v>
      </c>
      <c r="B2248" t="s">
        <v>3573</v>
      </c>
      <c r="C2248" s="3">
        <v>45940</v>
      </c>
      <c r="D2248">
        <v>30</v>
      </c>
      <c r="E2248" s="3">
        <f t="shared" si="35"/>
        <v>45913</v>
      </c>
      <c r="F2248" s="3">
        <f>IF(TableRefills3[[#This Row],[prev_refill_days]]="","",TableRefills3[[#This Row],[prev_refill_days]]+TableRefills3[[#This Row],[quantity_days]])</f>
        <v>45943</v>
      </c>
      <c r="G2248">
        <f>IF(TableRefills3[[#This Row],[prev_refill_end]]="","",TableRefills3[[#This Row],[refill_date]]-TableRefills3[[#This Row],[prev_refill_end]])</f>
        <v>-3</v>
      </c>
      <c r="H2248" s="10">
        <f>IF(TableRefills3[[#This Row],[gap_days]]="",0,IF(TableRefills3[[#This Row],[gap_days]]&gt;2,1,0))</f>
        <v>0</v>
      </c>
      <c r="I2248">
        <f>_xlfn.MAXIFS(TableRefills3[discountinuation_flag], TableRefills3[patient_id], A2248)</f>
        <v>0</v>
      </c>
    </row>
    <row r="2249" spans="1:9" x14ac:dyDescent="0.25">
      <c r="A2249" t="s">
        <v>3578</v>
      </c>
      <c r="B2249" t="s">
        <v>3579</v>
      </c>
      <c r="C2249" s="3">
        <v>45922</v>
      </c>
      <c r="D2249">
        <v>30</v>
      </c>
      <c r="E2249" s="3" t="str">
        <f t="shared" si="35"/>
        <v/>
      </c>
      <c r="F2249" s="3" t="str">
        <f>IF(TableRefills3[[#This Row],[prev_refill_days]]="","",TableRefills3[[#This Row],[prev_refill_days]]+TableRefills3[[#This Row],[quantity_days]])</f>
        <v/>
      </c>
      <c r="G2249" t="str">
        <f>IF(TableRefills3[[#This Row],[prev_refill_end]]="","",TableRefills3[[#This Row],[refill_date]]-TableRefills3[[#This Row],[prev_refill_end]])</f>
        <v/>
      </c>
      <c r="H2249" s="10">
        <f>IF(TableRefills3[[#This Row],[gap_days]]="",0,IF(TableRefills3[[#This Row],[gap_days]]&gt;2,1,0))</f>
        <v>0</v>
      </c>
      <c r="I2249">
        <f>_xlfn.MAXIFS(TableRefills3[discountinuation_flag], TableRefills3[patient_id], A2249)</f>
        <v>0</v>
      </c>
    </row>
    <row r="2250" spans="1:9" x14ac:dyDescent="0.25">
      <c r="A2250" t="s">
        <v>3578</v>
      </c>
      <c r="B2250" t="s">
        <v>3579</v>
      </c>
      <c r="C2250" s="3">
        <v>45950</v>
      </c>
      <c r="D2250">
        <v>30</v>
      </c>
      <c r="E2250" s="3">
        <f t="shared" si="35"/>
        <v>45922</v>
      </c>
      <c r="F2250" s="3">
        <f>IF(TableRefills3[[#This Row],[prev_refill_days]]="","",TableRefills3[[#This Row],[prev_refill_days]]+TableRefills3[[#This Row],[quantity_days]])</f>
        <v>45952</v>
      </c>
      <c r="G2250">
        <f>IF(TableRefills3[[#This Row],[prev_refill_end]]="","",TableRefills3[[#This Row],[refill_date]]-TableRefills3[[#This Row],[prev_refill_end]])</f>
        <v>-2</v>
      </c>
      <c r="H2250" s="10">
        <f>IF(TableRefills3[[#This Row],[gap_days]]="",0,IF(TableRefills3[[#This Row],[gap_days]]&gt;2,1,0))</f>
        <v>0</v>
      </c>
      <c r="I2250">
        <f>_xlfn.MAXIFS(TableRefills3[discountinuation_flag], TableRefills3[patient_id], A2250)</f>
        <v>0</v>
      </c>
    </row>
    <row r="2251" spans="1:9" x14ac:dyDescent="0.25">
      <c r="A2251" t="s">
        <v>3582</v>
      </c>
      <c r="B2251" t="s">
        <v>3583</v>
      </c>
      <c r="C2251" s="3">
        <v>45923</v>
      </c>
      <c r="D2251">
        <v>28</v>
      </c>
      <c r="E2251" s="3" t="str">
        <f t="shared" si="35"/>
        <v/>
      </c>
      <c r="F2251" s="3" t="str">
        <f>IF(TableRefills3[[#This Row],[prev_refill_days]]="","",TableRefills3[[#This Row],[prev_refill_days]]+TableRefills3[[#This Row],[quantity_days]])</f>
        <v/>
      </c>
      <c r="G2251" t="str">
        <f>IF(TableRefills3[[#This Row],[prev_refill_end]]="","",TableRefills3[[#This Row],[refill_date]]-TableRefills3[[#This Row],[prev_refill_end]])</f>
        <v/>
      </c>
      <c r="H2251" s="10">
        <f>IF(TableRefills3[[#This Row],[gap_days]]="",0,IF(TableRefills3[[#This Row],[gap_days]]&gt;2,1,0))</f>
        <v>0</v>
      </c>
      <c r="I2251">
        <f>_xlfn.MAXIFS(TableRefills3[discountinuation_flag], TableRefills3[patient_id], A2251)</f>
        <v>0</v>
      </c>
    </row>
    <row r="2252" spans="1:9" x14ac:dyDescent="0.25">
      <c r="A2252" t="s">
        <v>3582</v>
      </c>
      <c r="B2252" t="s">
        <v>3583</v>
      </c>
      <c r="C2252" s="3">
        <v>45952</v>
      </c>
      <c r="D2252">
        <v>28</v>
      </c>
      <c r="E2252" s="3">
        <f t="shared" si="35"/>
        <v>45923</v>
      </c>
      <c r="F2252" s="3">
        <f>IF(TableRefills3[[#This Row],[prev_refill_days]]="","",TableRefills3[[#This Row],[prev_refill_days]]+TableRefills3[[#This Row],[quantity_days]])</f>
        <v>45951</v>
      </c>
      <c r="G2252">
        <f>IF(TableRefills3[[#This Row],[prev_refill_end]]="","",TableRefills3[[#This Row],[refill_date]]-TableRefills3[[#This Row],[prev_refill_end]])</f>
        <v>1</v>
      </c>
      <c r="H2252" s="10">
        <f>IF(TableRefills3[[#This Row],[gap_days]]="",0,IF(TableRefills3[[#This Row],[gap_days]]&gt;2,1,0))</f>
        <v>0</v>
      </c>
      <c r="I2252">
        <f>_xlfn.MAXIFS(TableRefills3[discountinuation_flag], TableRefills3[patient_id], A2252)</f>
        <v>0</v>
      </c>
    </row>
    <row r="2253" spans="1:9" x14ac:dyDescent="0.25">
      <c r="A2253" t="s">
        <v>3586</v>
      </c>
      <c r="B2253" t="s">
        <v>3587</v>
      </c>
      <c r="C2253" s="3">
        <v>45877</v>
      </c>
      <c r="D2253">
        <v>30</v>
      </c>
      <c r="E2253" s="3" t="str">
        <f t="shared" si="35"/>
        <v/>
      </c>
      <c r="F2253" s="3" t="str">
        <f>IF(TableRefills3[[#This Row],[prev_refill_days]]="","",TableRefills3[[#This Row],[prev_refill_days]]+TableRefills3[[#This Row],[quantity_days]])</f>
        <v/>
      </c>
      <c r="G2253" t="str">
        <f>IF(TableRefills3[[#This Row],[prev_refill_end]]="","",TableRefills3[[#This Row],[refill_date]]-TableRefills3[[#This Row],[prev_refill_end]])</f>
        <v/>
      </c>
      <c r="H2253" s="10">
        <f>IF(TableRefills3[[#This Row],[gap_days]]="",0,IF(TableRefills3[[#This Row],[gap_days]]&gt;2,1,0))</f>
        <v>0</v>
      </c>
      <c r="I2253">
        <f>_xlfn.MAXIFS(TableRefills3[discountinuation_flag], TableRefills3[patient_id], A2253)</f>
        <v>0</v>
      </c>
    </row>
    <row r="2254" spans="1:9" x14ac:dyDescent="0.25">
      <c r="A2254" t="s">
        <v>3586</v>
      </c>
      <c r="B2254" t="s">
        <v>3587</v>
      </c>
      <c r="C2254" s="3">
        <v>45909</v>
      </c>
      <c r="D2254">
        <v>30</v>
      </c>
      <c r="E2254" s="3">
        <f t="shared" si="35"/>
        <v>45877</v>
      </c>
      <c r="F2254" s="3">
        <f>IF(TableRefills3[[#This Row],[prev_refill_days]]="","",TableRefills3[[#This Row],[prev_refill_days]]+TableRefills3[[#This Row],[quantity_days]])</f>
        <v>45907</v>
      </c>
      <c r="G2254">
        <f>IF(TableRefills3[[#This Row],[prev_refill_end]]="","",TableRefills3[[#This Row],[refill_date]]-TableRefills3[[#This Row],[prev_refill_end]])</f>
        <v>2</v>
      </c>
      <c r="H2254" s="10">
        <f>IF(TableRefills3[[#This Row],[gap_days]]="",0,IF(TableRefills3[[#This Row],[gap_days]]&gt;2,1,0))</f>
        <v>0</v>
      </c>
      <c r="I2254">
        <f>_xlfn.MAXIFS(TableRefills3[discountinuation_flag], TableRefills3[patient_id], A2254)</f>
        <v>0</v>
      </c>
    </row>
    <row r="2255" spans="1:9" x14ac:dyDescent="0.25">
      <c r="A2255" t="s">
        <v>3586</v>
      </c>
      <c r="B2255" t="s">
        <v>3587</v>
      </c>
      <c r="C2255" s="3">
        <v>45940</v>
      </c>
      <c r="D2255">
        <v>30</v>
      </c>
      <c r="E2255" s="3">
        <f t="shared" si="35"/>
        <v>45909</v>
      </c>
      <c r="F2255" s="3">
        <f>IF(TableRefills3[[#This Row],[prev_refill_days]]="","",TableRefills3[[#This Row],[prev_refill_days]]+TableRefills3[[#This Row],[quantity_days]])</f>
        <v>45939</v>
      </c>
      <c r="G2255">
        <f>IF(TableRefills3[[#This Row],[prev_refill_end]]="","",TableRefills3[[#This Row],[refill_date]]-TableRefills3[[#This Row],[prev_refill_end]])</f>
        <v>1</v>
      </c>
      <c r="H2255" s="10">
        <f>IF(TableRefills3[[#This Row],[gap_days]]="",0,IF(TableRefills3[[#This Row],[gap_days]]&gt;2,1,0))</f>
        <v>0</v>
      </c>
      <c r="I2255">
        <f>_xlfn.MAXIFS(TableRefills3[discountinuation_flag], TableRefills3[patient_id], A2255)</f>
        <v>0</v>
      </c>
    </row>
    <row r="2256" spans="1:9" x14ac:dyDescent="0.25">
      <c r="A2256" t="s">
        <v>3591</v>
      </c>
      <c r="B2256" t="s">
        <v>3592</v>
      </c>
      <c r="C2256" s="3">
        <v>45916</v>
      </c>
      <c r="D2256">
        <v>30</v>
      </c>
      <c r="E2256" s="3" t="str">
        <f t="shared" si="35"/>
        <v/>
      </c>
      <c r="F2256" s="3" t="str">
        <f>IF(TableRefills3[[#This Row],[prev_refill_days]]="","",TableRefills3[[#This Row],[prev_refill_days]]+TableRefills3[[#This Row],[quantity_days]])</f>
        <v/>
      </c>
      <c r="G2256" t="str">
        <f>IF(TableRefills3[[#This Row],[prev_refill_end]]="","",TableRefills3[[#This Row],[refill_date]]-TableRefills3[[#This Row],[prev_refill_end]])</f>
        <v/>
      </c>
      <c r="H2256" s="10">
        <f>IF(TableRefills3[[#This Row],[gap_days]]="",0,IF(TableRefills3[[#This Row],[gap_days]]&gt;2,1,0))</f>
        <v>0</v>
      </c>
      <c r="I2256">
        <f>_xlfn.MAXIFS(TableRefills3[discountinuation_flag], TableRefills3[patient_id], A2256)</f>
        <v>1</v>
      </c>
    </row>
    <row r="2257" spans="1:9" x14ac:dyDescent="0.25">
      <c r="A2257" t="s">
        <v>3591</v>
      </c>
      <c r="B2257" t="s">
        <v>3592</v>
      </c>
      <c r="C2257" s="3">
        <v>45949</v>
      </c>
      <c r="D2257">
        <v>30</v>
      </c>
      <c r="E2257" s="3">
        <f t="shared" si="35"/>
        <v>45916</v>
      </c>
      <c r="F2257" s="3">
        <f>IF(TableRefills3[[#This Row],[prev_refill_days]]="","",TableRefills3[[#This Row],[prev_refill_days]]+TableRefills3[[#This Row],[quantity_days]])</f>
        <v>45946</v>
      </c>
      <c r="G2257">
        <f>IF(TableRefills3[[#This Row],[prev_refill_end]]="","",TableRefills3[[#This Row],[refill_date]]-TableRefills3[[#This Row],[prev_refill_end]])</f>
        <v>3</v>
      </c>
      <c r="H2257" s="10">
        <f>IF(TableRefills3[[#This Row],[gap_days]]="",0,IF(TableRefills3[[#This Row],[gap_days]]&gt;2,1,0))</f>
        <v>1</v>
      </c>
      <c r="I2257">
        <f>_xlfn.MAXIFS(TableRefills3[discountinuation_flag], TableRefills3[patient_id], A2257)</f>
        <v>1</v>
      </c>
    </row>
    <row r="2258" spans="1:9" x14ac:dyDescent="0.25">
      <c r="A2258" t="s">
        <v>3595</v>
      </c>
      <c r="B2258" t="s">
        <v>3596</v>
      </c>
      <c r="C2258" s="3">
        <v>45876</v>
      </c>
      <c r="D2258">
        <v>28</v>
      </c>
      <c r="E2258" s="3" t="str">
        <f t="shared" si="35"/>
        <v/>
      </c>
      <c r="F2258" s="3" t="str">
        <f>IF(TableRefills3[[#This Row],[prev_refill_days]]="","",TableRefills3[[#This Row],[prev_refill_days]]+TableRefills3[[#This Row],[quantity_days]])</f>
        <v/>
      </c>
      <c r="G2258" t="str">
        <f>IF(TableRefills3[[#This Row],[prev_refill_end]]="","",TableRefills3[[#This Row],[refill_date]]-TableRefills3[[#This Row],[prev_refill_end]])</f>
        <v/>
      </c>
      <c r="H2258" s="10">
        <f>IF(TableRefills3[[#This Row],[gap_days]]="",0,IF(TableRefills3[[#This Row],[gap_days]]&gt;2,1,0))</f>
        <v>0</v>
      </c>
      <c r="I2258">
        <f>_xlfn.MAXIFS(TableRefills3[discountinuation_flag], TableRefills3[patient_id], A2258)</f>
        <v>0</v>
      </c>
    </row>
    <row r="2259" spans="1:9" x14ac:dyDescent="0.25">
      <c r="A2259" t="s">
        <v>3595</v>
      </c>
      <c r="B2259" t="s">
        <v>3596</v>
      </c>
      <c r="C2259" s="3">
        <v>45906</v>
      </c>
      <c r="D2259">
        <v>28</v>
      </c>
      <c r="E2259" s="3">
        <f t="shared" si="35"/>
        <v>45876</v>
      </c>
      <c r="F2259" s="3">
        <f>IF(TableRefills3[[#This Row],[prev_refill_days]]="","",TableRefills3[[#This Row],[prev_refill_days]]+TableRefills3[[#This Row],[quantity_days]])</f>
        <v>45904</v>
      </c>
      <c r="G2259">
        <f>IF(TableRefills3[[#This Row],[prev_refill_end]]="","",TableRefills3[[#This Row],[refill_date]]-TableRefills3[[#This Row],[prev_refill_end]])</f>
        <v>2</v>
      </c>
      <c r="H2259" s="10">
        <f>IF(TableRefills3[[#This Row],[gap_days]]="",0,IF(TableRefills3[[#This Row],[gap_days]]&gt;2,1,0))</f>
        <v>0</v>
      </c>
      <c r="I2259">
        <f>_xlfn.MAXIFS(TableRefills3[discountinuation_flag], TableRefills3[patient_id], A2259)</f>
        <v>0</v>
      </c>
    </row>
    <row r="2260" spans="1:9" x14ac:dyDescent="0.25">
      <c r="A2260" t="s">
        <v>3595</v>
      </c>
      <c r="B2260" t="s">
        <v>3596</v>
      </c>
      <c r="C2260" s="3">
        <v>45935</v>
      </c>
      <c r="D2260">
        <v>28</v>
      </c>
      <c r="E2260" s="3">
        <f t="shared" si="35"/>
        <v>45906</v>
      </c>
      <c r="F2260" s="3">
        <f>IF(TableRefills3[[#This Row],[prev_refill_days]]="","",TableRefills3[[#This Row],[prev_refill_days]]+TableRefills3[[#This Row],[quantity_days]])</f>
        <v>45934</v>
      </c>
      <c r="G2260">
        <f>IF(TableRefills3[[#This Row],[prev_refill_end]]="","",TableRefills3[[#This Row],[refill_date]]-TableRefills3[[#This Row],[prev_refill_end]])</f>
        <v>1</v>
      </c>
      <c r="H2260" s="10">
        <f>IF(TableRefills3[[#This Row],[gap_days]]="",0,IF(TableRefills3[[#This Row],[gap_days]]&gt;2,1,0))</f>
        <v>0</v>
      </c>
      <c r="I2260">
        <f>_xlfn.MAXIFS(TableRefills3[discountinuation_flag], TableRefills3[patient_id], A2260)</f>
        <v>0</v>
      </c>
    </row>
    <row r="2261" spans="1:9" x14ac:dyDescent="0.25">
      <c r="A2261" t="s">
        <v>3600</v>
      </c>
      <c r="B2261" t="s">
        <v>3601</v>
      </c>
      <c r="C2261" s="3">
        <v>45813</v>
      </c>
      <c r="D2261">
        <v>28</v>
      </c>
      <c r="E2261" s="3" t="str">
        <f t="shared" si="35"/>
        <v/>
      </c>
      <c r="F2261" s="3" t="str">
        <f>IF(TableRefills3[[#This Row],[prev_refill_days]]="","",TableRefills3[[#This Row],[prev_refill_days]]+TableRefills3[[#This Row],[quantity_days]])</f>
        <v/>
      </c>
      <c r="G2261" t="str">
        <f>IF(TableRefills3[[#This Row],[prev_refill_end]]="","",TableRefills3[[#This Row],[refill_date]]-TableRefills3[[#This Row],[prev_refill_end]])</f>
        <v/>
      </c>
      <c r="H2261" s="10">
        <f>IF(TableRefills3[[#This Row],[gap_days]]="",0,IF(TableRefills3[[#This Row],[gap_days]]&gt;2,1,0))</f>
        <v>0</v>
      </c>
      <c r="I2261">
        <f>_xlfn.MAXIFS(TableRefills3[discountinuation_flag], TableRefills3[patient_id], A2261)</f>
        <v>1</v>
      </c>
    </row>
    <row r="2262" spans="1:9" x14ac:dyDescent="0.25">
      <c r="A2262" t="s">
        <v>3600</v>
      </c>
      <c r="B2262" t="s">
        <v>3601</v>
      </c>
      <c r="C2262" s="3">
        <v>45841</v>
      </c>
      <c r="D2262">
        <v>28</v>
      </c>
      <c r="E2262" s="3">
        <f t="shared" si="35"/>
        <v>45813</v>
      </c>
      <c r="F2262" s="3">
        <f>IF(TableRefills3[[#This Row],[prev_refill_days]]="","",TableRefills3[[#This Row],[prev_refill_days]]+TableRefills3[[#This Row],[quantity_days]])</f>
        <v>45841</v>
      </c>
      <c r="G2262">
        <f>IF(TableRefills3[[#This Row],[prev_refill_end]]="","",TableRefills3[[#This Row],[refill_date]]-TableRefills3[[#This Row],[prev_refill_end]])</f>
        <v>0</v>
      </c>
      <c r="H2262" s="10">
        <f>IF(TableRefills3[[#This Row],[gap_days]]="",0,IF(TableRefills3[[#This Row],[gap_days]]&gt;2,1,0))</f>
        <v>0</v>
      </c>
      <c r="I2262">
        <f>_xlfn.MAXIFS(TableRefills3[discountinuation_flag], TableRefills3[patient_id], A2262)</f>
        <v>1</v>
      </c>
    </row>
    <row r="2263" spans="1:9" x14ac:dyDescent="0.25">
      <c r="A2263" t="s">
        <v>3600</v>
      </c>
      <c r="B2263" t="s">
        <v>3601</v>
      </c>
      <c r="C2263" s="3">
        <v>45867</v>
      </c>
      <c r="D2263">
        <v>28</v>
      </c>
      <c r="E2263" s="3">
        <f t="shared" si="35"/>
        <v>45841</v>
      </c>
      <c r="F2263" s="3">
        <f>IF(TableRefills3[[#This Row],[prev_refill_days]]="","",TableRefills3[[#This Row],[prev_refill_days]]+TableRefills3[[#This Row],[quantity_days]])</f>
        <v>45869</v>
      </c>
      <c r="G2263">
        <f>IF(TableRefills3[[#This Row],[prev_refill_end]]="","",TableRefills3[[#This Row],[refill_date]]-TableRefills3[[#This Row],[prev_refill_end]])</f>
        <v>-2</v>
      </c>
      <c r="H2263" s="10">
        <f>IF(TableRefills3[[#This Row],[gap_days]]="",0,IF(TableRefills3[[#This Row],[gap_days]]&gt;2,1,0))</f>
        <v>0</v>
      </c>
      <c r="I2263">
        <f>_xlfn.MAXIFS(TableRefills3[discountinuation_flag], TableRefills3[patient_id], A2263)</f>
        <v>1</v>
      </c>
    </row>
    <row r="2264" spans="1:9" x14ac:dyDescent="0.25">
      <c r="A2264" t="s">
        <v>3600</v>
      </c>
      <c r="B2264" t="s">
        <v>3601</v>
      </c>
      <c r="C2264" s="3">
        <v>45898</v>
      </c>
      <c r="D2264">
        <v>28</v>
      </c>
      <c r="E2264" s="3">
        <f t="shared" si="35"/>
        <v>45867</v>
      </c>
      <c r="F2264" s="3">
        <f>IF(TableRefills3[[#This Row],[prev_refill_days]]="","",TableRefills3[[#This Row],[prev_refill_days]]+TableRefills3[[#This Row],[quantity_days]])</f>
        <v>45895</v>
      </c>
      <c r="G2264">
        <f>IF(TableRefills3[[#This Row],[prev_refill_end]]="","",TableRefills3[[#This Row],[refill_date]]-TableRefills3[[#This Row],[prev_refill_end]])</f>
        <v>3</v>
      </c>
      <c r="H2264" s="10">
        <f>IF(TableRefills3[[#This Row],[gap_days]]="",0,IF(TableRefills3[[#This Row],[gap_days]]&gt;2,1,0))</f>
        <v>1</v>
      </c>
      <c r="I2264">
        <f>_xlfn.MAXIFS(TableRefills3[discountinuation_flag], TableRefills3[patient_id], A2264)</f>
        <v>1</v>
      </c>
    </row>
    <row r="2265" spans="1:9" x14ac:dyDescent="0.25">
      <c r="A2265" t="s">
        <v>3600</v>
      </c>
      <c r="B2265" t="s">
        <v>3601</v>
      </c>
      <c r="C2265" s="3">
        <v>45928</v>
      </c>
      <c r="D2265">
        <v>28</v>
      </c>
      <c r="E2265" s="3">
        <f t="shared" si="35"/>
        <v>45898</v>
      </c>
      <c r="F2265" s="3">
        <f>IF(TableRefills3[[#This Row],[prev_refill_days]]="","",TableRefills3[[#This Row],[prev_refill_days]]+TableRefills3[[#This Row],[quantity_days]])</f>
        <v>45926</v>
      </c>
      <c r="G2265">
        <f>IF(TableRefills3[[#This Row],[prev_refill_end]]="","",TableRefills3[[#This Row],[refill_date]]-TableRefills3[[#This Row],[prev_refill_end]])</f>
        <v>2</v>
      </c>
      <c r="H2265" s="10">
        <f>IF(TableRefills3[[#This Row],[gap_days]]="",0,IF(TableRefills3[[#This Row],[gap_days]]&gt;2,1,0))</f>
        <v>0</v>
      </c>
      <c r="I2265">
        <f>_xlfn.MAXIFS(TableRefills3[discountinuation_flag], TableRefills3[patient_id], A2265)</f>
        <v>1</v>
      </c>
    </row>
    <row r="2266" spans="1:9" x14ac:dyDescent="0.25">
      <c r="A2266" t="s">
        <v>3600</v>
      </c>
      <c r="B2266" t="s">
        <v>3601</v>
      </c>
      <c r="C2266" s="3">
        <v>45953</v>
      </c>
      <c r="D2266">
        <v>28</v>
      </c>
      <c r="E2266" s="3">
        <f t="shared" si="35"/>
        <v>45928</v>
      </c>
      <c r="F2266" s="3">
        <f>IF(TableRefills3[[#This Row],[prev_refill_days]]="","",TableRefills3[[#This Row],[prev_refill_days]]+TableRefills3[[#This Row],[quantity_days]])</f>
        <v>45956</v>
      </c>
      <c r="G2266">
        <f>IF(TableRefills3[[#This Row],[prev_refill_end]]="","",TableRefills3[[#This Row],[refill_date]]-TableRefills3[[#This Row],[prev_refill_end]])</f>
        <v>-3</v>
      </c>
      <c r="H2266" s="10">
        <f>IF(TableRefills3[[#This Row],[gap_days]]="",0,IF(TableRefills3[[#This Row],[gap_days]]&gt;2,1,0))</f>
        <v>0</v>
      </c>
      <c r="I2266">
        <f>_xlfn.MAXIFS(TableRefills3[discountinuation_flag], TableRefills3[patient_id], A2266)</f>
        <v>1</v>
      </c>
    </row>
    <row r="2267" spans="1:9" x14ac:dyDescent="0.25">
      <c r="A2267" t="s">
        <v>3608</v>
      </c>
      <c r="B2267" t="s">
        <v>3609</v>
      </c>
      <c r="C2267" s="3">
        <v>45954</v>
      </c>
      <c r="D2267">
        <v>28</v>
      </c>
      <c r="E2267" s="3" t="str">
        <f t="shared" si="35"/>
        <v/>
      </c>
      <c r="F2267" s="3" t="str">
        <f>IF(TableRefills3[[#This Row],[prev_refill_days]]="","",TableRefills3[[#This Row],[prev_refill_days]]+TableRefills3[[#This Row],[quantity_days]])</f>
        <v/>
      </c>
      <c r="G2267" t="str">
        <f>IF(TableRefills3[[#This Row],[prev_refill_end]]="","",TableRefills3[[#This Row],[refill_date]]-TableRefills3[[#This Row],[prev_refill_end]])</f>
        <v/>
      </c>
      <c r="H2267" s="10">
        <f>IF(TableRefills3[[#This Row],[gap_days]]="",0,IF(TableRefills3[[#This Row],[gap_days]]&gt;2,1,0))</f>
        <v>0</v>
      </c>
      <c r="I2267">
        <f>_xlfn.MAXIFS(TableRefills3[discountinuation_flag], TableRefills3[patient_id], A2267)</f>
        <v>0</v>
      </c>
    </row>
    <row r="2268" spans="1:9" x14ac:dyDescent="0.25">
      <c r="A2268" t="s">
        <v>3611</v>
      </c>
      <c r="B2268" t="s">
        <v>3612</v>
      </c>
      <c r="C2268" s="3">
        <v>45798</v>
      </c>
      <c r="D2268">
        <v>30</v>
      </c>
      <c r="E2268" s="3" t="str">
        <f t="shared" si="35"/>
        <v/>
      </c>
      <c r="F2268" s="3" t="str">
        <f>IF(TableRefills3[[#This Row],[prev_refill_days]]="","",TableRefills3[[#This Row],[prev_refill_days]]+TableRefills3[[#This Row],[quantity_days]])</f>
        <v/>
      </c>
      <c r="G2268" t="str">
        <f>IF(TableRefills3[[#This Row],[prev_refill_end]]="","",TableRefills3[[#This Row],[refill_date]]-TableRefills3[[#This Row],[prev_refill_end]])</f>
        <v/>
      </c>
      <c r="H2268" s="10">
        <f>IF(TableRefills3[[#This Row],[gap_days]]="",0,IF(TableRefills3[[#This Row],[gap_days]]&gt;2,1,0))</f>
        <v>0</v>
      </c>
      <c r="I2268">
        <f>_xlfn.MAXIFS(TableRefills3[discountinuation_flag], TableRefills3[patient_id], A2268)</f>
        <v>1</v>
      </c>
    </row>
    <row r="2269" spans="1:9" x14ac:dyDescent="0.25">
      <c r="A2269" t="s">
        <v>3611</v>
      </c>
      <c r="B2269" t="s">
        <v>3612</v>
      </c>
      <c r="C2269" s="3">
        <v>45828</v>
      </c>
      <c r="D2269">
        <v>30</v>
      </c>
      <c r="E2269" s="3">
        <f t="shared" si="35"/>
        <v>45798</v>
      </c>
      <c r="F2269" s="3">
        <f>IF(TableRefills3[[#This Row],[prev_refill_days]]="","",TableRefills3[[#This Row],[prev_refill_days]]+TableRefills3[[#This Row],[quantity_days]])</f>
        <v>45828</v>
      </c>
      <c r="G2269">
        <f>IF(TableRefills3[[#This Row],[prev_refill_end]]="","",TableRefills3[[#This Row],[refill_date]]-TableRefills3[[#This Row],[prev_refill_end]])</f>
        <v>0</v>
      </c>
      <c r="H2269" s="10">
        <f>IF(TableRefills3[[#This Row],[gap_days]]="",0,IF(TableRefills3[[#This Row],[gap_days]]&gt;2,1,0))</f>
        <v>0</v>
      </c>
      <c r="I2269">
        <f>_xlfn.MAXIFS(TableRefills3[discountinuation_flag], TableRefills3[patient_id], A2269)</f>
        <v>1</v>
      </c>
    </row>
    <row r="2270" spans="1:9" x14ac:dyDescent="0.25">
      <c r="A2270" t="s">
        <v>3611</v>
      </c>
      <c r="B2270" t="s">
        <v>3612</v>
      </c>
      <c r="C2270" s="3">
        <v>45856</v>
      </c>
      <c r="D2270">
        <v>30</v>
      </c>
      <c r="E2270" s="3">
        <f t="shared" si="35"/>
        <v>45828</v>
      </c>
      <c r="F2270" s="3">
        <f>IF(TableRefills3[[#This Row],[prev_refill_days]]="","",TableRefills3[[#This Row],[prev_refill_days]]+TableRefills3[[#This Row],[quantity_days]])</f>
        <v>45858</v>
      </c>
      <c r="G2270">
        <f>IF(TableRefills3[[#This Row],[prev_refill_end]]="","",TableRefills3[[#This Row],[refill_date]]-TableRefills3[[#This Row],[prev_refill_end]])</f>
        <v>-2</v>
      </c>
      <c r="H2270" s="10">
        <f>IF(TableRefills3[[#This Row],[gap_days]]="",0,IF(TableRefills3[[#This Row],[gap_days]]&gt;2,1,0))</f>
        <v>0</v>
      </c>
      <c r="I2270">
        <f>_xlfn.MAXIFS(TableRefills3[discountinuation_flag], TableRefills3[patient_id], A2270)</f>
        <v>1</v>
      </c>
    </row>
    <row r="2271" spans="1:9" x14ac:dyDescent="0.25">
      <c r="A2271" t="s">
        <v>3611</v>
      </c>
      <c r="B2271" t="s">
        <v>3612</v>
      </c>
      <c r="C2271" s="3">
        <v>45884</v>
      </c>
      <c r="D2271">
        <v>30</v>
      </c>
      <c r="E2271" s="3">
        <f t="shared" si="35"/>
        <v>45856</v>
      </c>
      <c r="F2271" s="3">
        <f>IF(TableRefills3[[#This Row],[prev_refill_days]]="","",TableRefills3[[#This Row],[prev_refill_days]]+TableRefills3[[#This Row],[quantity_days]])</f>
        <v>45886</v>
      </c>
      <c r="G2271">
        <f>IF(TableRefills3[[#This Row],[prev_refill_end]]="","",TableRefills3[[#This Row],[refill_date]]-TableRefills3[[#This Row],[prev_refill_end]])</f>
        <v>-2</v>
      </c>
      <c r="H2271" s="10">
        <f>IF(TableRefills3[[#This Row],[gap_days]]="",0,IF(TableRefills3[[#This Row],[gap_days]]&gt;2,1,0))</f>
        <v>0</v>
      </c>
      <c r="I2271">
        <f>_xlfn.MAXIFS(TableRefills3[discountinuation_flag], TableRefills3[patient_id], A2271)</f>
        <v>1</v>
      </c>
    </row>
    <row r="2272" spans="1:9" x14ac:dyDescent="0.25">
      <c r="A2272" t="s">
        <v>3611</v>
      </c>
      <c r="B2272" t="s">
        <v>3612</v>
      </c>
      <c r="C2272" s="3">
        <v>45917</v>
      </c>
      <c r="D2272">
        <v>30</v>
      </c>
      <c r="E2272" s="3">
        <f t="shared" si="35"/>
        <v>45884</v>
      </c>
      <c r="F2272" s="3">
        <f>IF(TableRefills3[[#This Row],[prev_refill_days]]="","",TableRefills3[[#This Row],[prev_refill_days]]+TableRefills3[[#This Row],[quantity_days]])</f>
        <v>45914</v>
      </c>
      <c r="G2272">
        <f>IF(TableRefills3[[#This Row],[prev_refill_end]]="","",TableRefills3[[#This Row],[refill_date]]-TableRefills3[[#This Row],[prev_refill_end]])</f>
        <v>3</v>
      </c>
      <c r="H2272" s="10">
        <f>IF(TableRefills3[[#This Row],[gap_days]]="",0,IF(TableRefills3[[#This Row],[gap_days]]&gt;2,1,0))</f>
        <v>1</v>
      </c>
      <c r="I2272">
        <f>_xlfn.MAXIFS(TableRefills3[discountinuation_flag], TableRefills3[patient_id], A2272)</f>
        <v>1</v>
      </c>
    </row>
    <row r="2273" spans="1:9" x14ac:dyDescent="0.25">
      <c r="A2273" t="s">
        <v>3611</v>
      </c>
      <c r="B2273" t="s">
        <v>3612</v>
      </c>
      <c r="C2273" s="3">
        <v>45948</v>
      </c>
      <c r="D2273">
        <v>30</v>
      </c>
      <c r="E2273" s="3">
        <f t="shared" si="35"/>
        <v>45917</v>
      </c>
      <c r="F2273" s="3">
        <f>IF(TableRefills3[[#This Row],[prev_refill_days]]="","",TableRefills3[[#This Row],[prev_refill_days]]+TableRefills3[[#This Row],[quantity_days]])</f>
        <v>45947</v>
      </c>
      <c r="G2273">
        <f>IF(TableRefills3[[#This Row],[prev_refill_end]]="","",TableRefills3[[#This Row],[refill_date]]-TableRefills3[[#This Row],[prev_refill_end]])</f>
        <v>1</v>
      </c>
      <c r="H2273" s="10">
        <f>IF(TableRefills3[[#This Row],[gap_days]]="",0,IF(TableRefills3[[#This Row],[gap_days]]&gt;2,1,0))</f>
        <v>0</v>
      </c>
      <c r="I2273">
        <f>_xlfn.MAXIFS(TableRefills3[discountinuation_flag], TableRefills3[patient_id], A2273)</f>
        <v>1</v>
      </c>
    </row>
    <row r="2274" spans="1:9" x14ac:dyDescent="0.25">
      <c r="A2274" t="s">
        <v>3619</v>
      </c>
      <c r="B2274" t="s">
        <v>3620</v>
      </c>
      <c r="C2274" s="3">
        <v>45866</v>
      </c>
      <c r="D2274">
        <v>56</v>
      </c>
      <c r="E2274" s="3" t="str">
        <f t="shared" si="35"/>
        <v/>
      </c>
      <c r="F2274" s="3" t="str">
        <f>IF(TableRefills3[[#This Row],[prev_refill_days]]="","",TableRefills3[[#This Row],[prev_refill_days]]+TableRefills3[[#This Row],[quantity_days]])</f>
        <v/>
      </c>
      <c r="G2274" t="str">
        <f>IF(TableRefills3[[#This Row],[prev_refill_end]]="","",TableRefills3[[#This Row],[refill_date]]-TableRefills3[[#This Row],[prev_refill_end]])</f>
        <v/>
      </c>
      <c r="H2274" s="10">
        <f>IF(TableRefills3[[#This Row],[gap_days]]="",0,IF(TableRefills3[[#This Row],[gap_days]]&gt;2,1,0))</f>
        <v>0</v>
      </c>
      <c r="I2274">
        <f>_xlfn.MAXIFS(TableRefills3[discountinuation_flag], TableRefills3[patient_id], A2274)</f>
        <v>0</v>
      </c>
    </row>
    <row r="2275" spans="1:9" x14ac:dyDescent="0.25">
      <c r="A2275" t="s">
        <v>3619</v>
      </c>
      <c r="B2275" t="s">
        <v>3620</v>
      </c>
      <c r="C2275" s="3">
        <v>45920</v>
      </c>
      <c r="D2275">
        <v>56</v>
      </c>
      <c r="E2275" s="3">
        <f t="shared" si="35"/>
        <v>45866</v>
      </c>
      <c r="F2275" s="3">
        <f>IF(TableRefills3[[#This Row],[prev_refill_days]]="","",TableRefills3[[#This Row],[prev_refill_days]]+TableRefills3[[#This Row],[quantity_days]])</f>
        <v>45922</v>
      </c>
      <c r="G2275">
        <f>IF(TableRefills3[[#This Row],[prev_refill_end]]="","",TableRefills3[[#This Row],[refill_date]]-TableRefills3[[#This Row],[prev_refill_end]])</f>
        <v>-2</v>
      </c>
      <c r="H2275" s="10">
        <f>IF(TableRefills3[[#This Row],[gap_days]]="",0,IF(TableRefills3[[#This Row],[gap_days]]&gt;2,1,0))</f>
        <v>0</v>
      </c>
      <c r="I2275">
        <f>_xlfn.MAXIFS(TableRefills3[discountinuation_flag], TableRefills3[patient_id], A2275)</f>
        <v>0</v>
      </c>
    </row>
    <row r="2276" spans="1:9" x14ac:dyDescent="0.25">
      <c r="A2276" t="s">
        <v>3623</v>
      </c>
      <c r="B2276" t="s">
        <v>3624</v>
      </c>
      <c r="C2276" s="3">
        <v>45803</v>
      </c>
      <c r="D2276">
        <v>30</v>
      </c>
      <c r="E2276" s="3" t="str">
        <f t="shared" si="35"/>
        <v/>
      </c>
      <c r="F2276" s="3" t="str">
        <f>IF(TableRefills3[[#This Row],[prev_refill_days]]="","",TableRefills3[[#This Row],[prev_refill_days]]+TableRefills3[[#This Row],[quantity_days]])</f>
        <v/>
      </c>
      <c r="G2276" t="str">
        <f>IF(TableRefills3[[#This Row],[prev_refill_end]]="","",TableRefills3[[#This Row],[refill_date]]-TableRefills3[[#This Row],[prev_refill_end]])</f>
        <v/>
      </c>
      <c r="H2276" s="10">
        <f>IF(TableRefills3[[#This Row],[gap_days]]="",0,IF(TableRefills3[[#This Row],[gap_days]]&gt;2,1,0))</f>
        <v>0</v>
      </c>
      <c r="I2276">
        <f>_xlfn.MAXIFS(TableRefills3[discountinuation_flag], TableRefills3[patient_id], A2276)</f>
        <v>1</v>
      </c>
    </row>
    <row r="2277" spans="1:9" x14ac:dyDescent="0.25">
      <c r="A2277" t="s">
        <v>3623</v>
      </c>
      <c r="B2277" t="s">
        <v>3624</v>
      </c>
      <c r="C2277" s="3">
        <v>45836</v>
      </c>
      <c r="D2277">
        <v>30</v>
      </c>
      <c r="E2277" s="3">
        <f t="shared" si="35"/>
        <v>45803</v>
      </c>
      <c r="F2277" s="3">
        <f>IF(TableRefills3[[#This Row],[prev_refill_days]]="","",TableRefills3[[#This Row],[prev_refill_days]]+TableRefills3[[#This Row],[quantity_days]])</f>
        <v>45833</v>
      </c>
      <c r="G2277">
        <f>IF(TableRefills3[[#This Row],[prev_refill_end]]="","",TableRefills3[[#This Row],[refill_date]]-TableRefills3[[#This Row],[prev_refill_end]])</f>
        <v>3</v>
      </c>
      <c r="H2277" s="10">
        <f>IF(TableRefills3[[#This Row],[gap_days]]="",0,IF(TableRefills3[[#This Row],[gap_days]]&gt;2,1,0))</f>
        <v>1</v>
      </c>
      <c r="I2277">
        <f>_xlfn.MAXIFS(TableRefills3[discountinuation_flag], TableRefills3[patient_id], A2277)</f>
        <v>1</v>
      </c>
    </row>
    <row r="2278" spans="1:9" x14ac:dyDescent="0.25">
      <c r="A2278" t="s">
        <v>3623</v>
      </c>
      <c r="B2278" t="s">
        <v>3624</v>
      </c>
      <c r="C2278" s="3">
        <v>45865</v>
      </c>
      <c r="D2278">
        <v>30</v>
      </c>
      <c r="E2278" s="3">
        <f t="shared" si="35"/>
        <v>45836</v>
      </c>
      <c r="F2278" s="3">
        <f>IF(TableRefills3[[#This Row],[prev_refill_days]]="","",TableRefills3[[#This Row],[prev_refill_days]]+TableRefills3[[#This Row],[quantity_days]])</f>
        <v>45866</v>
      </c>
      <c r="G2278">
        <f>IF(TableRefills3[[#This Row],[prev_refill_end]]="","",TableRefills3[[#This Row],[refill_date]]-TableRefills3[[#This Row],[prev_refill_end]])</f>
        <v>-1</v>
      </c>
      <c r="H2278" s="10">
        <f>IF(TableRefills3[[#This Row],[gap_days]]="",0,IF(TableRefills3[[#This Row],[gap_days]]&gt;2,1,0))</f>
        <v>0</v>
      </c>
      <c r="I2278">
        <f>_xlfn.MAXIFS(TableRefills3[discountinuation_flag], TableRefills3[patient_id], A2278)</f>
        <v>1</v>
      </c>
    </row>
    <row r="2279" spans="1:9" x14ac:dyDescent="0.25">
      <c r="A2279" t="s">
        <v>3623</v>
      </c>
      <c r="B2279" t="s">
        <v>3624</v>
      </c>
      <c r="C2279" s="3">
        <v>45895</v>
      </c>
      <c r="D2279">
        <v>30</v>
      </c>
      <c r="E2279" s="3">
        <f t="shared" si="35"/>
        <v>45865</v>
      </c>
      <c r="F2279" s="3">
        <f>IF(TableRefills3[[#This Row],[prev_refill_days]]="","",TableRefills3[[#This Row],[prev_refill_days]]+TableRefills3[[#This Row],[quantity_days]])</f>
        <v>45895</v>
      </c>
      <c r="G2279">
        <f>IF(TableRefills3[[#This Row],[prev_refill_end]]="","",TableRefills3[[#This Row],[refill_date]]-TableRefills3[[#This Row],[prev_refill_end]])</f>
        <v>0</v>
      </c>
      <c r="H2279" s="10">
        <f>IF(TableRefills3[[#This Row],[gap_days]]="",0,IF(TableRefills3[[#This Row],[gap_days]]&gt;2,1,0))</f>
        <v>0</v>
      </c>
      <c r="I2279">
        <f>_xlfn.MAXIFS(TableRefills3[discountinuation_flag], TableRefills3[patient_id], A2279)</f>
        <v>1</v>
      </c>
    </row>
    <row r="2280" spans="1:9" x14ac:dyDescent="0.25">
      <c r="A2280" t="s">
        <v>3623</v>
      </c>
      <c r="B2280" t="s">
        <v>3624</v>
      </c>
      <c r="C2280" s="3">
        <v>45922</v>
      </c>
      <c r="D2280">
        <v>30</v>
      </c>
      <c r="E2280" s="3">
        <f t="shared" si="35"/>
        <v>45895</v>
      </c>
      <c r="F2280" s="3">
        <f>IF(TableRefills3[[#This Row],[prev_refill_days]]="","",TableRefills3[[#This Row],[prev_refill_days]]+TableRefills3[[#This Row],[quantity_days]])</f>
        <v>45925</v>
      </c>
      <c r="G2280">
        <f>IF(TableRefills3[[#This Row],[prev_refill_end]]="","",TableRefills3[[#This Row],[refill_date]]-TableRefills3[[#This Row],[prev_refill_end]])</f>
        <v>-3</v>
      </c>
      <c r="H2280" s="10">
        <f>IF(TableRefills3[[#This Row],[gap_days]]="",0,IF(TableRefills3[[#This Row],[gap_days]]&gt;2,1,0))</f>
        <v>0</v>
      </c>
      <c r="I2280">
        <f>_xlfn.MAXIFS(TableRefills3[discountinuation_flag], TableRefills3[patient_id], A2280)</f>
        <v>1</v>
      </c>
    </row>
    <row r="2281" spans="1:9" x14ac:dyDescent="0.25">
      <c r="A2281" t="s">
        <v>3623</v>
      </c>
      <c r="B2281" t="s">
        <v>3624</v>
      </c>
      <c r="C2281" s="3">
        <v>45949</v>
      </c>
      <c r="D2281">
        <v>30</v>
      </c>
      <c r="E2281" s="3">
        <f t="shared" si="35"/>
        <v>45922</v>
      </c>
      <c r="F2281" s="3">
        <f>IF(TableRefills3[[#This Row],[prev_refill_days]]="","",TableRefills3[[#This Row],[prev_refill_days]]+TableRefills3[[#This Row],[quantity_days]])</f>
        <v>45952</v>
      </c>
      <c r="G2281">
        <f>IF(TableRefills3[[#This Row],[prev_refill_end]]="","",TableRefills3[[#This Row],[refill_date]]-TableRefills3[[#This Row],[prev_refill_end]])</f>
        <v>-3</v>
      </c>
      <c r="H2281" s="10">
        <f>IF(TableRefills3[[#This Row],[gap_days]]="",0,IF(TableRefills3[[#This Row],[gap_days]]&gt;2,1,0))</f>
        <v>0</v>
      </c>
      <c r="I2281">
        <f>_xlfn.MAXIFS(TableRefills3[discountinuation_flag], TableRefills3[patient_id], A2281)</f>
        <v>1</v>
      </c>
    </row>
    <row r="2282" spans="1:9" x14ac:dyDescent="0.25">
      <c r="A2282" t="s">
        <v>3631</v>
      </c>
      <c r="B2282" t="s">
        <v>3632</v>
      </c>
      <c r="C2282" s="3">
        <v>45837</v>
      </c>
      <c r="D2282">
        <v>21</v>
      </c>
      <c r="E2282" s="3" t="str">
        <f t="shared" si="35"/>
        <v/>
      </c>
      <c r="F2282" s="3" t="str">
        <f>IF(TableRefills3[[#This Row],[prev_refill_days]]="","",TableRefills3[[#This Row],[prev_refill_days]]+TableRefills3[[#This Row],[quantity_days]])</f>
        <v/>
      </c>
      <c r="G2282" t="str">
        <f>IF(TableRefills3[[#This Row],[prev_refill_end]]="","",TableRefills3[[#This Row],[refill_date]]-TableRefills3[[#This Row],[prev_refill_end]])</f>
        <v/>
      </c>
      <c r="H2282" s="10">
        <f>IF(TableRefills3[[#This Row],[gap_days]]="",0,IF(TableRefills3[[#This Row],[gap_days]]&gt;2,1,0))</f>
        <v>0</v>
      </c>
      <c r="I2282">
        <f>_xlfn.MAXIFS(TableRefills3[discountinuation_flag], TableRefills3[patient_id], A2282)</f>
        <v>1</v>
      </c>
    </row>
    <row r="2283" spans="1:9" x14ac:dyDescent="0.25">
      <c r="A2283" t="s">
        <v>3631</v>
      </c>
      <c r="B2283" t="s">
        <v>3632</v>
      </c>
      <c r="C2283" s="3">
        <v>45861</v>
      </c>
      <c r="D2283">
        <v>21</v>
      </c>
      <c r="E2283" s="3">
        <f t="shared" si="35"/>
        <v>45837</v>
      </c>
      <c r="F2283" s="3">
        <f>IF(TableRefills3[[#This Row],[prev_refill_days]]="","",TableRefills3[[#This Row],[prev_refill_days]]+TableRefills3[[#This Row],[quantity_days]])</f>
        <v>45858</v>
      </c>
      <c r="G2283">
        <f>IF(TableRefills3[[#This Row],[prev_refill_end]]="","",TableRefills3[[#This Row],[refill_date]]-TableRefills3[[#This Row],[prev_refill_end]])</f>
        <v>3</v>
      </c>
      <c r="H2283" s="10">
        <f>IF(TableRefills3[[#This Row],[gap_days]]="",0,IF(TableRefills3[[#This Row],[gap_days]]&gt;2,1,0))</f>
        <v>1</v>
      </c>
      <c r="I2283">
        <f>_xlfn.MAXIFS(TableRefills3[discountinuation_flag], TableRefills3[patient_id], A2283)</f>
        <v>1</v>
      </c>
    </row>
    <row r="2284" spans="1:9" x14ac:dyDescent="0.25">
      <c r="A2284" t="s">
        <v>3631</v>
      </c>
      <c r="B2284" t="s">
        <v>3632</v>
      </c>
      <c r="C2284" s="3">
        <v>45881</v>
      </c>
      <c r="D2284">
        <v>21</v>
      </c>
      <c r="E2284" s="3">
        <f t="shared" si="35"/>
        <v>45861</v>
      </c>
      <c r="F2284" s="3">
        <f>IF(TableRefills3[[#This Row],[prev_refill_days]]="","",TableRefills3[[#This Row],[prev_refill_days]]+TableRefills3[[#This Row],[quantity_days]])</f>
        <v>45882</v>
      </c>
      <c r="G2284">
        <f>IF(TableRefills3[[#This Row],[prev_refill_end]]="","",TableRefills3[[#This Row],[refill_date]]-TableRefills3[[#This Row],[prev_refill_end]])</f>
        <v>-1</v>
      </c>
      <c r="H2284" s="10">
        <f>IF(TableRefills3[[#This Row],[gap_days]]="",0,IF(TableRefills3[[#This Row],[gap_days]]&gt;2,1,0))</f>
        <v>0</v>
      </c>
      <c r="I2284">
        <f>_xlfn.MAXIFS(TableRefills3[discountinuation_flag], TableRefills3[patient_id], A2284)</f>
        <v>1</v>
      </c>
    </row>
    <row r="2285" spans="1:9" x14ac:dyDescent="0.25">
      <c r="A2285" t="s">
        <v>3631</v>
      </c>
      <c r="B2285" t="s">
        <v>3632</v>
      </c>
      <c r="C2285" s="3">
        <v>45901</v>
      </c>
      <c r="D2285">
        <v>21</v>
      </c>
      <c r="E2285" s="3">
        <f t="shared" si="35"/>
        <v>45881</v>
      </c>
      <c r="F2285" s="3">
        <f>IF(TableRefills3[[#This Row],[prev_refill_days]]="","",TableRefills3[[#This Row],[prev_refill_days]]+TableRefills3[[#This Row],[quantity_days]])</f>
        <v>45902</v>
      </c>
      <c r="G2285">
        <f>IF(TableRefills3[[#This Row],[prev_refill_end]]="","",TableRefills3[[#This Row],[refill_date]]-TableRefills3[[#This Row],[prev_refill_end]])</f>
        <v>-1</v>
      </c>
      <c r="H2285" s="10">
        <f>IF(TableRefills3[[#This Row],[gap_days]]="",0,IF(TableRefills3[[#This Row],[gap_days]]&gt;2,1,0))</f>
        <v>0</v>
      </c>
      <c r="I2285">
        <f>_xlfn.MAXIFS(TableRefills3[discountinuation_flag], TableRefills3[patient_id], A2285)</f>
        <v>1</v>
      </c>
    </row>
    <row r="2286" spans="1:9" x14ac:dyDescent="0.25">
      <c r="A2286" t="s">
        <v>3631</v>
      </c>
      <c r="B2286" t="s">
        <v>3632</v>
      </c>
      <c r="C2286" s="3">
        <v>45923</v>
      </c>
      <c r="D2286">
        <v>21</v>
      </c>
      <c r="E2286" s="3">
        <f t="shared" si="35"/>
        <v>45901</v>
      </c>
      <c r="F2286" s="3">
        <f>IF(TableRefills3[[#This Row],[prev_refill_days]]="","",TableRefills3[[#This Row],[prev_refill_days]]+TableRefills3[[#This Row],[quantity_days]])</f>
        <v>45922</v>
      </c>
      <c r="G2286">
        <f>IF(TableRefills3[[#This Row],[prev_refill_end]]="","",TableRefills3[[#This Row],[refill_date]]-TableRefills3[[#This Row],[prev_refill_end]])</f>
        <v>1</v>
      </c>
      <c r="H2286" s="10">
        <f>IF(TableRefills3[[#This Row],[gap_days]]="",0,IF(TableRefills3[[#This Row],[gap_days]]&gt;2,1,0))</f>
        <v>0</v>
      </c>
      <c r="I2286">
        <f>_xlfn.MAXIFS(TableRefills3[discountinuation_flag], TableRefills3[patient_id], A2286)</f>
        <v>1</v>
      </c>
    </row>
    <row r="2287" spans="1:9" x14ac:dyDescent="0.25">
      <c r="A2287" t="s">
        <v>3631</v>
      </c>
      <c r="B2287" t="s">
        <v>3632</v>
      </c>
      <c r="C2287" s="3">
        <v>45945</v>
      </c>
      <c r="D2287">
        <v>21</v>
      </c>
      <c r="E2287" s="3">
        <f t="shared" si="35"/>
        <v>45923</v>
      </c>
      <c r="F2287" s="3">
        <f>IF(TableRefills3[[#This Row],[prev_refill_days]]="","",TableRefills3[[#This Row],[prev_refill_days]]+TableRefills3[[#This Row],[quantity_days]])</f>
        <v>45944</v>
      </c>
      <c r="G2287">
        <f>IF(TableRefills3[[#This Row],[prev_refill_end]]="","",TableRefills3[[#This Row],[refill_date]]-TableRefills3[[#This Row],[prev_refill_end]])</f>
        <v>1</v>
      </c>
      <c r="H2287" s="10">
        <f>IF(TableRefills3[[#This Row],[gap_days]]="",0,IF(TableRefills3[[#This Row],[gap_days]]&gt;2,1,0))</f>
        <v>0</v>
      </c>
      <c r="I2287">
        <f>_xlfn.MAXIFS(TableRefills3[discountinuation_flag], TableRefills3[patient_id], A2287)</f>
        <v>1</v>
      </c>
    </row>
    <row r="2288" spans="1:9" x14ac:dyDescent="0.25">
      <c r="A2288" t="s">
        <v>3639</v>
      </c>
      <c r="B2288" t="s">
        <v>3640</v>
      </c>
      <c r="C2288" s="3">
        <v>45797</v>
      </c>
      <c r="D2288">
        <v>21</v>
      </c>
      <c r="E2288" s="3" t="str">
        <f t="shared" si="35"/>
        <v/>
      </c>
      <c r="F2288" s="3" t="str">
        <f>IF(TableRefills3[[#This Row],[prev_refill_days]]="","",TableRefills3[[#This Row],[prev_refill_days]]+TableRefills3[[#This Row],[quantity_days]])</f>
        <v/>
      </c>
      <c r="G2288" t="str">
        <f>IF(TableRefills3[[#This Row],[prev_refill_end]]="","",TableRefills3[[#This Row],[refill_date]]-TableRefills3[[#This Row],[prev_refill_end]])</f>
        <v/>
      </c>
      <c r="H2288" s="10">
        <f>IF(TableRefills3[[#This Row],[gap_days]]="",0,IF(TableRefills3[[#This Row],[gap_days]]&gt;2,1,0))</f>
        <v>0</v>
      </c>
      <c r="I2288">
        <f>_xlfn.MAXIFS(TableRefills3[discountinuation_flag], TableRefills3[patient_id], A2288)</f>
        <v>0</v>
      </c>
    </row>
    <row r="2289" spans="1:9" x14ac:dyDescent="0.25">
      <c r="A2289" t="s">
        <v>3639</v>
      </c>
      <c r="B2289" t="s">
        <v>3640</v>
      </c>
      <c r="C2289" s="3">
        <v>45820</v>
      </c>
      <c r="D2289">
        <v>21</v>
      </c>
      <c r="E2289" s="3">
        <f t="shared" si="35"/>
        <v>45797</v>
      </c>
      <c r="F2289" s="3">
        <f>IF(TableRefills3[[#This Row],[prev_refill_days]]="","",TableRefills3[[#This Row],[prev_refill_days]]+TableRefills3[[#This Row],[quantity_days]])</f>
        <v>45818</v>
      </c>
      <c r="G2289">
        <f>IF(TableRefills3[[#This Row],[prev_refill_end]]="","",TableRefills3[[#This Row],[refill_date]]-TableRefills3[[#This Row],[prev_refill_end]])</f>
        <v>2</v>
      </c>
      <c r="H2289" s="10">
        <f>IF(TableRefills3[[#This Row],[gap_days]]="",0,IF(TableRefills3[[#This Row],[gap_days]]&gt;2,1,0))</f>
        <v>0</v>
      </c>
      <c r="I2289">
        <f>_xlfn.MAXIFS(TableRefills3[discountinuation_flag], TableRefills3[patient_id], A2289)</f>
        <v>0</v>
      </c>
    </row>
    <row r="2290" spans="1:9" x14ac:dyDescent="0.25">
      <c r="A2290" t="s">
        <v>3639</v>
      </c>
      <c r="B2290" t="s">
        <v>3640</v>
      </c>
      <c r="C2290" s="3">
        <v>45838</v>
      </c>
      <c r="D2290">
        <v>21</v>
      </c>
      <c r="E2290" s="3">
        <f t="shared" si="35"/>
        <v>45820</v>
      </c>
      <c r="F2290" s="3">
        <f>IF(TableRefills3[[#This Row],[prev_refill_days]]="","",TableRefills3[[#This Row],[prev_refill_days]]+TableRefills3[[#This Row],[quantity_days]])</f>
        <v>45841</v>
      </c>
      <c r="G2290">
        <f>IF(TableRefills3[[#This Row],[prev_refill_end]]="","",TableRefills3[[#This Row],[refill_date]]-TableRefills3[[#This Row],[prev_refill_end]])</f>
        <v>-3</v>
      </c>
      <c r="H2290" s="10">
        <f>IF(TableRefills3[[#This Row],[gap_days]]="",0,IF(TableRefills3[[#This Row],[gap_days]]&gt;2,1,0))</f>
        <v>0</v>
      </c>
      <c r="I2290">
        <f>_xlfn.MAXIFS(TableRefills3[discountinuation_flag], TableRefills3[patient_id], A2290)</f>
        <v>0</v>
      </c>
    </row>
    <row r="2291" spans="1:9" x14ac:dyDescent="0.25">
      <c r="A2291" t="s">
        <v>3639</v>
      </c>
      <c r="B2291" t="s">
        <v>3640</v>
      </c>
      <c r="C2291" s="3">
        <v>45860</v>
      </c>
      <c r="D2291">
        <v>21</v>
      </c>
      <c r="E2291" s="3">
        <f t="shared" si="35"/>
        <v>45838</v>
      </c>
      <c r="F2291" s="3">
        <f>IF(TableRefills3[[#This Row],[prev_refill_days]]="","",TableRefills3[[#This Row],[prev_refill_days]]+TableRefills3[[#This Row],[quantity_days]])</f>
        <v>45859</v>
      </c>
      <c r="G2291">
        <f>IF(TableRefills3[[#This Row],[prev_refill_end]]="","",TableRefills3[[#This Row],[refill_date]]-TableRefills3[[#This Row],[prev_refill_end]])</f>
        <v>1</v>
      </c>
      <c r="H2291" s="10">
        <f>IF(TableRefills3[[#This Row],[gap_days]]="",0,IF(TableRefills3[[#This Row],[gap_days]]&gt;2,1,0))</f>
        <v>0</v>
      </c>
      <c r="I2291">
        <f>_xlfn.MAXIFS(TableRefills3[discountinuation_flag], TableRefills3[patient_id], A2291)</f>
        <v>0</v>
      </c>
    </row>
    <row r="2292" spans="1:9" x14ac:dyDescent="0.25">
      <c r="A2292" t="s">
        <v>3639</v>
      </c>
      <c r="B2292" t="s">
        <v>3640</v>
      </c>
      <c r="C2292" s="3">
        <v>45878</v>
      </c>
      <c r="D2292">
        <v>21</v>
      </c>
      <c r="E2292" s="3">
        <f t="shared" si="35"/>
        <v>45860</v>
      </c>
      <c r="F2292" s="3">
        <f>IF(TableRefills3[[#This Row],[prev_refill_days]]="","",TableRefills3[[#This Row],[prev_refill_days]]+TableRefills3[[#This Row],[quantity_days]])</f>
        <v>45881</v>
      </c>
      <c r="G2292">
        <f>IF(TableRefills3[[#This Row],[prev_refill_end]]="","",TableRefills3[[#This Row],[refill_date]]-TableRefills3[[#This Row],[prev_refill_end]])</f>
        <v>-3</v>
      </c>
      <c r="H2292" s="10">
        <f>IF(TableRefills3[[#This Row],[gap_days]]="",0,IF(TableRefills3[[#This Row],[gap_days]]&gt;2,1,0))</f>
        <v>0</v>
      </c>
      <c r="I2292">
        <f>_xlfn.MAXIFS(TableRefills3[discountinuation_flag], TableRefills3[patient_id], A2292)</f>
        <v>0</v>
      </c>
    </row>
    <row r="2293" spans="1:9" x14ac:dyDescent="0.25">
      <c r="A2293" t="s">
        <v>3639</v>
      </c>
      <c r="B2293" t="s">
        <v>3640</v>
      </c>
      <c r="C2293" s="3">
        <v>45898</v>
      </c>
      <c r="D2293">
        <v>21</v>
      </c>
      <c r="E2293" s="3">
        <f t="shared" si="35"/>
        <v>45878</v>
      </c>
      <c r="F2293" s="3">
        <f>IF(TableRefills3[[#This Row],[prev_refill_days]]="","",TableRefills3[[#This Row],[prev_refill_days]]+TableRefills3[[#This Row],[quantity_days]])</f>
        <v>45899</v>
      </c>
      <c r="G2293">
        <f>IF(TableRefills3[[#This Row],[prev_refill_end]]="","",TableRefills3[[#This Row],[refill_date]]-TableRefills3[[#This Row],[prev_refill_end]])</f>
        <v>-1</v>
      </c>
      <c r="H2293" s="10">
        <f>IF(TableRefills3[[#This Row],[gap_days]]="",0,IF(TableRefills3[[#This Row],[gap_days]]&gt;2,1,0))</f>
        <v>0</v>
      </c>
      <c r="I2293">
        <f>_xlfn.MAXIFS(TableRefills3[discountinuation_flag], TableRefills3[patient_id], A2293)</f>
        <v>0</v>
      </c>
    </row>
    <row r="2294" spans="1:9" x14ac:dyDescent="0.25">
      <c r="A2294" t="s">
        <v>3639</v>
      </c>
      <c r="B2294" t="s">
        <v>3640</v>
      </c>
      <c r="C2294" s="3">
        <v>45919</v>
      </c>
      <c r="D2294">
        <v>21</v>
      </c>
      <c r="E2294" s="3">
        <f t="shared" si="35"/>
        <v>45898</v>
      </c>
      <c r="F2294" s="3">
        <f>IF(TableRefills3[[#This Row],[prev_refill_days]]="","",TableRefills3[[#This Row],[prev_refill_days]]+TableRefills3[[#This Row],[quantity_days]])</f>
        <v>45919</v>
      </c>
      <c r="G2294">
        <f>IF(TableRefills3[[#This Row],[prev_refill_end]]="","",TableRefills3[[#This Row],[refill_date]]-TableRefills3[[#This Row],[prev_refill_end]])</f>
        <v>0</v>
      </c>
      <c r="H2294" s="10">
        <f>IF(TableRefills3[[#This Row],[gap_days]]="",0,IF(TableRefills3[[#This Row],[gap_days]]&gt;2,1,0))</f>
        <v>0</v>
      </c>
      <c r="I2294">
        <f>_xlfn.MAXIFS(TableRefills3[discountinuation_flag], TableRefills3[patient_id], A2294)</f>
        <v>0</v>
      </c>
    </row>
    <row r="2295" spans="1:9" x14ac:dyDescent="0.25">
      <c r="A2295" t="s">
        <v>3639</v>
      </c>
      <c r="B2295" t="s">
        <v>3640</v>
      </c>
      <c r="C2295" s="3">
        <v>45941</v>
      </c>
      <c r="D2295">
        <v>21</v>
      </c>
      <c r="E2295" s="3">
        <f t="shared" si="35"/>
        <v>45919</v>
      </c>
      <c r="F2295" s="3">
        <f>IF(TableRefills3[[#This Row],[prev_refill_days]]="","",TableRefills3[[#This Row],[prev_refill_days]]+TableRefills3[[#This Row],[quantity_days]])</f>
        <v>45940</v>
      </c>
      <c r="G2295">
        <f>IF(TableRefills3[[#This Row],[prev_refill_end]]="","",TableRefills3[[#This Row],[refill_date]]-TableRefills3[[#This Row],[prev_refill_end]])</f>
        <v>1</v>
      </c>
      <c r="H2295" s="10">
        <f>IF(TableRefills3[[#This Row],[gap_days]]="",0,IF(TableRefills3[[#This Row],[gap_days]]&gt;2,1,0))</f>
        <v>0</v>
      </c>
      <c r="I2295">
        <f>_xlfn.MAXIFS(TableRefills3[discountinuation_flag], TableRefills3[patient_id], A2295)</f>
        <v>0</v>
      </c>
    </row>
    <row r="2296" spans="1:9" x14ac:dyDescent="0.25">
      <c r="A2296" t="s">
        <v>3639</v>
      </c>
      <c r="B2296" t="s">
        <v>3640</v>
      </c>
      <c r="C2296" s="3">
        <v>45960</v>
      </c>
      <c r="D2296">
        <v>21</v>
      </c>
      <c r="E2296" s="3">
        <f t="shared" si="35"/>
        <v>45941</v>
      </c>
      <c r="F2296" s="3">
        <f>IF(TableRefills3[[#This Row],[prev_refill_days]]="","",TableRefills3[[#This Row],[prev_refill_days]]+TableRefills3[[#This Row],[quantity_days]])</f>
        <v>45962</v>
      </c>
      <c r="G2296">
        <f>IF(TableRefills3[[#This Row],[prev_refill_end]]="","",TableRefills3[[#This Row],[refill_date]]-TableRefills3[[#This Row],[prev_refill_end]])</f>
        <v>-2</v>
      </c>
      <c r="H2296" s="10">
        <f>IF(TableRefills3[[#This Row],[gap_days]]="",0,IF(TableRefills3[[#This Row],[gap_days]]&gt;2,1,0))</f>
        <v>0</v>
      </c>
      <c r="I2296">
        <f>_xlfn.MAXIFS(TableRefills3[discountinuation_flag], TableRefills3[patient_id], A2296)</f>
        <v>0</v>
      </c>
    </row>
    <row r="2297" spans="1:9" x14ac:dyDescent="0.25">
      <c r="A2297" t="s">
        <v>3650</v>
      </c>
      <c r="B2297" t="s">
        <v>3651</v>
      </c>
      <c r="C2297" s="3">
        <v>45932</v>
      </c>
      <c r="D2297">
        <v>30</v>
      </c>
      <c r="E2297" s="3" t="str">
        <f t="shared" si="35"/>
        <v/>
      </c>
      <c r="F2297" s="3" t="str">
        <f>IF(TableRefills3[[#This Row],[prev_refill_days]]="","",TableRefills3[[#This Row],[prev_refill_days]]+TableRefills3[[#This Row],[quantity_days]])</f>
        <v/>
      </c>
      <c r="G2297" t="str">
        <f>IF(TableRefills3[[#This Row],[prev_refill_end]]="","",TableRefills3[[#This Row],[refill_date]]-TableRefills3[[#This Row],[prev_refill_end]])</f>
        <v/>
      </c>
      <c r="H2297" s="10">
        <f>IF(TableRefills3[[#This Row],[gap_days]]="",0,IF(TableRefills3[[#This Row],[gap_days]]&gt;2,1,0))</f>
        <v>0</v>
      </c>
      <c r="I2297">
        <f>_xlfn.MAXIFS(TableRefills3[discountinuation_flag], TableRefills3[patient_id], A2297)</f>
        <v>0</v>
      </c>
    </row>
    <row r="2298" spans="1:9" x14ac:dyDescent="0.25">
      <c r="A2298" t="s">
        <v>3650</v>
      </c>
      <c r="B2298" t="s">
        <v>3651</v>
      </c>
      <c r="C2298" s="3">
        <v>45960</v>
      </c>
      <c r="D2298">
        <v>30</v>
      </c>
      <c r="E2298" s="3">
        <f t="shared" si="35"/>
        <v>45932</v>
      </c>
      <c r="F2298" s="3">
        <f>IF(TableRefills3[[#This Row],[prev_refill_days]]="","",TableRefills3[[#This Row],[prev_refill_days]]+TableRefills3[[#This Row],[quantity_days]])</f>
        <v>45962</v>
      </c>
      <c r="G2298">
        <f>IF(TableRefills3[[#This Row],[prev_refill_end]]="","",TableRefills3[[#This Row],[refill_date]]-TableRefills3[[#This Row],[prev_refill_end]])</f>
        <v>-2</v>
      </c>
      <c r="H2298" s="10">
        <f>IF(TableRefills3[[#This Row],[gap_days]]="",0,IF(TableRefills3[[#This Row],[gap_days]]&gt;2,1,0))</f>
        <v>0</v>
      </c>
      <c r="I2298">
        <f>_xlfn.MAXIFS(TableRefills3[discountinuation_flag], TableRefills3[patient_id], A2298)</f>
        <v>0</v>
      </c>
    </row>
    <row r="2299" spans="1:9" x14ac:dyDescent="0.25">
      <c r="A2299" t="s">
        <v>3654</v>
      </c>
      <c r="B2299" t="s">
        <v>3655</v>
      </c>
      <c r="C2299" s="3">
        <v>45935</v>
      </c>
      <c r="D2299">
        <v>30</v>
      </c>
      <c r="E2299" s="3" t="str">
        <f t="shared" si="35"/>
        <v/>
      </c>
      <c r="F2299" s="3" t="str">
        <f>IF(TableRefills3[[#This Row],[prev_refill_days]]="","",TableRefills3[[#This Row],[prev_refill_days]]+TableRefills3[[#This Row],[quantity_days]])</f>
        <v/>
      </c>
      <c r="G2299" t="str">
        <f>IF(TableRefills3[[#This Row],[prev_refill_end]]="","",TableRefills3[[#This Row],[refill_date]]-TableRefills3[[#This Row],[prev_refill_end]])</f>
        <v/>
      </c>
      <c r="H2299" s="10">
        <f>IF(TableRefills3[[#This Row],[gap_days]]="",0,IF(TableRefills3[[#This Row],[gap_days]]&gt;2,1,0))</f>
        <v>0</v>
      </c>
      <c r="I2299">
        <f>_xlfn.MAXIFS(TableRefills3[discountinuation_flag], TableRefills3[patient_id], A2299)</f>
        <v>0</v>
      </c>
    </row>
    <row r="2300" spans="1:9" x14ac:dyDescent="0.25">
      <c r="A2300" t="s">
        <v>3657</v>
      </c>
      <c r="B2300" t="s">
        <v>3658</v>
      </c>
      <c r="C2300" s="3">
        <v>45879</v>
      </c>
      <c r="D2300">
        <v>28</v>
      </c>
      <c r="E2300" s="3" t="str">
        <f t="shared" si="35"/>
        <v/>
      </c>
      <c r="F2300" s="3" t="str">
        <f>IF(TableRefills3[[#This Row],[prev_refill_days]]="","",TableRefills3[[#This Row],[prev_refill_days]]+TableRefills3[[#This Row],[quantity_days]])</f>
        <v/>
      </c>
      <c r="G2300" t="str">
        <f>IF(TableRefills3[[#This Row],[prev_refill_end]]="","",TableRefills3[[#This Row],[refill_date]]-TableRefills3[[#This Row],[prev_refill_end]])</f>
        <v/>
      </c>
      <c r="H2300" s="10">
        <f>IF(TableRefills3[[#This Row],[gap_days]]="",0,IF(TableRefills3[[#This Row],[gap_days]]&gt;2,1,0))</f>
        <v>0</v>
      </c>
      <c r="I2300">
        <f>_xlfn.MAXIFS(TableRefills3[discountinuation_flag], TableRefills3[patient_id], A2300)</f>
        <v>0</v>
      </c>
    </row>
    <row r="2301" spans="1:9" x14ac:dyDescent="0.25">
      <c r="A2301" t="s">
        <v>3657</v>
      </c>
      <c r="B2301" t="s">
        <v>3658</v>
      </c>
      <c r="C2301" s="3">
        <v>45908</v>
      </c>
      <c r="D2301">
        <v>28</v>
      </c>
      <c r="E2301" s="3">
        <f t="shared" si="35"/>
        <v>45879</v>
      </c>
      <c r="F2301" s="3">
        <f>IF(TableRefills3[[#This Row],[prev_refill_days]]="","",TableRefills3[[#This Row],[prev_refill_days]]+TableRefills3[[#This Row],[quantity_days]])</f>
        <v>45907</v>
      </c>
      <c r="G2301">
        <f>IF(TableRefills3[[#This Row],[prev_refill_end]]="","",TableRefills3[[#This Row],[refill_date]]-TableRefills3[[#This Row],[prev_refill_end]])</f>
        <v>1</v>
      </c>
      <c r="H2301" s="10">
        <f>IF(TableRefills3[[#This Row],[gap_days]]="",0,IF(TableRefills3[[#This Row],[gap_days]]&gt;2,1,0))</f>
        <v>0</v>
      </c>
      <c r="I2301">
        <f>_xlfn.MAXIFS(TableRefills3[discountinuation_flag], TableRefills3[patient_id], A2301)</f>
        <v>0</v>
      </c>
    </row>
    <row r="2302" spans="1:9" x14ac:dyDescent="0.25">
      <c r="A2302" t="s">
        <v>3661</v>
      </c>
      <c r="B2302" t="s">
        <v>3662</v>
      </c>
      <c r="C2302" s="3">
        <v>45861</v>
      </c>
      <c r="D2302">
        <v>21</v>
      </c>
      <c r="E2302" s="3" t="str">
        <f t="shared" si="35"/>
        <v/>
      </c>
      <c r="F2302" s="3" t="str">
        <f>IF(TableRefills3[[#This Row],[prev_refill_days]]="","",TableRefills3[[#This Row],[prev_refill_days]]+TableRefills3[[#This Row],[quantity_days]])</f>
        <v/>
      </c>
      <c r="G2302" t="str">
        <f>IF(TableRefills3[[#This Row],[prev_refill_end]]="","",TableRefills3[[#This Row],[refill_date]]-TableRefills3[[#This Row],[prev_refill_end]])</f>
        <v/>
      </c>
      <c r="H2302" s="10">
        <f>IF(TableRefills3[[#This Row],[gap_days]]="",0,IF(TableRefills3[[#This Row],[gap_days]]&gt;2,1,0))</f>
        <v>0</v>
      </c>
      <c r="I2302">
        <f>_xlfn.MAXIFS(TableRefills3[discountinuation_flag], TableRefills3[patient_id], A2302)</f>
        <v>1</v>
      </c>
    </row>
    <row r="2303" spans="1:9" x14ac:dyDescent="0.25">
      <c r="A2303" t="s">
        <v>3661</v>
      </c>
      <c r="B2303" t="s">
        <v>3662</v>
      </c>
      <c r="C2303" s="3">
        <v>45885</v>
      </c>
      <c r="D2303">
        <v>21</v>
      </c>
      <c r="E2303" s="3">
        <f t="shared" si="35"/>
        <v>45861</v>
      </c>
      <c r="F2303" s="3">
        <f>IF(TableRefills3[[#This Row],[prev_refill_days]]="","",TableRefills3[[#This Row],[prev_refill_days]]+TableRefills3[[#This Row],[quantity_days]])</f>
        <v>45882</v>
      </c>
      <c r="G2303">
        <f>IF(TableRefills3[[#This Row],[prev_refill_end]]="","",TableRefills3[[#This Row],[refill_date]]-TableRefills3[[#This Row],[prev_refill_end]])</f>
        <v>3</v>
      </c>
      <c r="H2303" s="10">
        <f>IF(TableRefills3[[#This Row],[gap_days]]="",0,IF(TableRefills3[[#This Row],[gap_days]]&gt;2,1,0))</f>
        <v>1</v>
      </c>
      <c r="I2303">
        <f>_xlfn.MAXIFS(TableRefills3[discountinuation_flag], TableRefills3[patient_id], A2303)</f>
        <v>1</v>
      </c>
    </row>
    <row r="2304" spans="1:9" x14ac:dyDescent="0.25">
      <c r="A2304" t="s">
        <v>3661</v>
      </c>
      <c r="B2304" t="s">
        <v>3662</v>
      </c>
      <c r="C2304" s="3">
        <v>45907</v>
      </c>
      <c r="D2304">
        <v>21</v>
      </c>
      <c r="E2304" s="3">
        <f t="shared" si="35"/>
        <v>45885</v>
      </c>
      <c r="F2304" s="3">
        <f>IF(TableRefills3[[#This Row],[prev_refill_days]]="","",TableRefills3[[#This Row],[prev_refill_days]]+TableRefills3[[#This Row],[quantity_days]])</f>
        <v>45906</v>
      </c>
      <c r="G2304">
        <f>IF(TableRefills3[[#This Row],[prev_refill_end]]="","",TableRefills3[[#This Row],[refill_date]]-TableRefills3[[#This Row],[prev_refill_end]])</f>
        <v>1</v>
      </c>
      <c r="H2304" s="10">
        <f>IF(TableRefills3[[#This Row],[gap_days]]="",0,IF(TableRefills3[[#This Row],[gap_days]]&gt;2,1,0))</f>
        <v>0</v>
      </c>
      <c r="I2304">
        <f>_xlfn.MAXIFS(TableRefills3[discountinuation_flag], TableRefills3[patient_id], A2304)</f>
        <v>1</v>
      </c>
    </row>
    <row r="2305" spans="1:9" x14ac:dyDescent="0.25">
      <c r="A2305" t="s">
        <v>3661</v>
      </c>
      <c r="B2305" t="s">
        <v>3662</v>
      </c>
      <c r="C2305" s="3">
        <v>45926</v>
      </c>
      <c r="D2305">
        <v>21</v>
      </c>
      <c r="E2305" s="3">
        <f t="shared" si="35"/>
        <v>45907</v>
      </c>
      <c r="F2305" s="3">
        <f>IF(TableRefills3[[#This Row],[prev_refill_days]]="","",TableRefills3[[#This Row],[prev_refill_days]]+TableRefills3[[#This Row],[quantity_days]])</f>
        <v>45928</v>
      </c>
      <c r="G2305">
        <f>IF(TableRefills3[[#This Row],[prev_refill_end]]="","",TableRefills3[[#This Row],[refill_date]]-TableRefills3[[#This Row],[prev_refill_end]])</f>
        <v>-2</v>
      </c>
      <c r="H2305" s="10">
        <f>IF(TableRefills3[[#This Row],[gap_days]]="",0,IF(TableRefills3[[#This Row],[gap_days]]&gt;2,1,0))</f>
        <v>0</v>
      </c>
      <c r="I2305">
        <f>_xlfn.MAXIFS(TableRefills3[discountinuation_flag], TableRefills3[patient_id], A2305)</f>
        <v>1</v>
      </c>
    </row>
    <row r="2306" spans="1:9" x14ac:dyDescent="0.25">
      <c r="A2306" t="s">
        <v>3661</v>
      </c>
      <c r="B2306" t="s">
        <v>3662</v>
      </c>
      <c r="C2306" s="3">
        <v>45949</v>
      </c>
      <c r="D2306">
        <v>21</v>
      </c>
      <c r="E2306" s="3">
        <f t="shared" ref="E2306:E2369" si="36">IF(A2305=A2306,C2305,"")</f>
        <v>45926</v>
      </c>
      <c r="F2306" s="3">
        <f>IF(TableRefills3[[#This Row],[prev_refill_days]]="","",TableRefills3[[#This Row],[prev_refill_days]]+TableRefills3[[#This Row],[quantity_days]])</f>
        <v>45947</v>
      </c>
      <c r="G2306">
        <f>IF(TableRefills3[[#This Row],[prev_refill_end]]="","",TableRefills3[[#This Row],[refill_date]]-TableRefills3[[#This Row],[prev_refill_end]])</f>
        <v>2</v>
      </c>
      <c r="H2306" s="10">
        <f>IF(TableRefills3[[#This Row],[gap_days]]="",0,IF(TableRefills3[[#This Row],[gap_days]]&gt;2,1,0))</f>
        <v>0</v>
      </c>
      <c r="I2306">
        <f>_xlfn.MAXIFS(TableRefills3[discountinuation_flag], TableRefills3[patient_id], A2306)</f>
        <v>1</v>
      </c>
    </row>
    <row r="2307" spans="1:9" x14ac:dyDescent="0.25">
      <c r="A2307" t="s">
        <v>3668</v>
      </c>
      <c r="B2307" t="s">
        <v>3669</v>
      </c>
      <c r="C2307" s="3">
        <v>45940</v>
      </c>
      <c r="D2307">
        <v>28</v>
      </c>
      <c r="E2307" s="3" t="str">
        <f t="shared" si="36"/>
        <v/>
      </c>
      <c r="F2307" s="3" t="str">
        <f>IF(TableRefills3[[#This Row],[prev_refill_days]]="","",TableRefills3[[#This Row],[prev_refill_days]]+TableRefills3[[#This Row],[quantity_days]])</f>
        <v/>
      </c>
      <c r="G2307" t="str">
        <f>IF(TableRefills3[[#This Row],[prev_refill_end]]="","",TableRefills3[[#This Row],[refill_date]]-TableRefills3[[#This Row],[prev_refill_end]])</f>
        <v/>
      </c>
      <c r="H2307" s="10">
        <f>IF(TableRefills3[[#This Row],[gap_days]]="",0,IF(TableRefills3[[#This Row],[gap_days]]&gt;2,1,0))</f>
        <v>0</v>
      </c>
      <c r="I2307">
        <f>_xlfn.MAXIFS(TableRefills3[discountinuation_flag], TableRefills3[patient_id], A2307)</f>
        <v>0</v>
      </c>
    </row>
    <row r="2308" spans="1:9" x14ac:dyDescent="0.25">
      <c r="A2308" t="s">
        <v>3671</v>
      </c>
      <c r="B2308" t="s">
        <v>3672</v>
      </c>
      <c r="C2308" s="3">
        <v>45893</v>
      </c>
      <c r="D2308">
        <v>28</v>
      </c>
      <c r="E2308" s="3" t="str">
        <f t="shared" si="36"/>
        <v/>
      </c>
      <c r="F2308" s="3" t="str">
        <f>IF(TableRefills3[[#This Row],[prev_refill_days]]="","",TableRefills3[[#This Row],[prev_refill_days]]+TableRefills3[[#This Row],[quantity_days]])</f>
        <v/>
      </c>
      <c r="G2308" t="str">
        <f>IF(TableRefills3[[#This Row],[prev_refill_end]]="","",TableRefills3[[#This Row],[refill_date]]-TableRefills3[[#This Row],[prev_refill_end]])</f>
        <v/>
      </c>
      <c r="H2308" s="10">
        <f>IF(TableRefills3[[#This Row],[gap_days]]="",0,IF(TableRefills3[[#This Row],[gap_days]]&gt;2,1,0))</f>
        <v>0</v>
      </c>
      <c r="I2308">
        <f>_xlfn.MAXIFS(TableRefills3[discountinuation_flag], TableRefills3[patient_id], A2308)</f>
        <v>0</v>
      </c>
    </row>
    <row r="2309" spans="1:9" x14ac:dyDescent="0.25">
      <c r="A2309" t="s">
        <v>3671</v>
      </c>
      <c r="B2309" t="s">
        <v>3672</v>
      </c>
      <c r="C2309" s="3">
        <v>45921</v>
      </c>
      <c r="D2309">
        <v>28</v>
      </c>
      <c r="E2309" s="3">
        <f t="shared" si="36"/>
        <v>45893</v>
      </c>
      <c r="F2309" s="3">
        <f>IF(TableRefills3[[#This Row],[prev_refill_days]]="","",TableRefills3[[#This Row],[prev_refill_days]]+TableRefills3[[#This Row],[quantity_days]])</f>
        <v>45921</v>
      </c>
      <c r="G2309">
        <f>IF(TableRefills3[[#This Row],[prev_refill_end]]="","",TableRefills3[[#This Row],[refill_date]]-TableRefills3[[#This Row],[prev_refill_end]])</f>
        <v>0</v>
      </c>
      <c r="H2309" s="10">
        <f>IF(TableRefills3[[#This Row],[gap_days]]="",0,IF(TableRefills3[[#This Row],[gap_days]]&gt;2,1,0))</f>
        <v>0</v>
      </c>
      <c r="I2309">
        <f>_xlfn.MAXIFS(TableRefills3[discountinuation_flag], TableRefills3[patient_id], A2309)</f>
        <v>0</v>
      </c>
    </row>
    <row r="2310" spans="1:9" x14ac:dyDescent="0.25">
      <c r="A2310" t="s">
        <v>3671</v>
      </c>
      <c r="B2310" t="s">
        <v>3672</v>
      </c>
      <c r="C2310" s="3">
        <v>45950</v>
      </c>
      <c r="D2310">
        <v>28</v>
      </c>
      <c r="E2310" s="3">
        <f t="shared" si="36"/>
        <v>45921</v>
      </c>
      <c r="F2310" s="3">
        <f>IF(TableRefills3[[#This Row],[prev_refill_days]]="","",TableRefills3[[#This Row],[prev_refill_days]]+TableRefills3[[#This Row],[quantity_days]])</f>
        <v>45949</v>
      </c>
      <c r="G2310">
        <f>IF(TableRefills3[[#This Row],[prev_refill_end]]="","",TableRefills3[[#This Row],[refill_date]]-TableRefills3[[#This Row],[prev_refill_end]])</f>
        <v>1</v>
      </c>
      <c r="H2310" s="10">
        <f>IF(TableRefills3[[#This Row],[gap_days]]="",0,IF(TableRefills3[[#This Row],[gap_days]]&gt;2,1,0))</f>
        <v>0</v>
      </c>
      <c r="I2310">
        <f>_xlfn.MAXIFS(TableRefills3[discountinuation_flag], TableRefills3[patient_id], A2310)</f>
        <v>0</v>
      </c>
    </row>
    <row r="2311" spans="1:9" x14ac:dyDescent="0.25">
      <c r="A2311" t="s">
        <v>3676</v>
      </c>
      <c r="B2311" t="s">
        <v>3677</v>
      </c>
      <c r="C2311" s="3">
        <v>45836</v>
      </c>
      <c r="D2311">
        <v>28</v>
      </c>
      <c r="E2311" s="3" t="str">
        <f t="shared" si="36"/>
        <v/>
      </c>
      <c r="F2311" s="3" t="str">
        <f>IF(TableRefills3[[#This Row],[prev_refill_days]]="","",TableRefills3[[#This Row],[prev_refill_days]]+TableRefills3[[#This Row],[quantity_days]])</f>
        <v/>
      </c>
      <c r="G2311" t="str">
        <f>IF(TableRefills3[[#This Row],[prev_refill_end]]="","",TableRefills3[[#This Row],[refill_date]]-TableRefills3[[#This Row],[prev_refill_end]])</f>
        <v/>
      </c>
      <c r="H2311" s="10">
        <f>IF(TableRefills3[[#This Row],[gap_days]]="",0,IF(TableRefills3[[#This Row],[gap_days]]&gt;2,1,0))</f>
        <v>0</v>
      </c>
      <c r="I2311">
        <f>_xlfn.MAXIFS(TableRefills3[discountinuation_flag], TableRefills3[patient_id], A2311)</f>
        <v>1</v>
      </c>
    </row>
    <row r="2312" spans="1:9" x14ac:dyDescent="0.25">
      <c r="A2312" t="s">
        <v>3676</v>
      </c>
      <c r="B2312" t="s">
        <v>3677</v>
      </c>
      <c r="C2312" s="3">
        <v>45865</v>
      </c>
      <c r="D2312">
        <v>28</v>
      </c>
      <c r="E2312" s="3">
        <f t="shared" si="36"/>
        <v>45836</v>
      </c>
      <c r="F2312" s="3">
        <f>IF(TableRefills3[[#This Row],[prev_refill_days]]="","",TableRefills3[[#This Row],[prev_refill_days]]+TableRefills3[[#This Row],[quantity_days]])</f>
        <v>45864</v>
      </c>
      <c r="G2312">
        <f>IF(TableRefills3[[#This Row],[prev_refill_end]]="","",TableRefills3[[#This Row],[refill_date]]-TableRefills3[[#This Row],[prev_refill_end]])</f>
        <v>1</v>
      </c>
      <c r="H2312" s="10">
        <f>IF(TableRefills3[[#This Row],[gap_days]]="",0,IF(TableRefills3[[#This Row],[gap_days]]&gt;2,1,0))</f>
        <v>0</v>
      </c>
      <c r="I2312">
        <f>_xlfn.MAXIFS(TableRefills3[discountinuation_flag], TableRefills3[patient_id], A2312)</f>
        <v>1</v>
      </c>
    </row>
    <row r="2313" spans="1:9" x14ac:dyDescent="0.25">
      <c r="A2313" t="s">
        <v>3676</v>
      </c>
      <c r="B2313" t="s">
        <v>3677</v>
      </c>
      <c r="C2313" s="3">
        <v>45896</v>
      </c>
      <c r="D2313">
        <v>28</v>
      </c>
      <c r="E2313" s="3">
        <f t="shared" si="36"/>
        <v>45865</v>
      </c>
      <c r="F2313" s="3">
        <f>IF(TableRefills3[[#This Row],[prev_refill_days]]="","",TableRefills3[[#This Row],[prev_refill_days]]+TableRefills3[[#This Row],[quantity_days]])</f>
        <v>45893</v>
      </c>
      <c r="G2313">
        <f>IF(TableRefills3[[#This Row],[prev_refill_end]]="","",TableRefills3[[#This Row],[refill_date]]-TableRefills3[[#This Row],[prev_refill_end]])</f>
        <v>3</v>
      </c>
      <c r="H2313" s="10">
        <f>IF(TableRefills3[[#This Row],[gap_days]]="",0,IF(TableRefills3[[#This Row],[gap_days]]&gt;2,1,0))</f>
        <v>1</v>
      </c>
      <c r="I2313">
        <f>_xlfn.MAXIFS(TableRefills3[discountinuation_flag], TableRefills3[patient_id], A2313)</f>
        <v>1</v>
      </c>
    </row>
    <row r="2314" spans="1:9" x14ac:dyDescent="0.25">
      <c r="A2314" t="s">
        <v>3676</v>
      </c>
      <c r="B2314" t="s">
        <v>3677</v>
      </c>
      <c r="C2314" s="3">
        <v>45922</v>
      </c>
      <c r="D2314">
        <v>28</v>
      </c>
      <c r="E2314" s="3">
        <f t="shared" si="36"/>
        <v>45896</v>
      </c>
      <c r="F2314" s="3">
        <f>IF(TableRefills3[[#This Row],[prev_refill_days]]="","",TableRefills3[[#This Row],[prev_refill_days]]+TableRefills3[[#This Row],[quantity_days]])</f>
        <v>45924</v>
      </c>
      <c r="G2314">
        <f>IF(TableRefills3[[#This Row],[prev_refill_end]]="","",TableRefills3[[#This Row],[refill_date]]-TableRefills3[[#This Row],[prev_refill_end]])</f>
        <v>-2</v>
      </c>
      <c r="H2314" s="10">
        <f>IF(TableRefills3[[#This Row],[gap_days]]="",0,IF(TableRefills3[[#This Row],[gap_days]]&gt;2,1,0))</f>
        <v>0</v>
      </c>
      <c r="I2314">
        <f>_xlfn.MAXIFS(TableRefills3[discountinuation_flag], TableRefills3[patient_id], A2314)</f>
        <v>1</v>
      </c>
    </row>
    <row r="2315" spans="1:9" x14ac:dyDescent="0.25">
      <c r="A2315" t="s">
        <v>3676</v>
      </c>
      <c r="B2315" t="s">
        <v>3677</v>
      </c>
      <c r="C2315" s="3">
        <v>45950</v>
      </c>
      <c r="D2315">
        <v>28</v>
      </c>
      <c r="E2315" s="3">
        <f t="shared" si="36"/>
        <v>45922</v>
      </c>
      <c r="F2315" s="3">
        <f>IF(TableRefills3[[#This Row],[prev_refill_days]]="","",TableRefills3[[#This Row],[prev_refill_days]]+TableRefills3[[#This Row],[quantity_days]])</f>
        <v>45950</v>
      </c>
      <c r="G2315">
        <f>IF(TableRefills3[[#This Row],[prev_refill_end]]="","",TableRefills3[[#This Row],[refill_date]]-TableRefills3[[#This Row],[prev_refill_end]])</f>
        <v>0</v>
      </c>
      <c r="H2315" s="10">
        <f>IF(TableRefills3[[#This Row],[gap_days]]="",0,IF(TableRefills3[[#This Row],[gap_days]]&gt;2,1,0))</f>
        <v>0</v>
      </c>
      <c r="I2315">
        <f>_xlfn.MAXIFS(TableRefills3[discountinuation_flag], TableRefills3[patient_id], A2315)</f>
        <v>1</v>
      </c>
    </row>
    <row r="2316" spans="1:9" x14ac:dyDescent="0.25">
      <c r="A2316" t="s">
        <v>3683</v>
      </c>
      <c r="B2316" t="s">
        <v>3684</v>
      </c>
      <c r="C2316" s="3">
        <v>45919</v>
      </c>
      <c r="D2316">
        <v>28</v>
      </c>
      <c r="E2316" s="3" t="str">
        <f t="shared" si="36"/>
        <v/>
      </c>
      <c r="F2316" s="3" t="str">
        <f>IF(TableRefills3[[#This Row],[prev_refill_days]]="","",TableRefills3[[#This Row],[prev_refill_days]]+TableRefills3[[#This Row],[quantity_days]])</f>
        <v/>
      </c>
      <c r="G2316" t="str">
        <f>IF(TableRefills3[[#This Row],[prev_refill_end]]="","",TableRefills3[[#This Row],[refill_date]]-TableRefills3[[#This Row],[prev_refill_end]])</f>
        <v/>
      </c>
      <c r="H2316" s="10">
        <f>IF(TableRefills3[[#This Row],[gap_days]]="",0,IF(TableRefills3[[#This Row],[gap_days]]&gt;2,1,0))</f>
        <v>0</v>
      </c>
      <c r="I2316">
        <f>_xlfn.MAXIFS(TableRefills3[discountinuation_flag], TableRefills3[patient_id], A2316)</f>
        <v>0</v>
      </c>
    </row>
    <row r="2317" spans="1:9" x14ac:dyDescent="0.25">
      <c r="A2317" t="s">
        <v>3683</v>
      </c>
      <c r="B2317" t="s">
        <v>3684</v>
      </c>
      <c r="C2317" s="3">
        <v>45949</v>
      </c>
      <c r="D2317">
        <v>28</v>
      </c>
      <c r="E2317" s="3">
        <f t="shared" si="36"/>
        <v>45919</v>
      </c>
      <c r="F2317" s="3">
        <f>IF(TableRefills3[[#This Row],[prev_refill_days]]="","",TableRefills3[[#This Row],[prev_refill_days]]+TableRefills3[[#This Row],[quantity_days]])</f>
        <v>45947</v>
      </c>
      <c r="G2317">
        <f>IF(TableRefills3[[#This Row],[prev_refill_end]]="","",TableRefills3[[#This Row],[refill_date]]-TableRefills3[[#This Row],[prev_refill_end]])</f>
        <v>2</v>
      </c>
      <c r="H2317" s="10">
        <f>IF(TableRefills3[[#This Row],[gap_days]]="",0,IF(TableRefills3[[#This Row],[gap_days]]&gt;2,1,0))</f>
        <v>0</v>
      </c>
      <c r="I2317">
        <f>_xlfn.MAXIFS(TableRefills3[discountinuation_flag], TableRefills3[patient_id], A2317)</f>
        <v>0</v>
      </c>
    </row>
    <row r="2318" spans="1:9" x14ac:dyDescent="0.25">
      <c r="A2318" t="s">
        <v>3687</v>
      </c>
      <c r="B2318" t="s">
        <v>3688</v>
      </c>
      <c r="C2318" s="3">
        <v>45888</v>
      </c>
      <c r="D2318">
        <v>28</v>
      </c>
      <c r="E2318" s="3" t="str">
        <f t="shared" si="36"/>
        <v/>
      </c>
      <c r="F2318" s="3" t="str">
        <f>IF(TableRefills3[[#This Row],[prev_refill_days]]="","",TableRefills3[[#This Row],[prev_refill_days]]+TableRefills3[[#This Row],[quantity_days]])</f>
        <v/>
      </c>
      <c r="G2318" t="str">
        <f>IF(TableRefills3[[#This Row],[prev_refill_end]]="","",TableRefills3[[#This Row],[refill_date]]-TableRefills3[[#This Row],[prev_refill_end]])</f>
        <v/>
      </c>
      <c r="H2318" s="10">
        <f>IF(TableRefills3[[#This Row],[gap_days]]="",0,IF(TableRefills3[[#This Row],[gap_days]]&gt;2,1,0))</f>
        <v>0</v>
      </c>
      <c r="I2318">
        <f>_xlfn.MAXIFS(TableRefills3[discountinuation_flag], TableRefills3[patient_id], A2318)</f>
        <v>0</v>
      </c>
    </row>
    <row r="2319" spans="1:9" x14ac:dyDescent="0.25">
      <c r="A2319" t="s">
        <v>3687</v>
      </c>
      <c r="B2319" t="s">
        <v>3688</v>
      </c>
      <c r="C2319" s="3">
        <v>45915</v>
      </c>
      <c r="D2319">
        <v>28</v>
      </c>
      <c r="E2319" s="3">
        <f t="shared" si="36"/>
        <v>45888</v>
      </c>
      <c r="F2319" s="3">
        <f>IF(TableRefills3[[#This Row],[prev_refill_days]]="","",TableRefills3[[#This Row],[prev_refill_days]]+TableRefills3[[#This Row],[quantity_days]])</f>
        <v>45916</v>
      </c>
      <c r="G2319">
        <f>IF(TableRefills3[[#This Row],[prev_refill_end]]="","",TableRefills3[[#This Row],[refill_date]]-TableRefills3[[#This Row],[prev_refill_end]])</f>
        <v>-1</v>
      </c>
      <c r="H2319" s="10">
        <f>IF(TableRefills3[[#This Row],[gap_days]]="",0,IF(TableRefills3[[#This Row],[gap_days]]&gt;2,1,0))</f>
        <v>0</v>
      </c>
      <c r="I2319">
        <f>_xlfn.MAXIFS(TableRefills3[discountinuation_flag], TableRefills3[patient_id], A2319)</f>
        <v>0</v>
      </c>
    </row>
    <row r="2320" spans="1:9" x14ac:dyDescent="0.25">
      <c r="A2320" t="s">
        <v>3687</v>
      </c>
      <c r="B2320" t="s">
        <v>3688</v>
      </c>
      <c r="C2320" s="3">
        <v>45945</v>
      </c>
      <c r="D2320">
        <v>28</v>
      </c>
      <c r="E2320" s="3">
        <f t="shared" si="36"/>
        <v>45915</v>
      </c>
      <c r="F2320" s="3">
        <f>IF(TableRefills3[[#This Row],[prev_refill_days]]="","",TableRefills3[[#This Row],[prev_refill_days]]+TableRefills3[[#This Row],[quantity_days]])</f>
        <v>45943</v>
      </c>
      <c r="G2320">
        <f>IF(TableRefills3[[#This Row],[prev_refill_end]]="","",TableRefills3[[#This Row],[refill_date]]-TableRefills3[[#This Row],[prev_refill_end]])</f>
        <v>2</v>
      </c>
      <c r="H2320" s="10">
        <f>IF(TableRefills3[[#This Row],[gap_days]]="",0,IF(TableRefills3[[#This Row],[gap_days]]&gt;2,1,0))</f>
        <v>0</v>
      </c>
      <c r="I2320">
        <f>_xlfn.MAXIFS(TableRefills3[discountinuation_flag], TableRefills3[patient_id], A2320)</f>
        <v>0</v>
      </c>
    </row>
    <row r="2321" spans="1:9" x14ac:dyDescent="0.25">
      <c r="A2321" t="s">
        <v>3692</v>
      </c>
      <c r="B2321" t="s">
        <v>3693</v>
      </c>
      <c r="C2321" s="3">
        <v>45952</v>
      </c>
      <c r="D2321">
        <v>28</v>
      </c>
      <c r="E2321" s="3" t="str">
        <f t="shared" si="36"/>
        <v/>
      </c>
      <c r="F2321" s="3" t="str">
        <f>IF(TableRefills3[[#This Row],[prev_refill_days]]="","",TableRefills3[[#This Row],[prev_refill_days]]+TableRefills3[[#This Row],[quantity_days]])</f>
        <v/>
      </c>
      <c r="G2321" t="str">
        <f>IF(TableRefills3[[#This Row],[prev_refill_end]]="","",TableRefills3[[#This Row],[refill_date]]-TableRefills3[[#This Row],[prev_refill_end]])</f>
        <v/>
      </c>
      <c r="H2321" s="10">
        <f>IF(TableRefills3[[#This Row],[gap_days]]="",0,IF(TableRefills3[[#This Row],[gap_days]]&gt;2,1,0))</f>
        <v>0</v>
      </c>
      <c r="I2321">
        <f>_xlfn.MAXIFS(TableRefills3[discountinuation_flag], TableRefills3[patient_id], A2321)</f>
        <v>0</v>
      </c>
    </row>
    <row r="2322" spans="1:9" x14ac:dyDescent="0.25">
      <c r="A2322" t="s">
        <v>3695</v>
      </c>
      <c r="B2322" t="s">
        <v>3696</v>
      </c>
      <c r="C2322" s="3">
        <v>45947</v>
      </c>
      <c r="D2322">
        <v>28</v>
      </c>
      <c r="E2322" s="3" t="str">
        <f t="shared" si="36"/>
        <v/>
      </c>
      <c r="F2322" s="3" t="str">
        <f>IF(TableRefills3[[#This Row],[prev_refill_days]]="","",TableRefills3[[#This Row],[prev_refill_days]]+TableRefills3[[#This Row],[quantity_days]])</f>
        <v/>
      </c>
      <c r="G2322" t="str">
        <f>IF(TableRefills3[[#This Row],[prev_refill_end]]="","",TableRefills3[[#This Row],[refill_date]]-TableRefills3[[#This Row],[prev_refill_end]])</f>
        <v/>
      </c>
      <c r="H2322" s="10">
        <f>IF(TableRefills3[[#This Row],[gap_days]]="",0,IF(TableRefills3[[#This Row],[gap_days]]&gt;2,1,0))</f>
        <v>0</v>
      </c>
      <c r="I2322">
        <f>_xlfn.MAXIFS(TableRefills3[discountinuation_flag], TableRefills3[patient_id], A2322)</f>
        <v>0</v>
      </c>
    </row>
    <row r="2323" spans="1:9" x14ac:dyDescent="0.25">
      <c r="A2323" t="s">
        <v>3698</v>
      </c>
      <c r="B2323" t="s">
        <v>3699</v>
      </c>
      <c r="C2323" s="3">
        <v>45799</v>
      </c>
      <c r="D2323">
        <v>28</v>
      </c>
      <c r="E2323" s="3" t="str">
        <f t="shared" si="36"/>
        <v/>
      </c>
      <c r="F2323" s="3" t="str">
        <f>IF(TableRefills3[[#This Row],[prev_refill_days]]="","",TableRefills3[[#This Row],[prev_refill_days]]+TableRefills3[[#This Row],[quantity_days]])</f>
        <v/>
      </c>
      <c r="G2323" t="str">
        <f>IF(TableRefills3[[#This Row],[prev_refill_end]]="","",TableRefills3[[#This Row],[refill_date]]-TableRefills3[[#This Row],[prev_refill_end]])</f>
        <v/>
      </c>
      <c r="H2323" s="10">
        <f>IF(TableRefills3[[#This Row],[gap_days]]="",0,IF(TableRefills3[[#This Row],[gap_days]]&gt;2,1,0))</f>
        <v>0</v>
      </c>
      <c r="I2323">
        <f>_xlfn.MAXIFS(TableRefills3[discountinuation_flag], TableRefills3[patient_id], A2323)</f>
        <v>1</v>
      </c>
    </row>
    <row r="2324" spans="1:9" x14ac:dyDescent="0.25">
      <c r="A2324" t="s">
        <v>3698</v>
      </c>
      <c r="B2324" t="s">
        <v>3699</v>
      </c>
      <c r="C2324" s="3">
        <v>45830</v>
      </c>
      <c r="D2324">
        <v>28</v>
      </c>
      <c r="E2324" s="3">
        <f t="shared" si="36"/>
        <v>45799</v>
      </c>
      <c r="F2324" s="3">
        <f>IF(TableRefills3[[#This Row],[prev_refill_days]]="","",TableRefills3[[#This Row],[prev_refill_days]]+TableRefills3[[#This Row],[quantity_days]])</f>
        <v>45827</v>
      </c>
      <c r="G2324">
        <f>IF(TableRefills3[[#This Row],[prev_refill_end]]="","",TableRefills3[[#This Row],[refill_date]]-TableRefills3[[#This Row],[prev_refill_end]])</f>
        <v>3</v>
      </c>
      <c r="H2324" s="10">
        <f>IF(TableRefills3[[#This Row],[gap_days]]="",0,IF(TableRefills3[[#This Row],[gap_days]]&gt;2,1,0))</f>
        <v>1</v>
      </c>
      <c r="I2324">
        <f>_xlfn.MAXIFS(TableRefills3[discountinuation_flag], TableRefills3[patient_id], A2324)</f>
        <v>1</v>
      </c>
    </row>
    <row r="2325" spans="1:9" x14ac:dyDescent="0.25">
      <c r="A2325" t="s">
        <v>3698</v>
      </c>
      <c r="B2325" t="s">
        <v>3699</v>
      </c>
      <c r="C2325" s="3">
        <v>45861</v>
      </c>
      <c r="D2325">
        <v>28</v>
      </c>
      <c r="E2325" s="3">
        <f t="shared" si="36"/>
        <v>45830</v>
      </c>
      <c r="F2325" s="3">
        <f>IF(TableRefills3[[#This Row],[prev_refill_days]]="","",TableRefills3[[#This Row],[prev_refill_days]]+TableRefills3[[#This Row],[quantity_days]])</f>
        <v>45858</v>
      </c>
      <c r="G2325">
        <f>IF(TableRefills3[[#This Row],[prev_refill_end]]="","",TableRefills3[[#This Row],[refill_date]]-TableRefills3[[#This Row],[prev_refill_end]])</f>
        <v>3</v>
      </c>
      <c r="H2325" s="10">
        <f>IF(TableRefills3[[#This Row],[gap_days]]="",0,IF(TableRefills3[[#This Row],[gap_days]]&gt;2,1,0))</f>
        <v>1</v>
      </c>
      <c r="I2325">
        <f>_xlfn.MAXIFS(TableRefills3[discountinuation_flag], TableRefills3[patient_id], A2325)</f>
        <v>1</v>
      </c>
    </row>
    <row r="2326" spans="1:9" x14ac:dyDescent="0.25">
      <c r="A2326" t="s">
        <v>3698</v>
      </c>
      <c r="B2326" t="s">
        <v>3699</v>
      </c>
      <c r="C2326" s="3">
        <v>45892</v>
      </c>
      <c r="D2326">
        <v>28</v>
      </c>
      <c r="E2326" s="3">
        <f t="shared" si="36"/>
        <v>45861</v>
      </c>
      <c r="F2326" s="3">
        <f>IF(TableRefills3[[#This Row],[prev_refill_days]]="","",TableRefills3[[#This Row],[prev_refill_days]]+TableRefills3[[#This Row],[quantity_days]])</f>
        <v>45889</v>
      </c>
      <c r="G2326">
        <f>IF(TableRefills3[[#This Row],[prev_refill_end]]="","",TableRefills3[[#This Row],[refill_date]]-TableRefills3[[#This Row],[prev_refill_end]])</f>
        <v>3</v>
      </c>
      <c r="H2326" s="10">
        <f>IF(TableRefills3[[#This Row],[gap_days]]="",0,IF(TableRefills3[[#This Row],[gap_days]]&gt;2,1,0))</f>
        <v>1</v>
      </c>
      <c r="I2326">
        <f>_xlfn.MAXIFS(TableRefills3[discountinuation_flag], TableRefills3[patient_id], A2326)</f>
        <v>1</v>
      </c>
    </row>
    <row r="2327" spans="1:9" x14ac:dyDescent="0.25">
      <c r="A2327" t="s">
        <v>3698</v>
      </c>
      <c r="B2327" t="s">
        <v>3699</v>
      </c>
      <c r="C2327" s="3">
        <v>45922</v>
      </c>
      <c r="D2327">
        <v>28</v>
      </c>
      <c r="E2327" s="3">
        <f t="shared" si="36"/>
        <v>45892</v>
      </c>
      <c r="F2327" s="3">
        <f>IF(TableRefills3[[#This Row],[prev_refill_days]]="","",TableRefills3[[#This Row],[prev_refill_days]]+TableRefills3[[#This Row],[quantity_days]])</f>
        <v>45920</v>
      </c>
      <c r="G2327">
        <f>IF(TableRefills3[[#This Row],[prev_refill_end]]="","",TableRefills3[[#This Row],[refill_date]]-TableRefills3[[#This Row],[prev_refill_end]])</f>
        <v>2</v>
      </c>
      <c r="H2327" s="10">
        <f>IF(TableRefills3[[#This Row],[gap_days]]="",0,IF(TableRefills3[[#This Row],[gap_days]]&gt;2,1,0))</f>
        <v>0</v>
      </c>
      <c r="I2327">
        <f>_xlfn.MAXIFS(TableRefills3[discountinuation_flag], TableRefills3[patient_id], A2327)</f>
        <v>1</v>
      </c>
    </row>
    <row r="2328" spans="1:9" x14ac:dyDescent="0.25">
      <c r="A2328" t="s">
        <v>3698</v>
      </c>
      <c r="B2328" t="s">
        <v>3699</v>
      </c>
      <c r="C2328" s="3">
        <v>45950</v>
      </c>
      <c r="D2328">
        <v>28</v>
      </c>
      <c r="E2328" s="3">
        <f t="shared" si="36"/>
        <v>45922</v>
      </c>
      <c r="F2328" s="3">
        <f>IF(TableRefills3[[#This Row],[prev_refill_days]]="","",TableRefills3[[#This Row],[prev_refill_days]]+TableRefills3[[#This Row],[quantity_days]])</f>
        <v>45950</v>
      </c>
      <c r="G2328">
        <f>IF(TableRefills3[[#This Row],[prev_refill_end]]="","",TableRefills3[[#This Row],[refill_date]]-TableRefills3[[#This Row],[prev_refill_end]])</f>
        <v>0</v>
      </c>
      <c r="H2328" s="10">
        <f>IF(TableRefills3[[#This Row],[gap_days]]="",0,IF(TableRefills3[[#This Row],[gap_days]]&gt;2,1,0))</f>
        <v>0</v>
      </c>
      <c r="I2328">
        <f>_xlfn.MAXIFS(TableRefills3[discountinuation_flag], TableRefills3[patient_id], A2328)</f>
        <v>1</v>
      </c>
    </row>
    <row r="2329" spans="1:9" x14ac:dyDescent="0.25">
      <c r="A2329" t="s">
        <v>3706</v>
      </c>
      <c r="B2329" t="s">
        <v>3707</v>
      </c>
      <c r="C2329" s="3">
        <v>45936</v>
      </c>
      <c r="D2329">
        <v>28</v>
      </c>
      <c r="E2329" s="3" t="str">
        <f t="shared" si="36"/>
        <v/>
      </c>
      <c r="F2329" s="3" t="str">
        <f>IF(TableRefills3[[#This Row],[prev_refill_days]]="","",TableRefills3[[#This Row],[prev_refill_days]]+TableRefills3[[#This Row],[quantity_days]])</f>
        <v/>
      </c>
      <c r="G2329" t="str">
        <f>IF(TableRefills3[[#This Row],[prev_refill_end]]="","",TableRefills3[[#This Row],[refill_date]]-TableRefills3[[#This Row],[prev_refill_end]])</f>
        <v/>
      </c>
      <c r="H2329" s="10">
        <f>IF(TableRefills3[[#This Row],[gap_days]]="",0,IF(TableRefills3[[#This Row],[gap_days]]&gt;2,1,0))</f>
        <v>0</v>
      </c>
      <c r="I2329">
        <f>_xlfn.MAXIFS(TableRefills3[discountinuation_flag], TableRefills3[patient_id], A2329)</f>
        <v>0</v>
      </c>
    </row>
    <row r="2330" spans="1:9" x14ac:dyDescent="0.25">
      <c r="A2330" t="s">
        <v>3709</v>
      </c>
      <c r="B2330" t="s">
        <v>3710</v>
      </c>
      <c r="C2330" s="3">
        <v>45841</v>
      </c>
      <c r="D2330">
        <v>21</v>
      </c>
      <c r="E2330" s="3" t="str">
        <f t="shared" si="36"/>
        <v/>
      </c>
      <c r="F2330" s="3" t="str">
        <f>IF(TableRefills3[[#This Row],[prev_refill_days]]="","",TableRefills3[[#This Row],[prev_refill_days]]+TableRefills3[[#This Row],[quantity_days]])</f>
        <v/>
      </c>
      <c r="G2330" t="str">
        <f>IF(TableRefills3[[#This Row],[prev_refill_end]]="","",TableRefills3[[#This Row],[refill_date]]-TableRefills3[[#This Row],[prev_refill_end]])</f>
        <v/>
      </c>
      <c r="H2330" s="10">
        <f>IF(TableRefills3[[#This Row],[gap_days]]="",0,IF(TableRefills3[[#This Row],[gap_days]]&gt;2,1,0))</f>
        <v>0</v>
      </c>
      <c r="I2330">
        <f>_xlfn.MAXIFS(TableRefills3[discountinuation_flag], TableRefills3[patient_id], A2330)</f>
        <v>0</v>
      </c>
    </row>
    <row r="2331" spans="1:9" x14ac:dyDescent="0.25">
      <c r="A2331" t="s">
        <v>3709</v>
      </c>
      <c r="B2331" t="s">
        <v>3710</v>
      </c>
      <c r="C2331" s="3">
        <v>45862</v>
      </c>
      <c r="D2331">
        <v>21</v>
      </c>
      <c r="E2331" s="3">
        <f t="shared" si="36"/>
        <v>45841</v>
      </c>
      <c r="F2331" s="3">
        <f>IF(TableRefills3[[#This Row],[prev_refill_days]]="","",TableRefills3[[#This Row],[prev_refill_days]]+TableRefills3[[#This Row],[quantity_days]])</f>
        <v>45862</v>
      </c>
      <c r="G2331">
        <f>IF(TableRefills3[[#This Row],[prev_refill_end]]="","",TableRefills3[[#This Row],[refill_date]]-TableRefills3[[#This Row],[prev_refill_end]])</f>
        <v>0</v>
      </c>
      <c r="H2331" s="10">
        <f>IF(TableRefills3[[#This Row],[gap_days]]="",0,IF(TableRefills3[[#This Row],[gap_days]]&gt;2,1,0))</f>
        <v>0</v>
      </c>
      <c r="I2331">
        <f>_xlfn.MAXIFS(TableRefills3[discountinuation_flag], TableRefills3[patient_id], A2331)</f>
        <v>0</v>
      </c>
    </row>
    <row r="2332" spans="1:9" x14ac:dyDescent="0.25">
      <c r="A2332" t="s">
        <v>3709</v>
      </c>
      <c r="B2332" t="s">
        <v>3710</v>
      </c>
      <c r="C2332" s="3">
        <v>45881</v>
      </c>
      <c r="D2332">
        <v>21</v>
      </c>
      <c r="E2332" s="3">
        <f t="shared" si="36"/>
        <v>45862</v>
      </c>
      <c r="F2332" s="3">
        <f>IF(TableRefills3[[#This Row],[prev_refill_days]]="","",TableRefills3[[#This Row],[prev_refill_days]]+TableRefills3[[#This Row],[quantity_days]])</f>
        <v>45883</v>
      </c>
      <c r="G2332">
        <f>IF(TableRefills3[[#This Row],[prev_refill_end]]="","",TableRefills3[[#This Row],[refill_date]]-TableRefills3[[#This Row],[prev_refill_end]])</f>
        <v>-2</v>
      </c>
      <c r="H2332" s="10">
        <f>IF(TableRefills3[[#This Row],[gap_days]]="",0,IF(TableRefills3[[#This Row],[gap_days]]&gt;2,1,0))</f>
        <v>0</v>
      </c>
      <c r="I2332">
        <f>_xlfn.MAXIFS(TableRefills3[discountinuation_flag], TableRefills3[patient_id], A2332)</f>
        <v>0</v>
      </c>
    </row>
    <row r="2333" spans="1:9" x14ac:dyDescent="0.25">
      <c r="A2333" t="s">
        <v>3709</v>
      </c>
      <c r="B2333" t="s">
        <v>3710</v>
      </c>
      <c r="C2333" s="3">
        <v>45901</v>
      </c>
      <c r="D2333">
        <v>21</v>
      </c>
      <c r="E2333" s="3">
        <f t="shared" si="36"/>
        <v>45881</v>
      </c>
      <c r="F2333" s="3">
        <f>IF(TableRefills3[[#This Row],[prev_refill_days]]="","",TableRefills3[[#This Row],[prev_refill_days]]+TableRefills3[[#This Row],[quantity_days]])</f>
        <v>45902</v>
      </c>
      <c r="G2333">
        <f>IF(TableRefills3[[#This Row],[prev_refill_end]]="","",TableRefills3[[#This Row],[refill_date]]-TableRefills3[[#This Row],[prev_refill_end]])</f>
        <v>-1</v>
      </c>
      <c r="H2333" s="10">
        <f>IF(TableRefills3[[#This Row],[gap_days]]="",0,IF(TableRefills3[[#This Row],[gap_days]]&gt;2,1,0))</f>
        <v>0</v>
      </c>
      <c r="I2333">
        <f>_xlfn.MAXIFS(TableRefills3[discountinuation_flag], TableRefills3[patient_id], A2333)</f>
        <v>0</v>
      </c>
    </row>
    <row r="2334" spans="1:9" x14ac:dyDescent="0.25">
      <c r="A2334" t="s">
        <v>3709</v>
      </c>
      <c r="B2334" t="s">
        <v>3710</v>
      </c>
      <c r="C2334" s="3">
        <v>45923</v>
      </c>
      <c r="D2334">
        <v>21</v>
      </c>
      <c r="E2334" s="3">
        <f t="shared" si="36"/>
        <v>45901</v>
      </c>
      <c r="F2334" s="3">
        <f>IF(TableRefills3[[#This Row],[prev_refill_days]]="","",TableRefills3[[#This Row],[prev_refill_days]]+TableRefills3[[#This Row],[quantity_days]])</f>
        <v>45922</v>
      </c>
      <c r="G2334">
        <f>IF(TableRefills3[[#This Row],[prev_refill_end]]="","",TableRefills3[[#This Row],[refill_date]]-TableRefills3[[#This Row],[prev_refill_end]])</f>
        <v>1</v>
      </c>
      <c r="H2334" s="10">
        <f>IF(TableRefills3[[#This Row],[gap_days]]="",0,IF(TableRefills3[[#This Row],[gap_days]]&gt;2,1,0))</f>
        <v>0</v>
      </c>
      <c r="I2334">
        <f>_xlfn.MAXIFS(TableRefills3[discountinuation_flag], TableRefills3[patient_id], A2334)</f>
        <v>0</v>
      </c>
    </row>
    <row r="2335" spans="1:9" x14ac:dyDescent="0.25">
      <c r="A2335" t="s">
        <v>3709</v>
      </c>
      <c r="B2335" t="s">
        <v>3710</v>
      </c>
      <c r="C2335" s="3">
        <v>45946</v>
      </c>
      <c r="D2335">
        <v>21</v>
      </c>
      <c r="E2335" s="3">
        <f t="shared" si="36"/>
        <v>45923</v>
      </c>
      <c r="F2335" s="3">
        <f>IF(TableRefills3[[#This Row],[prev_refill_days]]="","",TableRefills3[[#This Row],[prev_refill_days]]+TableRefills3[[#This Row],[quantity_days]])</f>
        <v>45944</v>
      </c>
      <c r="G2335">
        <f>IF(TableRefills3[[#This Row],[prev_refill_end]]="","",TableRefills3[[#This Row],[refill_date]]-TableRefills3[[#This Row],[prev_refill_end]])</f>
        <v>2</v>
      </c>
      <c r="H2335" s="10">
        <f>IF(TableRefills3[[#This Row],[gap_days]]="",0,IF(TableRefills3[[#This Row],[gap_days]]&gt;2,1,0))</f>
        <v>0</v>
      </c>
      <c r="I2335">
        <f>_xlfn.MAXIFS(TableRefills3[discountinuation_flag], TableRefills3[patient_id], A2335)</f>
        <v>0</v>
      </c>
    </row>
    <row r="2336" spans="1:9" x14ac:dyDescent="0.25">
      <c r="A2336" t="s">
        <v>3717</v>
      </c>
      <c r="B2336" t="s">
        <v>3718</v>
      </c>
      <c r="C2336" s="3">
        <v>45796</v>
      </c>
      <c r="D2336">
        <v>28</v>
      </c>
      <c r="E2336" s="3" t="str">
        <f t="shared" si="36"/>
        <v/>
      </c>
      <c r="F2336" s="3" t="str">
        <f>IF(TableRefills3[[#This Row],[prev_refill_days]]="","",TableRefills3[[#This Row],[prev_refill_days]]+TableRefills3[[#This Row],[quantity_days]])</f>
        <v/>
      </c>
      <c r="G2336" t="str">
        <f>IF(TableRefills3[[#This Row],[prev_refill_end]]="","",TableRefills3[[#This Row],[refill_date]]-TableRefills3[[#This Row],[prev_refill_end]])</f>
        <v/>
      </c>
      <c r="H2336" s="10">
        <f>IF(TableRefills3[[#This Row],[gap_days]]="",0,IF(TableRefills3[[#This Row],[gap_days]]&gt;2,1,0))</f>
        <v>0</v>
      </c>
      <c r="I2336">
        <f>_xlfn.MAXIFS(TableRefills3[discountinuation_flag], TableRefills3[patient_id], A2336)</f>
        <v>0</v>
      </c>
    </row>
    <row r="2337" spans="1:9" x14ac:dyDescent="0.25">
      <c r="A2337" t="s">
        <v>3717</v>
      </c>
      <c r="B2337" t="s">
        <v>3718</v>
      </c>
      <c r="C2337" s="3">
        <v>45823</v>
      </c>
      <c r="D2337">
        <v>28</v>
      </c>
      <c r="E2337" s="3">
        <f t="shared" si="36"/>
        <v>45796</v>
      </c>
      <c r="F2337" s="3">
        <f>IF(TableRefills3[[#This Row],[prev_refill_days]]="","",TableRefills3[[#This Row],[prev_refill_days]]+TableRefills3[[#This Row],[quantity_days]])</f>
        <v>45824</v>
      </c>
      <c r="G2337">
        <f>IF(TableRefills3[[#This Row],[prev_refill_end]]="","",TableRefills3[[#This Row],[refill_date]]-TableRefills3[[#This Row],[prev_refill_end]])</f>
        <v>-1</v>
      </c>
      <c r="H2337" s="10">
        <f>IF(TableRefills3[[#This Row],[gap_days]]="",0,IF(TableRefills3[[#This Row],[gap_days]]&gt;2,1,0))</f>
        <v>0</v>
      </c>
      <c r="I2337">
        <f>_xlfn.MAXIFS(TableRefills3[discountinuation_flag], TableRefills3[patient_id], A2337)</f>
        <v>0</v>
      </c>
    </row>
    <row r="2338" spans="1:9" x14ac:dyDescent="0.25">
      <c r="A2338" t="s">
        <v>3717</v>
      </c>
      <c r="B2338" t="s">
        <v>3718</v>
      </c>
      <c r="C2338" s="3">
        <v>45852</v>
      </c>
      <c r="D2338">
        <v>28</v>
      </c>
      <c r="E2338" s="3">
        <f t="shared" si="36"/>
        <v>45823</v>
      </c>
      <c r="F2338" s="3">
        <f>IF(TableRefills3[[#This Row],[prev_refill_days]]="","",TableRefills3[[#This Row],[prev_refill_days]]+TableRefills3[[#This Row],[quantity_days]])</f>
        <v>45851</v>
      </c>
      <c r="G2338">
        <f>IF(TableRefills3[[#This Row],[prev_refill_end]]="","",TableRefills3[[#This Row],[refill_date]]-TableRefills3[[#This Row],[prev_refill_end]])</f>
        <v>1</v>
      </c>
      <c r="H2338" s="10">
        <f>IF(TableRefills3[[#This Row],[gap_days]]="",0,IF(TableRefills3[[#This Row],[gap_days]]&gt;2,1,0))</f>
        <v>0</v>
      </c>
      <c r="I2338">
        <f>_xlfn.MAXIFS(TableRefills3[discountinuation_flag], TableRefills3[patient_id], A2338)</f>
        <v>0</v>
      </c>
    </row>
    <row r="2339" spans="1:9" x14ac:dyDescent="0.25">
      <c r="A2339" t="s">
        <v>3717</v>
      </c>
      <c r="B2339" t="s">
        <v>3718</v>
      </c>
      <c r="C2339" s="3">
        <v>45881</v>
      </c>
      <c r="D2339">
        <v>28</v>
      </c>
      <c r="E2339" s="3">
        <f t="shared" si="36"/>
        <v>45852</v>
      </c>
      <c r="F2339" s="3">
        <f>IF(TableRefills3[[#This Row],[prev_refill_days]]="","",TableRefills3[[#This Row],[prev_refill_days]]+TableRefills3[[#This Row],[quantity_days]])</f>
        <v>45880</v>
      </c>
      <c r="G2339">
        <f>IF(TableRefills3[[#This Row],[prev_refill_end]]="","",TableRefills3[[#This Row],[refill_date]]-TableRefills3[[#This Row],[prev_refill_end]])</f>
        <v>1</v>
      </c>
      <c r="H2339" s="10">
        <f>IF(TableRefills3[[#This Row],[gap_days]]="",0,IF(TableRefills3[[#This Row],[gap_days]]&gt;2,1,0))</f>
        <v>0</v>
      </c>
      <c r="I2339">
        <f>_xlfn.MAXIFS(TableRefills3[discountinuation_flag], TableRefills3[patient_id], A2339)</f>
        <v>0</v>
      </c>
    </row>
    <row r="2340" spans="1:9" x14ac:dyDescent="0.25">
      <c r="A2340" t="s">
        <v>3717</v>
      </c>
      <c r="B2340" t="s">
        <v>3718</v>
      </c>
      <c r="C2340" s="3">
        <v>45909</v>
      </c>
      <c r="D2340">
        <v>28</v>
      </c>
      <c r="E2340" s="3">
        <f t="shared" si="36"/>
        <v>45881</v>
      </c>
      <c r="F2340" s="3">
        <f>IF(TableRefills3[[#This Row],[prev_refill_days]]="","",TableRefills3[[#This Row],[prev_refill_days]]+TableRefills3[[#This Row],[quantity_days]])</f>
        <v>45909</v>
      </c>
      <c r="G2340">
        <f>IF(TableRefills3[[#This Row],[prev_refill_end]]="","",TableRefills3[[#This Row],[refill_date]]-TableRefills3[[#This Row],[prev_refill_end]])</f>
        <v>0</v>
      </c>
      <c r="H2340" s="10">
        <f>IF(TableRefills3[[#This Row],[gap_days]]="",0,IF(TableRefills3[[#This Row],[gap_days]]&gt;2,1,0))</f>
        <v>0</v>
      </c>
      <c r="I2340">
        <f>_xlfn.MAXIFS(TableRefills3[discountinuation_flag], TableRefills3[patient_id], A2340)</f>
        <v>0</v>
      </c>
    </row>
    <row r="2341" spans="1:9" x14ac:dyDescent="0.25">
      <c r="A2341" t="s">
        <v>3717</v>
      </c>
      <c r="B2341" t="s">
        <v>3718</v>
      </c>
      <c r="C2341" s="3">
        <v>45935</v>
      </c>
      <c r="D2341">
        <v>28</v>
      </c>
      <c r="E2341" s="3">
        <f t="shared" si="36"/>
        <v>45909</v>
      </c>
      <c r="F2341" s="3">
        <f>IF(TableRefills3[[#This Row],[prev_refill_days]]="","",TableRefills3[[#This Row],[prev_refill_days]]+TableRefills3[[#This Row],[quantity_days]])</f>
        <v>45937</v>
      </c>
      <c r="G2341">
        <f>IF(TableRefills3[[#This Row],[prev_refill_end]]="","",TableRefills3[[#This Row],[refill_date]]-TableRefills3[[#This Row],[prev_refill_end]])</f>
        <v>-2</v>
      </c>
      <c r="H2341" s="10">
        <f>IF(TableRefills3[[#This Row],[gap_days]]="",0,IF(TableRefills3[[#This Row],[gap_days]]&gt;2,1,0))</f>
        <v>0</v>
      </c>
      <c r="I2341">
        <f>_xlfn.MAXIFS(TableRefills3[discountinuation_flag], TableRefills3[patient_id], A2341)</f>
        <v>0</v>
      </c>
    </row>
    <row r="2342" spans="1:9" x14ac:dyDescent="0.25">
      <c r="A2342" t="s">
        <v>3725</v>
      </c>
      <c r="B2342" t="s">
        <v>3726</v>
      </c>
      <c r="C2342" s="3">
        <v>45846</v>
      </c>
      <c r="D2342">
        <v>28</v>
      </c>
      <c r="E2342" s="3" t="str">
        <f t="shared" si="36"/>
        <v/>
      </c>
      <c r="F2342" s="3" t="str">
        <f>IF(TableRefills3[[#This Row],[prev_refill_days]]="","",TableRefills3[[#This Row],[prev_refill_days]]+TableRefills3[[#This Row],[quantity_days]])</f>
        <v/>
      </c>
      <c r="G2342" t="str">
        <f>IF(TableRefills3[[#This Row],[prev_refill_end]]="","",TableRefills3[[#This Row],[refill_date]]-TableRefills3[[#This Row],[prev_refill_end]])</f>
        <v/>
      </c>
      <c r="H2342" s="10">
        <f>IF(TableRefills3[[#This Row],[gap_days]]="",0,IF(TableRefills3[[#This Row],[gap_days]]&gt;2,1,0))</f>
        <v>0</v>
      </c>
      <c r="I2342">
        <f>_xlfn.MAXIFS(TableRefills3[discountinuation_flag], TableRefills3[patient_id], A2342)</f>
        <v>0</v>
      </c>
    </row>
    <row r="2343" spans="1:9" x14ac:dyDescent="0.25">
      <c r="A2343" t="s">
        <v>3725</v>
      </c>
      <c r="B2343" t="s">
        <v>3726</v>
      </c>
      <c r="C2343" s="3">
        <v>45873</v>
      </c>
      <c r="D2343">
        <v>28</v>
      </c>
      <c r="E2343" s="3">
        <f t="shared" si="36"/>
        <v>45846</v>
      </c>
      <c r="F2343" s="3">
        <f>IF(TableRefills3[[#This Row],[prev_refill_days]]="","",TableRefills3[[#This Row],[prev_refill_days]]+TableRefills3[[#This Row],[quantity_days]])</f>
        <v>45874</v>
      </c>
      <c r="G2343">
        <f>IF(TableRefills3[[#This Row],[prev_refill_end]]="","",TableRefills3[[#This Row],[refill_date]]-TableRefills3[[#This Row],[prev_refill_end]])</f>
        <v>-1</v>
      </c>
      <c r="H2343" s="10">
        <f>IF(TableRefills3[[#This Row],[gap_days]]="",0,IF(TableRefills3[[#This Row],[gap_days]]&gt;2,1,0))</f>
        <v>0</v>
      </c>
      <c r="I2343">
        <f>_xlfn.MAXIFS(TableRefills3[discountinuation_flag], TableRefills3[patient_id], A2343)</f>
        <v>0</v>
      </c>
    </row>
    <row r="2344" spans="1:9" x14ac:dyDescent="0.25">
      <c r="A2344" t="s">
        <v>3725</v>
      </c>
      <c r="B2344" t="s">
        <v>3726</v>
      </c>
      <c r="C2344" s="3">
        <v>45902</v>
      </c>
      <c r="D2344">
        <v>28</v>
      </c>
      <c r="E2344" s="3">
        <f t="shared" si="36"/>
        <v>45873</v>
      </c>
      <c r="F2344" s="3">
        <f>IF(TableRefills3[[#This Row],[prev_refill_days]]="","",TableRefills3[[#This Row],[prev_refill_days]]+TableRefills3[[#This Row],[quantity_days]])</f>
        <v>45901</v>
      </c>
      <c r="G2344">
        <f>IF(TableRefills3[[#This Row],[prev_refill_end]]="","",TableRefills3[[#This Row],[refill_date]]-TableRefills3[[#This Row],[prev_refill_end]])</f>
        <v>1</v>
      </c>
      <c r="H2344" s="10">
        <f>IF(TableRefills3[[#This Row],[gap_days]]="",0,IF(TableRefills3[[#This Row],[gap_days]]&gt;2,1,0))</f>
        <v>0</v>
      </c>
      <c r="I2344">
        <f>_xlfn.MAXIFS(TableRefills3[discountinuation_flag], TableRefills3[patient_id], A2344)</f>
        <v>0</v>
      </c>
    </row>
    <row r="2345" spans="1:9" x14ac:dyDescent="0.25">
      <c r="A2345" t="s">
        <v>3725</v>
      </c>
      <c r="B2345" t="s">
        <v>3726</v>
      </c>
      <c r="C2345" s="3">
        <v>45927</v>
      </c>
      <c r="D2345">
        <v>28</v>
      </c>
      <c r="E2345" s="3">
        <f t="shared" si="36"/>
        <v>45902</v>
      </c>
      <c r="F2345" s="3">
        <f>IF(TableRefills3[[#This Row],[prev_refill_days]]="","",TableRefills3[[#This Row],[prev_refill_days]]+TableRefills3[[#This Row],[quantity_days]])</f>
        <v>45930</v>
      </c>
      <c r="G2345">
        <f>IF(TableRefills3[[#This Row],[prev_refill_end]]="","",TableRefills3[[#This Row],[refill_date]]-TableRefills3[[#This Row],[prev_refill_end]])</f>
        <v>-3</v>
      </c>
      <c r="H2345" s="10">
        <f>IF(TableRefills3[[#This Row],[gap_days]]="",0,IF(TableRefills3[[#This Row],[gap_days]]&gt;2,1,0))</f>
        <v>0</v>
      </c>
      <c r="I2345">
        <f>_xlfn.MAXIFS(TableRefills3[discountinuation_flag], TableRefills3[patient_id], A2345)</f>
        <v>0</v>
      </c>
    </row>
    <row r="2346" spans="1:9" x14ac:dyDescent="0.25">
      <c r="A2346" t="s">
        <v>3725</v>
      </c>
      <c r="B2346" t="s">
        <v>3726</v>
      </c>
      <c r="C2346" s="3">
        <v>45956</v>
      </c>
      <c r="D2346">
        <v>28</v>
      </c>
      <c r="E2346" s="3">
        <f t="shared" si="36"/>
        <v>45927</v>
      </c>
      <c r="F2346" s="3">
        <f>IF(TableRefills3[[#This Row],[prev_refill_days]]="","",TableRefills3[[#This Row],[prev_refill_days]]+TableRefills3[[#This Row],[quantity_days]])</f>
        <v>45955</v>
      </c>
      <c r="G2346">
        <f>IF(TableRefills3[[#This Row],[prev_refill_end]]="","",TableRefills3[[#This Row],[refill_date]]-TableRefills3[[#This Row],[prev_refill_end]])</f>
        <v>1</v>
      </c>
      <c r="H2346" s="10">
        <f>IF(TableRefills3[[#This Row],[gap_days]]="",0,IF(TableRefills3[[#This Row],[gap_days]]&gt;2,1,0))</f>
        <v>0</v>
      </c>
      <c r="I2346">
        <f>_xlfn.MAXIFS(TableRefills3[discountinuation_flag], TableRefills3[patient_id], A2346)</f>
        <v>0</v>
      </c>
    </row>
    <row r="2347" spans="1:9" x14ac:dyDescent="0.25">
      <c r="A2347" t="s">
        <v>3732</v>
      </c>
      <c r="B2347" t="s">
        <v>3733</v>
      </c>
      <c r="C2347" s="3">
        <v>45875</v>
      </c>
      <c r="D2347">
        <v>28</v>
      </c>
      <c r="E2347" s="3" t="str">
        <f t="shared" si="36"/>
        <v/>
      </c>
      <c r="F2347" s="3" t="str">
        <f>IF(TableRefills3[[#This Row],[prev_refill_days]]="","",TableRefills3[[#This Row],[prev_refill_days]]+TableRefills3[[#This Row],[quantity_days]])</f>
        <v/>
      </c>
      <c r="G2347" t="str">
        <f>IF(TableRefills3[[#This Row],[prev_refill_end]]="","",TableRefills3[[#This Row],[refill_date]]-TableRefills3[[#This Row],[prev_refill_end]])</f>
        <v/>
      </c>
      <c r="H2347" s="10">
        <f>IF(TableRefills3[[#This Row],[gap_days]]="",0,IF(TableRefills3[[#This Row],[gap_days]]&gt;2,1,0))</f>
        <v>0</v>
      </c>
      <c r="I2347">
        <f>_xlfn.MAXIFS(TableRefills3[discountinuation_flag], TableRefills3[patient_id], A2347)</f>
        <v>1</v>
      </c>
    </row>
    <row r="2348" spans="1:9" x14ac:dyDescent="0.25">
      <c r="A2348" t="s">
        <v>3732</v>
      </c>
      <c r="B2348" t="s">
        <v>3733</v>
      </c>
      <c r="C2348" s="3">
        <v>45906</v>
      </c>
      <c r="D2348">
        <v>28</v>
      </c>
      <c r="E2348" s="3">
        <f t="shared" si="36"/>
        <v>45875</v>
      </c>
      <c r="F2348" s="3">
        <f>IF(TableRefills3[[#This Row],[prev_refill_days]]="","",TableRefills3[[#This Row],[prev_refill_days]]+TableRefills3[[#This Row],[quantity_days]])</f>
        <v>45903</v>
      </c>
      <c r="G2348">
        <f>IF(TableRefills3[[#This Row],[prev_refill_end]]="","",TableRefills3[[#This Row],[refill_date]]-TableRefills3[[#This Row],[prev_refill_end]])</f>
        <v>3</v>
      </c>
      <c r="H2348" s="10">
        <f>IF(TableRefills3[[#This Row],[gap_days]]="",0,IF(TableRefills3[[#This Row],[gap_days]]&gt;2,1,0))</f>
        <v>1</v>
      </c>
      <c r="I2348">
        <f>_xlfn.MAXIFS(TableRefills3[discountinuation_flag], TableRefills3[patient_id], A2348)</f>
        <v>1</v>
      </c>
    </row>
    <row r="2349" spans="1:9" x14ac:dyDescent="0.25">
      <c r="A2349" t="s">
        <v>3732</v>
      </c>
      <c r="B2349" t="s">
        <v>3733</v>
      </c>
      <c r="C2349" s="3">
        <v>45937</v>
      </c>
      <c r="D2349">
        <v>28</v>
      </c>
      <c r="E2349" s="3">
        <f t="shared" si="36"/>
        <v>45906</v>
      </c>
      <c r="F2349" s="3">
        <f>IF(TableRefills3[[#This Row],[prev_refill_days]]="","",TableRefills3[[#This Row],[prev_refill_days]]+TableRefills3[[#This Row],[quantity_days]])</f>
        <v>45934</v>
      </c>
      <c r="G2349">
        <f>IF(TableRefills3[[#This Row],[prev_refill_end]]="","",TableRefills3[[#This Row],[refill_date]]-TableRefills3[[#This Row],[prev_refill_end]])</f>
        <v>3</v>
      </c>
      <c r="H2349" s="10">
        <f>IF(TableRefills3[[#This Row],[gap_days]]="",0,IF(TableRefills3[[#This Row],[gap_days]]&gt;2,1,0))</f>
        <v>1</v>
      </c>
      <c r="I2349">
        <f>_xlfn.MAXIFS(TableRefills3[discountinuation_flag], TableRefills3[patient_id], A2349)</f>
        <v>1</v>
      </c>
    </row>
    <row r="2350" spans="1:9" x14ac:dyDescent="0.25">
      <c r="A2350" t="s">
        <v>3737</v>
      </c>
      <c r="B2350" t="s">
        <v>3738</v>
      </c>
      <c r="C2350" s="3">
        <v>45940</v>
      </c>
      <c r="D2350">
        <v>28</v>
      </c>
      <c r="E2350" s="3" t="str">
        <f t="shared" si="36"/>
        <v/>
      </c>
      <c r="F2350" s="3" t="str">
        <f>IF(TableRefills3[[#This Row],[prev_refill_days]]="","",TableRefills3[[#This Row],[prev_refill_days]]+TableRefills3[[#This Row],[quantity_days]])</f>
        <v/>
      </c>
      <c r="G2350" t="str">
        <f>IF(TableRefills3[[#This Row],[prev_refill_end]]="","",TableRefills3[[#This Row],[refill_date]]-TableRefills3[[#This Row],[prev_refill_end]])</f>
        <v/>
      </c>
      <c r="H2350" s="10">
        <f>IF(TableRefills3[[#This Row],[gap_days]]="",0,IF(TableRefills3[[#This Row],[gap_days]]&gt;2,1,0))</f>
        <v>0</v>
      </c>
      <c r="I2350">
        <f>_xlfn.MAXIFS(TableRefills3[discountinuation_flag], TableRefills3[patient_id], A2350)</f>
        <v>0</v>
      </c>
    </row>
    <row r="2351" spans="1:9" x14ac:dyDescent="0.25">
      <c r="A2351" t="s">
        <v>3740</v>
      </c>
      <c r="B2351" t="s">
        <v>3741</v>
      </c>
      <c r="C2351" s="3">
        <v>45877</v>
      </c>
      <c r="D2351">
        <v>21</v>
      </c>
      <c r="E2351" s="3" t="str">
        <f t="shared" si="36"/>
        <v/>
      </c>
      <c r="F2351" s="3" t="str">
        <f>IF(TableRefills3[[#This Row],[prev_refill_days]]="","",TableRefills3[[#This Row],[prev_refill_days]]+TableRefills3[[#This Row],[quantity_days]])</f>
        <v/>
      </c>
      <c r="G2351" t="str">
        <f>IF(TableRefills3[[#This Row],[prev_refill_end]]="","",TableRefills3[[#This Row],[refill_date]]-TableRefills3[[#This Row],[prev_refill_end]])</f>
        <v/>
      </c>
      <c r="H2351" s="10">
        <f>IF(TableRefills3[[#This Row],[gap_days]]="",0,IF(TableRefills3[[#This Row],[gap_days]]&gt;2,1,0))</f>
        <v>0</v>
      </c>
      <c r="I2351">
        <f>_xlfn.MAXIFS(TableRefills3[discountinuation_flag], TableRefills3[patient_id], A2351)</f>
        <v>0</v>
      </c>
    </row>
    <row r="2352" spans="1:9" x14ac:dyDescent="0.25">
      <c r="A2352" t="s">
        <v>3740</v>
      </c>
      <c r="B2352" t="s">
        <v>3741</v>
      </c>
      <c r="C2352" s="3">
        <v>45898</v>
      </c>
      <c r="D2352">
        <v>21</v>
      </c>
      <c r="E2352" s="3">
        <f t="shared" si="36"/>
        <v>45877</v>
      </c>
      <c r="F2352" s="3">
        <f>IF(TableRefills3[[#This Row],[prev_refill_days]]="","",TableRefills3[[#This Row],[prev_refill_days]]+TableRefills3[[#This Row],[quantity_days]])</f>
        <v>45898</v>
      </c>
      <c r="G2352">
        <f>IF(TableRefills3[[#This Row],[prev_refill_end]]="","",TableRefills3[[#This Row],[refill_date]]-TableRefills3[[#This Row],[prev_refill_end]])</f>
        <v>0</v>
      </c>
      <c r="H2352" s="10">
        <f>IF(TableRefills3[[#This Row],[gap_days]]="",0,IF(TableRefills3[[#This Row],[gap_days]]&gt;2,1,0))</f>
        <v>0</v>
      </c>
      <c r="I2352">
        <f>_xlfn.MAXIFS(TableRefills3[discountinuation_flag], TableRefills3[patient_id], A2352)</f>
        <v>0</v>
      </c>
    </row>
    <row r="2353" spans="1:9" x14ac:dyDescent="0.25">
      <c r="A2353" t="s">
        <v>3740</v>
      </c>
      <c r="B2353" t="s">
        <v>3741</v>
      </c>
      <c r="C2353" s="3">
        <v>45918</v>
      </c>
      <c r="D2353">
        <v>21</v>
      </c>
      <c r="E2353" s="3">
        <f t="shared" si="36"/>
        <v>45898</v>
      </c>
      <c r="F2353" s="3">
        <f>IF(TableRefills3[[#This Row],[prev_refill_days]]="","",TableRefills3[[#This Row],[prev_refill_days]]+TableRefills3[[#This Row],[quantity_days]])</f>
        <v>45919</v>
      </c>
      <c r="G2353">
        <f>IF(TableRefills3[[#This Row],[prev_refill_end]]="","",TableRefills3[[#This Row],[refill_date]]-TableRefills3[[#This Row],[prev_refill_end]])</f>
        <v>-1</v>
      </c>
      <c r="H2353" s="10">
        <f>IF(TableRefills3[[#This Row],[gap_days]]="",0,IF(TableRefills3[[#This Row],[gap_days]]&gt;2,1,0))</f>
        <v>0</v>
      </c>
      <c r="I2353">
        <f>_xlfn.MAXIFS(TableRefills3[discountinuation_flag], TableRefills3[patient_id], A2353)</f>
        <v>0</v>
      </c>
    </row>
    <row r="2354" spans="1:9" x14ac:dyDescent="0.25">
      <c r="A2354" t="s">
        <v>3740</v>
      </c>
      <c r="B2354" t="s">
        <v>3741</v>
      </c>
      <c r="C2354" s="3">
        <v>45939</v>
      </c>
      <c r="D2354">
        <v>21</v>
      </c>
      <c r="E2354" s="3">
        <f t="shared" si="36"/>
        <v>45918</v>
      </c>
      <c r="F2354" s="3">
        <f>IF(TableRefills3[[#This Row],[prev_refill_days]]="","",TableRefills3[[#This Row],[prev_refill_days]]+TableRefills3[[#This Row],[quantity_days]])</f>
        <v>45939</v>
      </c>
      <c r="G2354">
        <f>IF(TableRefills3[[#This Row],[prev_refill_end]]="","",TableRefills3[[#This Row],[refill_date]]-TableRefills3[[#This Row],[prev_refill_end]])</f>
        <v>0</v>
      </c>
      <c r="H2354" s="10">
        <f>IF(TableRefills3[[#This Row],[gap_days]]="",0,IF(TableRefills3[[#This Row],[gap_days]]&gt;2,1,0))</f>
        <v>0</v>
      </c>
      <c r="I2354">
        <f>_xlfn.MAXIFS(TableRefills3[discountinuation_flag], TableRefills3[patient_id], A2354)</f>
        <v>0</v>
      </c>
    </row>
    <row r="2355" spans="1:9" x14ac:dyDescent="0.25">
      <c r="A2355" t="s">
        <v>3740</v>
      </c>
      <c r="B2355" t="s">
        <v>3741</v>
      </c>
      <c r="C2355" s="3">
        <v>45960</v>
      </c>
      <c r="D2355">
        <v>21</v>
      </c>
      <c r="E2355" s="3">
        <f t="shared" si="36"/>
        <v>45939</v>
      </c>
      <c r="F2355" s="3">
        <f>IF(TableRefills3[[#This Row],[prev_refill_days]]="","",TableRefills3[[#This Row],[prev_refill_days]]+TableRefills3[[#This Row],[quantity_days]])</f>
        <v>45960</v>
      </c>
      <c r="G2355">
        <f>IF(TableRefills3[[#This Row],[prev_refill_end]]="","",TableRefills3[[#This Row],[refill_date]]-TableRefills3[[#This Row],[prev_refill_end]])</f>
        <v>0</v>
      </c>
      <c r="H2355" s="10">
        <f>IF(TableRefills3[[#This Row],[gap_days]]="",0,IF(TableRefills3[[#This Row],[gap_days]]&gt;2,1,0))</f>
        <v>0</v>
      </c>
      <c r="I2355">
        <f>_xlfn.MAXIFS(TableRefills3[discountinuation_flag], TableRefills3[patient_id], A2355)</f>
        <v>0</v>
      </c>
    </row>
    <row r="2356" spans="1:9" x14ac:dyDescent="0.25">
      <c r="A2356" t="s">
        <v>3747</v>
      </c>
      <c r="B2356" t="s">
        <v>3748</v>
      </c>
      <c r="C2356" s="3">
        <v>45870</v>
      </c>
      <c r="D2356">
        <v>28</v>
      </c>
      <c r="E2356" s="3" t="str">
        <f t="shared" si="36"/>
        <v/>
      </c>
      <c r="F2356" s="3" t="str">
        <f>IF(TableRefills3[[#This Row],[prev_refill_days]]="","",TableRefills3[[#This Row],[prev_refill_days]]+TableRefills3[[#This Row],[quantity_days]])</f>
        <v/>
      </c>
      <c r="G2356" t="str">
        <f>IF(TableRefills3[[#This Row],[prev_refill_end]]="","",TableRefills3[[#This Row],[refill_date]]-TableRefills3[[#This Row],[prev_refill_end]])</f>
        <v/>
      </c>
      <c r="H2356" s="10">
        <f>IF(TableRefills3[[#This Row],[gap_days]]="",0,IF(TableRefills3[[#This Row],[gap_days]]&gt;2,1,0))</f>
        <v>0</v>
      </c>
      <c r="I2356">
        <f>_xlfn.MAXIFS(TableRefills3[discountinuation_flag], TableRefills3[patient_id], A2356)</f>
        <v>0</v>
      </c>
    </row>
    <row r="2357" spans="1:9" x14ac:dyDescent="0.25">
      <c r="A2357" t="s">
        <v>3747</v>
      </c>
      <c r="B2357" t="s">
        <v>3748</v>
      </c>
      <c r="C2357" s="3">
        <v>45900</v>
      </c>
      <c r="D2357">
        <v>28</v>
      </c>
      <c r="E2357" s="3">
        <f t="shared" si="36"/>
        <v>45870</v>
      </c>
      <c r="F2357" s="3">
        <f>IF(TableRefills3[[#This Row],[prev_refill_days]]="","",TableRefills3[[#This Row],[prev_refill_days]]+TableRefills3[[#This Row],[quantity_days]])</f>
        <v>45898</v>
      </c>
      <c r="G2357">
        <f>IF(TableRefills3[[#This Row],[prev_refill_end]]="","",TableRefills3[[#This Row],[refill_date]]-TableRefills3[[#This Row],[prev_refill_end]])</f>
        <v>2</v>
      </c>
      <c r="H2357" s="10">
        <f>IF(TableRefills3[[#This Row],[gap_days]]="",0,IF(TableRefills3[[#This Row],[gap_days]]&gt;2,1,0))</f>
        <v>0</v>
      </c>
      <c r="I2357">
        <f>_xlfn.MAXIFS(TableRefills3[discountinuation_flag], TableRefills3[patient_id], A2357)</f>
        <v>0</v>
      </c>
    </row>
    <row r="2358" spans="1:9" x14ac:dyDescent="0.25">
      <c r="A2358" t="s">
        <v>3747</v>
      </c>
      <c r="B2358" t="s">
        <v>3748</v>
      </c>
      <c r="C2358" s="3">
        <v>45928</v>
      </c>
      <c r="D2358">
        <v>28</v>
      </c>
      <c r="E2358" s="3">
        <f t="shared" si="36"/>
        <v>45900</v>
      </c>
      <c r="F2358" s="3">
        <f>IF(TableRefills3[[#This Row],[prev_refill_days]]="","",TableRefills3[[#This Row],[prev_refill_days]]+TableRefills3[[#This Row],[quantity_days]])</f>
        <v>45928</v>
      </c>
      <c r="G2358">
        <f>IF(TableRefills3[[#This Row],[prev_refill_end]]="","",TableRefills3[[#This Row],[refill_date]]-TableRefills3[[#This Row],[prev_refill_end]])</f>
        <v>0</v>
      </c>
      <c r="H2358" s="10">
        <f>IF(TableRefills3[[#This Row],[gap_days]]="",0,IF(TableRefills3[[#This Row],[gap_days]]&gt;2,1,0))</f>
        <v>0</v>
      </c>
      <c r="I2358">
        <f>_xlfn.MAXIFS(TableRefills3[discountinuation_flag], TableRefills3[patient_id], A2358)</f>
        <v>0</v>
      </c>
    </row>
    <row r="2359" spans="1:9" x14ac:dyDescent="0.25">
      <c r="A2359" t="s">
        <v>3747</v>
      </c>
      <c r="B2359" t="s">
        <v>3748</v>
      </c>
      <c r="C2359" s="3">
        <v>45954</v>
      </c>
      <c r="D2359">
        <v>28</v>
      </c>
      <c r="E2359" s="3">
        <f t="shared" si="36"/>
        <v>45928</v>
      </c>
      <c r="F2359" s="3">
        <f>IF(TableRefills3[[#This Row],[prev_refill_days]]="","",TableRefills3[[#This Row],[prev_refill_days]]+TableRefills3[[#This Row],[quantity_days]])</f>
        <v>45956</v>
      </c>
      <c r="G2359">
        <f>IF(TableRefills3[[#This Row],[prev_refill_end]]="","",TableRefills3[[#This Row],[refill_date]]-TableRefills3[[#This Row],[prev_refill_end]])</f>
        <v>-2</v>
      </c>
      <c r="H2359" s="10">
        <f>IF(TableRefills3[[#This Row],[gap_days]]="",0,IF(TableRefills3[[#This Row],[gap_days]]&gt;2,1,0))</f>
        <v>0</v>
      </c>
      <c r="I2359">
        <f>_xlfn.MAXIFS(TableRefills3[discountinuation_flag], TableRefills3[patient_id], A2359)</f>
        <v>0</v>
      </c>
    </row>
    <row r="2360" spans="1:9" x14ac:dyDescent="0.25">
      <c r="A2360" t="s">
        <v>3753</v>
      </c>
      <c r="B2360" t="s">
        <v>3754</v>
      </c>
      <c r="C2360" s="3">
        <v>45801</v>
      </c>
      <c r="D2360">
        <v>28</v>
      </c>
      <c r="E2360" s="3" t="str">
        <f t="shared" si="36"/>
        <v/>
      </c>
      <c r="F2360" s="3" t="str">
        <f>IF(TableRefills3[[#This Row],[prev_refill_days]]="","",TableRefills3[[#This Row],[prev_refill_days]]+TableRefills3[[#This Row],[quantity_days]])</f>
        <v/>
      </c>
      <c r="G2360" t="str">
        <f>IF(TableRefills3[[#This Row],[prev_refill_end]]="","",TableRefills3[[#This Row],[refill_date]]-TableRefills3[[#This Row],[prev_refill_end]])</f>
        <v/>
      </c>
      <c r="H2360" s="10">
        <f>IF(TableRefills3[[#This Row],[gap_days]]="",0,IF(TableRefills3[[#This Row],[gap_days]]&gt;2,1,0))</f>
        <v>0</v>
      </c>
      <c r="I2360">
        <f>_xlfn.MAXIFS(TableRefills3[discountinuation_flag], TableRefills3[patient_id], A2360)</f>
        <v>0</v>
      </c>
    </row>
    <row r="2361" spans="1:9" x14ac:dyDescent="0.25">
      <c r="A2361" t="s">
        <v>3753</v>
      </c>
      <c r="B2361" t="s">
        <v>3754</v>
      </c>
      <c r="C2361" s="3">
        <v>45828</v>
      </c>
      <c r="D2361">
        <v>28</v>
      </c>
      <c r="E2361" s="3">
        <f t="shared" si="36"/>
        <v>45801</v>
      </c>
      <c r="F2361" s="3">
        <f>IF(TableRefills3[[#This Row],[prev_refill_days]]="","",TableRefills3[[#This Row],[prev_refill_days]]+TableRefills3[[#This Row],[quantity_days]])</f>
        <v>45829</v>
      </c>
      <c r="G2361">
        <f>IF(TableRefills3[[#This Row],[prev_refill_end]]="","",TableRefills3[[#This Row],[refill_date]]-TableRefills3[[#This Row],[prev_refill_end]])</f>
        <v>-1</v>
      </c>
      <c r="H2361" s="10">
        <f>IF(TableRefills3[[#This Row],[gap_days]]="",0,IF(TableRefills3[[#This Row],[gap_days]]&gt;2,1,0))</f>
        <v>0</v>
      </c>
      <c r="I2361">
        <f>_xlfn.MAXIFS(TableRefills3[discountinuation_flag], TableRefills3[patient_id], A2361)</f>
        <v>0</v>
      </c>
    </row>
    <row r="2362" spans="1:9" x14ac:dyDescent="0.25">
      <c r="A2362" t="s">
        <v>3753</v>
      </c>
      <c r="B2362" t="s">
        <v>3754</v>
      </c>
      <c r="C2362" s="3">
        <v>45856</v>
      </c>
      <c r="D2362">
        <v>28</v>
      </c>
      <c r="E2362" s="3">
        <f t="shared" si="36"/>
        <v>45828</v>
      </c>
      <c r="F2362" s="3">
        <f>IF(TableRefills3[[#This Row],[prev_refill_days]]="","",TableRefills3[[#This Row],[prev_refill_days]]+TableRefills3[[#This Row],[quantity_days]])</f>
        <v>45856</v>
      </c>
      <c r="G2362">
        <f>IF(TableRefills3[[#This Row],[prev_refill_end]]="","",TableRefills3[[#This Row],[refill_date]]-TableRefills3[[#This Row],[prev_refill_end]])</f>
        <v>0</v>
      </c>
      <c r="H2362" s="10">
        <f>IF(TableRefills3[[#This Row],[gap_days]]="",0,IF(TableRefills3[[#This Row],[gap_days]]&gt;2,1,0))</f>
        <v>0</v>
      </c>
      <c r="I2362">
        <f>_xlfn.MAXIFS(TableRefills3[discountinuation_flag], TableRefills3[patient_id], A2362)</f>
        <v>0</v>
      </c>
    </row>
    <row r="2363" spans="1:9" x14ac:dyDescent="0.25">
      <c r="A2363" t="s">
        <v>3753</v>
      </c>
      <c r="B2363" t="s">
        <v>3754</v>
      </c>
      <c r="C2363" s="3">
        <v>45883</v>
      </c>
      <c r="D2363">
        <v>28</v>
      </c>
      <c r="E2363" s="3">
        <f t="shared" si="36"/>
        <v>45856</v>
      </c>
      <c r="F2363" s="3">
        <f>IF(TableRefills3[[#This Row],[prev_refill_days]]="","",TableRefills3[[#This Row],[prev_refill_days]]+TableRefills3[[#This Row],[quantity_days]])</f>
        <v>45884</v>
      </c>
      <c r="G2363">
        <f>IF(TableRefills3[[#This Row],[prev_refill_end]]="","",TableRefills3[[#This Row],[refill_date]]-TableRefills3[[#This Row],[prev_refill_end]])</f>
        <v>-1</v>
      </c>
      <c r="H2363" s="10">
        <f>IF(TableRefills3[[#This Row],[gap_days]]="",0,IF(TableRefills3[[#This Row],[gap_days]]&gt;2,1,0))</f>
        <v>0</v>
      </c>
      <c r="I2363">
        <f>_xlfn.MAXIFS(TableRefills3[discountinuation_flag], TableRefills3[patient_id], A2363)</f>
        <v>0</v>
      </c>
    </row>
    <row r="2364" spans="1:9" x14ac:dyDescent="0.25">
      <c r="A2364" t="s">
        <v>3753</v>
      </c>
      <c r="B2364" t="s">
        <v>3754</v>
      </c>
      <c r="C2364" s="3">
        <v>45913</v>
      </c>
      <c r="D2364">
        <v>28</v>
      </c>
      <c r="E2364" s="3">
        <f t="shared" si="36"/>
        <v>45883</v>
      </c>
      <c r="F2364" s="3">
        <f>IF(TableRefills3[[#This Row],[prev_refill_days]]="","",TableRefills3[[#This Row],[prev_refill_days]]+TableRefills3[[#This Row],[quantity_days]])</f>
        <v>45911</v>
      </c>
      <c r="G2364">
        <f>IF(TableRefills3[[#This Row],[prev_refill_end]]="","",TableRefills3[[#This Row],[refill_date]]-TableRefills3[[#This Row],[prev_refill_end]])</f>
        <v>2</v>
      </c>
      <c r="H2364" s="10">
        <f>IF(TableRefills3[[#This Row],[gap_days]]="",0,IF(TableRefills3[[#This Row],[gap_days]]&gt;2,1,0))</f>
        <v>0</v>
      </c>
      <c r="I2364">
        <f>_xlfn.MAXIFS(TableRefills3[discountinuation_flag], TableRefills3[patient_id], A2364)</f>
        <v>0</v>
      </c>
    </row>
    <row r="2365" spans="1:9" x14ac:dyDescent="0.25">
      <c r="A2365" t="s">
        <v>3753</v>
      </c>
      <c r="B2365" t="s">
        <v>3754</v>
      </c>
      <c r="C2365" s="3">
        <v>45939</v>
      </c>
      <c r="D2365">
        <v>28</v>
      </c>
      <c r="E2365" s="3">
        <f t="shared" si="36"/>
        <v>45913</v>
      </c>
      <c r="F2365" s="3">
        <f>IF(TableRefills3[[#This Row],[prev_refill_days]]="","",TableRefills3[[#This Row],[prev_refill_days]]+TableRefills3[[#This Row],[quantity_days]])</f>
        <v>45941</v>
      </c>
      <c r="G2365">
        <f>IF(TableRefills3[[#This Row],[prev_refill_end]]="","",TableRefills3[[#This Row],[refill_date]]-TableRefills3[[#This Row],[prev_refill_end]])</f>
        <v>-2</v>
      </c>
      <c r="H2365" s="10">
        <f>IF(TableRefills3[[#This Row],[gap_days]]="",0,IF(TableRefills3[[#This Row],[gap_days]]&gt;2,1,0))</f>
        <v>0</v>
      </c>
      <c r="I2365">
        <f>_xlfn.MAXIFS(TableRefills3[discountinuation_flag], TableRefills3[patient_id], A2365)</f>
        <v>0</v>
      </c>
    </row>
    <row r="2366" spans="1:9" x14ac:dyDescent="0.25">
      <c r="A2366" t="s">
        <v>3761</v>
      </c>
      <c r="B2366" t="s">
        <v>3762</v>
      </c>
      <c r="C2366" s="3">
        <v>45856</v>
      </c>
      <c r="D2366">
        <v>56</v>
      </c>
      <c r="E2366" s="3" t="str">
        <f t="shared" si="36"/>
        <v/>
      </c>
      <c r="F2366" s="3" t="str">
        <f>IF(TableRefills3[[#This Row],[prev_refill_days]]="","",TableRefills3[[#This Row],[prev_refill_days]]+TableRefills3[[#This Row],[quantity_days]])</f>
        <v/>
      </c>
      <c r="G2366" t="str">
        <f>IF(TableRefills3[[#This Row],[prev_refill_end]]="","",TableRefills3[[#This Row],[refill_date]]-TableRefills3[[#This Row],[prev_refill_end]])</f>
        <v/>
      </c>
      <c r="H2366" s="10">
        <f>IF(TableRefills3[[#This Row],[gap_days]]="",0,IF(TableRefills3[[#This Row],[gap_days]]&gt;2,1,0))</f>
        <v>0</v>
      </c>
      <c r="I2366">
        <f>_xlfn.MAXIFS(TableRefills3[discountinuation_flag], TableRefills3[patient_id], A2366)</f>
        <v>0</v>
      </c>
    </row>
    <row r="2367" spans="1:9" x14ac:dyDescent="0.25">
      <c r="A2367" t="s">
        <v>3761</v>
      </c>
      <c r="B2367" t="s">
        <v>3762</v>
      </c>
      <c r="C2367" s="3">
        <v>45909</v>
      </c>
      <c r="D2367">
        <v>56</v>
      </c>
      <c r="E2367" s="3">
        <f t="shared" si="36"/>
        <v>45856</v>
      </c>
      <c r="F2367" s="3">
        <f>IF(TableRefills3[[#This Row],[prev_refill_days]]="","",TableRefills3[[#This Row],[prev_refill_days]]+TableRefills3[[#This Row],[quantity_days]])</f>
        <v>45912</v>
      </c>
      <c r="G2367">
        <f>IF(TableRefills3[[#This Row],[prev_refill_end]]="","",TableRefills3[[#This Row],[refill_date]]-TableRefills3[[#This Row],[prev_refill_end]])</f>
        <v>-3</v>
      </c>
      <c r="H2367" s="10">
        <f>IF(TableRefills3[[#This Row],[gap_days]]="",0,IF(TableRefills3[[#This Row],[gap_days]]&gt;2,1,0))</f>
        <v>0</v>
      </c>
      <c r="I2367">
        <f>_xlfn.MAXIFS(TableRefills3[discountinuation_flag], TableRefills3[patient_id], A2367)</f>
        <v>0</v>
      </c>
    </row>
    <row r="2368" spans="1:9" x14ac:dyDescent="0.25">
      <c r="A2368" t="s">
        <v>3765</v>
      </c>
      <c r="B2368" t="s">
        <v>3766</v>
      </c>
      <c r="C2368" s="3">
        <v>45870</v>
      </c>
      <c r="D2368">
        <v>30</v>
      </c>
      <c r="E2368" s="3" t="str">
        <f t="shared" si="36"/>
        <v/>
      </c>
      <c r="F2368" s="3" t="str">
        <f>IF(TableRefills3[[#This Row],[prev_refill_days]]="","",TableRefills3[[#This Row],[prev_refill_days]]+TableRefills3[[#This Row],[quantity_days]])</f>
        <v/>
      </c>
      <c r="G2368" t="str">
        <f>IF(TableRefills3[[#This Row],[prev_refill_end]]="","",TableRefills3[[#This Row],[refill_date]]-TableRefills3[[#This Row],[prev_refill_end]])</f>
        <v/>
      </c>
      <c r="H2368" s="10">
        <f>IF(TableRefills3[[#This Row],[gap_days]]="",0,IF(TableRefills3[[#This Row],[gap_days]]&gt;2,1,0))</f>
        <v>0</v>
      </c>
      <c r="I2368">
        <f>_xlfn.MAXIFS(TableRefills3[discountinuation_flag], TableRefills3[patient_id], A2368)</f>
        <v>0</v>
      </c>
    </row>
    <row r="2369" spans="1:9" x14ac:dyDescent="0.25">
      <c r="A2369" t="s">
        <v>3765</v>
      </c>
      <c r="B2369" t="s">
        <v>3766</v>
      </c>
      <c r="C2369" s="3">
        <v>45900</v>
      </c>
      <c r="D2369">
        <v>30</v>
      </c>
      <c r="E2369" s="3">
        <f t="shared" si="36"/>
        <v>45870</v>
      </c>
      <c r="F2369" s="3">
        <f>IF(TableRefills3[[#This Row],[prev_refill_days]]="","",TableRefills3[[#This Row],[prev_refill_days]]+TableRefills3[[#This Row],[quantity_days]])</f>
        <v>45900</v>
      </c>
      <c r="G2369">
        <f>IF(TableRefills3[[#This Row],[prev_refill_end]]="","",TableRefills3[[#This Row],[refill_date]]-TableRefills3[[#This Row],[prev_refill_end]])</f>
        <v>0</v>
      </c>
      <c r="H2369" s="10">
        <f>IF(TableRefills3[[#This Row],[gap_days]]="",0,IF(TableRefills3[[#This Row],[gap_days]]&gt;2,1,0))</f>
        <v>0</v>
      </c>
      <c r="I2369">
        <f>_xlfn.MAXIFS(TableRefills3[discountinuation_flag], TableRefills3[patient_id], A2369)</f>
        <v>0</v>
      </c>
    </row>
    <row r="2370" spans="1:9" x14ac:dyDescent="0.25">
      <c r="A2370" t="s">
        <v>3765</v>
      </c>
      <c r="B2370" t="s">
        <v>3766</v>
      </c>
      <c r="C2370" s="3">
        <v>45930</v>
      </c>
      <c r="D2370">
        <v>30</v>
      </c>
      <c r="E2370" s="3">
        <f t="shared" ref="E2370:E2433" si="37">IF(A2369=A2370,C2369,"")</f>
        <v>45900</v>
      </c>
      <c r="F2370" s="3">
        <f>IF(TableRefills3[[#This Row],[prev_refill_days]]="","",TableRefills3[[#This Row],[prev_refill_days]]+TableRefills3[[#This Row],[quantity_days]])</f>
        <v>45930</v>
      </c>
      <c r="G2370">
        <f>IF(TableRefills3[[#This Row],[prev_refill_end]]="","",TableRefills3[[#This Row],[refill_date]]-TableRefills3[[#This Row],[prev_refill_end]])</f>
        <v>0</v>
      </c>
      <c r="H2370" s="10">
        <f>IF(TableRefills3[[#This Row],[gap_days]]="",0,IF(TableRefills3[[#This Row],[gap_days]]&gt;2,1,0))</f>
        <v>0</v>
      </c>
      <c r="I2370">
        <f>_xlfn.MAXIFS(TableRefills3[discountinuation_flag], TableRefills3[patient_id], A2370)</f>
        <v>0</v>
      </c>
    </row>
    <row r="2371" spans="1:9" x14ac:dyDescent="0.25">
      <c r="A2371" t="s">
        <v>3765</v>
      </c>
      <c r="B2371" t="s">
        <v>3766</v>
      </c>
      <c r="C2371" s="3">
        <v>45957</v>
      </c>
      <c r="D2371">
        <v>30</v>
      </c>
      <c r="E2371" s="3">
        <f t="shared" si="37"/>
        <v>45930</v>
      </c>
      <c r="F2371" s="3">
        <f>IF(TableRefills3[[#This Row],[prev_refill_days]]="","",TableRefills3[[#This Row],[prev_refill_days]]+TableRefills3[[#This Row],[quantity_days]])</f>
        <v>45960</v>
      </c>
      <c r="G2371">
        <f>IF(TableRefills3[[#This Row],[prev_refill_end]]="","",TableRefills3[[#This Row],[refill_date]]-TableRefills3[[#This Row],[prev_refill_end]])</f>
        <v>-3</v>
      </c>
      <c r="H2371" s="10">
        <f>IF(TableRefills3[[#This Row],[gap_days]]="",0,IF(TableRefills3[[#This Row],[gap_days]]&gt;2,1,0))</f>
        <v>0</v>
      </c>
      <c r="I2371">
        <f>_xlfn.MAXIFS(TableRefills3[discountinuation_flag], TableRefills3[patient_id], A2371)</f>
        <v>0</v>
      </c>
    </row>
    <row r="2372" spans="1:9" x14ac:dyDescent="0.25">
      <c r="A2372" t="s">
        <v>3771</v>
      </c>
      <c r="B2372" t="s">
        <v>3772</v>
      </c>
      <c r="C2372" s="3">
        <v>45847</v>
      </c>
      <c r="D2372">
        <v>28</v>
      </c>
      <c r="E2372" s="3" t="str">
        <f t="shared" si="37"/>
        <v/>
      </c>
      <c r="F2372" s="3" t="str">
        <f>IF(TableRefills3[[#This Row],[prev_refill_days]]="","",TableRefills3[[#This Row],[prev_refill_days]]+TableRefills3[[#This Row],[quantity_days]])</f>
        <v/>
      </c>
      <c r="G2372" t="str">
        <f>IF(TableRefills3[[#This Row],[prev_refill_end]]="","",TableRefills3[[#This Row],[refill_date]]-TableRefills3[[#This Row],[prev_refill_end]])</f>
        <v/>
      </c>
      <c r="H2372" s="10">
        <f>IF(TableRefills3[[#This Row],[gap_days]]="",0,IF(TableRefills3[[#This Row],[gap_days]]&gt;2,1,0))</f>
        <v>0</v>
      </c>
      <c r="I2372">
        <f>_xlfn.MAXIFS(TableRefills3[discountinuation_flag], TableRefills3[patient_id], A2372)</f>
        <v>1</v>
      </c>
    </row>
    <row r="2373" spans="1:9" x14ac:dyDescent="0.25">
      <c r="A2373" t="s">
        <v>3771</v>
      </c>
      <c r="B2373" t="s">
        <v>3772</v>
      </c>
      <c r="C2373" s="3">
        <v>45875</v>
      </c>
      <c r="D2373">
        <v>28</v>
      </c>
      <c r="E2373" s="3">
        <f t="shared" si="37"/>
        <v>45847</v>
      </c>
      <c r="F2373" s="3">
        <f>IF(TableRefills3[[#This Row],[prev_refill_days]]="","",TableRefills3[[#This Row],[prev_refill_days]]+TableRefills3[[#This Row],[quantity_days]])</f>
        <v>45875</v>
      </c>
      <c r="G2373">
        <f>IF(TableRefills3[[#This Row],[prev_refill_end]]="","",TableRefills3[[#This Row],[refill_date]]-TableRefills3[[#This Row],[prev_refill_end]])</f>
        <v>0</v>
      </c>
      <c r="H2373" s="10">
        <f>IF(TableRefills3[[#This Row],[gap_days]]="",0,IF(TableRefills3[[#This Row],[gap_days]]&gt;2,1,0))</f>
        <v>0</v>
      </c>
      <c r="I2373">
        <f>_xlfn.MAXIFS(TableRefills3[discountinuation_flag], TableRefills3[patient_id], A2373)</f>
        <v>1</v>
      </c>
    </row>
    <row r="2374" spans="1:9" x14ac:dyDescent="0.25">
      <c r="A2374" t="s">
        <v>3771</v>
      </c>
      <c r="B2374" t="s">
        <v>3772</v>
      </c>
      <c r="C2374" s="3">
        <v>45903</v>
      </c>
      <c r="D2374">
        <v>28</v>
      </c>
      <c r="E2374" s="3">
        <f t="shared" si="37"/>
        <v>45875</v>
      </c>
      <c r="F2374" s="3">
        <f>IF(TableRefills3[[#This Row],[prev_refill_days]]="","",TableRefills3[[#This Row],[prev_refill_days]]+TableRefills3[[#This Row],[quantity_days]])</f>
        <v>45903</v>
      </c>
      <c r="G2374">
        <f>IF(TableRefills3[[#This Row],[prev_refill_end]]="","",TableRefills3[[#This Row],[refill_date]]-TableRefills3[[#This Row],[prev_refill_end]])</f>
        <v>0</v>
      </c>
      <c r="H2374" s="10">
        <f>IF(TableRefills3[[#This Row],[gap_days]]="",0,IF(TableRefills3[[#This Row],[gap_days]]&gt;2,1,0))</f>
        <v>0</v>
      </c>
      <c r="I2374">
        <f>_xlfn.MAXIFS(TableRefills3[discountinuation_flag], TableRefills3[patient_id], A2374)</f>
        <v>1</v>
      </c>
    </row>
    <row r="2375" spans="1:9" x14ac:dyDescent="0.25">
      <c r="A2375" t="s">
        <v>3771</v>
      </c>
      <c r="B2375" t="s">
        <v>3772</v>
      </c>
      <c r="C2375" s="3">
        <v>45934</v>
      </c>
      <c r="D2375">
        <v>28</v>
      </c>
      <c r="E2375" s="3">
        <f t="shared" si="37"/>
        <v>45903</v>
      </c>
      <c r="F2375" s="3">
        <f>IF(TableRefills3[[#This Row],[prev_refill_days]]="","",TableRefills3[[#This Row],[prev_refill_days]]+TableRefills3[[#This Row],[quantity_days]])</f>
        <v>45931</v>
      </c>
      <c r="G2375">
        <f>IF(TableRefills3[[#This Row],[prev_refill_end]]="","",TableRefills3[[#This Row],[refill_date]]-TableRefills3[[#This Row],[prev_refill_end]])</f>
        <v>3</v>
      </c>
      <c r="H2375" s="10">
        <f>IF(TableRefills3[[#This Row],[gap_days]]="",0,IF(TableRefills3[[#This Row],[gap_days]]&gt;2,1,0))</f>
        <v>1</v>
      </c>
      <c r="I2375">
        <f>_xlfn.MAXIFS(TableRefills3[discountinuation_flag], TableRefills3[patient_id], A2375)</f>
        <v>1</v>
      </c>
    </row>
    <row r="2376" spans="1:9" x14ac:dyDescent="0.25">
      <c r="A2376" t="s">
        <v>3777</v>
      </c>
      <c r="B2376" t="s">
        <v>3778</v>
      </c>
      <c r="C2376" s="3">
        <v>45811</v>
      </c>
      <c r="D2376">
        <v>28</v>
      </c>
      <c r="E2376" s="3" t="str">
        <f t="shared" si="37"/>
        <v/>
      </c>
      <c r="F2376" s="3" t="str">
        <f>IF(TableRefills3[[#This Row],[prev_refill_days]]="","",TableRefills3[[#This Row],[prev_refill_days]]+TableRefills3[[#This Row],[quantity_days]])</f>
        <v/>
      </c>
      <c r="G2376" t="str">
        <f>IF(TableRefills3[[#This Row],[prev_refill_end]]="","",TableRefills3[[#This Row],[refill_date]]-TableRefills3[[#This Row],[prev_refill_end]])</f>
        <v/>
      </c>
      <c r="H2376" s="10">
        <f>IF(TableRefills3[[#This Row],[gap_days]]="",0,IF(TableRefills3[[#This Row],[gap_days]]&gt;2,1,0))</f>
        <v>0</v>
      </c>
      <c r="I2376">
        <f>_xlfn.MAXIFS(TableRefills3[discountinuation_flag], TableRefills3[patient_id], A2376)</f>
        <v>0</v>
      </c>
    </row>
    <row r="2377" spans="1:9" x14ac:dyDescent="0.25">
      <c r="A2377" t="s">
        <v>3777</v>
      </c>
      <c r="B2377" t="s">
        <v>3778</v>
      </c>
      <c r="C2377" s="3">
        <v>45840</v>
      </c>
      <c r="D2377">
        <v>28</v>
      </c>
      <c r="E2377" s="3">
        <f t="shared" si="37"/>
        <v>45811</v>
      </c>
      <c r="F2377" s="3">
        <f>IF(TableRefills3[[#This Row],[prev_refill_days]]="","",TableRefills3[[#This Row],[prev_refill_days]]+TableRefills3[[#This Row],[quantity_days]])</f>
        <v>45839</v>
      </c>
      <c r="G2377">
        <f>IF(TableRefills3[[#This Row],[prev_refill_end]]="","",TableRefills3[[#This Row],[refill_date]]-TableRefills3[[#This Row],[prev_refill_end]])</f>
        <v>1</v>
      </c>
      <c r="H2377" s="10">
        <f>IF(TableRefills3[[#This Row],[gap_days]]="",0,IF(TableRefills3[[#This Row],[gap_days]]&gt;2,1,0))</f>
        <v>0</v>
      </c>
      <c r="I2377">
        <f>_xlfn.MAXIFS(TableRefills3[discountinuation_flag], TableRefills3[patient_id], A2377)</f>
        <v>0</v>
      </c>
    </row>
    <row r="2378" spans="1:9" x14ac:dyDescent="0.25">
      <c r="A2378" t="s">
        <v>3781</v>
      </c>
      <c r="B2378" t="s">
        <v>3782</v>
      </c>
      <c r="C2378" s="3">
        <v>45825</v>
      </c>
      <c r="D2378">
        <v>28</v>
      </c>
      <c r="E2378" s="3" t="str">
        <f t="shared" si="37"/>
        <v/>
      </c>
      <c r="F2378" s="3" t="str">
        <f>IF(TableRefills3[[#This Row],[prev_refill_days]]="","",TableRefills3[[#This Row],[prev_refill_days]]+TableRefills3[[#This Row],[quantity_days]])</f>
        <v/>
      </c>
      <c r="G2378" t="str">
        <f>IF(TableRefills3[[#This Row],[prev_refill_end]]="","",TableRefills3[[#This Row],[refill_date]]-TableRefills3[[#This Row],[prev_refill_end]])</f>
        <v/>
      </c>
      <c r="H2378" s="10">
        <f>IF(TableRefills3[[#This Row],[gap_days]]="",0,IF(TableRefills3[[#This Row],[gap_days]]&gt;2,1,0))</f>
        <v>0</v>
      </c>
      <c r="I2378">
        <f>_xlfn.MAXIFS(TableRefills3[discountinuation_flag], TableRefills3[patient_id], A2378)</f>
        <v>1</v>
      </c>
    </row>
    <row r="2379" spans="1:9" x14ac:dyDescent="0.25">
      <c r="A2379" t="s">
        <v>3781</v>
      </c>
      <c r="B2379" t="s">
        <v>3782</v>
      </c>
      <c r="C2379" s="3">
        <v>45853</v>
      </c>
      <c r="D2379">
        <v>28</v>
      </c>
      <c r="E2379" s="3">
        <f t="shared" si="37"/>
        <v>45825</v>
      </c>
      <c r="F2379" s="3">
        <f>IF(TableRefills3[[#This Row],[prev_refill_days]]="","",TableRefills3[[#This Row],[prev_refill_days]]+TableRefills3[[#This Row],[quantity_days]])</f>
        <v>45853</v>
      </c>
      <c r="G2379">
        <f>IF(TableRefills3[[#This Row],[prev_refill_end]]="","",TableRefills3[[#This Row],[refill_date]]-TableRefills3[[#This Row],[prev_refill_end]])</f>
        <v>0</v>
      </c>
      <c r="H2379" s="10">
        <f>IF(TableRefills3[[#This Row],[gap_days]]="",0,IF(TableRefills3[[#This Row],[gap_days]]&gt;2,1,0))</f>
        <v>0</v>
      </c>
      <c r="I2379">
        <f>_xlfn.MAXIFS(TableRefills3[discountinuation_flag], TableRefills3[patient_id], A2379)</f>
        <v>1</v>
      </c>
    </row>
    <row r="2380" spans="1:9" x14ac:dyDescent="0.25">
      <c r="A2380" t="s">
        <v>3781</v>
      </c>
      <c r="B2380" t="s">
        <v>3782</v>
      </c>
      <c r="C2380" s="3">
        <v>45884</v>
      </c>
      <c r="D2380">
        <v>28</v>
      </c>
      <c r="E2380" s="3">
        <f t="shared" si="37"/>
        <v>45853</v>
      </c>
      <c r="F2380" s="3">
        <f>IF(TableRefills3[[#This Row],[prev_refill_days]]="","",TableRefills3[[#This Row],[prev_refill_days]]+TableRefills3[[#This Row],[quantity_days]])</f>
        <v>45881</v>
      </c>
      <c r="G2380">
        <f>IF(TableRefills3[[#This Row],[prev_refill_end]]="","",TableRefills3[[#This Row],[refill_date]]-TableRefills3[[#This Row],[prev_refill_end]])</f>
        <v>3</v>
      </c>
      <c r="H2380" s="10">
        <f>IF(TableRefills3[[#This Row],[gap_days]]="",0,IF(TableRefills3[[#This Row],[gap_days]]&gt;2,1,0))</f>
        <v>1</v>
      </c>
      <c r="I2380">
        <f>_xlfn.MAXIFS(TableRefills3[discountinuation_flag], TableRefills3[patient_id], A2380)</f>
        <v>1</v>
      </c>
    </row>
    <row r="2381" spans="1:9" x14ac:dyDescent="0.25">
      <c r="A2381" t="s">
        <v>3781</v>
      </c>
      <c r="B2381" t="s">
        <v>3782</v>
      </c>
      <c r="C2381" s="3">
        <v>45912</v>
      </c>
      <c r="D2381">
        <v>28</v>
      </c>
      <c r="E2381" s="3">
        <f t="shared" si="37"/>
        <v>45884</v>
      </c>
      <c r="F2381" s="3">
        <f>IF(TableRefills3[[#This Row],[prev_refill_days]]="","",TableRefills3[[#This Row],[prev_refill_days]]+TableRefills3[[#This Row],[quantity_days]])</f>
        <v>45912</v>
      </c>
      <c r="G2381">
        <f>IF(TableRefills3[[#This Row],[prev_refill_end]]="","",TableRefills3[[#This Row],[refill_date]]-TableRefills3[[#This Row],[prev_refill_end]])</f>
        <v>0</v>
      </c>
      <c r="H2381" s="10">
        <f>IF(TableRefills3[[#This Row],[gap_days]]="",0,IF(TableRefills3[[#This Row],[gap_days]]&gt;2,1,0))</f>
        <v>0</v>
      </c>
      <c r="I2381">
        <f>_xlfn.MAXIFS(TableRefills3[discountinuation_flag], TableRefills3[patient_id], A2381)</f>
        <v>1</v>
      </c>
    </row>
    <row r="2382" spans="1:9" x14ac:dyDescent="0.25">
      <c r="A2382" t="s">
        <v>3781</v>
      </c>
      <c r="B2382" t="s">
        <v>3782</v>
      </c>
      <c r="C2382" s="3">
        <v>45938</v>
      </c>
      <c r="D2382">
        <v>28</v>
      </c>
      <c r="E2382" s="3">
        <f t="shared" si="37"/>
        <v>45912</v>
      </c>
      <c r="F2382" s="3">
        <f>IF(TableRefills3[[#This Row],[prev_refill_days]]="","",TableRefills3[[#This Row],[prev_refill_days]]+TableRefills3[[#This Row],[quantity_days]])</f>
        <v>45940</v>
      </c>
      <c r="G2382">
        <f>IF(TableRefills3[[#This Row],[prev_refill_end]]="","",TableRefills3[[#This Row],[refill_date]]-TableRefills3[[#This Row],[prev_refill_end]])</f>
        <v>-2</v>
      </c>
      <c r="H2382" s="10">
        <f>IF(TableRefills3[[#This Row],[gap_days]]="",0,IF(TableRefills3[[#This Row],[gap_days]]&gt;2,1,0))</f>
        <v>0</v>
      </c>
      <c r="I2382">
        <f>_xlfn.MAXIFS(TableRefills3[discountinuation_flag], TableRefills3[patient_id], A2382)</f>
        <v>1</v>
      </c>
    </row>
    <row r="2383" spans="1:9" x14ac:dyDescent="0.25">
      <c r="A2383" t="s">
        <v>3788</v>
      </c>
      <c r="B2383" t="s">
        <v>3789</v>
      </c>
      <c r="C2383" s="3">
        <v>45892</v>
      </c>
      <c r="D2383">
        <v>28</v>
      </c>
      <c r="E2383" s="3" t="str">
        <f t="shared" si="37"/>
        <v/>
      </c>
      <c r="F2383" s="3" t="str">
        <f>IF(TableRefills3[[#This Row],[prev_refill_days]]="","",TableRefills3[[#This Row],[prev_refill_days]]+TableRefills3[[#This Row],[quantity_days]])</f>
        <v/>
      </c>
      <c r="G2383" t="str">
        <f>IF(TableRefills3[[#This Row],[prev_refill_end]]="","",TableRefills3[[#This Row],[refill_date]]-TableRefills3[[#This Row],[prev_refill_end]])</f>
        <v/>
      </c>
      <c r="H2383" s="10">
        <f>IF(TableRefills3[[#This Row],[gap_days]]="",0,IF(TableRefills3[[#This Row],[gap_days]]&gt;2,1,0))</f>
        <v>0</v>
      </c>
      <c r="I2383">
        <f>_xlfn.MAXIFS(TableRefills3[discountinuation_flag], TableRefills3[patient_id], A2383)</f>
        <v>0</v>
      </c>
    </row>
    <row r="2384" spans="1:9" x14ac:dyDescent="0.25">
      <c r="A2384" t="s">
        <v>3791</v>
      </c>
      <c r="B2384" t="s">
        <v>3792</v>
      </c>
      <c r="C2384" s="3">
        <v>45920</v>
      </c>
      <c r="D2384">
        <v>30</v>
      </c>
      <c r="E2384" s="3" t="str">
        <f t="shared" si="37"/>
        <v/>
      </c>
      <c r="F2384" s="3" t="str">
        <f>IF(TableRefills3[[#This Row],[prev_refill_days]]="","",TableRefills3[[#This Row],[prev_refill_days]]+TableRefills3[[#This Row],[quantity_days]])</f>
        <v/>
      </c>
      <c r="G2384" t="str">
        <f>IF(TableRefills3[[#This Row],[prev_refill_end]]="","",TableRefills3[[#This Row],[refill_date]]-TableRefills3[[#This Row],[prev_refill_end]])</f>
        <v/>
      </c>
      <c r="H2384" s="10">
        <f>IF(TableRefills3[[#This Row],[gap_days]]="",0,IF(TableRefills3[[#This Row],[gap_days]]&gt;2,1,0))</f>
        <v>0</v>
      </c>
      <c r="I2384">
        <f>_xlfn.MAXIFS(TableRefills3[discountinuation_flag], TableRefills3[patient_id], A2384)</f>
        <v>1</v>
      </c>
    </row>
    <row r="2385" spans="1:9" x14ac:dyDescent="0.25">
      <c r="A2385" t="s">
        <v>3791</v>
      </c>
      <c r="B2385" t="s">
        <v>3792</v>
      </c>
      <c r="C2385" s="3">
        <v>45953</v>
      </c>
      <c r="D2385">
        <v>30</v>
      </c>
      <c r="E2385" s="3">
        <f t="shared" si="37"/>
        <v>45920</v>
      </c>
      <c r="F2385" s="3">
        <f>IF(TableRefills3[[#This Row],[prev_refill_days]]="","",TableRefills3[[#This Row],[prev_refill_days]]+TableRefills3[[#This Row],[quantity_days]])</f>
        <v>45950</v>
      </c>
      <c r="G2385">
        <f>IF(TableRefills3[[#This Row],[prev_refill_end]]="","",TableRefills3[[#This Row],[refill_date]]-TableRefills3[[#This Row],[prev_refill_end]])</f>
        <v>3</v>
      </c>
      <c r="H2385" s="10">
        <f>IF(TableRefills3[[#This Row],[gap_days]]="",0,IF(TableRefills3[[#This Row],[gap_days]]&gt;2,1,0))</f>
        <v>1</v>
      </c>
      <c r="I2385">
        <f>_xlfn.MAXIFS(TableRefills3[discountinuation_flag], TableRefills3[patient_id], A2385)</f>
        <v>1</v>
      </c>
    </row>
    <row r="2386" spans="1:9" x14ac:dyDescent="0.25">
      <c r="A2386" t="s">
        <v>3795</v>
      </c>
      <c r="B2386" t="s">
        <v>3796</v>
      </c>
      <c r="C2386" s="3">
        <v>45882</v>
      </c>
      <c r="D2386">
        <v>28</v>
      </c>
      <c r="E2386" s="3" t="str">
        <f t="shared" si="37"/>
        <v/>
      </c>
      <c r="F2386" s="3" t="str">
        <f>IF(TableRefills3[[#This Row],[prev_refill_days]]="","",TableRefills3[[#This Row],[prev_refill_days]]+TableRefills3[[#This Row],[quantity_days]])</f>
        <v/>
      </c>
      <c r="G2386" t="str">
        <f>IF(TableRefills3[[#This Row],[prev_refill_end]]="","",TableRefills3[[#This Row],[refill_date]]-TableRefills3[[#This Row],[prev_refill_end]])</f>
        <v/>
      </c>
      <c r="H2386" s="10">
        <f>IF(TableRefills3[[#This Row],[gap_days]]="",0,IF(TableRefills3[[#This Row],[gap_days]]&gt;2,1,0))</f>
        <v>0</v>
      </c>
      <c r="I2386">
        <f>_xlfn.MAXIFS(TableRefills3[discountinuation_flag], TableRefills3[patient_id], A2386)</f>
        <v>0</v>
      </c>
    </row>
    <row r="2387" spans="1:9" x14ac:dyDescent="0.25">
      <c r="A2387" t="s">
        <v>3795</v>
      </c>
      <c r="B2387" t="s">
        <v>3796</v>
      </c>
      <c r="C2387" s="3">
        <v>45911</v>
      </c>
      <c r="D2387">
        <v>28</v>
      </c>
      <c r="E2387" s="3">
        <f t="shared" si="37"/>
        <v>45882</v>
      </c>
      <c r="F2387" s="3">
        <f>IF(TableRefills3[[#This Row],[prev_refill_days]]="","",TableRefills3[[#This Row],[prev_refill_days]]+TableRefills3[[#This Row],[quantity_days]])</f>
        <v>45910</v>
      </c>
      <c r="G2387">
        <f>IF(TableRefills3[[#This Row],[prev_refill_end]]="","",TableRefills3[[#This Row],[refill_date]]-TableRefills3[[#This Row],[prev_refill_end]])</f>
        <v>1</v>
      </c>
      <c r="H2387" s="10">
        <f>IF(TableRefills3[[#This Row],[gap_days]]="",0,IF(TableRefills3[[#This Row],[gap_days]]&gt;2,1,0))</f>
        <v>0</v>
      </c>
      <c r="I2387">
        <f>_xlfn.MAXIFS(TableRefills3[discountinuation_flag], TableRefills3[patient_id], A2387)</f>
        <v>0</v>
      </c>
    </row>
    <row r="2388" spans="1:9" x14ac:dyDescent="0.25">
      <c r="A2388" t="s">
        <v>3795</v>
      </c>
      <c r="B2388" t="s">
        <v>3796</v>
      </c>
      <c r="C2388" s="3">
        <v>45939</v>
      </c>
      <c r="D2388">
        <v>28</v>
      </c>
      <c r="E2388" s="3">
        <f t="shared" si="37"/>
        <v>45911</v>
      </c>
      <c r="F2388" s="3">
        <f>IF(TableRefills3[[#This Row],[prev_refill_days]]="","",TableRefills3[[#This Row],[prev_refill_days]]+TableRefills3[[#This Row],[quantity_days]])</f>
        <v>45939</v>
      </c>
      <c r="G2388">
        <f>IF(TableRefills3[[#This Row],[prev_refill_end]]="","",TableRefills3[[#This Row],[refill_date]]-TableRefills3[[#This Row],[prev_refill_end]])</f>
        <v>0</v>
      </c>
      <c r="H2388" s="10">
        <f>IF(TableRefills3[[#This Row],[gap_days]]="",0,IF(TableRefills3[[#This Row],[gap_days]]&gt;2,1,0))</f>
        <v>0</v>
      </c>
      <c r="I2388">
        <f>_xlfn.MAXIFS(TableRefills3[discountinuation_flag], TableRefills3[patient_id], A2388)</f>
        <v>0</v>
      </c>
    </row>
    <row r="2389" spans="1:9" x14ac:dyDescent="0.25">
      <c r="A2389" t="s">
        <v>3800</v>
      </c>
      <c r="B2389" t="s">
        <v>3801</v>
      </c>
      <c r="C2389" s="3">
        <v>45784</v>
      </c>
      <c r="D2389">
        <v>28</v>
      </c>
      <c r="E2389" s="3" t="str">
        <f t="shared" si="37"/>
        <v/>
      </c>
      <c r="F2389" s="3" t="str">
        <f>IF(TableRefills3[[#This Row],[prev_refill_days]]="","",TableRefills3[[#This Row],[prev_refill_days]]+TableRefills3[[#This Row],[quantity_days]])</f>
        <v/>
      </c>
      <c r="G2389" t="str">
        <f>IF(TableRefills3[[#This Row],[prev_refill_end]]="","",TableRefills3[[#This Row],[refill_date]]-TableRefills3[[#This Row],[prev_refill_end]])</f>
        <v/>
      </c>
      <c r="H2389" s="10">
        <f>IF(TableRefills3[[#This Row],[gap_days]]="",0,IF(TableRefills3[[#This Row],[gap_days]]&gt;2,1,0))</f>
        <v>0</v>
      </c>
      <c r="I2389">
        <f>_xlfn.MAXIFS(TableRefills3[discountinuation_flag], TableRefills3[patient_id], A2389)</f>
        <v>0</v>
      </c>
    </row>
    <row r="2390" spans="1:9" x14ac:dyDescent="0.25">
      <c r="A2390" t="s">
        <v>3800</v>
      </c>
      <c r="B2390" t="s">
        <v>3801</v>
      </c>
      <c r="C2390" s="3">
        <v>45811</v>
      </c>
      <c r="D2390">
        <v>28</v>
      </c>
      <c r="E2390" s="3">
        <f t="shared" si="37"/>
        <v>45784</v>
      </c>
      <c r="F2390" s="3">
        <f>IF(TableRefills3[[#This Row],[prev_refill_days]]="","",TableRefills3[[#This Row],[prev_refill_days]]+TableRefills3[[#This Row],[quantity_days]])</f>
        <v>45812</v>
      </c>
      <c r="G2390">
        <f>IF(TableRefills3[[#This Row],[prev_refill_end]]="","",TableRefills3[[#This Row],[refill_date]]-TableRefills3[[#This Row],[prev_refill_end]])</f>
        <v>-1</v>
      </c>
      <c r="H2390" s="10">
        <f>IF(TableRefills3[[#This Row],[gap_days]]="",0,IF(TableRefills3[[#This Row],[gap_days]]&gt;2,1,0))</f>
        <v>0</v>
      </c>
      <c r="I2390">
        <f>_xlfn.MAXIFS(TableRefills3[discountinuation_flag], TableRefills3[patient_id], A2390)</f>
        <v>0</v>
      </c>
    </row>
    <row r="2391" spans="1:9" x14ac:dyDescent="0.25">
      <c r="A2391" t="s">
        <v>3800</v>
      </c>
      <c r="B2391" t="s">
        <v>3801</v>
      </c>
      <c r="C2391" s="3">
        <v>45836</v>
      </c>
      <c r="D2391">
        <v>28</v>
      </c>
      <c r="E2391" s="3">
        <f t="shared" si="37"/>
        <v>45811</v>
      </c>
      <c r="F2391" s="3">
        <f>IF(TableRefills3[[#This Row],[prev_refill_days]]="","",TableRefills3[[#This Row],[prev_refill_days]]+TableRefills3[[#This Row],[quantity_days]])</f>
        <v>45839</v>
      </c>
      <c r="G2391">
        <f>IF(TableRefills3[[#This Row],[prev_refill_end]]="","",TableRefills3[[#This Row],[refill_date]]-TableRefills3[[#This Row],[prev_refill_end]])</f>
        <v>-3</v>
      </c>
      <c r="H2391" s="10">
        <f>IF(TableRefills3[[#This Row],[gap_days]]="",0,IF(TableRefills3[[#This Row],[gap_days]]&gt;2,1,0))</f>
        <v>0</v>
      </c>
      <c r="I2391">
        <f>_xlfn.MAXIFS(TableRefills3[discountinuation_flag], TableRefills3[patient_id], A2391)</f>
        <v>0</v>
      </c>
    </row>
    <row r="2392" spans="1:9" x14ac:dyDescent="0.25">
      <c r="A2392" t="s">
        <v>3800</v>
      </c>
      <c r="B2392" t="s">
        <v>3801</v>
      </c>
      <c r="C2392" s="3">
        <v>45864</v>
      </c>
      <c r="D2392">
        <v>28</v>
      </c>
      <c r="E2392" s="3">
        <f t="shared" si="37"/>
        <v>45836</v>
      </c>
      <c r="F2392" s="3">
        <f>IF(TableRefills3[[#This Row],[prev_refill_days]]="","",TableRefills3[[#This Row],[prev_refill_days]]+TableRefills3[[#This Row],[quantity_days]])</f>
        <v>45864</v>
      </c>
      <c r="G2392">
        <f>IF(TableRefills3[[#This Row],[prev_refill_end]]="","",TableRefills3[[#This Row],[refill_date]]-TableRefills3[[#This Row],[prev_refill_end]])</f>
        <v>0</v>
      </c>
      <c r="H2392" s="10">
        <f>IF(TableRefills3[[#This Row],[gap_days]]="",0,IF(TableRefills3[[#This Row],[gap_days]]&gt;2,1,0))</f>
        <v>0</v>
      </c>
      <c r="I2392">
        <f>_xlfn.MAXIFS(TableRefills3[discountinuation_flag], TableRefills3[patient_id], A2392)</f>
        <v>0</v>
      </c>
    </row>
    <row r="2393" spans="1:9" x14ac:dyDescent="0.25">
      <c r="A2393" t="s">
        <v>3800</v>
      </c>
      <c r="B2393" t="s">
        <v>3801</v>
      </c>
      <c r="C2393" s="3">
        <v>45891</v>
      </c>
      <c r="D2393">
        <v>28</v>
      </c>
      <c r="E2393" s="3">
        <f t="shared" si="37"/>
        <v>45864</v>
      </c>
      <c r="F2393" s="3">
        <f>IF(TableRefills3[[#This Row],[prev_refill_days]]="","",TableRefills3[[#This Row],[prev_refill_days]]+TableRefills3[[#This Row],[quantity_days]])</f>
        <v>45892</v>
      </c>
      <c r="G2393">
        <f>IF(TableRefills3[[#This Row],[prev_refill_end]]="","",TableRefills3[[#This Row],[refill_date]]-TableRefills3[[#This Row],[prev_refill_end]])</f>
        <v>-1</v>
      </c>
      <c r="H2393" s="10">
        <f>IF(TableRefills3[[#This Row],[gap_days]]="",0,IF(TableRefills3[[#This Row],[gap_days]]&gt;2,1,0))</f>
        <v>0</v>
      </c>
      <c r="I2393">
        <f>_xlfn.MAXIFS(TableRefills3[discountinuation_flag], TableRefills3[patient_id], A2393)</f>
        <v>0</v>
      </c>
    </row>
    <row r="2394" spans="1:9" x14ac:dyDescent="0.25">
      <c r="A2394" t="s">
        <v>3800</v>
      </c>
      <c r="B2394" t="s">
        <v>3801</v>
      </c>
      <c r="C2394" s="3">
        <v>45920</v>
      </c>
      <c r="D2394">
        <v>28</v>
      </c>
      <c r="E2394" s="3">
        <f t="shared" si="37"/>
        <v>45891</v>
      </c>
      <c r="F2394" s="3">
        <f>IF(TableRefills3[[#This Row],[prev_refill_days]]="","",TableRefills3[[#This Row],[prev_refill_days]]+TableRefills3[[#This Row],[quantity_days]])</f>
        <v>45919</v>
      </c>
      <c r="G2394">
        <f>IF(TableRefills3[[#This Row],[prev_refill_end]]="","",TableRefills3[[#This Row],[refill_date]]-TableRefills3[[#This Row],[prev_refill_end]])</f>
        <v>1</v>
      </c>
      <c r="H2394" s="10">
        <f>IF(TableRefills3[[#This Row],[gap_days]]="",0,IF(TableRefills3[[#This Row],[gap_days]]&gt;2,1,0))</f>
        <v>0</v>
      </c>
      <c r="I2394">
        <f>_xlfn.MAXIFS(TableRefills3[discountinuation_flag], TableRefills3[patient_id], A2394)</f>
        <v>0</v>
      </c>
    </row>
    <row r="2395" spans="1:9" x14ac:dyDescent="0.25">
      <c r="A2395" t="s">
        <v>3800</v>
      </c>
      <c r="B2395" t="s">
        <v>3801</v>
      </c>
      <c r="C2395" s="3">
        <v>45950</v>
      </c>
      <c r="D2395">
        <v>28</v>
      </c>
      <c r="E2395" s="3">
        <f t="shared" si="37"/>
        <v>45920</v>
      </c>
      <c r="F2395" s="3">
        <f>IF(TableRefills3[[#This Row],[prev_refill_days]]="","",TableRefills3[[#This Row],[prev_refill_days]]+TableRefills3[[#This Row],[quantity_days]])</f>
        <v>45948</v>
      </c>
      <c r="G2395">
        <f>IF(TableRefills3[[#This Row],[prev_refill_end]]="","",TableRefills3[[#This Row],[refill_date]]-TableRefills3[[#This Row],[prev_refill_end]])</f>
        <v>2</v>
      </c>
      <c r="H2395" s="10">
        <f>IF(TableRefills3[[#This Row],[gap_days]]="",0,IF(TableRefills3[[#This Row],[gap_days]]&gt;2,1,0))</f>
        <v>0</v>
      </c>
      <c r="I2395">
        <f>_xlfn.MAXIFS(TableRefills3[discountinuation_flag], TableRefills3[patient_id], A2395)</f>
        <v>0</v>
      </c>
    </row>
    <row r="2396" spans="1:9" x14ac:dyDescent="0.25">
      <c r="A2396" t="s">
        <v>3809</v>
      </c>
      <c r="B2396" t="s">
        <v>3810</v>
      </c>
      <c r="C2396" s="3">
        <v>45868</v>
      </c>
      <c r="D2396">
        <v>28</v>
      </c>
      <c r="E2396" s="3" t="str">
        <f t="shared" si="37"/>
        <v/>
      </c>
      <c r="F2396" s="3" t="str">
        <f>IF(TableRefills3[[#This Row],[prev_refill_days]]="","",TableRefills3[[#This Row],[prev_refill_days]]+TableRefills3[[#This Row],[quantity_days]])</f>
        <v/>
      </c>
      <c r="G2396" t="str">
        <f>IF(TableRefills3[[#This Row],[prev_refill_end]]="","",TableRefills3[[#This Row],[refill_date]]-TableRefills3[[#This Row],[prev_refill_end]])</f>
        <v/>
      </c>
      <c r="H2396" s="10">
        <f>IF(TableRefills3[[#This Row],[gap_days]]="",0,IF(TableRefills3[[#This Row],[gap_days]]&gt;2,1,0))</f>
        <v>0</v>
      </c>
      <c r="I2396">
        <f>_xlfn.MAXIFS(TableRefills3[discountinuation_flag], TableRefills3[patient_id], A2396)</f>
        <v>1</v>
      </c>
    </row>
    <row r="2397" spans="1:9" x14ac:dyDescent="0.25">
      <c r="A2397" t="s">
        <v>3809</v>
      </c>
      <c r="B2397" t="s">
        <v>3810</v>
      </c>
      <c r="C2397" s="3">
        <v>45898</v>
      </c>
      <c r="D2397">
        <v>28</v>
      </c>
      <c r="E2397" s="3">
        <f t="shared" si="37"/>
        <v>45868</v>
      </c>
      <c r="F2397" s="3">
        <f>IF(TableRefills3[[#This Row],[prev_refill_days]]="","",TableRefills3[[#This Row],[prev_refill_days]]+TableRefills3[[#This Row],[quantity_days]])</f>
        <v>45896</v>
      </c>
      <c r="G2397">
        <f>IF(TableRefills3[[#This Row],[prev_refill_end]]="","",TableRefills3[[#This Row],[refill_date]]-TableRefills3[[#This Row],[prev_refill_end]])</f>
        <v>2</v>
      </c>
      <c r="H2397" s="10">
        <f>IF(TableRefills3[[#This Row],[gap_days]]="",0,IF(TableRefills3[[#This Row],[gap_days]]&gt;2,1,0))</f>
        <v>0</v>
      </c>
      <c r="I2397">
        <f>_xlfn.MAXIFS(TableRefills3[discountinuation_flag], TableRefills3[patient_id], A2397)</f>
        <v>1</v>
      </c>
    </row>
    <row r="2398" spans="1:9" x14ac:dyDescent="0.25">
      <c r="A2398" t="s">
        <v>3809</v>
      </c>
      <c r="B2398" t="s">
        <v>3810</v>
      </c>
      <c r="C2398" s="3">
        <v>45929</v>
      </c>
      <c r="D2398">
        <v>28</v>
      </c>
      <c r="E2398" s="3">
        <f t="shared" si="37"/>
        <v>45898</v>
      </c>
      <c r="F2398" s="3">
        <f>IF(TableRefills3[[#This Row],[prev_refill_days]]="","",TableRefills3[[#This Row],[prev_refill_days]]+TableRefills3[[#This Row],[quantity_days]])</f>
        <v>45926</v>
      </c>
      <c r="G2398">
        <f>IF(TableRefills3[[#This Row],[prev_refill_end]]="","",TableRefills3[[#This Row],[refill_date]]-TableRefills3[[#This Row],[prev_refill_end]])</f>
        <v>3</v>
      </c>
      <c r="H2398" s="10">
        <f>IF(TableRefills3[[#This Row],[gap_days]]="",0,IF(TableRefills3[[#This Row],[gap_days]]&gt;2,1,0))</f>
        <v>1</v>
      </c>
      <c r="I2398">
        <f>_xlfn.MAXIFS(TableRefills3[discountinuation_flag], TableRefills3[patient_id], A2398)</f>
        <v>1</v>
      </c>
    </row>
    <row r="2399" spans="1:9" x14ac:dyDescent="0.25">
      <c r="A2399" t="s">
        <v>3809</v>
      </c>
      <c r="B2399" t="s">
        <v>3810</v>
      </c>
      <c r="C2399" s="3">
        <v>45960</v>
      </c>
      <c r="D2399">
        <v>28</v>
      </c>
      <c r="E2399" s="3">
        <f t="shared" si="37"/>
        <v>45929</v>
      </c>
      <c r="F2399" s="3">
        <f>IF(TableRefills3[[#This Row],[prev_refill_days]]="","",TableRefills3[[#This Row],[prev_refill_days]]+TableRefills3[[#This Row],[quantity_days]])</f>
        <v>45957</v>
      </c>
      <c r="G2399">
        <f>IF(TableRefills3[[#This Row],[prev_refill_end]]="","",TableRefills3[[#This Row],[refill_date]]-TableRefills3[[#This Row],[prev_refill_end]])</f>
        <v>3</v>
      </c>
      <c r="H2399" s="10">
        <f>IF(TableRefills3[[#This Row],[gap_days]]="",0,IF(TableRefills3[[#This Row],[gap_days]]&gt;2,1,0))</f>
        <v>1</v>
      </c>
      <c r="I2399">
        <f>_xlfn.MAXIFS(TableRefills3[discountinuation_flag], TableRefills3[patient_id], A2399)</f>
        <v>1</v>
      </c>
    </row>
    <row r="2400" spans="1:9" x14ac:dyDescent="0.25">
      <c r="A2400" t="s">
        <v>3815</v>
      </c>
      <c r="B2400" t="s">
        <v>3816</v>
      </c>
      <c r="C2400" s="3">
        <v>45801</v>
      </c>
      <c r="D2400">
        <v>14</v>
      </c>
      <c r="E2400" s="3" t="str">
        <f t="shared" si="37"/>
        <v/>
      </c>
      <c r="F2400" s="3" t="str">
        <f>IF(TableRefills3[[#This Row],[prev_refill_days]]="","",TableRefills3[[#This Row],[prev_refill_days]]+TableRefills3[[#This Row],[quantity_days]])</f>
        <v/>
      </c>
      <c r="G2400" t="str">
        <f>IF(TableRefills3[[#This Row],[prev_refill_end]]="","",TableRefills3[[#This Row],[refill_date]]-TableRefills3[[#This Row],[prev_refill_end]])</f>
        <v/>
      </c>
      <c r="H2400" s="10">
        <f>IF(TableRefills3[[#This Row],[gap_days]]="",0,IF(TableRefills3[[#This Row],[gap_days]]&gt;2,1,0))</f>
        <v>0</v>
      </c>
      <c r="I2400">
        <f>_xlfn.MAXIFS(TableRefills3[discountinuation_flag], TableRefills3[patient_id], A2400)</f>
        <v>1</v>
      </c>
    </row>
    <row r="2401" spans="1:9" x14ac:dyDescent="0.25">
      <c r="A2401" t="s">
        <v>3815</v>
      </c>
      <c r="B2401" t="s">
        <v>3816</v>
      </c>
      <c r="C2401" s="3">
        <v>45812</v>
      </c>
      <c r="D2401">
        <v>14</v>
      </c>
      <c r="E2401" s="3">
        <f t="shared" si="37"/>
        <v>45801</v>
      </c>
      <c r="F2401" s="3">
        <f>IF(TableRefills3[[#This Row],[prev_refill_days]]="","",TableRefills3[[#This Row],[prev_refill_days]]+TableRefills3[[#This Row],[quantity_days]])</f>
        <v>45815</v>
      </c>
      <c r="G2401">
        <f>IF(TableRefills3[[#This Row],[prev_refill_end]]="","",TableRefills3[[#This Row],[refill_date]]-TableRefills3[[#This Row],[prev_refill_end]])</f>
        <v>-3</v>
      </c>
      <c r="H2401" s="10">
        <f>IF(TableRefills3[[#This Row],[gap_days]]="",0,IF(TableRefills3[[#This Row],[gap_days]]&gt;2,1,0))</f>
        <v>0</v>
      </c>
      <c r="I2401">
        <f>_xlfn.MAXIFS(TableRefills3[discountinuation_flag], TableRefills3[patient_id], A2401)</f>
        <v>1</v>
      </c>
    </row>
    <row r="2402" spans="1:9" x14ac:dyDescent="0.25">
      <c r="A2402" t="s">
        <v>3815</v>
      </c>
      <c r="B2402" t="s">
        <v>3816</v>
      </c>
      <c r="C2402" s="3">
        <v>45827</v>
      </c>
      <c r="D2402">
        <v>14</v>
      </c>
      <c r="E2402" s="3">
        <f t="shared" si="37"/>
        <v>45812</v>
      </c>
      <c r="F2402" s="3">
        <f>IF(TableRefills3[[#This Row],[prev_refill_days]]="","",TableRefills3[[#This Row],[prev_refill_days]]+TableRefills3[[#This Row],[quantity_days]])</f>
        <v>45826</v>
      </c>
      <c r="G2402">
        <f>IF(TableRefills3[[#This Row],[prev_refill_end]]="","",TableRefills3[[#This Row],[refill_date]]-TableRefills3[[#This Row],[prev_refill_end]])</f>
        <v>1</v>
      </c>
      <c r="H2402" s="10">
        <f>IF(TableRefills3[[#This Row],[gap_days]]="",0,IF(TableRefills3[[#This Row],[gap_days]]&gt;2,1,0))</f>
        <v>0</v>
      </c>
      <c r="I2402">
        <f>_xlfn.MAXIFS(TableRefills3[discountinuation_flag], TableRefills3[patient_id], A2402)</f>
        <v>1</v>
      </c>
    </row>
    <row r="2403" spans="1:9" x14ac:dyDescent="0.25">
      <c r="A2403" t="s">
        <v>3815</v>
      </c>
      <c r="B2403" t="s">
        <v>3816</v>
      </c>
      <c r="C2403" s="3">
        <v>45839</v>
      </c>
      <c r="D2403">
        <v>14</v>
      </c>
      <c r="E2403" s="3">
        <f t="shared" si="37"/>
        <v>45827</v>
      </c>
      <c r="F2403" s="3">
        <f>IF(TableRefills3[[#This Row],[prev_refill_days]]="","",TableRefills3[[#This Row],[prev_refill_days]]+TableRefills3[[#This Row],[quantity_days]])</f>
        <v>45841</v>
      </c>
      <c r="G2403">
        <f>IF(TableRefills3[[#This Row],[prev_refill_end]]="","",TableRefills3[[#This Row],[refill_date]]-TableRefills3[[#This Row],[prev_refill_end]])</f>
        <v>-2</v>
      </c>
      <c r="H2403" s="10">
        <f>IF(TableRefills3[[#This Row],[gap_days]]="",0,IF(TableRefills3[[#This Row],[gap_days]]&gt;2,1,0))</f>
        <v>0</v>
      </c>
      <c r="I2403">
        <f>_xlfn.MAXIFS(TableRefills3[discountinuation_flag], TableRefills3[patient_id], A2403)</f>
        <v>1</v>
      </c>
    </row>
    <row r="2404" spans="1:9" x14ac:dyDescent="0.25">
      <c r="A2404" t="s">
        <v>3815</v>
      </c>
      <c r="B2404" t="s">
        <v>3816</v>
      </c>
      <c r="C2404" s="3">
        <v>45855</v>
      </c>
      <c r="D2404">
        <v>14</v>
      </c>
      <c r="E2404" s="3">
        <f t="shared" si="37"/>
        <v>45839</v>
      </c>
      <c r="F2404" s="3">
        <f>IF(TableRefills3[[#This Row],[prev_refill_days]]="","",TableRefills3[[#This Row],[prev_refill_days]]+TableRefills3[[#This Row],[quantity_days]])</f>
        <v>45853</v>
      </c>
      <c r="G2404">
        <f>IF(TableRefills3[[#This Row],[prev_refill_end]]="","",TableRefills3[[#This Row],[refill_date]]-TableRefills3[[#This Row],[prev_refill_end]])</f>
        <v>2</v>
      </c>
      <c r="H2404" s="10">
        <f>IF(TableRefills3[[#This Row],[gap_days]]="",0,IF(TableRefills3[[#This Row],[gap_days]]&gt;2,1,0))</f>
        <v>0</v>
      </c>
      <c r="I2404">
        <f>_xlfn.MAXIFS(TableRefills3[discountinuation_flag], TableRefills3[patient_id], A2404)</f>
        <v>1</v>
      </c>
    </row>
    <row r="2405" spans="1:9" x14ac:dyDescent="0.25">
      <c r="A2405" t="s">
        <v>3815</v>
      </c>
      <c r="B2405" t="s">
        <v>3816</v>
      </c>
      <c r="C2405" s="3">
        <v>45871</v>
      </c>
      <c r="D2405">
        <v>14</v>
      </c>
      <c r="E2405" s="3">
        <f t="shared" si="37"/>
        <v>45855</v>
      </c>
      <c r="F2405" s="3">
        <f>IF(TableRefills3[[#This Row],[prev_refill_days]]="","",TableRefills3[[#This Row],[prev_refill_days]]+TableRefills3[[#This Row],[quantity_days]])</f>
        <v>45869</v>
      </c>
      <c r="G2405">
        <f>IF(TableRefills3[[#This Row],[prev_refill_end]]="","",TableRefills3[[#This Row],[refill_date]]-TableRefills3[[#This Row],[prev_refill_end]])</f>
        <v>2</v>
      </c>
      <c r="H2405" s="10">
        <f>IF(TableRefills3[[#This Row],[gap_days]]="",0,IF(TableRefills3[[#This Row],[gap_days]]&gt;2,1,0))</f>
        <v>0</v>
      </c>
      <c r="I2405">
        <f>_xlfn.MAXIFS(TableRefills3[discountinuation_flag], TableRefills3[patient_id], A2405)</f>
        <v>1</v>
      </c>
    </row>
    <row r="2406" spans="1:9" x14ac:dyDescent="0.25">
      <c r="A2406" t="s">
        <v>3815</v>
      </c>
      <c r="B2406" t="s">
        <v>3816</v>
      </c>
      <c r="C2406" s="3">
        <v>45882</v>
      </c>
      <c r="D2406">
        <v>14</v>
      </c>
      <c r="E2406" s="3">
        <f t="shared" si="37"/>
        <v>45871</v>
      </c>
      <c r="F2406" s="3">
        <f>IF(TableRefills3[[#This Row],[prev_refill_days]]="","",TableRefills3[[#This Row],[prev_refill_days]]+TableRefills3[[#This Row],[quantity_days]])</f>
        <v>45885</v>
      </c>
      <c r="G2406">
        <f>IF(TableRefills3[[#This Row],[prev_refill_end]]="","",TableRefills3[[#This Row],[refill_date]]-TableRefills3[[#This Row],[prev_refill_end]])</f>
        <v>-3</v>
      </c>
      <c r="H2406" s="10">
        <f>IF(TableRefills3[[#This Row],[gap_days]]="",0,IF(TableRefills3[[#This Row],[gap_days]]&gt;2,1,0))</f>
        <v>0</v>
      </c>
      <c r="I2406">
        <f>_xlfn.MAXIFS(TableRefills3[discountinuation_flag], TableRefills3[patient_id], A2406)</f>
        <v>1</v>
      </c>
    </row>
    <row r="2407" spans="1:9" x14ac:dyDescent="0.25">
      <c r="A2407" t="s">
        <v>3815</v>
      </c>
      <c r="B2407" t="s">
        <v>3816</v>
      </c>
      <c r="C2407" s="3">
        <v>45898</v>
      </c>
      <c r="D2407">
        <v>14</v>
      </c>
      <c r="E2407" s="3">
        <f t="shared" si="37"/>
        <v>45882</v>
      </c>
      <c r="F2407" s="3">
        <f>IF(TableRefills3[[#This Row],[prev_refill_days]]="","",TableRefills3[[#This Row],[prev_refill_days]]+TableRefills3[[#This Row],[quantity_days]])</f>
        <v>45896</v>
      </c>
      <c r="G2407">
        <f>IF(TableRefills3[[#This Row],[prev_refill_end]]="","",TableRefills3[[#This Row],[refill_date]]-TableRefills3[[#This Row],[prev_refill_end]])</f>
        <v>2</v>
      </c>
      <c r="H2407" s="10">
        <f>IF(TableRefills3[[#This Row],[gap_days]]="",0,IF(TableRefills3[[#This Row],[gap_days]]&gt;2,1,0))</f>
        <v>0</v>
      </c>
      <c r="I2407">
        <f>_xlfn.MAXIFS(TableRefills3[discountinuation_flag], TableRefills3[patient_id], A2407)</f>
        <v>1</v>
      </c>
    </row>
    <row r="2408" spans="1:9" x14ac:dyDescent="0.25">
      <c r="A2408" t="s">
        <v>3815</v>
      </c>
      <c r="B2408" t="s">
        <v>3816</v>
      </c>
      <c r="C2408" s="3">
        <v>45915</v>
      </c>
      <c r="D2408">
        <v>14</v>
      </c>
      <c r="E2408" s="3">
        <f t="shared" si="37"/>
        <v>45898</v>
      </c>
      <c r="F2408" s="3">
        <f>IF(TableRefills3[[#This Row],[prev_refill_days]]="","",TableRefills3[[#This Row],[prev_refill_days]]+TableRefills3[[#This Row],[quantity_days]])</f>
        <v>45912</v>
      </c>
      <c r="G2408">
        <f>IF(TableRefills3[[#This Row],[prev_refill_end]]="","",TableRefills3[[#This Row],[refill_date]]-TableRefills3[[#This Row],[prev_refill_end]])</f>
        <v>3</v>
      </c>
      <c r="H2408" s="10">
        <f>IF(TableRefills3[[#This Row],[gap_days]]="",0,IF(TableRefills3[[#This Row],[gap_days]]&gt;2,1,0))</f>
        <v>1</v>
      </c>
      <c r="I2408">
        <f>_xlfn.MAXIFS(TableRefills3[discountinuation_flag], TableRefills3[patient_id], A2408)</f>
        <v>1</v>
      </c>
    </row>
    <row r="2409" spans="1:9" x14ac:dyDescent="0.25">
      <c r="A2409" t="s">
        <v>3815</v>
      </c>
      <c r="B2409" t="s">
        <v>3816</v>
      </c>
      <c r="C2409" s="3">
        <v>45928</v>
      </c>
      <c r="D2409">
        <v>14</v>
      </c>
      <c r="E2409" s="3">
        <f t="shared" si="37"/>
        <v>45915</v>
      </c>
      <c r="F2409" s="3">
        <f>IF(TableRefills3[[#This Row],[prev_refill_days]]="","",TableRefills3[[#This Row],[prev_refill_days]]+TableRefills3[[#This Row],[quantity_days]])</f>
        <v>45929</v>
      </c>
      <c r="G2409">
        <f>IF(TableRefills3[[#This Row],[prev_refill_end]]="","",TableRefills3[[#This Row],[refill_date]]-TableRefills3[[#This Row],[prev_refill_end]])</f>
        <v>-1</v>
      </c>
      <c r="H2409" s="10">
        <f>IF(TableRefills3[[#This Row],[gap_days]]="",0,IF(TableRefills3[[#This Row],[gap_days]]&gt;2,1,0))</f>
        <v>0</v>
      </c>
      <c r="I2409">
        <f>_xlfn.MAXIFS(TableRefills3[discountinuation_flag], TableRefills3[patient_id], A2409)</f>
        <v>1</v>
      </c>
    </row>
    <row r="2410" spans="1:9" x14ac:dyDescent="0.25">
      <c r="A2410" t="s">
        <v>3815</v>
      </c>
      <c r="B2410" t="s">
        <v>3816</v>
      </c>
      <c r="C2410" s="3">
        <v>45939</v>
      </c>
      <c r="D2410">
        <v>14</v>
      </c>
      <c r="E2410" s="3">
        <f t="shared" si="37"/>
        <v>45928</v>
      </c>
      <c r="F2410" s="3">
        <f>IF(TableRefills3[[#This Row],[prev_refill_days]]="","",TableRefills3[[#This Row],[prev_refill_days]]+TableRefills3[[#This Row],[quantity_days]])</f>
        <v>45942</v>
      </c>
      <c r="G2410">
        <f>IF(TableRefills3[[#This Row],[prev_refill_end]]="","",TableRefills3[[#This Row],[refill_date]]-TableRefills3[[#This Row],[prev_refill_end]])</f>
        <v>-3</v>
      </c>
      <c r="H2410" s="10">
        <f>IF(TableRefills3[[#This Row],[gap_days]]="",0,IF(TableRefills3[[#This Row],[gap_days]]&gt;2,1,0))</f>
        <v>0</v>
      </c>
      <c r="I2410">
        <f>_xlfn.MAXIFS(TableRefills3[discountinuation_flag], TableRefills3[patient_id], A2410)</f>
        <v>1</v>
      </c>
    </row>
    <row r="2411" spans="1:9" x14ac:dyDescent="0.25">
      <c r="A2411" t="s">
        <v>3815</v>
      </c>
      <c r="B2411" t="s">
        <v>3816</v>
      </c>
      <c r="C2411" s="3">
        <v>45952</v>
      </c>
      <c r="D2411">
        <v>14</v>
      </c>
      <c r="E2411" s="3">
        <f t="shared" si="37"/>
        <v>45939</v>
      </c>
      <c r="F2411" s="3">
        <f>IF(TableRefills3[[#This Row],[prev_refill_days]]="","",TableRefills3[[#This Row],[prev_refill_days]]+TableRefills3[[#This Row],[quantity_days]])</f>
        <v>45953</v>
      </c>
      <c r="G2411">
        <f>IF(TableRefills3[[#This Row],[prev_refill_end]]="","",TableRefills3[[#This Row],[refill_date]]-TableRefills3[[#This Row],[prev_refill_end]])</f>
        <v>-1</v>
      </c>
      <c r="H2411" s="10">
        <f>IF(TableRefills3[[#This Row],[gap_days]]="",0,IF(TableRefills3[[#This Row],[gap_days]]&gt;2,1,0))</f>
        <v>0</v>
      </c>
      <c r="I2411">
        <f>_xlfn.MAXIFS(TableRefills3[discountinuation_flag], TableRefills3[patient_id], A2411)</f>
        <v>1</v>
      </c>
    </row>
    <row r="2412" spans="1:9" x14ac:dyDescent="0.25">
      <c r="A2412" t="s">
        <v>3829</v>
      </c>
      <c r="B2412" t="s">
        <v>3830</v>
      </c>
      <c r="C2412" s="3">
        <v>45931</v>
      </c>
      <c r="D2412">
        <v>28</v>
      </c>
      <c r="E2412" s="3" t="str">
        <f t="shared" si="37"/>
        <v/>
      </c>
      <c r="F2412" s="3" t="str">
        <f>IF(TableRefills3[[#This Row],[prev_refill_days]]="","",TableRefills3[[#This Row],[prev_refill_days]]+TableRefills3[[#This Row],[quantity_days]])</f>
        <v/>
      </c>
      <c r="G2412" t="str">
        <f>IF(TableRefills3[[#This Row],[prev_refill_end]]="","",TableRefills3[[#This Row],[refill_date]]-TableRefills3[[#This Row],[prev_refill_end]])</f>
        <v/>
      </c>
      <c r="H2412" s="10">
        <f>IF(TableRefills3[[#This Row],[gap_days]]="",0,IF(TableRefills3[[#This Row],[gap_days]]&gt;2,1,0))</f>
        <v>0</v>
      </c>
      <c r="I2412">
        <f>_xlfn.MAXIFS(TableRefills3[discountinuation_flag], TableRefills3[patient_id], A2412)</f>
        <v>0</v>
      </c>
    </row>
    <row r="2413" spans="1:9" x14ac:dyDescent="0.25">
      <c r="A2413" t="s">
        <v>3829</v>
      </c>
      <c r="B2413" t="s">
        <v>3830</v>
      </c>
      <c r="C2413" s="3">
        <v>45959</v>
      </c>
      <c r="D2413">
        <v>28</v>
      </c>
      <c r="E2413" s="3">
        <f t="shared" si="37"/>
        <v>45931</v>
      </c>
      <c r="F2413" s="3">
        <f>IF(TableRefills3[[#This Row],[prev_refill_days]]="","",TableRefills3[[#This Row],[prev_refill_days]]+TableRefills3[[#This Row],[quantity_days]])</f>
        <v>45959</v>
      </c>
      <c r="G2413">
        <f>IF(TableRefills3[[#This Row],[prev_refill_end]]="","",TableRefills3[[#This Row],[refill_date]]-TableRefills3[[#This Row],[prev_refill_end]])</f>
        <v>0</v>
      </c>
      <c r="H2413" s="10">
        <f>IF(TableRefills3[[#This Row],[gap_days]]="",0,IF(TableRefills3[[#This Row],[gap_days]]&gt;2,1,0))</f>
        <v>0</v>
      </c>
      <c r="I2413">
        <f>_xlfn.MAXIFS(TableRefills3[discountinuation_flag], TableRefills3[patient_id], A2413)</f>
        <v>0</v>
      </c>
    </row>
    <row r="2414" spans="1:9" x14ac:dyDescent="0.25">
      <c r="A2414" t="s">
        <v>3833</v>
      </c>
      <c r="B2414" t="s">
        <v>3834</v>
      </c>
      <c r="C2414" s="3">
        <v>45861</v>
      </c>
      <c r="D2414">
        <v>28</v>
      </c>
      <c r="E2414" s="3" t="str">
        <f t="shared" si="37"/>
        <v/>
      </c>
      <c r="F2414" s="3" t="str">
        <f>IF(TableRefills3[[#This Row],[prev_refill_days]]="","",TableRefills3[[#This Row],[prev_refill_days]]+TableRefills3[[#This Row],[quantity_days]])</f>
        <v/>
      </c>
      <c r="G2414" t="str">
        <f>IF(TableRefills3[[#This Row],[prev_refill_end]]="","",TableRefills3[[#This Row],[refill_date]]-TableRefills3[[#This Row],[prev_refill_end]])</f>
        <v/>
      </c>
      <c r="H2414" s="10">
        <f>IF(TableRefills3[[#This Row],[gap_days]]="",0,IF(TableRefills3[[#This Row],[gap_days]]&gt;2,1,0))</f>
        <v>0</v>
      </c>
      <c r="I2414">
        <f>_xlfn.MAXIFS(TableRefills3[discountinuation_flag], TableRefills3[patient_id], A2414)</f>
        <v>0</v>
      </c>
    </row>
    <row r="2415" spans="1:9" x14ac:dyDescent="0.25">
      <c r="A2415" t="s">
        <v>3833</v>
      </c>
      <c r="B2415" t="s">
        <v>3834</v>
      </c>
      <c r="C2415" s="3">
        <v>45889</v>
      </c>
      <c r="D2415">
        <v>28</v>
      </c>
      <c r="E2415" s="3">
        <f t="shared" si="37"/>
        <v>45861</v>
      </c>
      <c r="F2415" s="3">
        <f>IF(TableRefills3[[#This Row],[prev_refill_days]]="","",TableRefills3[[#This Row],[prev_refill_days]]+TableRefills3[[#This Row],[quantity_days]])</f>
        <v>45889</v>
      </c>
      <c r="G2415">
        <f>IF(TableRefills3[[#This Row],[prev_refill_end]]="","",TableRefills3[[#This Row],[refill_date]]-TableRefills3[[#This Row],[prev_refill_end]])</f>
        <v>0</v>
      </c>
      <c r="H2415" s="10">
        <f>IF(TableRefills3[[#This Row],[gap_days]]="",0,IF(TableRefills3[[#This Row],[gap_days]]&gt;2,1,0))</f>
        <v>0</v>
      </c>
      <c r="I2415">
        <f>_xlfn.MAXIFS(TableRefills3[discountinuation_flag], TableRefills3[patient_id], A2415)</f>
        <v>0</v>
      </c>
    </row>
    <row r="2416" spans="1:9" x14ac:dyDescent="0.25">
      <c r="A2416" t="s">
        <v>3833</v>
      </c>
      <c r="B2416" t="s">
        <v>3834</v>
      </c>
      <c r="C2416" s="3">
        <v>45919</v>
      </c>
      <c r="D2416">
        <v>28</v>
      </c>
      <c r="E2416" s="3">
        <f t="shared" si="37"/>
        <v>45889</v>
      </c>
      <c r="F2416" s="3">
        <f>IF(TableRefills3[[#This Row],[prev_refill_days]]="","",TableRefills3[[#This Row],[prev_refill_days]]+TableRefills3[[#This Row],[quantity_days]])</f>
        <v>45917</v>
      </c>
      <c r="G2416">
        <f>IF(TableRefills3[[#This Row],[prev_refill_end]]="","",TableRefills3[[#This Row],[refill_date]]-TableRefills3[[#This Row],[prev_refill_end]])</f>
        <v>2</v>
      </c>
      <c r="H2416" s="10">
        <f>IF(TableRefills3[[#This Row],[gap_days]]="",0,IF(TableRefills3[[#This Row],[gap_days]]&gt;2,1,0))</f>
        <v>0</v>
      </c>
      <c r="I2416">
        <f>_xlfn.MAXIFS(TableRefills3[discountinuation_flag], TableRefills3[patient_id], A2416)</f>
        <v>0</v>
      </c>
    </row>
    <row r="2417" spans="1:9" x14ac:dyDescent="0.25">
      <c r="A2417" t="s">
        <v>3833</v>
      </c>
      <c r="B2417" t="s">
        <v>3834</v>
      </c>
      <c r="C2417" s="3">
        <v>45947</v>
      </c>
      <c r="D2417">
        <v>28</v>
      </c>
      <c r="E2417" s="3">
        <f t="shared" si="37"/>
        <v>45919</v>
      </c>
      <c r="F2417" s="3">
        <f>IF(TableRefills3[[#This Row],[prev_refill_days]]="","",TableRefills3[[#This Row],[prev_refill_days]]+TableRefills3[[#This Row],[quantity_days]])</f>
        <v>45947</v>
      </c>
      <c r="G2417">
        <f>IF(TableRefills3[[#This Row],[prev_refill_end]]="","",TableRefills3[[#This Row],[refill_date]]-TableRefills3[[#This Row],[prev_refill_end]])</f>
        <v>0</v>
      </c>
      <c r="H2417" s="10">
        <f>IF(TableRefills3[[#This Row],[gap_days]]="",0,IF(TableRefills3[[#This Row],[gap_days]]&gt;2,1,0))</f>
        <v>0</v>
      </c>
      <c r="I2417">
        <f>_xlfn.MAXIFS(TableRefills3[discountinuation_flag], TableRefills3[patient_id], A2417)</f>
        <v>0</v>
      </c>
    </row>
    <row r="2418" spans="1:9" x14ac:dyDescent="0.25">
      <c r="A2418" t="s">
        <v>3839</v>
      </c>
      <c r="B2418" t="s">
        <v>3840</v>
      </c>
      <c r="C2418" s="3">
        <v>45781</v>
      </c>
      <c r="D2418">
        <v>28</v>
      </c>
      <c r="E2418" s="3" t="str">
        <f t="shared" si="37"/>
        <v/>
      </c>
      <c r="F2418" s="3" t="str">
        <f>IF(TableRefills3[[#This Row],[prev_refill_days]]="","",TableRefills3[[#This Row],[prev_refill_days]]+TableRefills3[[#This Row],[quantity_days]])</f>
        <v/>
      </c>
      <c r="G2418" t="str">
        <f>IF(TableRefills3[[#This Row],[prev_refill_end]]="","",TableRefills3[[#This Row],[refill_date]]-TableRefills3[[#This Row],[prev_refill_end]])</f>
        <v/>
      </c>
      <c r="H2418" s="10">
        <f>IF(TableRefills3[[#This Row],[gap_days]]="",0,IF(TableRefills3[[#This Row],[gap_days]]&gt;2,1,0))</f>
        <v>0</v>
      </c>
      <c r="I2418">
        <f>_xlfn.MAXIFS(TableRefills3[discountinuation_flag], TableRefills3[patient_id], A2418)</f>
        <v>1</v>
      </c>
    </row>
    <row r="2419" spans="1:9" x14ac:dyDescent="0.25">
      <c r="A2419" t="s">
        <v>3839</v>
      </c>
      <c r="B2419" t="s">
        <v>3840</v>
      </c>
      <c r="C2419" s="3">
        <v>45808</v>
      </c>
      <c r="D2419">
        <v>28</v>
      </c>
      <c r="E2419" s="3">
        <f t="shared" si="37"/>
        <v>45781</v>
      </c>
      <c r="F2419" s="3">
        <f>IF(TableRefills3[[#This Row],[prev_refill_days]]="","",TableRefills3[[#This Row],[prev_refill_days]]+TableRefills3[[#This Row],[quantity_days]])</f>
        <v>45809</v>
      </c>
      <c r="G2419">
        <f>IF(TableRefills3[[#This Row],[prev_refill_end]]="","",TableRefills3[[#This Row],[refill_date]]-TableRefills3[[#This Row],[prev_refill_end]])</f>
        <v>-1</v>
      </c>
      <c r="H2419" s="10">
        <f>IF(TableRefills3[[#This Row],[gap_days]]="",0,IF(TableRefills3[[#This Row],[gap_days]]&gt;2,1,0))</f>
        <v>0</v>
      </c>
      <c r="I2419">
        <f>_xlfn.MAXIFS(TableRefills3[discountinuation_flag], TableRefills3[patient_id], A2419)</f>
        <v>1</v>
      </c>
    </row>
    <row r="2420" spans="1:9" x14ac:dyDescent="0.25">
      <c r="A2420" t="s">
        <v>3839</v>
      </c>
      <c r="B2420" t="s">
        <v>3840</v>
      </c>
      <c r="C2420" s="3">
        <v>45833</v>
      </c>
      <c r="D2420">
        <v>28</v>
      </c>
      <c r="E2420" s="3">
        <f t="shared" si="37"/>
        <v>45808</v>
      </c>
      <c r="F2420" s="3">
        <f>IF(TableRefills3[[#This Row],[prev_refill_days]]="","",TableRefills3[[#This Row],[prev_refill_days]]+TableRefills3[[#This Row],[quantity_days]])</f>
        <v>45836</v>
      </c>
      <c r="G2420">
        <f>IF(TableRefills3[[#This Row],[prev_refill_end]]="","",TableRefills3[[#This Row],[refill_date]]-TableRefills3[[#This Row],[prev_refill_end]])</f>
        <v>-3</v>
      </c>
      <c r="H2420" s="10">
        <f>IF(TableRefills3[[#This Row],[gap_days]]="",0,IF(TableRefills3[[#This Row],[gap_days]]&gt;2,1,0))</f>
        <v>0</v>
      </c>
      <c r="I2420">
        <f>_xlfn.MAXIFS(TableRefills3[discountinuation_flag], TableRefills3[patient_id], A2420)</f>
        <v>1</v>
      </c>
    </row>
    <row r="2421" spans="1:9" x14ac:dyDescent="0.25">
      <c r="A2421" t="s">
        <v>3839</v>
      </c>
      <c r="B2421" t="s">
        <v>3840</v>
      </c>
      <c r="C2421" s="3">
        <v>45862</v>
      </c>
      <c r="D2421">
        <v>28</v>
      </c>
      <c r="E2421" s="3">
        <f t="shared" si="37"/>
        <v>45833</v>
      </c>
      <c r="F2421" s="3">
        <f>IF(TableRefills3[[#This Row],[prev_refill_days]]="","",TableRefills3[[#This Row],[prev_refill_days]]+TableRefills3[[#This Row],[quantity_days]])</f>
        <v>45861</v>
      </c>
      <c r="G2421">
        <f>IF(TableRefills3[[#This Row],[prev_refill_end]]="","",TableRefills3[[#This Row],[refill_date]]-TableRefills3[[#This Row],[prev_refill_end]])</f>
        <v>1</v>
      </c>
      <c r="H2421" s="10">
        <f>IF(TableRefills3[[#This Row],[gap_days]]="",0,IF(TableRefills3[[#This Row],[gap_days]]&gt;2,1,0))</f>
        <v>0</v>
      </c>
      <c r="I2421">
        <f>_xlfn.MAXIFS(TableRefills3[discountinuation_flag], TableRefills3[patient_id], A2421)</f>
        <v>1</v>
      </c>
    </row>
    <row r="2422" spans="1:9" x14ac:dyDescent="0.25">
      <c r="A2422" t="s">
        <v>3839</v>
      </c>
      <c r="B2422" t="s">
        <v>3840</v>
      </c>
      <c r="C2422" s="3">
        <v>45889</v>
      </c>
      <c r="D2422">
        <v>28</v>
      </c>
      <c r="E2422" s="3">
        <f t="shared" si="37"/>
        <v>45862</v>
      </c>
      <c r="F2422" s="3">
        <f>IF(TableRefills3[[#This Row],[prev_refill_days]]="","",TableRefills3[[#This Row],[prev_refill_days]]+TableRefills3[[#This Row],[quantity_days]])</f>
        <v>45890</v>
      </c>
      <c r="G2422">
        <f>IF(TableRefills3[[#This Row],[prev_refill_end]]="","",TableRefills3[[#This Row],[refill_date]]-TableRefills3[[#This Row],[prev_refill_end]])</f>
        <v>-1</v>
      </c>
      <c r="H2422" s="10">
        <f>IF(TableRefills3[[#This Row],[gap_days]]="",0,IF(TableRefills3[[#This Row],[gap_days]]&gt;2,1,0))</f>
        <v>0</v>
      </c>
      <c r="I2422">
        <f>_xlfn.MAXIFS(TableRefills3[discountinuation_flag], TableRefills3[patient_id], A2422)</f>
        <v>1</v>
      </c>
    </row>
    <row r="2423" spans="1:9" x14ac:dyDescent="0.25">
      <c r="A2423" t="s">
        <v>3839</v>
      </c>
      <c r="B2423" t="s">
        <v>3840</v>
      </c>
      <c r="C2423" s="3">
        <v>45920</v>
      </c>
      <c r="D2423">
        <v>28</v>
      </c>
      <c r="E2423" s="3">
        <f t="shared" si="37"/>
        <v>45889</v>
      </c>
      <c r="F2423" s="3">
        <f>IF(TableRefills3[[#This Row],[prev_refill_days]]="","",TableRefills3[[#This Row],[prev_refill_days]]+TableRefills3[[#This Row],[quantity_days]])</f>
        <v>45917</v>
      </c>
      <c r="G2423">
        <f>IF(TableRefills3[[#This Row],[prev_refill_end]]="","",TableRefills3[[#This Row],[refill_date]]-TableRefills3[[#This Row],[prev_refill_end]])</f>
        <v>3</v>
      </c>
      <c r="H2423" s="10">
        <f>IF(TableRefills3[[#This Row],[gap_days]]="",0,IF(TableRefills3[[#This Row],[gap_days]]&gt;2,1,0))</f>
        <v>1</v>
      </c>
      <c r="I2423">
        <f>_xlfn.MAXIFS(TableRefills3[discountinuation_flag], TableRefills3[patient_id], A2423)</f>
        <v>1</v>
      </c>
    </row>
    <row r="2424" spans="1:9" x14ac:dyDescent="0.25">
      <c r="A2424" t="s">
        <v>3839</v>
      </c>
      <c r="B2424" t="s">
        <v>3840</v>
      </c>
      <c r="C2424" s="3">
        <v>45947</v>
      </c>
      <c r="D2424">
        <v>28</v>
      </c>
      <c r="E2424" s="3">
        <f t="shared" si="37"/>
        <v>45920</v>
      </c>
      <c r="F2424" s="3">
        <f>IF(TableRefills3[[#This Row],[prev_refill_days]]="","",TableRefills3[[#This Row],[prev_refill_days]]+TableRefills3[[#This Row],[quantity_days]])</f>
        <v>45948</v>
      </c>
      <c r="G2424">
        <f>IF(TableRefills3[[#This Row],[prev_refill_end]]="","",TableRefills3[[#This Row],[refill_date]]-TableRefills3[[#This Row],[prev_refill_end]])</f>
        <v>-1</v>
      </c>
      <c r="H2424" s="10">
        <f>IF(TableRefills3[[#This Row],[gap_days]]="",0,IF(TableRefills3[[#This Row],[gap_days]]&gt;2,1,0))</f>
        <v>0</v>
      </c>
      <c r="I2424">
        <f>_xlfn.MAXIFS(TableRefills3[discountinuation_flag], TableRefills3[patient_id], A2424)</f>
        <v>1</v>
      </c>
    </row>
    <row r="2425" spans="1:9" x14ac:dyDescent="0.25">
      <c r="A2425" t="s">
        <v>3848</v>
      </c>
      <c r="B2425" t="s">
        <v>3849</v>
      </c>
      <c r="C2425" s="3">
        <v>45883</v>
      </c>
      <c r="D2425">
        <v>28</v>
      </c>
      <c r="E2425" s="3" t="str">
        <f t="shared" si="37"/>
        <v/>
      </c>
      <c r="F2425" s="3" t="str">
        <f>IF(TableRefills3[[#This Row],[prev_refill_days]]="","",TableRefills3[[#This Row],[prev_refill_days]]+TableRefills3[[#This Row],[quantity_days]])</f>
        <v/>
      </c>
      <c r="G2425" t="str">
        <f>IF(TableRefills3[[#This Row],[prev_refill_end]]="","",TableRefills3[[#This Row],[refill_date]]-TableRefills3[[#This Row],[prev_refill_end]])</f>
        <v/>
      </c>
      <c r="H2425" s="10">
        <f>IF(TableRefills3[[#This Row],[gap_days]]="",0,IF(TableRefills3[[#This Row],[gap_days]]&gt;2,1,0))</f>
        <v>0</v>
      </c>
      <c r="I2425">
        <f>_xlfn.MAXIFS(TableRefills3[discountinuation_flag], TableRefills3[patient_id], A2425)</f>
        <v>0</v>
      </c>
    </row>
    <row r="2426" spans="1:9" x14ac:dyDescent="0.25">
      <c r="A2426" t="s">
        <v>3848</v>
      </c>
      <c r="B2426" t="s">
        <v>3849</v>
      </c>
      <c r="C2426" s="3">
        <v>45909</v>
      </c>
      <c r="D2426">
        <v>28</v>
      </c>
      <c r="E2426" s="3">
        <f t="shared" si="37"/>
        <v>45883</v>
      </c>
      <c r="F2426" s="3">
        <f>IF(TableRefills3[[#This Row],[prev_refill_days]]="","",TableRefills3[[#This Row],[prev_refill_days]]+TableRefills3[[#This Row],[quantity_days]])</f>
        <v>45911</v>
      </c>
      <c r="G2426">
        <f>IF(TableRefills3[[#This Row],[prev_refill_end]]="","",TableRefills3[[#This Row],[refill_date]]-TableRefills3[[#This Row],[prev_refill_end]])</f>
        <v>-2</v>
      </c>
      <c r="H2426" s="10">
        <f>IF(TableRefills3[[#This Row],[gap_days]]="",0,IF(TableRefills3[[#This Row],[gap_days]]&gt;2,1,0))</f>
        <v>0</v>
      </c>
      <c r="I2426">
        <f>_xlfn.MAXIFS(TableRefills3[discountinuation_flag], TableRefills3[patient_id], A2426)</f>
        <v>0</v>
      </c>
    </row>
    <row r="2427" spans="1:9" x14ac:dyDescent="0.25">
      <c r="A2427" t="s">
        <v>3852</v>
      </c>
      <c r="B2427" t="s">
        <v>3853</v>
      </c>
      <c r="C2427" s="3">
        <v>45799</v>
      </c>
      <c r="D2427">
        <v>28</v>
      </c>
      <c r="E2427" s="3" t="str">
        <f t="shared" si="37"/>
        <v/>
      </c>
      <c r="F2427" s="3" t="str">
        <f>IF(TableRefills3[[#This Row],[prev_refill_days]]="","",TableRefills3[[#This Row],[prev_refill_days]]+TableRefills3[[#This Row],[quantity_days]])</f>
        <v/>
      </c>
      <c r="G2427" t="str">
        <f>IF(TableRefills3[[#This Row],[prev_refill_end]]="","",TableRefills3[[#This Row],[refill_date]]-TableRefills3[[#This Row],[prev_refill_end]])</f>
        <v/>
      </c>
      <c r="H2427" s="10">
        <f>IF(TableRefills3[[#This Row],[gap_days]]="",0,IF(TableRefills3[[#This Row],[gap_days]]&gt;2,1,0))</f>
        <v>0</v>
      </c>
      <c r="I2427">
        <f>_xlfn.MAXIFS(TableRefills3[discountinuation_flag], TableRefills3[patient_id], A2427)</f>
        <v>0</v>
      </c>
    </row>
    <row r="2428" spans="1:9" x14ac:dyDescent="0.25">
      <c r="A2428" t="s">
        <v>3852</v>
      </c>
      <c r="B2428" t="s">
        <v>3853</v>
      </c>
      <c r="C2428" s="3">
        <v>45826</v>
      </c>
      <c r="D2428">
        <v>28</v>
      </c>
      <c r="E2428" s="3">
        <f t="shared" si="37"/>
        <v>45799</v>
      </c>
      <c r="F2428" s="3">
        <f>IF(TableRefills3[[#This Row],[prev_refill_days]]="","",TableRefills3[[#This Row],[prev_refill_days]]+TableRefills3[[#This Row],[quantity_days]])</f>
        <v>45827</v>
      </c>
      <c r="G2428">
        <f>IF(TableRefills3[[#This Row],[prev_refill_end]]="","",TableRefills3[[#This Row],[refill_date]]-TableRefills3[[#This Row],[prev_refill_end]])</f>
        <v>-1</v>
      </c>
      <c r="H2428" s="10">
        <f>IF(TableRefills3[[#This Row],[gap_days]]="",0,IF(TableRefills3[[#This Row],[gap_days]]&gt;2,1,0))</f>
        <v>0</v>
      </c>
      <c r="I2428">
        <f>_xlfn.MAXIFS(TableRefills3[discountinuation_flag], TableRefills3[patient_id], A2428)</f>
        <v>0</v>
      </c>
    </row>
    <row r="2429" spans="1:9" x14ac:dyDescent="0.25">
      <c r="A2429" t="s">
        <v>3852</v>
      </c>
      <c r="B2429" t="s">
        <v>3853</v>
      </c>
      <c r="C2429" s="3">
        <v>45856</v>
      </c>
      <c r="D2429">
        <v>28</v>
      </c>
      <c r="E2429" s="3">
        <f t="shared" si="37"/>
        <v>45826</v>
      </c>
      <c r="F2429" s="3">
        <f>IF(TableRefills3[[#This Row],[prev_refill_days]]="","",TableRefills3[[#This Row],[prev_refill_days]]+TableRefills3[[#This Row],[quantity_days]])</f>
        <v>45854</v>
      </c>
      <c r="G2429">
        <f>IF(TableRefills3[[#This Row],[prev_refill_end]]="","",TableRefills3[[#This Row],[refill_date]]-TableRefills3[[#This Row],[prev_refill_end]])</f>
        <v>2</v>
      </c>
      <c r="H2429" s="10">
        <f>IF(TableRefills3[[#This Row],[gap_days]]="",0,IF(TableRefills3[[#This Row],[gap_days]]&gt;2,1,0))</f>
        <v>0</v>
      </c>
      <c r="I2429">
        <f>_xlfn.MAXIFS(TableRefills3[discountinuation_flag], TableRefills3[patient_id], A2429)</f>
        <v>0</v>
      </c>
    </row>
    <row r="2430" spans="1:9" x14ac:dyDescent="0.25">
      <c r="A2430" t="s">
        <v>3852</v>
      </c>
      <c r="B2430" t="s">
        <v>3853</v>
      </c>
      <c r="C2430" s="3">
        <v>45881</v>
      </c>
      <c r="D2430">
        <v>28</v>
      </c>
      <c r="E2430" s="3">
        <f t="shared" si="37"/>
        <v>45856</v>
      </c>
      <c r="F2430" s="3">
        <f>IF(TableRefills3[[#This Row],[prev_refill_days]]="","",TableRefills3[[#This Row],[prev_refill_days]]+TableRefills3[[#This Row],[quantity_days]])</f>
        <v>45884</v>
      </c>
      <c r="G2430">
        <f>IF(TableRefills3[[#This Row],[prev_refill_end]]="","",TableRefills3[[#This Row],[refill_date]]-TableRefills3[[#This Row],[prev_refill_end]])</f>
        <v>-3</v>
      </c>
      <c r="H2430" s="10">
        <f>IF(TableRefills3[[#This Row],[gap_days]]="",0,IF(TableRefills3[[#This Row],[gap_days]]&gt;2,1,0))</f>
        <v>0</v>
      </c>
      <c r="I2430">
        <f>_xlfn.MAXIFS(TableRefills3[discountinuation_flag], TableRefills3[patient_id], A2430)</f>
        <v>0</v>
      </c>
    </row>
    <row r="2431" spans="1:9" x14ac:dyDescent="0.25">
      <c r="A2431" t="s">
        <v>3852</v>
      </c>
      <c r="B2431" t="s">
        <v>3853</v>
      </c>
      <c r="C2431" s="3">
        <v>45909</v>
      </c>
      <c r="D2431">
        <v>28</v>
      </c>
      <c r="E2431" s="3">
        <f t="shared" si="37"/>
        <v>45881</v>
      </c>
      <c r="F2431" s="3">
        <f>IF(TableRefills3[[#This Row],[prev_refill_days]]="","",TableRefills3[[#This Row],[prev_refill_days]]+TableRefills3[[#This Row],[quantity_days]])</f>
        <v>45909</v>
      </c>
      <c r="G2431">
        <f>IF(TableRefills3[[#This Row],[prev_refill_end]]="","",TableRefills3[[#This Row],[refill_date]]-TableRefills3[[#This Row],[prev_refill_end]])</f>
        <v>0</v>
      </c>
      <c r="H2431" s="10">
        <f>IF(TableRefills3[[#This Row],[gap_days]]="",0,IF(TableRefills3[[#This Row],[gap_days]]&gt;2,1,0))</f>
        <v>0</v>
      </c>
      <c r="I2431">
        <f>_xlfn.MAXIFS(TableRefills3[discountinuation_flag], TableRefills3[patient_id], A2431)</f>
        <v>0</v>
      </c>
    </row>
    <row r="2432" spans="1:9" x14ac:dyDescent="0.25">
      <c r="A2432" t="s">
        <v>3852</v>
      </c>
      <c r="B2432" t="s">
        <v>3853</v>
      </c>
      <c r="C2432" s="3">
        <v>45935</v>
      </c>
      <c r="D2432">
        <v>28</v>
      </c>
      <c r="E2432" s="3">
        <f t="shared" si="37"/>
        <v>45909</v>
      </c>
      <c r="F2432" s="3">
        <f>IF(TableRefills3[[#This Row],[prev_refill_days]]="","",TableRefills3[[#This Row],[prev_refill_days]]+TableRefills3[[#This Row],[quantity_days]])</f>
        <v>45937</v>
      </c>
      <c r="G2432">
        <f>IF(TableRefills3[[#This Row],[prev_refill_end]]="","",TableRefills3[[#This Row],[refill_date]]-TableRefills3[[#This Row],[prev_refill_end]])</f>
        <v>-2</v>
      </c>
      <c r="H2432" s="10">
        <f>IF(TableRefills3[[#This Row],[gap_days]]="",0,IF(TableRefills3[[#This Row],[gap_days]]&gt;2,1,0))</f>
        <v>0</v>
      </c>
      <c r="I2432">
        <f>_xlfn.MAXIFS(TableRefills3[discountinuation_flag], TableRefills3[patient_id], A2432)</f>
        <v>0</v>
      </c>
    </row>
    <row r="2433" spans="1:9" x14ac:dyDescent="0.25">
      <c r="A2433" t="s">
        <v>3852</v>
      </c>
      <c r="B2433" t="s">
        <v>3853</v>
      </c>
      <c r="C2433" s="3">
        <v>45960</v>
      </c>
      <c r="D2433">
        <v>28</v>
      </c>
      <c r="E2433" s="3">
        <f t="shared" si="37"/>
        <v>45935</v>
      </c>
      <c r="F2433" s="3">
        <f>IF(TableRefills3[[#This Row],[prev_refill_days]]="","",TableRefills3[[#This Row],[prev_refill_days]]+TableRefills3[[#This Row],[quantity_days]])</f>
        <v>45963</v>
      </c>
      <c r="G2433">
        <f>IF(TableRefills3[[#This Row],[prev_refill_end]]="","",TableRefills3[[#This Row],[refill_date]]-TableRefills3[[#This Row],[prev_refill_end]])</f>
        <v>-3</v>
      </c>
      <c r="H2433" s="10">
        <f>IF(TableRefills3[[#This Row],[gap_days]]="",0,IF(TableRefills3[[#This Row],[gap_days]]&gt;2,1,0))</f>
        <v>0</v>
      </c>
      <c r="I2433">
        <f>_xlfn.MAXIFS(TableRefills3[discountinuation_flag], TableRefills3[patient_id], A2433)</f>
        <v>0</v>
      </c>
    </row>
    <row r="2434" spans="1:9" x14ac:dyDescent="0.25">
      <c r="A2434" t="s">
        <v>3861</v>
      </c>
      <c r="B2434" t="s">
        <v>3862</v>
      </c>
      <c r="C2434" s="3">
        <v>45921</v>
      </c>
      <c r="D2434">
        <v>28</v>
      </c>
      <c r="E2434" s="3" t="str">
        <f t="shared" ref="E2434:E2497" si="38">IF(A2433=A2434,C2433,"")</f>
        <v/>
      </c>
      <c r="F2434" s="3" t="str">
        <f>IF(TableRefills3[[#This Row],[prev_refill_days]]="","",TableRefills3[[#This Row],[prev_refill_days]]+TableRefills3[[#This Row],[quantity_days]])</f>
        <v/>
      </c>
      <c r="G2434" t="str">
        <f>IF(TableRefills3[[#This Row],[prev_refill_end]]="","",TableRefills3[[#This Row],[refill_date]]-TableRefills3[[#This Row],[prev_refill_end]])</f>
        <v/>
      </c>
      <c r="H2434" s="10">
        <f>IF(TableRefills3[[#This Row],[gap_days]]="",0,IF(TableRefills3[[#This Row],[gap_days]]&gt;2,1,0))</f>
        <v>0</v>
      </c>
      <c r="I2434">
        <f>_xlfn.MAXIFS(TableRefills3[discountinuation_flag], TableRefills3[patient_id], A2434)</f>
        <v>0</v>
      </c>
    </row>
    <row r="2435" spans="1:9" x14ac:dyDescent="0.25">
      <c r="A2435" t="s">
        <v>3861</v>
      </c>
      <c r="B2435" t="s">
        <v>3862</v>
      </c>
      <c r="C2435" s="3">
        <v>45948</v>
      </c>
      <c r="D2435">
        <v>28</v>
      </c>
      <c r="E2435" s="3">
        <f t="shared" si="38"/>
        <v>45921</v>
      </c>
      <c r="F2435" s="3">
        <f>IF(TableRefills3[[#This Row],[prev_refill_days]]="","",TableRefills3[[#This Row],[prev_refill_days]]+TableRefills3[[#This Row],[quantity_days]])</f>
        <v>45949</v>
      </c>
      <c r="G2435">
        <f>IF(TableRefills3[[#This Row],[prev_refill_end]]="","",TableRefills3[[#This Row],[refill_date]]-TableRefills3[[#This Row],[prev_refill_end]])</f>
        <v>-1</v>
      </c>
      <c r="H2435" s="10">
        <f>IF(TableRefills3[[#This Row],[gap_days]]="",0,IF(TableRefills3[[#This Row],[gap_days]]&gt;2,1,0))</f>
        <v>0</v>
      </c>
      <c r="I2435">
        <f>_xlfn.MAXIFS(TableRefills3[discountinuation_flag], TableRefills3[patient_id], A2435)</f>
        <v>0</v>
      </c>
    </row>
    <row r="2436" spans="1:9" x14ac:dyDescent="0.25">
      <c r="A2436" t="s">
        <v>3865</v>
      </c>
      <c r="B2436" t="s">
        <v>3866</v>
      </c>
      <c r="C2436" s="3">
        <v>45924</v>
      </c>
      <c r="D2436">
        <v>30</v>
      </c>
      <c r="E2436" s="3" t="str">
        <f t="shared" si="38"/>
        <v/>
      </c>
      <c r="F2436" s="3" t="str">
        <f>IF(TableRefills3[[#This Row],[prev_refill_days]]="","",TableRefills3[[#This Row],[prev_refill_days]]+TableRefills3[[#This Row],[quantity_days]])</f>
        <v/>
      </c>
      <c r="G2436" t="str">
        <f>IF(TableRefills3[[#This Row],[prev_refill_end]]="","",TableRefills3[[#This Row],[refill_date]]-TableRefills3[[#This Row],[prev_refill_end]])</f>
        <v/>
      </c>
      <c r="H2436" s="10">
        <f>IF(TableRefills3[[#This Row],[gap_days]]="",0,IF(TableRefills3[[#This Row],[gap_days]]&gt;2,1,0))</f>
        <v>0</v>
      </c>
      <c r="I2436">
        <f>_xlfn.MAXIFS(TableRefills3[discountinuation_flag], TableRefills3[patient_id], A2436)</f>
        <v>0</v>
      </c>
    </row>
    <row r="2437" spans="1:9" x14ac:dyDescent="0.25">
      <c r="A2437" t="s">
        <v>3865</v>
      </c>
      <c r="B2437" t="s">
        <v>3866</v>
      </c>
      <c r="C2437" s="3">
        <v>45953</v>
      </c>
      <c r="D2437">
        <v>30</v>
      </c>
      <c r="E2437" s="3">
        <f t="shared" si="38"/>
        <v>45924</v>
      </c>
      <c r="F2437" s="3">
        <f>IF(TableRefills3[[#This Row],[prev_refill_days]]="","",TableRefills3[[#This Row],[prev_refill_days]]+TableRefills3[[#This Row],[quantity_days]])</f>
        <v>45954</v>
      </c>
      <c r="G2437">
        <f>IF(TableRefills3[[#This Row],[prev_refill_end]]="","",TableRefills3[[#This Row],[refill_date]]-TableRefills3[[#This Row],[prev_refill_end]])</f>
        <v>-1</v>
      </c>
      <c r="H2437" s="10">
        <f>IF(TableRefills3[[#This Row],[gap_days]]="",0,IF(TableRefills3[[#This Row],[gap_days]]&gt;2,1,0))</f>
        <v>0</v>
      </c>
      <c r="I2437">
        <f>_xlfn.MAXIFS(TableRefills3[discountinuation_flag], TableRefills3[patient_id], A2437)</f>
        <v>0</v>
      </c>
    </row>
    <row r="2438" spans="1:9" x14ac:dyDescent="0.25">
      <c r="A2438" t="s">
        <v>3869</v>
      </c>
      <c r="B2438" t="s">
        <v>3870</v>
      </c>
      <c r="C2438" s="3">
        <v>45821</v>
      </c>
      <c r="D2438">
        <v>28</v>
      </c>
      <c r="E2438" s="3" t="str">
        <f t="shared" si="38"/>
        <v/>
      </c>
      <c r="F2438" s="3" t="str">
        <f>IF(TableRefills3[[#This Row],[prev_refill_days]]="","",TableRefills3[[#This Row],[prev_refill_days]]+TableRefills3[[#This Row],[quantity_days]])</f>
        <v/>
      </c>
      <c r="G2438" t="str">
        <f>IF(TableRefills3[[#This Row],[prev_refill_end]]="","",TableRefills3[[#This Row],[refill_date]]-TableRefills3[[#This Row],[prev_refill_end]])</f>
        <v/>
      </c>
      <c r="H2438" s="10">
        <f>IF(TableRefills3[[#This Row],[gap_days]]="",0,IF(TableRefills3[[#This Row],[gap_days]]&gt;2,1,0))</f>
        <v>0</v>
      </c>
      <c r="I2438">
        <f>_xlfn.MAXIFS(TableRefills3[discountinuation_flag], TableRefills3[patient_id], A2438)</f>
        <v>0</v>
      </c>
    </row>
    <row r="2439" spans="1:9" x14ac:dyDescent="0.25">
      <c r="A2439" t="s">
        <v>3869</v>
      </c>
      <c r="B2439" t="s">
        <v>3870</v>
      </c>
      <c r="C2439" s="3">
        <v>45851</v>
      </c>
      <c r="D2439">
        <v>28</v>
      </c>
      <c r="E2439" s="3">
        <f t="shared" si="38"/>
        <v>45821</v>
      </c>
      <c r="F2439" s="3">
        <f>IF(TableRefills3[[#This Row],[prev_refill_days]]="","",TableRefills3[[#This Row],[prev_refill_days]]+TableRefills3[[#This Row],[quantity_days]])</f>
        <v>45849</v>
      </c>
      <c r="G2439">
        <f>IF(TableRefills3[[#This Row],[prev_refill_end]]="","",TableRefills3[[#This Row],[refill_date]]-TableRefills3[[#This Row],[prev_refill_end]])</f>
        <v>2</v>
      </c>
      <c r="H2439" s="10">
        <f>IF(TableRefills3[[#This Row],[gap_days]]="",0,IF(TableRefills3[[#This Row],[gap_days]]&gt;2,1,0))</f>
        <v>0</v>
      </c>
      <c r="I2439">
        <f>_xlfn.MAXIFS(TableRefills3[discountinuation_flag], TableRefills3[patient_id], A2439)</f>
        <v>0</v>
      </c>
    </row>
    <row r="2440" spans="1:9" x14ac:dyDescent="0.25">
      <c r="A2440" t="s">
        <v>3869</v>
      </c>
      <c r="B2440" t="s">
        <v>3870</v>
      </c>
      <c r="C2440" s="3">
        <v>45880</v>
      </c>
      <c r="D2440">
        <v>28</v>
      </c>
      <c r="E2440" s="3">
        <f t="shared" si="38"/>
        <v>45851</v>
      </c>
      <c r="F2440" s="3">
        <f>IF(TableRefills3[[#This Row],[prev_refill_days]]="","",TableRefills3[[#This Row],[prev_refill_days]]+TableRefills3[[#This Row],[quantity_days]])</f>
        <v>45879</v>
      </c>
      <c r="G2440">
        <f>IF(TableRefills3[[#This Row],[prev_refill_end]]="","",TableRefills3[[#This Row],[refill_date]]-TableRefills3[[#This Row],[prev_refill_end]])</f>
        <v>1</v>
      </c>
      <c r="H2440" s="10">
        <f>IF(TableRefills3[[#This Row],[gap_days]]="",0,IF(TableRefills3[[#This Row],[gap_days]]&gt;2,1,0))</f>
        <v>0</v>
      </c>
      <c r="I2440">
        <f>_xlfn.MAXIFS(TableRefills3[discountinuation_flag], TableRefills3[patient_id], A2440)</f>
        <v>0</v>
      </c>
    </row>
    <row r="2441" spans="1:9" x14ac:dyDescent="0.25">
      <c r="A2441" t="s">
        <v>3869</v>
      </c>
      <c r="B2441" t="s">
        <v>3870</v>
      </c>
      <c r="C2441" s="3">
        <v>45909</v>
      </c>
      <c r="D2441">
        <v>28</v>
      </c>
      <c r="E2441" s="3">
        <f t="shared" si="38"/>
        <v>45880</v>
      </c>
      <c r="F2441" s="3">
        <f>IF(TableRefills3[[#This Row],[prev_refill_days]]="","",TableRefills3[[#This Row],[prev_refill_days]]+TableRefills3[[#This Row],[quantity_days]])</f>
        <v>45908</v>
      </c>
      <c r="G2441">
        <f>IF(TableRefills3[[#This Row],[prev_refill_end]]="","",TableRefills3[[#This Row],[refill_date]]-TableRefills3[[#This Row],[prev_refill_end]])</f>
        <v>1</v>
      </c>
      <c r="H2441" s="10">
        <f>IF(TableRefills3[[#This Row],[gap_days]]="",0,IF(TableRefills3[[#This Row],[gap_days]]&gt;2,1,0))</f>
        <v>0</v>
      </c>
      <c r="I2441">
        <f>_xlfn.MAXIFS(TableRefills3[discountinuation_flag], TableRefills3[patient_id], A2441)</f>
        <v>0</v>
      </c>
    </row>
    <row r="2442" spans="1:9" x14ac:dyDescent="0.25">
      <c r="A2442" t="s">
        <v>3869</v>
      </c>
      <c r="B2442" t="s">
        <v>3870</v>
      </c>
      <c r="C2442" s="3">
        <v>45935</v>
      </c>
      <c r="D2442">
        <v>28</v>
      </c>
      <c r="E2442" s="3">
        <f t="shared" si="38"/>
        <v>45909</v>
      </c>
      <c r="F2442" s="3">
        <f>IF(TableRefills3[[#This Row],[prev_refill_days]]="","",TableRefills3[[#This Row],[prev_refill_days]]+TableRefills3[[#This Row],[quantity_days]])</f>
        <v>45937</v>
      </c>
      <c r="G2442">
        <f>IF(TableRefills3[[#This Row],[prev_refill_end]]="","",TableRefills3[[#This Row],[refill_date]]-TableRefills3[[#This Row],[prev_refill_end]])</f>
        <v>-2</v>
      </c>
      <c r="H2442" s="10">
        <f>IF(TableRefills3[[#This Row],[gap_days]]="",0,IF(TableRefills3[[#This Row],[gap_days]]&gt;2,1,0))</f>
        <v>0</v>
      </c>
      <c r="I2442">
        <f>_xlfn.MAXIFS(TableRefills3[discountinuation_flag], TableRefills3[patient_id], A2442)</f>
        <v>0</v>
      </c>
    </row>
    <row r="2443" spans="1:9" x14ac:dyDescent="0.25">
      <c r="A2443" t="s">
        <v>3876</v>
      </c>
      <c r="B2443" t="s">
        <v>3877</v>
      </c>
      <c r="C2443" s="3">
        <v>45875</v>
      </c>
      <c r="D2443">
        <v>28</v>
      </c>
      <c r="E2443" s="3" t="str">
        <f t="shared" si="38"/>
        <v/>
      </c>
      <c r="F2443" s="3" t="str">
        <f>IF(TableRefills3[[#This Row],[prev_refill_days]]="","",TableRefills3[[#This Row],[prev_refill_days]]+TableRefills3[[#This Row],[quantity_days]])</f>
        <v/>
      </c>
      <c r="G2443" t="str">
        <f>IF(TableRefills3[[#This Row],[prev_refill_end]]="","",TableRefills3[[#This Row],[refill_date]]-TableRefills3[[#This Row],[prev_refill_end]])</f>
        <v/>
      </c>
      <c r="H2443" s="10">
        <f>IF(TableRefills3[[#This Row],[gap_days]]="",0,IF(TableRefills3[[#This Row],[gap_days]]&gt;2,1,0))</f>
        <v>0</v>
      </c>
      <c r="I2443">
        <f>_xlfn.MAXIFS(TableRefills3[discountinuation_flag], TableRefills3[patient_id], A2443)</f>
        <v>1</v>
      </c>
    </row>
    <row r="2444" spans="1:9" x14ac:dyDescent="0.25">
      <c r="A2444" t="s">
        <v>3876</v>
      </c>
      <c r="B2444" t="s">
        <v>3877</v>
      </c>
      <c r="C2444" s="3">
        <v>45906</v>
      </c>
      <c r="D2444">
        <v>28</v>
      </c>
      <c r="E2444" s="3">
        <f t="shared" si="38"/>
        <v>45875</v>
      </c>
      <c r="F2444" s="3">
        <f>IF(TableRefills3[[#This Row],[prev_refill_days]]="","",TableRefills3[[#This Row],[prev_refill_days]]+TableRefills3[[#This Row],[quantity_days]])</f>
        <v>45903</v>
      </c>
      <c r="G2444">
        <f>IF(TableRefills3[[#This Row],[prev_refill_end]]="","",TableRefills3[[#This Row],[refill_date]]-TableRefills3[[#This Row],[prev_refill_end]])</f>
        <v>3</v>
      </c>
      <c r="H2444" s="10">
        <f>IF(TableRefills3[[#This Row],[gap_days]]="",0,IF(TableRefills3[[#This Row],[gap_days]]&gt;2,1,0))</f>
        <v>1</v>
      </c>
      <c r="I2444">
        <f>_xlfn.MAXIFS(TableRefills3[discountinuation_flag], TableRefills3[patient_id], A2444)</f>
        <v>1</v>
      </c>
    </row>
    <row r="2445" spans="1:9" x14ac:dyDescent="0.25">
      <c r="A2445" t="s">
        <v>3876</v>
      </c>
      <c r="B2445" t="s">
        <v>3877</v>
      </c>
      <c r="C2445" s="3">
        <v>45933</v>
      </c>
      <c r="D2445">
        <v>28</v>
      </c>
      <c r="E2445" s="3">
        <f t="shared" si="38"/>
        <v>45906</v>
      </c>
      <c r="F2445" s="3">
        <f>IF(TableRefills3[[#This Row],[prev_refill_days]]="","",TableRefills3[[#This Row],[prev_refill_days]]+TableRefills3[[#This Row],[quantity_days]])</f>
        <v>45934</v>
      </c>
      <c r="G2445">
        <f>IF(TableRefills3[[#This Row],[prev_refill_end]]="","",TableRefills3[[#This Row],[refill_date]]-TableRefills3[[#This Row],[prev_refill_end]])</f>
        <v>-1</v>
      </c>
      <c r="H2445" s="10">
        <f>IF(TableRefills3[[#This Row],[gap_days]]="",0,IF(TableRefills3[[#This Row],[gap_days]]&gt;2,1,0))</f>
        <v>0</v>
      </c>
      <c r="I2445">
        <f>_xlfn.MAXIFS(TableRefills3[discountinuation_flag], TableRefills3[patient_id], A2445)</f>
        <v>1</v>
      </c>
    </row>
    <row r="2446" spans="1:9" x14ac:dyDescent="0.25">
      <c r="A2446" t="s">
        <v>3881</v>
      </c>
      <c r="B2446" t="s">
        <v>3882</v>
      </c>
      <c r="C2446" s="3">
        <v>45813</v>
      </c>
      <c r="D2446">
        <v>14</v>
      </c>
      <c r="E2446" s="3" t="str">
        <f t="shared" si="38"/>
        <v/>
      </c>
      <c r="F2446" s="3" t="str">
        <f>IF(TableRefills3[[#This Row],[prev_refill_days]]="","",TableRefills3[[#This Row],[prev_refill_days]]+TableRefills3[[#This Row],[quantity_days]])</f>
        <v/>
      </c>
      <c r="G2446" t="str">
        <f>IF(TableRefills3[[#This Row],[prev_refill_end]]="","",TableRefills3[[#This Row],[refill_date]]-TableRefills3[[#This Row],[prev_refill_end]])</f>
        <v/>
      </c>
      <c r="H2446" s="10">
        <f>IF(TableRefills3[[#This Row],[gap_days]]="",0,IF(TableRefills3[[#This Row],[gap_days]]&gt;2,1,0))</f>
        <v>0</v>
      </c>
      <c r="I2446">
        <f>_xlfn.MAXIFS(TableRefills3[discountinuation_flag], TableRefills3[patient_id], A2446)</f>
        <v>1</v>
      </c>
    </row>
    <row r="2447" spans="1:9" x14ac:dyDescent="0.25">
      <c r="A2447" t="s">
        <v>3881</v>
      </c>
      <c r="B2447" t="s">
        <v>3882</v>
      </c>
      <c r="C2447" s="3">
        <v>45825</v>
      </c>
      <c r="D2447">
        <v>14</v>
      </c>
      <c r="E2447" s="3">
        <f t="shared" si="38"/>
        <v>45813</v>
      </c>
      <c r="F2447" s="3">
        <f>IF(TableRefills3[[#This Row],[prev_refill_days]]="","",TableRefills3[[#This Row],[prev_refill_days]]+TableRefills3[[#This Row],[quantity_days]])</f>
        <v>45827</v>
      </c>
      <c r="G2447">
        <f>IF(TableRefills3[[#This Row],[prev_refill_end]]="","",TableRefills3[[#This Row],[refill_date]]-TableRefills3[[#This Row],[prev_refill_end]])</f>
        <v>-2</v>
      </c>
      <c r="H2447" s="10">
        <f>IF(TableRefills3[[#This Row],[gap_days]]="",0,IF(TableRefills3[[#This Row],[gap_days]]&gt;2,1,0))</f>
        <v>0</v>
      </c>
      <c r="I2447">
        <f>_xlfn.MAXIFS(TableRefills3[discountinuation_flag], TableRefills3[patient_id], A2447)</f>
        <v>1</v>
      </c>
    </row>
    <row r="2448" spans="1:9" x14ac:dyDescent="0.25">
      <c r="A2448" t="s">
        <v>3881</v>
      </c>
      <c r="B2448" t="s">
        <v>3882</v>
      </c>
      <c r="C2448" s="3">
        <v>45842</v>
      </c>
      <c r="D2448">
        <v>14</v>
      </c>
      <c r="E2448" s="3">
        <f t="shared" si="38"/>
        <v>45825</v>
      </c>
      <c r="F2448" s="3">
        <f>IF(TableRefills3[[#This Row],[prev_refill_days]]="","",TableRefills3[[#This Row],[prev_refill_days]]+TableRefills3[[#This Row],[quantity_days]])</f>
        <v>45839</v>
      </c>
      <c r="G2448">
        <f>IF(TableRefills3[[#This Row],[prev_refill_end]]="","",TableRefills3[[#This Row],[refill_date]]-TableRefills3[[#This Row],[prev_refill_end]])</f>
        <v>3</v>
      </c>
      <c r="H2448" s="10">
        <f>IF(TableRefills3[[#This Row],[gap_days]]="",0,IF(TableRefills3[[#This Row],[gap_days]]&gt;2,1,0))</f>
        <v>1</v>
      </c>
      <c r="I2448">
        <f>_xlfn.MAXIFS(TableRefills3[discountinuation_flag], TableRefills3[patient_id], A2448)</f>
        <v>1</v>
      </c>
    </row>
    <row r="2449" spans="1:9" x14ac:dyDescent="0.25">
      <c r="A2449" t="s">
        <v>3886</v>
      </c>
      <c r="B2449" t="s">
        <v>3887</v>
      </c>
      <c r="C2449" s="3">
        <v>45855</v>
      </c>
      <c r="D2449">
        <v>21</v>
      </c>
      <c r="E2449" s="3" t="str">
        <f t="shared" si="38"/>
        <v/>
      </c>
      <c r="F2449" s="3" t="str">
        <f>IF(TableRefills3[[#This Row],[prev_refill_days]]="","",TableRefills3[[#This Row],[prev_refill_days]]+TableRefills3[[#This Row],[quantity_days]])</f>
        <v/>
      </c>
      <c r="G2449" t="str">
        <f>IF(TableRefills3[[#This Row],[prev_refill_end]]="","",TableRefills3[[#This Row],[refill_date]]-TableRefills3[[#This Row],[prev_refill_end]])</f>
        <v/>
      </c>
      <c r="H2449" s="10">
        <f>IF(TableRefills3[[#This Row],[gap_days]]="",0,IF(TableRefills3[[#This Row],[gap_days]]&gt;2,1,0))</f>
        <v>0</v>
      </c>
      <c r="I2449">
        <f>_xlfn.MAXIFS(TableRefills3[discountinuation_flag], TableRefills3[patient_id], A2449)</f>
        <v>1</v>
      </c>
    </row>
    <row r="2450" spans="1:9" x14ac:dyDescent="0.25">
      <c r="A2450" t="s">
        <v>3886</v>
      </c>
      <c r="B2450" t="s">
        <v>3887</v>
      </c>
      <c r="C2450" s="3">
        <v>45874</v>
      </c>
      <c r="D2450">
        <v>21</v>
      </c>
      <c r="E2450" s="3">
        <f t="shared" si="38"/>
        <v>45855</v>
      </c>
      <c r="F2450" s="3">
        <f>IF(TableRefills3[[#This Row],[prev_refill_days]]="","",TableRefills3[[#This Row],[prev_refill_days]]+TableRefills3[[#This Row],[quantity_days]])</f>
        <v>45876</v>
      </c>
      <c r="G2450">
        <f>IF(TableRefills3[[#This Row],[prev_refill_end]]="","",TableRefills3[[#This Row],[refill_date]]-TableRefills3[[#This Row],[prev_refill_end]])</f>
        <v>-2</v>
      </c>
      <c r="H2450" s="10">
        <f>IF(TableRefills3[[#This Row],[gap_days]]="",0,IF(TableRefills3[[#This Row],[gap_days]]&gt;2,1,0))</f>
        <v>0</v>
      </c>
      <c r="I2450">
        <f>_xlfn.MAXIFS(TableRefills3[discountinuation_flag], TableRefills3[patient_id], A2450)</f>
        <v>1</v>
      </c>
    </row>
    <row r="2451" spans="1:9" x14ac:dyDescent="0.25">
      <c r="A2451" t="s">
        <v>3886</v>
      </c>
      <c r="B2451" t="s">
        <v>3887</v>
      </c>
      <c r="C2451" s="3">
        <v>45898</v>
      </c>
      <c r="D2451">
        <v>21</v>
      </c>
      <c r="E2451" s="3">
        <f t="shared" si="38"/>
        <v>45874</v>
      </c>
      <c r="F2451" s="3">
        <f>IF(TableRefills3[[#This Row],[prev_refill_days]]="","",TableRefills3[[#This Row],[prev_refill_days]]+TableRefills3[[#This Row],[quantity_days]])</f>
        <v>45895</v>
      </c>
      <c r="G2451">
        <f>IF(TableRefills3[[#This Row],[prev_refill_end]]="","",TableRefills3[[#This Row],[refill_date]]-TableRefills3[[#This Row],[prev_refill_end]])</f>
        <v>3</v>
      </c>
      <c r="H2451" s="10">
        <f>IF(TableRefills3[[#This Row],[gap_days]]="",0,IF(TableRefills3[[#This Row],[gap_days]]&gt;2,1,0))</f>
        <v>1</v>
      </c>
      <c r="I2451">
        <f>_xlfn.MAXIFS(TableRefills3[discountinuation_flag], TableRefills3[patient_id], A2451)</f>
        <v>1</v>
      </c>
    </row>
    <row r="2452" spans="1:9" x14ac:dyDescent="0.25">
      <c r="A2452" t="s">
        <v>3886</v>
      </c>
      <c r="B2452" t="s">
        <v>3887</v>
      </c>
      <c r="C2452" s="3">
        <v>45922</v>
      </c>
      <c r="D2452">
        <v>21</v>
      </c>
      <c r="E2452" s="3">
        <f t="shared" si="38"/>
        <v>45898</v>
      </c>
      <c r="F2452" s="3">
        <f>IF(TableRefills3[[#This Row],[prev_refill_days]]="","",TableRefills3[[#This Row],[prev_refill_days]]+TableRefills3[[#This Row],[quantity_days]])</f>
        <v>45919</v>
      </c>
      <c r="G2452">
        <f>IF(TableRefills3[[#This Row],[prev_refill_end]]="","",TableRefills3[[#This Row],[refill_date]]-TableRefills3[[#This Row],[prev_refill_end]])</f>
        <v>3</v>
      </c>
      <c r="H2452" s="10">
        <f>IF(TableRefills3[[#This Row],[gap_days]]="",0,IF(TableRefills3[[#This Row],[gap_days]]&gt;2,1,0))</f>
        <v>1</v>
      </c>
      <c r="I2452">
        <f>_xlfn.MAXIFS(TableRefills3[discountinuation_flag], TableRefills3[patient_id], A2452)</f>
        <v>1</v>
      </c>
    </row>
    <row r="2453" spans="1:9" x14ac:dyDescent="0.25">
      <c r="A2453" t="s">
        <v>3886</v>
      </c>
      <c r="B2453" t="s">
        <v>3887</v>
      </c>
      <c r="C2453" s="3">
        <v>45946</v>
      </c>
      <c r="D2453">
        <v>21</v>
      </c>
      <c r="E2453" s="3">
        <f t="shared" si="38"/>
        <v>45922</v>
      </c>
      <c r="F2453" s="3">
        <f>IF(TableRefills3[[#This Row],[prev_refill_days]]="","",TableRefills3[[#This Row],[prev_refill_days]]+TableRefills3[[#This Row],[quantity_days]])</f>
        <v>45943</v>
      </c>
      <c r="G2453">
        <f>IF(TableRefills3[[#This Row],[prev_refill_end]]="","",TableRefills3[[#This Row],[refill_date]]-TableRefills3[[#This Row],[prev_refill_end]])</f>
        <v>3</v>
      </c>
      <c r="H2453" s="10">
        <f>IF(TableRefills3[[#This Row],[gap_days]]="",0,IF(TableRefills3[[#This Row],[gap_days]]&gt;2,1,0))</f>
        <v>1</v>
      </c>
      <c r="I2453">
        <f>_xlfn.MAXIFS(TableRefills3[discountinuation_flag], TableRefills3[patient_id], A2453)</f>
        <v>1</v>
      </c>
    </row>
    <row r="2454" spans="1:9" x14ac:dyDescent="0.25">
      <c r="A2454" t="s">
        <v>3893</v>
      </c>
      <c r="B2454" t="s">
        <v>3894</v>
      </c>
      <c r="C2454" s="3">
        <v>45904</v>
      </c>
      <c r="D2454">
        <v>28</v>
      </c>
      <c r="E2454" s="3" t="str">
        <f t="shared" si="38"/>
        <v/>
      </c>
      <c r="F2454" s="3" t="str">
        <f>IF(TableRefills3[[#This Row],[prev_refill_days]]="","",TableRefills3[[#This Row],[prev_refill_days]]+TableRefills3[[#This Row],[quantity_days]])</f>
        <v/>
      </c>
      <c r="G2454" t="str">
        <f>IF(TableRefills3[[#This Row],[prev_refill_end]]="","",TableRefills3[[#This Row],[refill_date]]-TableRefills3[[#This Row],[prev_refill_end]])</f>
        <v/>
      </c>
      <c r="H2454" s="10">
        <f>IF(TableRefills3[[#This Row],[gap_days]]="",0,IF(TableRefills3[[#This Row],[gap_days]]&gt;2,1,0))</f>
        <v>0</v>
      </c>
      <c r="I2454">
        <f>_xlfn.MAXIFS(TableRefills3[discountinuation_flag], TableRefills3[patient_id], A2454)</f>
        <v>0</v>
      </c>
    </row>
    <row r="2455" spans="1:9" x14ac:dyDescent="0.25">
      <c r="A2455" t="s">
        <v>3893</v>
      </c>
      <c r="B2455" t="s">
        <v>3894</v>
      </c>
      <c r="C2455" s="3">
        <v>45930</v>
      </c>
      <c r="D2455">
        <v>28</v>
      </c>
      <c r="E2455" s="3">
        <f t="shared" si="38"/>
        <v>45904</v>
      </c>
      <c r="F2455" s="3">
        <f>IF(TableRefills3[[#This Row],[prev_refill_days]]="","",TableRefills3[[#This Row],[prev_refill_days]]+TableRefills3[[#This Row],[quantity_days]])</f>
        <v>45932</v>
      </c>
      <c r="G2455">
        <f>IF(TableRefills3[[#This Row],[prev_refill_end]]="","",TableRefills3[[#This Row],[refill_date]]-TableRefills3[[#This Row],[prev_refill_end]])</f>
        <v>-2</v>
      </c>
      <c r="H2455" s="10">
        <f>IF(TableRefills3[[#This Row],[gap_days]]="",0,IF(TableRefills3[[#This Row],[gap_days]]&gt;2,1,0))</f>
        <v>0</v>
      </c>
      <c r="I2455">
        <f>_xlfn.MAXIFS(TableRefills3[discountinuation_flag], TableRefills3[patient_id], A2455)</f>
        <v>0</v>
      </c>
    </row>
    <row r="2456" spans="1:9" x14ac:dyDescent="0.25">
      <c r="A2456" t="s">
        <v>3893</v>
      </c>
      <c r="B2456" t="s">
        <v>3894</v>
      </c>
      <c r="C2456" s="3">
        <v>45958</v>
      </c>
      <c r="D2456">
        <v>28</v>
      </c>
      <c r="E2456" s="3">
        <f t="shared" si="38"/>
        <v>45930</v>
      </c>
      <c r="F2456" s="3">
        <f>IF(TableRefills3[[#This Row],[prev_refill_days]]="","",TableRefills3[[#This Row],[prev_refill_days]]+TableRefills3[[#This Row],[quantity_days]])</f>
        <v>45958</v>
      </c>
      <c r="G2456">
        <f>IF(TableRefills3[[#This Row],[prev_refill_end]]="","",TableRefills3[[#This Row],[refill_date]]-TableRefills3[[#This Row],[prev_refill_end]])</f>
        <v>0</v>
      </c>
      <c r="H2456" s="10">
        <f>IF(TableRefills3[[#This Row],[gap_days]]="",0,IF(TableRefills3[[#This Row],[gap_days]]&gt;2,1,0))</f>
        <v>0</v>
      </c>
      <c r="I2456">
        <f>_xlfn.MAXIFS(TableRefills3[discountinuation_flag], TableRefills3[patient_id], A2456)</f>
        <v>0</v>
      </c>
    </row>
    <row r="2457" spans="1:9" x14ac:dyDescent="0.25">
      <c r="A2457" t="s">
        <v>3898</v>
      </c>
      <c r="B2457" t="s">
        <v>3899</v>
      </c>
      <c r="C2457" s="3">
        <v>45794</v>
      </c>
      <c r="D2457">
        <v>30</v>
      </c>
      <c r="E2457" s="3" t="str">
        <f t="shared" si="38"/>
        <v/>
      </c>
      <c r="F2457" s="3" t="str">
        <f>IF(TableRefills3[[#This Row],[prev_refill_days]]="","",TableRefills3[[#This Row],[prev_refill_days]]+TableRefills3[[#This Row],[quantity_days]])</f>
        <v/>
      </c>
      <c r="G2457" t="str">
        <f>IF(TableRefills3[[#This Row],[prev_refill_end]]="","",TableRefills3[[#This Row],[refill_date]]-TableRefills3[[#This Row],[prev_refill_end]])</f>
        <v/>
      </c>
      <c r="H2457" s="10">
        <f>IF(TableRefills3[[#This Row],[gap_days]]="",0,IF(TableRefills3[[#This Row],[gap_days]]&gt;2,1,0))</f>
        <v>0</v>
      </c>
      <c r="I2457">
        <f>_xlfn.MAXIFS(TableRefills3[discountinuation_flag], TableRefills3[patient_id], A2457)</f>
        <v>0</v>
      </c>
    </row>
    <row r="2458" spans="1:9" x14ac:dyDescent="0.25">
      <c r="A2458" t="s">
        <v>3901</v>
      </c>
      <c r="B2458" t="s">
        <v>3902</v>
      </c>
      <c r="C2458" s="3">
        <v>45889</v>
      </c>
      <c r="D2458">
        <v>28</v>
      </c>
      <c r="E2458" s="3" t="str">
        <f t="shared" si="38"/>
        <v/>
      </c>
      <c r="F2458" s="3" t="str">
        <f>IF(TableRefills3[[#This Row],[prev_refill_days]]="","",TableRefills3[[#This Row],[prev_refill_days]]+TableRefills3[[#This Row],[quantity_days]])</f>
        <v/>
      </c>
      <c r="G2458" t="str">
        <f>IF(TableRefills3[[#This Row],[prev_refill_end]]="","",TableRefills3[[#This Row],[refill_date]]-TableRefills3[[#This Row],[prev_refill_end]])</f>
        <v/>
      </c>
      <c r="H2458" s="10">
        <f>IF(TableRefills3[[#This Row],[gap_days]]="",0,IF(TableRefills3[[#This Row],[gap_days]]&gt;2,1,0))</f>
        <v>0</v>
      </c>
      <c r="I2458">
        <f>_xlfn.MAXIFS(TableRefills3[discountinuation_flag], TableRefills3[patient_id], A2458)</f>
        <v>0</v>
      </c>
    </row>
    <row r="2459" spans="1:9" x14ac:dyDescent="0.25">
      <c r="A2459" t="s">
        <v>3901</v>
      </c>
      <c r="B2459" t="s">
        <v>3902</v>
      </c>
      <c r="C2459" s="3">
        <v>45919</v>
      </c>
      <c r="D2459">
        <v>28</v>
      </c>
      <c r="E2459" s="3">
        <f t="shared" si="38"/>
        <v>45889</v>
      </c>
      <c r="F2459" s="3">
        <f>IF(TableRefills3[[#This Row],[prev_refill_days]]="","",TableRefills3[[#This Row],[prev_refill_days]]+TableRefills3[[#This Row],[quantity_days]])</f>
        <v>45917</v>
      </c>
      <c r="G2459">
        <f>IF(TableRefills3[[#This Row],[prev_refill_end]]="","",TableRefills3[[#This Row],[refill_date]]-TableRefills3[[#This Row],[prev_refill_end]])</f>
        <v>2</v>
      </c>
      <c r="H2459" s="10">
        <f>IF(TableRefills3[[#This Row],[gap_days]]="",0,IF(TableRefills3[[#This Row],[gap_days]]&gt;2,1,0))</f>
        <v>0</v>
      </c>
      <c r="I2459">
        <f>_xlfn.MAXIFS(TableRefills3[discountinuation_flag], TableRefills3[patient_id], A2459)</f>
        <v>0</v>
      </c>
    </row>
    <row r="2460" spans="1:9" x14ac:dyDescent="0.25">
      <c r="A2460" t="s">
        <v>3901</v>
      </c>
      <c r="B2460" t="s">
        <v>3902</v>
      </c>
      <c r="C2460" s="3">
        <v>45946</v>
      </c>
      <c r="D2460">
        <v>28</v>
      </c>
      <c r="E2460" s="3">
        <f t="shared" si="38"/>
        <v>45919</v>
      </c>
      <c r="F2460" s="3">
        <f>IF(TableRefills3[[#This Row],[prev_refill_days]]="","",TableRefills3[[#This Row],[prev_refill_days]]+TableRefills3[[#This Row],[quantity_days]])</f>
        <v>45947</v>
      </c>
      <c r="G2460">
        <f>IF(TableRefills3[[#This Row],[prev_refill_end]]="","",TableRefills3[[#This Row],[refill_date]]-TableRefills3[[#This Row],[prev_refill_end]])</f>
        <v>-1</v>
      </c>
      <c r="H2460" s="10">
        <f>IF(TableRefills3[[#This Row],[gap_days]]="",0,IF(TableRefills3[[#This Row],[gap_days]]&gt;2,1,0))</f>
        <v>0</v>
      </c>
      <c r="I2460">
        <f>_xlfn.MAXIFS(TableRefills3[discountinuation_flag], TableRefills3[patient_id], A2460)</f>
        <v>0</v>
      </c>
    </row>
    <row r="2461" spans="1:9" x14ac:dyDescent="0.25">
      <c r="A2461" t="s">
        <v>3906</v>
      </c>
      <c r="B2461" t="s">
        <v>3907</v>
      </c>
      <c r="C2461" s="3">
        <v>45885</v>
      </c>
      <c r="D2461">
        <v>28</v>
      </c>
      <c r="E2461" s="3" t="str">
        <f t="shared" si="38"/>
        <v/>
      </c>
      <c r="F2461" s="3" t="str">
        <f>IF(TableRefills3[[#This Row],[prev_refill_days]]="","",TableRefills3[[#This Row],[prev_refill_days]]+TableRefills3[[#This Row],[quantity_days]])</f>
        <v/>
      </c>
      <c r="G2461" t="str">
        <f>IF(TableRefills3[[#This Row],[prev_refill_end]]="","",TableRefills3[[#This Row],[refill_date]]-TableRefills3[[#This Row],[prev_refill_end]])</f>
        <v/>
      </c>
      <c r="H2461" s="10">
        <f>IF(TableRefills3[[#This Row],[gap_days]]="",0,IF(TableRefills3[[#This Row],[gap_days]]&gt;2,1,0))</f>
        <v>0</v>
      </c>
      <c r="I2461">
        <f>_xlfn.MAXIFS(TableRefills3[discountinuation_flag], TableRefills3[patient_id], A2461)</f>
        <v>1</v>
      </c>
    </row>
    <row r="2462" spans="1:9" x14ac:dyDescent="0.25">
      <c r="A2462" t="s">
        <v>3906</v>
      </c>
      <c r="B2462" t="s">
        <v>3907</v>
      </c>
      <c r="C2462" s="3">
        <v>45916</v>
      </c>
      <c r="D2462">
        <v>28</v>
      </c>
      <c r="E2462" s="3">
        <f t="shared" si="38"/>
        <v>45885</v>
      </c>
      <c r="F2462" s="3">
        <f>IF(TableRefills3[[#This Row],[prev_refill_days]]="","",TableRefills3[[#This Row],[prev_refill_days]]+TableRefills3[[#This Row],[quantity_days]])</f>
        <v>45913</v>
      </c>
      <c r="G2462">
        <f>IF(TableRefills3[[#This Row],[prev_refill_end]]="","",TableRefills3[[#This Row],[refill_date]]-TableRefills3[[#This Row],[prev_refill_end]])</f>
        <v>3</v>
      </c>
      <c r="H2462" s="10">
        <f>IF(TableRefills3[[#This Row],[gap_days]]="",0,IF(TableRefills3[[#This Row],[gap_days]]&gt;2,1,0))</f>
        <v>1</v>
      </c>
      <c r="I2462">
        <f>_xlfn.MAXIFS(TableRefills3[discountinuation_flag], TableRefills3[patient_id], A2462)</f>
        <v>1</v>
      </c>
    </row>
    <row r="2463" spans="1:9" x14ac:dyDescent="0.25">
      <c r="A2463" t="s">
        <v>3906</v>
      </c>
      <c r="B2463" t="s">
        <v>3907</v>
      </c>
      <c r="C2463" s="3">
        <v>45941</v>
      </c>
      <c r="D2463">
        <v>28</v>
      </c>
      <c r="E2463" s="3">
        <f t="shared" si="38"/>
        <v>45916</v>
      </c>
      <c r="F2463" s="3">
        <f>IF(TableRefills3[[#This Row],[prev_refill_days]]="","",TableRefills3[[#This Row],[prev_refill_days]]+TableRefills3[[#This Row],[quantity_days]])</f>
        <v>45944</v>
      </c>
      <c r="G2463">
        <f>IF(TableRefills3[[#This Row],[prev_refill_end]]="","",TableRefills3[[#This Row],[refill_date]]-TableRefills3[[#This Row],[prev_refill_end]])</f>
        <v>-3</v>
      </c>
      <c r="H2463" s="10">
        <f>IF(TableRefills3[[#This Row],[gap_days]]="",0,IF(TableRefills3[[#This Row],[gap_days]]&gt;2,1,0))</f>
        <v>0</v>
      </c>
      <c r="I2463">
        <f>_xlfn.MAXIFS(TableRefills3[discountinuation_flag], TableRefills3[patient_id], A2463)</f>
        <v>1</v>
      </c>
    </row>
    <row r="2464" spans="1:9" x14ac:dyDescent="0.25">
      <c r="A2464" t="s">
        <v>3911</v>
      </c>
      <c r="B2464" t="s">
        <v>3912</v>
      </c>
      <c r="C2464" s="3">
        <v>45901</v>
      </c>
      <c r="D2464">
        <v>28</v>
      </c>
      <c r="E2464" s="3" t="str">
        <f t="shared" si="38"/>
        <v/>
      </c>
      <c r="F2464" s="3" t="str">
        <f>IF(TableRefills3[[#This Row],[prev_refill_days]]="","",TableRefills3[[#This Row],[prev_refill_days]]+TableRefills3[[#This Row],[quantity_days]])</f>
        <v/>
      </c>
      <c r="G2464" t="str">
        <f>IF(TableRefills3[[#This Row],[prev_refill_end]]="","",TableRefills3[[#This Row],[refill_date]]-TableRefills3[[#This Row],[prev_refill_end]])</f>
        <v/>
      </c>
      <c r="H2464" s="10">
        <f>IF(TableRefills3[[#This Row],[gap_days]]="",0,IF(TableRefills3[[#This Row],[gap_days]]&gt;2,1,0))</f>
        <v>0</v>
      </c>
      <c r="I2464">
        <f>_xlfn.MAXIFS(TableRefills3[discountinuation_flag], TableRefills3[patient_id], A2464)</f>
        <v>0</v>
      </c>
    </row>
    <row r="2465" spans="1:9" x14ac:dyDescent="0.25">
      <c r="A2465" t="s">
        <v>3911</v>
      </c>
      <c r="B2465" t="s">
        <v>3912</v>
      </c>
      <c r="C2465" s="3">
        <v>45929</v>
      </c>
      <c r="D2465">
        <v>28</v>
      </c>
      <c r="E2465" s="3">
        <f t="shared" si="38"/>
        <v>45901</v>
      </c>
      <c r="F2465" s="3">
        <f>IF(TableRefills3[[#This Row],[prev_refill_days]]="","",TableRefills3[[#This Row],[prev_refill_days]]+TableRefills3[[#This Row],[quantity_days]])</f>
        <v>45929</v>
      </c>
      <c r="G2465">
        <f>IF(TableRefills3[[#This Row],[prev_refill_end]]="","",TableRefills3[[#This Row],[refill_date]]-TableRefills3[[#This Row],[prev_refill_end]])</f>
        <v>0</v>
      </c>
      <c r="H2465" s="10">
        <f>IF(TableRefills3[[#This Row],[gap_days]]="",0,IF(TableRefills3[[#This Row],[gap_days]]&gt;2,1,0))</f>
        <v>0</v>
      </c>
      <c r="I2465">
        <f>_xlfn.MAXIFS(TableRefills3[discountinuation_flag], TableRefills3[patient_id], A2465)</f>
        <v>0</v>
      </c>
    </row>
    <row r="2466" spans="1:9" x14ac:dyDescent="0.25">
      <c r="A2466" t="s">
        <v>3911</v>
      </c>
      <c r="B2466" t="s">
        <v>3912</v>
      </c>
      <c r="C2466" s="3">
        <v>45956</v>
      </c>
      <c r="D2466">
        <v>28</v>
      </c>
      <c r="E2466" s="3">
        <f t="shared" si="38"/>
        <v>45929</v>
      </c>
      <c r="F2466" s="3">
        <f>IF(TableRefills3[[#This Row],[prev_refill_days]]="","",TableRefills3[[#This Row],[prev_refill_days]]+TableRefills3[[#This Row],[quantity_days]])</f>
        <v>45957</v>
      </c>
      <c r="G2466">
        <f>IF(TableRefills3[[#This Row],[prev_refill_end]]="","",TableRefills3[[#This Row],[refill_date]]-TableRefills3[[#This Row],[prev_refill_end]])</f>
        <v>-1</v>
      </c>
      <c r="H2466" s="10">
        <f>IF(TableRefills3[[#This Row],[gap_days]]="",0,IF(TableRefills3[[#This Row],[gap_days]]&gt;2,1,0))</f>
        <v>0</v>
      </c>
      <c r="I2466">
        <f>_xlfn.MAXIFS(TableRefills3[discountinuation_flag], TableRefills3[patient_id], A2466)</f>
        <v>0</v>
      </c>
    </row>
    <row r="2467" spans="1:9" x14ac:dyDescent="0.25">
      <c r="A2467" t="s">
        <v>3916</v>
      </c>
      <c r="B2467" t="s">
        <v>3917</v>
      </c>
      <c r="C2467" s="3">
        <v>45797</v>
      </c>
      <c r="D2467">
        <v>28</v>
      </c>
      <c r="E2467" s="3" t="str">
        <f t="shared" si="38"/>
        <v/>
      </c>
      <c r="F2467" s="3" t="str">
        <f>IF(TableRefills3[[#This Row],[prev_refill_days]]="","",TableRefills3[[#This Row],[prev_refill_days]]+TableRefills3[[#This Row],[quantity_days]])</f>
        <v/>
      </c>
      <c r="G2467" t="str">
        <f>IF(TableRefills3[[#This Row],[prev_refill_end]]="","",TableRefills3[[#This Row],[refill_date]]-TableRefills3[[#This Row],[prev_refill_end]])</f>
        <v/>
      </c>
      <c r="H2467" s="10">
        <f>IF(TableRefills3[[#This Row],[gap_days]]="",0,IF(TableRefills3[[#This Row],[gap_days]]&gt;2,1,0))</f>
        <v>0</v>
      </c>
      <c r="I2467">
        <f>_xlfn.MAXIFS(TableRefills3[discountinuation_flag], TableRefills3[patient_id], A2467)</f>
        <v>1</v>
      </c>
    </row>
    <row r="2468" spans="1:9" x14ac:dyDescent="0.25">
      <c r="A2468" t="s">
        <v>3916</v>
      </c>
      <c r="B2468" t="s">
        <v>3917</v>
      </c>
      <c r="C2468" s="3">
        <v>45828</v>
      </c>
      <c r="D2468">
        <v>28</v>
      </c>
      <c r="E2468" s="3">
        <f t="shared" si="38"/>
        <v>45797</v>
      </c>
      <c r="F2468" s="3">
        <f>IF(TableRefills3[[#This Row],[prev_refill_days]]="","",TableRefills3[[#This Row],[prev_refill_days]]+TableRefills3[[#This Row],[quantity_days]])</f>
        <v>45825</v>
      </c>
      <c r="G2468">
        <f>IF(TableRefills3[[#This Row],[prev_refill_end]]="","",TableRefills3[[#This Row],[refill_date]]-TableRefills3[[#This Row],[prev_refill_end]])</f>
        <v>3</v>
      </c>
      <c r="H2468" s="10">
        <f>IF(TableRefills3[[#This Row],[gap_days]]="",0,IF(TableRefills3[[#This Row],[gap_days]]&gt;2,1,0))</f>
        <v>1</v>
      </c>
      <c r="I2468">
        <f>_xlfn.MAXIFS(TableRefills3[discountinuation_flag], TableRefills3[patient_id], A2468)</f>
        <v>1</v>
      </c>
    </row>
    <row r="2469" spans="1:9" x14ac:dyDescent="0.25">
      <c r="A2469" t="s">
        <v>3916</v>
      </c>
      <c r="B2469" t="s">
        <v>3917</v>
      </c>
      <c r="C2469" s="3">
        <v>45857</v>
      </c>
      <c r="D2469">
        <v>28</v>
      </c>
      <c r="E2469" s="3">
        <f t="shared" si="38"/>
        <v>45828</v>
      </c>
      <c r="F2469" s="3">
        <f>IF(TableRefills3[[#This Row],[prev_refill_days]]="","",TableRefills3[[#This Row],[prev_refill_days]]+TableRefills3[[#This Row],[quantity_days]])</f>
        <v>45856</v>
      </c>
      <c r="G2469">
        <f>IF(TableRefills3[[#This Row],[prev_refill_end]]="","",TableRefills3[[#This Row],[refill_date]]-TableRefills3[[#This Row],[prev_refill_end]])</f>
        <v>1</v>
      </c>
      <c r="H2469" s="10">
        <f>IF(TableRefills3[[#This Row],[gap_days]]="",0,IF(TableRefills3[[#This Row],[gap_days]]&gt;2,1,0))</f>
        <v>0</v>
      </c>
      <c r="I2469">
        <f>_xlfn.MAXIFS(TableRefills3[discountinuation_flag], TableRefills3[patient_id], A2469)</f>
        <v>1</v>
      </c>
    </row>
    <row r="2470" spans="1:9" x14ac:dyDescent="0.25">
      <c r="A2470" t="s">
        <v>3916</v>
      </c>
      <c r="B2470" t="s">
        <v>3917</v>
      </c>
      <c r="C2470" s="3">
        <v>45885</v>
      </c>
      <c r="D2470">
        <v>28</v>
      </c>
      <c r="E2470" s="3">
        <f t="shared" si="38"/>
        <v>45857</v>
      </c>
      <c r="F2470" s="3">
        <f>IF(TableRefills3[[#This Row],[prev_refill_days]]="","",TableRefills3[[#This Row],[prev_refill_days]]+TableRefills3[[#This Row],[quantity_days]])</f>
        <v>45885</v>
      </c>
      <c r="G2470">
        <f>IF(TableRefills3[[#This Row],[prev_refill_end]]="","",TableRefills3[[#This Row],[refill_date]]-TableRefills3[[#This Row],[prev_refill_end]])</f>
        <v>0</v>
      </c>
      <c r="H2470" s="10">
        <f>IF(TableRefills3[[#This Row],[gap_days]]="",0,IF(TableRefills3[[#This Row],[gap_days]]&gt;2,1,0))</f>
        <v>0</v>
      </c>
      <c r="I2470">
        <f>_xlfn.MAXIFS(TableRefills3[discountinuation_flag], TableRefills3[patient_id], A2470)</f>
        <v>1</v>
      </c>
    </row>
    <row r="2471" spans="1:9" x14ac:dyDescent="0.25">
      <c r="A2471" t="s">
        <v>3916</v>
      </c>
      <c r="B2471" t="s">
        <v>3917</v>
      </c>
      <c r="C2471" s="3">
        <v>45915</v>
      </c>
      <c r="D2471">
        <v>28</v>
      </c>
      <c r="E2471" s="3">
        <f t="shared" si="38"/>
        <v>45885</v>
      </c>
      <c r="F2471" s="3">
        <f>IF(TableRefills3[[#This Row],[prev_refill_days]]="","",TableRefills3[[#This Row],[prev_refill_days]]+TableRefills3[[#This Row],[quantity_days]])</f>
        <v>45913</v>
      </c>
      <c r="G2471">
        <f>IF(TableRefills3[[#This Row],[prev_refill_end]]="","",TableRefills3[[#This Row],[refill_date]]-TableRefills3[[#This Row],[prev_refill_end]])</f>
        <v>2</v>
      </c>
      <c r="H2471" s="10">
        <f>IF(TableRefills3[[#This Row],[gap_days]]="",0,IF(TableRefills3[[#This Row],[gap_days]]&gt;2,1,0))</f>
        <v>0</v>
      </c>
      <c r="I2471">
        <f>_xlfn.MAXIFS(TableRefills3[discountinuation_flag], TableRefills3[patient_id], A2471)</f>
        <v>1</v>
      </c>
    </row>
    <row r="2472" spans="1:9" x14ac:dyDescent="0.25">
      <c r="A2472" t="s">
        <v>3916</v>
      </c>
      <c r="B2472" t="s">
        <v>3917</v>
      </c>
      <c r="C2472" s="3">
        <v>45943</v>
      </c>
      <c r="D2472">
        <v>28</v>
      </c>
      <c r="E2472" s="3">
        <f t="shared" si="38"/>
        <v>45915</v>
      </c>
      <c r="F2472" s="3">
        <f>IF(TableRefills3[[#This Row],[prev_refill_days]]="","",TableRefills3[[#This Row],[prev_refill_days]]+TableRefills3[[#This Row],[quantity_days]])</f>
        <v>45943</v>
      </c>
      <c r="G2472">
        <f>IF(TableRefills3[[#This Row],[prev_refill_end]]="","",TableRefills3[[#This Row],[refill_date]]-TableRefills3[[#This Row],[prev_refill_end]])</f>
        <v>0</v>
      </c>
      <c r="H2472" s="10">
        <f>IF(TableRefills3[[#This Row],[gap_days]]="",0,IF(TableRefills3[[#This Row],[gap_days]]&gt;2,1,0))</f>
        <v>0</v>
      </c>
      <c r="I2472">
        <f>_xlfn.MAXIFS(TableRefills3[discountinuation_flag], TableRefills3[patient_id], A2472)</f>
        <v>1</v>
      </c>
    </row>
    <row r="2473" spans="1:9" x14ac:dyDescent="0.25">
      <c r="A2473" t="s">
        <v>3924</v>
      </c>
      <c r="B2473" t="s">
        <v>3925</v>
      </c>
      <c r="C2473" s="3">
        <v>45842</v>
      </c>
      <c r="D2473">
        <v>30</v>
      </c>
      <c r="E2473" s="3" t="str">
        <f t="shared" si="38"/>
        <v/>
      </c>
      <c r="F2473" s="3" t="str">
        <f>IF(TableRefills3[[#This Row],[prev_refill_days]]="","",TableRefills3[[#This Row],[prev_refill_days]]+TableRefills3[[#This Row],[quantity_days]])</f>
        <v/>
      </c>
      <c r="G2473" t="str">
        <f>IF(TableRefills3[[#This Row],[prev_refill_end]]="","",TableRefills3[[#This Row],[refill_date]]-TableRefills3[[#This Row],[prev_refill_end]])</f>
        <v/>
      </c>
      <c r="H2473" s="10">
        <f>IF(TableRefills3[[#This Row],[gap_days]]="",0,IF(TableRefills3[[#This Row],[gap_days]]&gt;2,1,0))</f>
        <v>0</v>
      </c>
      <c r="I2473">
        <f>_xlfn.MAXIFS(TableRefills3[discountinuation_flag], TableRefills3[patient_id], A2473)</f>
        <v>1</v>
      </c>
    </row>
    <row r="2474" spans="1:9" x14ac:dyDescent="0.25">
      <c r="A2474" t="s">
        <v>3924</v>
      </c>
      <c r="B2474" t="s">
        <v>3925</v>
      </c>
      <c r="C2474" s="3">
        <v>45875</v>
      </c>
      <c r="D2474">
        <v>30</v>
      </c>
      <c r="E2474" s="3">
        <f t="shared" si="38"/>
        <v>45842</v>
      </c>
      <c r="F2474" s="3">
        <f>IF(TableRefills3[[#This Row],[prev_refill_days]]="","",TableRefills3[[#This Row],[prev_refill_days]]+TableRefills3[[#This Row],[quantity_days]])</f>
        <v>45872</v>
      </c>
      <c r="G2474">
        <f>IF(TableRefills3[[#This Row],[prev_refill_end]]="","",TableRefills3[[#This Row],[refill_date]]-TableRefills3[[#This Row],[prev_refill_end]])</f>
        <v>3</v>
      </c>
      <c r="H2474" s="10">
        <f>IF(TableRefills3[[#This Row],[gap_days]]="",0,IF(TableRefills3[[#This Row],[gap_days]]&gt;2,1,0))</f>
        <v>1</v>
      </c>
      <c r="I2474">
        <f>_xlfn.MAXIFS(TableRefills3[discountinuation_flag], TableRefills3[patient_id], A2474)</f>
        <v>1</v>
      </c>
    </row>
    <row r="2475" spans="1:9" x14ac:dyDescent="0.25">
      <c r="A2475" t="s">
        <v>3924</v>
      </c>
      <c r="B2475" t="s">
        <v>3925</v>
      </c>
      <c r="C2475" s="3">
        <v>45902</v>
      </c>
      <c r="D2475">
        <v>30</v>
      </c>
      <c r="E2475" s="3">
        <f t="shared" si="38"/>
        <v>45875</v>
      </c>
      <c r="F2475" s="3">
        <f>IF(TableRefills3[[#This Row],[prev_refill_days]]="","",TableRefills3[[#This Row],[prev_refill_days]]+TableRefills3[[#This Row],[quantity_days]])</f>
        <v>45905</v>
      </c>
      <c r="G2475">
        <f>IF(TableRefills3[[#This Row],[prev_refill_end]]="","",TableRefills3[[#This Row],[refill_date]]-TableRefills3[[#This Row],[prev_refill_end]])</f>
        <v>-3</v>
      </c>
      <c r="H2475" s="10">
        <f>IF(TableRefills3[[#This Row],[gap_days]]="",0,IF(TableRefills3[[#This Row],[gap_days]]&gt;2,1,0))</f>
        <v>0</v>
      </c>
      <c r="I2475">
        <f>_xlfn.MAXIFS(TableRefills3[discountinuation_flag], TableRefills3[patient_id], A2475)</f>
        <v>1</v>
      </c>
    </row>
    <row r="2476" spans="1:9" x14ac:dyDescent="0.25">
      <c r="A2476" t="s">
        <v>3924</v>
      </c>
      <c r="B2476" t="s">
        <v>3925</v>
      </c>
      <c r="C2476" s="3">
        <v>45935</v>
      </c>
      <c r="D2476">
        <v>30</v>
      </c>
      <c r="E2476" s="3">
        <f t="shared" si="38"/>
        <v>45902</v>
      </c>
      <c r="F2476" s="3">
        <f>IF(TableRefills3[[#This Row],[prev_refill_days]]="","",TableRefills3[[#This Row],[prev_refill_days]]+TableRefills3[[#This Row],[quantity_days]])</f>
        <v>45932</v>
      </c>
      <c r="G2476">
        <f>IF(TableRefills3[[#This Row],[prev_refill_end]]="","",TableRefills3[[#This Row],[refill_date]]-TableRefills3[[#This Row],[prev_refill_end]])</f>
        <v>3</v>
      </c>
      <c r="H2476" s="10">
        <f>IF(TableRefills3[[#This Row],[gap_days]]="",0,IF(TableRefills3[[#This Row],[gap_days]]&gt;2,1,0))</f>
        <v>1</v>
      </c>
      <c r="I2476">
        <f>_xlfn.MAXIFS(TableRefills3[discountinuation_flag], TableRefills3[patient_id], A2476)</f>
        <v>1</v>
      </c>
    </row>
    <row r="2477" spans="1:9" x14ac:dyDescent="0.25">
      <c r="A2477" t="s">
        <v>3930</v>
      </c>
      <c r="B2477" t="s">
        <v>3931</v>
      </c>
      <c r="C2477" s="3">
        <v>45938</v>
      </c>
      <c r="D2477">
        <v>28</v>
      </c>
      <c r="E2477" s="3" t="str">
        <f t="shared" si="38"/>
        <v/>
      </c>
      <c r="F2477" s="3" t="str">
        <f>IF(TableRefills3[[#This Row],[prev_refill_days]]="","",TableRefills3[[#This Row],[prev_refill_days]]+TableRefills3[[#This Row],[quantity_days]])</f>
        <v/>
      </c>
      <c r="G2477" t="str">
        <f>IF(TableRefills3[[#This Row],[prev_refill_end]]="","",TableRefills3[[#This Row],[refill_date]]-TableRefills3[[#This Row],[prev_refill_end]])</f>
        <v/>
      </c>
      <c r="H2477" s="10">
        <f>IF(TableRefills3[[#This Row],[gap_days]]="",0,IF(TableRefills3[[#This Row],[gap_days]]&gt;2,1,0))</f>
        <v>0</v>
      </c>
      <c r="I2477">
        <f>_xlfn.MAXIFS(TableRefills3[discountinuation_flag], TableRefills3[patient_id], A2477)</f>
        <v>0</v>
      </c>
    </row>
    <row r="2478" spans="1:9" x14ac:dyDescent="0.25">
      <c r="A2478" t="s">
        <v>3933</v>
      </c>
      <c r="B2478" t="s">
        <v>3934</v>
      </c>
      <c r="C2478" s="3">
        <v>45930</v>
      </c>
      <c r="D2478">
        <v>28</v>
      </c>
      <c r="E2478" s="3" t="str">
        <f t="shared" si="38"/>
        <v/>
      </c>
      <c r="F2478" s="3" t="str">
        <f>IF(TableRefills3[[#This Row],[prev_refill_days]]="","",TableRefills3[[#This Row],[prev_refill_days]]+TableRefills3[[#This Row],[quantity_days]])</f>
        <v/>
      </c>
      <c r="G2478" t="str">
        <f>IF(TableRefills3[[#This Row],[prev_refill_end]]="","",TableRefills3[[#This Row],[refill_date]]-TableRefills3[[#This Row],[prev_refill_end]])</f>
        <v/>
      </c>
      <c r="H2478" s="10">
        <f>IF(TableRefills3[[#This Row],[gap_days]]="",0,IF(TableRefills3[[#This Row],[gap_days]]&gt;2,1,0))</f>
        <v>0</v>
      </c>
      <c r="I2478">
        <f>_xlfn.MAXIFS(TableRefills3[discountinuation_flag], TableRefills3[patient_id], A2478)</f>
        <v>0</v>
      </c>
    </row>
    <row r="2479" spans="1:9" x14ac:dyDescent="0.25">
      <c r="A2479" t="s">
        <v>3933</v>
      </c>
      <c r="B2479" t="s">
        <v>3934</v>
      </c>
      <c r="C2479" s="3">
        <v>45960</v>
      </c>
      <c r="D2479">
        <v>28</v>
      </c>
      <c r="E2479" s="3">
        <f t="shared" si="38"/>
        <v>45930</v>
      </c>
      <c r="F2479" s="3">
        <f>IF(TableRefills3[[#This Row],[prev_refill_days]]="","",TableRefills3[[#This Row],[prev_refill_days]]+TableRefills3[[#This Row],[quantity_days]])</f>
        <v>45958</v>
      </c>
      <c r="G2479">
        <f>IF(TableRefills3[[#This Row],[prev_refill_end]]="","",TableRefills3[[#This Row],[refill_date]]-TableRefills3[[#This Row],[prev_refill_end]])</f>
        <v>2</v>
      </c>
      <c r="H2479" s="10">
        <f>IF(TableRefills3[[#This Row],[gap_days]]="",0,IF(TableRefills3[[#This Row],[gap_days]]&gt;2,1,0))</f>
        <v>0</v>
      </c>
      <c r="I2479">
        <f>_xlfn.MAXIFS(TableRefills3[discountinuation_flag], TableRefills3[patient_id], A2479)</f>
        <v>0</v>
      </c>
    </row>
    <row r="2480" spans="1:9" x14ac:dyDescent="0.25">
      <c r="A2480" t="s">
        <v>3937</v>
      </c>
      <c r="B2480" t="s">
        <v>3938</v>
      </c>
      <c r="C2480" s="3">
        <v>45828</v>
      </c>
      <c r="D2480">
        <v>14</v>
      </c>
      <c r="E2480" s="3" t="str">
        <f t="shared" si="38"/>
        <v/>
      </c>
      <c r="F2480" s="3" t="str">
        <f>IF(TableRefills3[[#This Row],[prev_refill_days]]="","",TableRefills3[[#This Row],[prev_refill_days]]+TableRefills3[[#This Row],[quantity_days]])</f>
        <v/>
      </c>
      <c r="G2480" t="str">
        <f>IF(TableRefills3[[#This Row],[prev_refill_end]]="","",TableRefills3[[#This Row],[refill_date]]-TableRefills3[[#This Row],[prev_refill_end]])</f>
        <v/>
      </c>
      <c r="H2480" s="10">
        <f>IF(TableRefills3[[#This Row],[gap_days]]="",0,IF(TableRefills3[[#This Row],[gap_days]]&gt;2,1,0))</f>
        <v>0</v>
      </c>
      <c r="I2480">
        <f>_xlfn.MAXIFS(TableRefills3[discountinuation_flag], TableRefills3[patient_id], A2480)</f>
        <v>1</v>
      </c>
    </row>
    <row r="2481" spans="1:9" x14ac:dyDescent="0.25">
      <c r="A2481" t="s">
        <v>3937</v>
      </c>
      <c r="B2481" t="s">
        <v>3938</v>
      </c>
      <c r="C2481" s="3">
        <v>45843</v>
      </c>
      <c r="D2481">
        <v>14</v>
      </c>
      <c r="E2481" s="3">
        <f t="shared" si="38"/>
        <v>45828</v>
      </c>
      <c r="F2481" s="3">
        <f>IF(TableRefills3[[#This Row],[prev_refill_days]]="","",TableRefills3[[#This Row],[prev_refill_days]]+TableRefills3[[#This Row],[quantity_days]])</f>
        <v>45842</v>
      </c>
      <c r="G2481">
        <f>IF(TableRefills3[[#This Row],[prev_refill_end]]="","",TableRefills3[[#This Row],[refill_date]]-TableRefills3[[#This Row],[prev_refill_end]])</f>
        <v>1</v>
      </c>
      <c r="H2481" s="10">
        <f>IF(TableRefills3[[#This Row],[gap_days]]="",0,IF(TableRefills3[[#This Row],[gap_days]]&gt;2,1,0))</f>
        <v>0</v>
      </c>
      <c r="I2481">
        <f>_xlfn.MAXIFS(TableRefills3[discountinuation_flag], TableRefills3[patient_id], A2481)</f>
        <v>1</v>
      </c>
    </row>
    <row r="2482" spans="1:9" x14ac:dyDescent="0.25">
      <c r="A2482" t="s">
        <v>3937</v>
      </c>
      <c r="B2482" t="s">
        <v>3938</v>
      </c>
      <c r="C2482" s="3">
        <v>45856</v>
      </c>
      <c r="D2482">
        <v>14</v>
      </c>
      <c r="E2482" s="3">
        <f t="shared" si="38"/>
        <v>45843</v>
      </c>
      <c r="F2482" s="3">
        <f>IF(TableRefills3[[#This Row],[prev_refill_days]]="","",TableRefills3[[#This Row],[prev_refill_days]]+TableRefills3[[#This Row],[quantity_days]])</f>
        <v>45857</v>
      </c>
      <c r="G2482">
        <f>IF(TableRefills3[[#This Row],[prev_refill_end]]="","",TableRefills3[[#This Row],[refill_date]]-TableRefills3[[#This Row],[prev_refill_end]])</f>
        <v>-1</v>
      </c>
      <c r="H2482" s="10">
        <f>IF(TableRefills3[[#This Row],[gap_days]]="",0,IF(TableRefills3[[#This Row],[gap_days]]&gt;2,1,0))</f>
        <v>0</v>
      </c>
      <c r="I2482">
        <f>_xlfn.MAXIFS(TableRefills3[discountinuation_flag], TableRefills3[patient_id], A2482)</f>
        <v>1</v>
      </c>
    </row>
    <row r="2483" spans="1:9" x14ac:dyDescent="0.25">
      <c r="A2483" t="s">
        <v>3937</v>
      </c>
      <c r="B2483" t="s">
        <v>3938</v>
      </c>
      <c r="C2483" s="3">
        <v>45870</v>
      </c>
      <c r="D2483">
        <v>14</v>
      </c>
      <c r="E2483" s="3">
        <f t="shared" si="38"/>
        <v>45856</v>
      </c>
      <c r="F2483" s="3">
        <f>IF(TableRefills3[[#This Row],[prev_refill_days]]="","",TableRefills3[[#This Row],[prev_refill_days]]+TableRefills3[[#This Row],[quantity_days]])</f>
        <v>45870</v>
      </c>
      <c r="G2483">
        <f>IF(TableRefills3[[#This Row],[prev_refill_end]]="","",TableRefills3[[#This Row],[refill_date]]-TableRefills3[[#This Row],[prev_refill_end]])</f>
        <v>0</v>
      </c>
      <c r="H2483" s="10">
        <f>IF(TableRefills3[[#This Row],[gap_days]]="",0,IF(TableRefills3[[#This Row],[gap_days]]&gt;2,1,0))</f>
        <v>0</v>
      </c>
      <c r="I2483">
        <f>_xlfn.MAXIFS(TableRefills3[discountinuation_flag], TableRefills3[patient_id], A2483)</f>
        <v>1</v>
      </c>
    </row>
    <row r="2484" spans="1:9" x14ac:dyDescent="0.25">
      <c r="A2484" t="s">
        <v>3937</v>
      </c>
      <c r="B2484" t="s">
        <v>3938</v>
      </c>
      <c r="C2484" s="3">
        <v>45886</v>
      </c>
      <c r="D2484">
        <v>14</v>
      </c>
      <c r="E2484" s="3">
        <f t="shared" si="38"/>
        <v>45870</v>
      </c>
      <c r="F2484" s="3">
        <f>IF(TableRefills3[[#This Row],[prev_refill_days]]="","",TableRefills3[[#This Row],[prev_refill_days]]+TableRefills3[[#This Row],[quantity_days]])</f>
        <v>45884</v>
      </c>
      <c r="G2484">
        <f>IF(TableRefills3[[#This Row],[prev_refill_end]]="","",TableRefills3[[#This Row],[refill_date]]-TableRefills3[[#This Row],[prev_refill_end]])</f>
        <v>2</v>
      </c>
      <c r="H2484" s="10">
        <f>IF(TableRefills3[[#This Row],[gap_days]]="",0,IF(TableRefills3[[#This Row],[gap_days]]&gt;2,1,0))</f>
        <v>0</v>
      </c>
      <c r="I2484">
        <f>_xlfn.MAXIFS(TableRefills3[discountinuation_flag], TableRefills3[patient_id], A2484)</f>
        <v>1</v>
      </c>
    </row>
    <row r="2485" spans="1:9" x14ac:dyDescent="0.25">
      <c r="A2485" t="s">
        <v>3937</v>
      </c>
      <c r="B2485" t="s">
        <v>3938</v>
      </c>
      <c r="C2485" s="3">
        <v>45899</v>
      </c>
      <c r="D2485">
        <v>14</v>
      </c>
      <c r="E2485" s="3">
        <f t="shared" si="38"/>
        <v>45886</v>
      </c>
      <c r="F2485" s="3">
        <f>IF(TableRefills3[[#This Row],[prev_refill_days]]="","",TableRefills3[[#This Row],[prev_refill_days]]+TableRefills3[[#This Row],[quantity_days]])</f>
        <v>45900</v>
      </c>
      <c r="G2485">
        <f>IF(TableRefills3[[#This Row],[prev_refill_end]]="","",TableRefills3[[#This Row],[refill_date]]-TableRefills3[[#This Row],[prev_refill_end]])</f>
        <v>-1</v>
      </c>
      <c r="H2485" s="10">
        <f>IF(TableRefills3[[#This Row],[gap_days]]="",0,IF(TableRefills3[[#This Row],[gap_days]]&gt;2,1,0))</f>
        <v>0</v>
      </c>
      <c r="I2485">
        <f>_xlfn.MAXIFS(TableRefills3[discountinuation_flag], TableRefills3[patient_id], A2485)</f>
        <v>1</v>
      </c>
    </row>
    <row r="2486" spans="1:9" x14ac:dyDescent="0.25">
      <c r="A2486" t="s">
        <v>3937</v>
      </c>
      <c r="B2486" t="s">
        <v>3938</v>
      </c>
      <c r="C2486" s="3">
        <v>45912</v>
      </c>
      <c r="D2486">
        <v>14</v>
      </c>
      <c r="E2486" s="3">
        <f t="shared" si="38"/>
        <v>45899</v>
      </c>
      <c r="F2486" s="3">
        <f>IF(TableRefills3[[#This Row],[prev_refill_days]]="","",TableRefills3[[#This Row],[prev_refill_days]]+TableRefills3[[#This Row],[quantity_days]])</f>
        <v>45913</v>
      </c>
      <c r="G2486">
        <f>IF(TableRefills3[[#This Row],[prev_refill_end]]="","",TableRefills3[[#This Row],[refill_date]]-TableRefills3[[#This Row],[prev_refill_end]])</f>
        <v>-1</v>
      </c>
      <c r="H2486" s="10">
        <f>IF(TableRefills3[[#This Row],[gap_days]]="",0,IF(TableRefills3[[#This Row],[gap_days]]&gt;2,1,0))</f>
        <v>0</v>
      </c>
      <c r="I2486">
        <f>_xlfn.MAXIFS(TableRefills3[discountinuation_flag], TableRefills3[patient_id], A2486)</f>
        <v>1</v>
      </c>
    </row>
    <row r="2487" spans="1:9" x14ac:dyDescent="0.25">
      <c r="A2487" t="s">
        <v>3937</v>
      </c>
      <c r="B2487" t="s">
        <v>3938</v>
      </c>
      <c r="C2487" s="3">
        <v>45929</v>
      </c>
      <c r="D2487">
        <v>14</v>
      </c>
      <c r="E2487" s="3">
        <f t="shared" si="38"/>
        <v>45912</v>
      </c>
      <c r="F2487" s="3">
        <f>IF(TableRefills3[[#This Row],[prev_refill_days]]="","",TableRefills3[[#This Row],[prev_refill_days]]+TableRefills3[[#This Row],[quantity_days]])</f>
        <v>45926</v>
      </c>
      <c r="G2487">
        <f>IF(TableRefills3[[#This Row],[prev_refill_end]]="","",TableRefills3[[#This Row],[refill_date]]-TableRefills3[[#This Row],[prev_refill_end]])</f>
        <v>3</v>
      </c>
      <c r="H2487" s="10">
        <f>IF(TableRefills3[[#This Row],[gap_days]]="",0,IF(TableRefills3[[#This Row],[gap_days]]&gt;2,1,0))</f>
        <v>1</v>
      </c>
      <c r="I2487">
        <f>_xlfn.MAXIFS(TableRefills3[discountinuation_flag], TableRefills3[patient_id], A2487)</f>
        <v>1</v>
      </c>
    </row>
    <row r="2488" spans="1:9" x14ac:dyDescent="0.25">
      <c r="A2488" t="s">
        <v>3937</v>
      </c>
      <c r="B2488" t="s">
        <v>3938</v>
      </c>
      <c r="C2488" s="3">
        <v>45942</v>
      </c>
      <c r="D2488">
        <v>14</v>
      </c>
      <c r="E2488" s="3">
        <f t="shared" si="38"/>
        <v>45929</v>
      </c>
      <c r="F2488" s="3">
        <f>IF(TableRefills3[[#This Row],[prev_refill_days]]="","",TableRefills3[[#This Row],[prev_refill_days]]+TableRefills3[[#This Row],[quantity_days]])</f>
        <v>45943</v>
      </c>
      <c r="G2488">
        <f>IF(TableRefills3[[#This Row],[prev_refill_end]]="","",TableRefills3[[#This Row],[refill_date]]-TableRefills3[[#This Row],[prev_refill_end]])</f>
        <v>-1</v>
      </c>
      <c r="H2488" s="10">
        <f>IF(TableRefills3[[#This Row],[gap_days]]="",0,IF(TableRefills3[[#This Row],[gap_days]]&gt;2,1,0))</f>
        <v>0</v>
      </c>
      <c r="I2488">
        <f>_xlfn.MAXIFS(TableRefills3[discountinuation_flag], TableRefills3[patient_id], A2488)</f>
        <v>1</v>
      </c>
    </row>
    <row r="2489" spans="1:9" x14ac:dyDescent="0.25">
      <c r="A2489" t="s">
        <v>3937</v>
      </c>
      <c r="B2489" t="s">
        <v>3938</v>
      </c>
      <c r="C2489" s="3">
        <v>45957</v>
      </c>
      <c r="D2489">
        <v>14</v>
      </c>
      <c r="E2489" s="3">
        <f t="shared" si="38"/>
        <v>45942</v>
      </c>
      <c r="F2489" s="3">
        <f>IF(TableRefills3[[#This Row],[prev_refill_days]]="","",TableRefills3[[#This Row],[prev_refill_days]]+TableRefills3[[#This Row],[quantity_days]])</f>
        <v>45956</v>
      </c>
      <c r="G2489">
        <f>IF(TableRefills3[[#This Row],[prev_refill_end]]="","",TableRefills3[[#This Row],[refill_date]]-TableRefills3[[#This Row],[prev_refill_end]])</f>
        <v>1</v>
      </c>
      <c r="H2489" s="10">
        <f>IF(TableRefills3[[#This Row],[gap_days]]="",0,IF(TableRefills3[[#This Row],[gap_days]]&gt;2,1,0))</f>
        <v>0</v>
      </c>
      <c r="I2489">
        <f>_xlfn.MAXIFS(TableRefills3[discountinuation_flag], TableRefills3[patient_id], A2489)</f>
        <v>1</v>
      </c>
    </row>
    <row r="2490" spans="1:9" x14ac:dyDescent="0.25">
      <c r="A2490" t="s">
        <v>3949</v>
      </c>
      <c r="B2490" t="s">
        <v>3950</v>
      </c>
      <c r="C2490" s="3">
        <v>45805</v>
      </c>
      <c r="D2490">
        <v>28</v>
      </c>
      <c r="E2490" s="3" t="str">
        <f t="shared" si="38"/>
        <v/>
      </c>
      <c r="F2490" s="3" t="str">
        <f>IF(TableRefills3[[#This Row],[prev_refill_days]]="","",TableRefills3[[#This Row],[prev_refill_days]]+TableRefills3[[#This Row],[quantity_days]])</f>
        <v/>
      </c>
      <c r="G2490" t="str">
        <f>IF(TableRefills3[[#This Row],[prev_refill_end]]="","",TableRefills3[[#This Row],[refill_date]]-TableRefills3[[#This Row],[prev_refill_end]])</f>
        <v/>
      </c>
      <c r="H2490" s="10">
        <f>IF(TableRefills3[[#This Row],[gap_days]]="",0,IF(TableRefills3[[#This Row],[gap_days]]&gt;2,1,0))</f>
        <v>0</v>
      </c>
      <c r="I2490">
        <f>_xlfn.MAXIFS(TableRefills3[discountinuation_flag], TableRefills3[patient_id], A2490)</f>
        <v>0</v>
      </c>
    </row>
    <row r="2491" spans="1:9" x14ac:dyDescent="0.25">
      <c r="A2491" t="s">
        <v>3949</v>
      </c>
      <c r="B2491" t="s">
        <v>3950</v>
      </c>
      <c r="C2491" s="3">
        <v>45835</v>
      </c>
      <c r="D2491">
        <v>28</v>
      </c>
      <c r="E2491" s="3">
        <f t="shared" si="38"/>
        <v>45805</v>
      </c>
      <c r="F2491" s="3">
        <f>IF(TableRefills3[[#This Row],[prev_refill_days]]="","",TableRefills3[[#This Row],[prev_refill_days]]+TableRefills3[[#This Row],[quantity_days]])</f>
        <v>45833</v>
      </c>
      <c r="G2491">
        <f>IF(TableRefills3[[#This Row],[prev_refill_end]]="","",TableRefills3[[#This Row],[refill_date]]-TableRefills3[[#This Row],[prev_refill_end]])</f>
        <v>2</v>
      </c>
      <c r="H2491" s="10">
        <f>IF(TableRefills3[[#This Row],[gap_days]]="",0,IF(TableRefills3[[#This Row],[gap_days]]&gt;2,1,0))</f>
        <v>0</v>
      </c>
      <c r="I2491">
        <f>_xlfn.MAXIFS(TableRefills3[discountinuation_flag], TableRefills3[patient_id], A2491)</f>
        <v>0</v>
      </c>
    </row>
    <row r="2492" spans="1:9" x14ac:dyDescent="0.25">
      <c r="A2492" t="s">
        <v>3949</v>
      </c>
      <c r="B2492" t="s">
        <v>3950</v>
      </c>
      <c r="C2492" s="3">
        <v>45865</v>
      </c>
      <c r="D2492">
        <v>28</v>
      </c>
      <c r="E2492" s="3">
        <f t="shared" si="38"/>
        <v>45835</v>
      </c>
      <c r="F2492" s="3">
        <f>IF(TableRefills3[[#This Row],[prev_refill_days]]="","",TableRefills3[[#This Row],[prev_refill_days]]+TableRefills3[[#This Row],[quantity_days]])</f>
        <v>45863</v>
      </c>
      <c r="G2492">
        <f>IF(TableRefills3[[#This Row],[prev_refill_end]]="","",TableRefills3[[#This Row],[refill_date]]-TableRefills3[[#This Row],[prev_refill_end]])</f>
        <v>2</v>
      </c>
      <c r="H2492" s="10">
        <f>IF(TableRefills3[[#This Row],[gap_days]]="",0,IF(TableRefills3[[#This Row],[gap_days]]&gt;2,1,0))</f>
        <v>0</v>
      </c>
      <c r="I2492">
        <f>_xlfn.MAXIFS(TableRefills3[discountinuation_flag], TableRefills3[patient_id], A2492)</f>
        <v>0</v>
      </c>
    </row>
    <row r="2493" spans="1:9" x14ac:dyDescent="0.25">
      <c r="A2493" t="s">
        <v>3954</v>
      </c>
      <c r="B2493" t="s">
        <v>3955</v>
      </c>
      <c r="C2493" s="3">
        <v>45855</v>
      </c>
      <c r="D2493">
        <v>28</v>
      </c>
      <c r="E2493" s="3" t="str">
        <f t="shared" si="38"/>
        <v/>
      </c>
      <c r="F2493" s="3" t="str">
        <f>IF(TableRefills3[[#This Row],[prev_refill_days]]="","",TableRefills3[[#This Row],[prev_refill_days]]+TableRefills3[[#This Row],[quantity_days]])</f>
        <v/>
      </c>
      <c r="G2493" t="str">
        <f>IF(TableRefills3[[#This Row],[prev_refill_end]]="","",TableRefills3[[#This Row],[refill_date]]-TableRefills3[[#This Row],[prev_refill_end]])</f>
        <v/>
      </c>
      <c r="H2493" s="10">
        <f>IF(TableRefills3[[#This Row],[gap_days]]="",0,IF(TableRefills3[[#This Row],[gap_days]]&gt;2,1,0))</f>
        <v>0</v>
      </c>
      <c r="I2493">
        <f>_xlfn.MAXIFS(TableRefills3[discountinuation_flag], TableRefills3[patient_id], A2493)</f>
        <v>0</v>
      </c>
    </row>
    <row r="2494" spans="1:9" x14ac:dyDescent="0.25">
      <c r="A2494" t="s">
        <v>3954</v>
      </c>
      <c r="B2494" t="s">
        <v>3955</v>
      </c>
      <c r="C2494" s="3">
        <v>45882</v>
      </c>
      <c r="D2494">
        <v>28</v>
      </c>
      <c r="E2494" s="3">
        <f t="shared" si="38"/>
        <v>45855</v>
      </c>
      <c r="F2494" s="3">
        <f>IF(TableRefills3[[#This Row],[prev_refill_days]]="","",TableRefills3[[#This Row],[prev_refill_days]]+TableRefills3[[#This Row],[quantity_days]])</f>
        <v>45883</v>
      </c>
      <c r="G2494">
        <f>IF(TableRefills3[[#This Row],[prev_refill_end]]="","",TableRefills3[[#This Row],[refill_date]]-TableRefills3[[#This Row],[prev_refill_end]])</f>
        <v>-1</v>
      </c>
      <c r="H2494" s="10">
        <f>IF(TableRefills3[[#This Row],[gap_days]]="",0,IF(TableRefills3[[#This Row],[gap_days]]&gt;2,1,0))</f>
        <v>0</v>
      </c>
      <c r="I2494">
        <f>_xlfn.MAXIFS(TableRefills3[discountinuation_flag], TableRefills3[patient_id], A2494)</f>
        <v>0</v>
      </c>
    </row>
    <row r="2495" spans="1:9" x14ac:dyDescent="0.25">
      <c r="A2495" t="s">
        <v>3954</v>
      </c>
      <c r="B2495" t="s">
        <v>3955</v>
      </c>
      <c r="C2495" s="3">
        <v>45912</v>
      </c>
      <c r="D2495">
        <v>28</v>
      </c>
      <c r="E2495" s="3">
        <f t="shared" si="38"/>
        <v>45882</v>
      </c>
      <c r="F2495" s="3">
        <f>IF(TableRefills3[[#This Row],[prev_refill_days]]="","",TableRefills3[[#This Row],[prev_refill_days]]+TableRefills3[[#This Row],[quantity_days]])</f>
        <v>45910</v>
      </c>
      <c r="G2495">
        <f>IF(TableRefills3[[#This Row],[prev_refill_end]]="","",TableRefills3[[#This Row],[refill_date]]-TableRefills3[[#This Row],[prev_refill_end]])</f>
        <v>2</v>
      </c>
      <c r="H2495" s="10">
        <f>IF(TableRefills3[[#This Row],[gap_days]]="",0,IF(TableRefills3[[#This Row],[gap_days]]&gt;2,1,0))</f>
        <v>0</v>
      </c>
      <c r="I2495">
        <f>_xlfn.MAXIFS(TableRefills3[discountinuation_flag], TableRefills3[patient_id], A2495)</f>
        <v>0</v>
      </c>
    </row>
    <row r="2496" spans="1:9" x14ac:dyDescent="0.25">
      <c r="A2496" t="s">
        <v>3954</v>
      </c>
      <c r="B2496" t="s">
        <v>3955</v>
      </c>
      <c r="C2496" s="3">
        <v>45939</v>
      </c>
      <c r="D2496">
        <v>28</v>
      </c>
      <c r="E2496" s="3">
        <f t="shared" si="38"/>
        <v>45912</v>
      </c>
      <c r="F2496" s="3">
        <f>IF(TableRefills3[[#This Row],[prev_refill_days]]="","",TableRefills3[[#This Row],[prev_refill_days]]+TableRefills3[[#This Row],[quantity_days]])</f>
        <v>45940</v>
      </c>
      <c r="G2496">
        <f>IF(TableRefills3[[#This Row],[prev_refill_end]]="","",TableRefills3[[#This Row],[refill_date]]-TableRefills3[[#This Row],[prev_refill_end]])</f>
        <v>-1</v>
      </c>
      <c r="H2496" s="10">
        <f>IF(TableRefills3[[#This Row],[gap_days]]="",0,IF(TableRefills3[[#This Row],[gap_days]]&gt;2,1,0))</f>
        <v>0</v>
      </c>
      <c r="I2496">
        <f>_xlfn.MAXIFS(TableRefills3[discountinuation_flag], TableRefills3[patient_id], A2496)</f>
        <v>0</v>
      </c>
    </row>
    <row r="2497" spans="1:9" x14ac:dyDescent="0.25">
      <c r="A2497" t="s">
        <v>3960</v>
      </c>
      <c r="B2497" t="s">
        <v>3961</v>
      </c>
      <c r="C2497" s="3">
        <v>45879</v>
      </c>
      <c r="D2497">
        <v>21</v>
      </c>
      <c r="E2497" s="3" t="str">
        <f t="shared" si="38"/>
        <v/>
      </c>
      <c r="F2497" s="3" t="str">
        <f>IF(TableRefills3[[#This Row],[prev_refill_days]]="","",TableRefills3[[#This Row],[prev_refill_days]]+TableRefills3[[#This Row],[quantity_days]])</f>
        <v/>
      </c>
      <c r="G2497" t="str">
        <f>IF(TableRefills3[[#This Row],[prev_refill_end]]="","",TableRefills3[[#This Row],[refill_date]]-TableRefills3[[#This Row],[prev_refill_end]])</f>
        <v/>
      </c>
      <c r="H2497" s="10">
        <f>IF(TableRefills3[[#This Row],[gap_days]]="",0,IF(TableRefills3[[#This Row],[gap_days]]&gt;2,1,0))</f>
        <v>0</v>
      </c>
      <c r="I2497">
        <f>_xlfn.MAXIFS(TableRefills3[discountinuation_flag], TableRefills3[patient_id], A2497)</f>
        <v>0</v>
      </c>
    </row>
    <row r="2498" spans="1:9" x14ac:dyDescent="0.25">
      <c r="A2498" t="s">
        <v>3960</v>
      </c>
      <c r="B2498" t="s">
        <v>3961</v>
      </c>
      <c r="C2498" s="3">
        <v>45897</v>
      </c>
      <c r="D2498">
        <v>21</v>
      </c>
      <c r="E2498" s="3">
        <f t="shared" ref="E2498:E2561" si="39">IF(A2497=A2498,C2497,"")</f>
        <v>45879</v>
      </c>
      <c r="F2498" s="3">
        <f>IF(TableRefills3[[#This Row],[prev_refill_days]]="","",TableRefills3[[#This Row],[prev_refill_days]]+TableRefills3[[#This Row],[quantity_days]])</f>
        <v>45900</v>
      </c>
      <c r="G2498">
        <f>IF(TableRefills3[[#This Row],[prev_refill_end]]="","",TableRefills3[[#This Row],[refill_date]]-TableRefills3[[#This Row],[prev_refill_end]])</f>
        <v>-3</v>
      </c>
      <c r="H2498" s="10">
        <f>IF(TableRefills3[[#This Row],[gap_days]]="",0,IF(TableRefills3[[#This Row],[gap_days]]&gt;2,1,0))</f>
        <v>0</v>
      </c>
      <c r="I2498">
        <f>_xlfn.MAXIFS(TableRefills3[discountinuation_flag], TableRefills3[patient_id], A2498)</f>
        <v>0</v>
      </c>
    </row>
    <row r="2499" spans="1:9" x14ac:dyDescent="0.25">
      <c r="A2499" t="s">
        <v>3960</v>
      </c>
      <c r="B2499" t="s">
        <v>3961</v>
      </c>
      <c r="C2499" s="3">
        <v>45915</v>
      </c>
      <c r="D2499">
        <v>21</v>
      </c>
      <c r="E2499" s="3">
        <f t="shared" si="39"/>
        <v>45897</v>
      </c>
      <c r="F2499" s="3">
        <f>IF(TableRefills3[[#This Row],[prev_refill_days]]="","",TableRefills3[[#This Row],[prev_refill_days]]+TableRefills3[[#This Row],[quantity_days]])</f>
        <v>45918</v>
      </c>
      <c r="G2499">
        <f>IF(TableRefills3[[#This Row],[prev_refill_end]]="","",TableRefills3[[#This Row],[refill_date]]-TableRefills3[[#This Row],[prev_refill_end]])</f>
        <v>-3</v>
      </c>
      <c r="H2499" s="10">
        <f>IF(TableRefills3[[#This Row],[gap_days]]="",0,IF(TableRefills3[[#This Row],[gap_days]]&gt;2,1,0))</f>
        <v>0</v>
      </c>
      <c r="I2499">
        <f>_xlfn.MAXIFS(TableRefills3[discountinuation_flag], TableRefills3[patient_id], A2499)</f>
        <v>0</v>
      </c>
    </row>
    <row r="2500" spans="1:9" x14ac:dyDescent="0.25">
      <c r="A2500" t="s">
        <v>3960</v>
      </c>
      <c r="B2500" t="s">
        <v>3961</v>
      </c>
      <c r="C2500" s="3">
        <v>45936</v>
      </c>
      <c r="D2500">
        <v>21</v>
      </c>
      <c r="E2500" s="3">
        <f t="shared" si="39"/>
        <v>45915</v>
      </c>
      <c r="F2500" s="3">
        <f>IF(TableRefills3[[#This Row],[prev_refill_days]]="","",TableRefills3[[#This Row],[prev_refill_days]]+TableRefills3[[#This Row],[quantity_days]])</f>
        <v>45936</v>
      </c>
      <c r="G2500">
        <f>IF(TableRefills3[[#This Row],[prev_refill_end]]="","",TableRefills3[[#This Row],[refill_date]]-TableRefills3[[#This Row],[prev_refill_end]])</f>
        <v>0</v>
      </c>
      <c r="H2500" s="10">
        <f>IF(TableRefills3[[#This Row],[gap_days]]="",0,IF(TableRefills3[[#This Row],[gap_days]]&gt;2,1,0))</f>
        <v>0</v>
      </c>
      <c r="I2500">
        <f>_xlfn.MAXIFS(TableRefills3[discountinuation_flag], TableRefills3[patient_id], A2500)</f>
        <v>0</v>
      </c>
    </row>
    <row r="2501" spans="1:9" x14ac:dyDescent="0.25">
      <c r="A2501" t="s">
        <v>3960</v>
      </c>
      <c r="B2501" t="s">
        <v>3961</v>
      </c>
      <c r="C2501" s="3">
        <v>45958</v>
      </c>
      <c r="D2501">
        <v>21</v>
      </c>
      <c r="E2501" s="3">
        <f t="shared" si="39"/>
        <v>45936</v>
      </c>
      <c r="F2501" s="3">
        <f>IF(TableRefills3[[#This Row],[prev_refill_days]]="","",TableRefills3[[#This Row],[prev_refill_days]]+TableRefills3[[#This Row],[quantity_days]])</f>
        <v>45957</v>
      </c>
      <c r="G2501">
        <f>IF(TableRefills3[[#This Row],[prev_refill_end]]="","",TableRefills3[[#This Row],[refill_date]]-TableRefills3[[#This Row],[prev_refill_end]])</f>
        <v>1</v>
      </c>
      <c r="H2501" s="10">
        <f>IF(TableRefills3[[#This Row],[gap_days]]="",0,IF(TableRefills3[[#This Row],[gap_days]]&gt;2,1,0))</f>
        <v>0</v>
      </c>
      <c r="I2501">
        <f>_xlfn.MAXIFS(TableRefills3[discountinuation_flag], TableRefills3[patient_id], A2501)</f>
        <v>0</v>
      </c>
    </row>
    <row r="2502" spans="1:9" x14ac:dyDescent="0.25">
      <c r="A2502" t="s">
        <v>3967</v>
      </c>
      <c r="B2502" t="s">
        <v>3968</v>
      </c>
      <c r="C2502" s="3">
        <v>45936</v>
      </c>
      <c r="D2502">
        <v>28</v>
      </c>
      <c r="E2502" s="3" t="str">
        <f t="shared" si="39"/>
        <v/>
      </c>
      <c r="F2502" s="3" t="str">
        <f>IF(TableRefills3[[#This Row],[prev_refill_days]]="","",TableRefills3[[#This Row],[prev_refill_days]]+TableRefills3[[#This Row],[quantity_days]])</f>
        <v/>
      </c>
      <c r="G2502" t="str">
        <f>IF(TableRefills3[[#This Row],[prev_refill_end]]="","",TableRefills3[[#This Row],[refill_date]]-TableRefills3[[#This Row],[prev_refill_end]])</f>
        <v/>
      </c>
      <c r="H2502" s="10">
        <f>IF(TableRefills3[[#This Row],[gap_days]]="",0,IF(TableRefills3[[#This Row],[gap_days]]&gt;2,1,0))</f>
        <v>0</v>
      </c>
      <c r="I2502">
        <f>_xlfn.MAXIFS(TableRefills3[discountinuation_flag], TableRefills3[patient_id], A2502)</f>
        <v>0</v>
      </c>
    </row>
    <row r="2503" spans="1:9" x14ac:dyDescent="0.25">
      <c r="A2503" t="s">
        <v>3970</v>
      </c>
      <c r="B2503" t="s">
        <v>3971</v>
      </c>
      <c r="C2503" s="3">
        <v>45862</v>
      </c>
      <c r="D2503">
        <v>30</v>
      </c>
      <c r="E2503" s="3" t="str">
        <f t="shared" si="39"/>
        <v/>
      </c>
      <c r="F2503" s="3" t="str">
        <f>IF(TableRefills3[[#This Row],[prev_refill_days]]="","",TableRefills3[[#This Row],[prev_refill_days]]+TableRefills3[[#This Row],[quantity_days]])</f>
        <v/>
      </c>
      <c r="G2503" t="str">
        <f>IF(TableRefills3[[#This Row],[prev_refill_end]]="","",TableRefills3[[#This Row],[refill_date]]-TableRefills3[[#This Row],[prev_refill_end]])</f>
        <v/>
      </c>
      <c r="H2503" s="10">
        <f>IF(TableRefills3[[#This Row],[gap_days]]="",0,IF(TableRefills3[[#This Row],[gap_days]]&gt;2,1,0))</f>
        <v>0</v>
      </c>
      <c r="I2503">
        <f>_xlfn.MAXIFS(TableRefills3[discountinuation_flag], TableRefills3[patient_id], A2503)</f>
        <v>0</v>
      </c>
    </row>
    <row r="2504" spans="1:9" x14ac:dyDescent="0.25">
      <c r="A2504" t="s">
        <v>3970</v>
      </c>
      <c r="B2504" t="s">
        <v>3971</v>
      </c>
      <c r="C2504" s="3">
        <v>45894</v>
      </c>
      <c r="D2504">
        <v>30</v>
      </c>
      <c r="E2504" s="3">
        <f t="shared" si="39"/>
        <v>45862</v>
      </c>
      <c r="F2504" s="3">
        <f>IF(TableRefills3[[#This Row],[prev_refill_days]]="","",TableRefills3[[#This Row],[prev_refill_days]]+TableRefills3[[#This Row],[quantity_days]])</f>
        <v>45892</v>
      </c>
      <c r="G2504">
        <f>IF(TableRefills3[[#This Row],[prev_refill_end]]="","",TableRefills3[[#This Row],[refill_date]]-TableRefills3[[#This Row],[prev_refill_end]])</f>
        <v>2</v>
      </c>
      <c r="H2504" s="10">
        <f>IF(TableRefills3[[#This Row],[gap_days]]="",0,IF(TableRefills3[[#This Row],[gap_days]]&gt;2,1,0))</f>
        <v>0</v>
      </c>
      <c r="I2504">
        <f>_xlfn.MAXIFS(TableRefills3[discountinuation_flag], TableRefills3[patient_id], A2504)</f>
        <v>0</v>
      </c>
    </row>
    <row r="2505" spans="1:9" x14ac:dyDescent="0.25">
      <c r="A2505" t="s">
        <v>3970</v>
      </c>
      <c r="B2505" t="s">
        <v>3971</v>
      </c>
      <c r="C2505" s="3">
        <v>45923</v>
      </c>
      <c r="D2505">
        <v>30</v>
      </c>
      <c r="E2505" s="3">
        <f t="shared" si="39"/>
        <v>45894</v>
      </c>
      <c r="F2505" s="3">
        <f>IF(TableRefills3[[#This Row],[prev_refill_days]]="","",TableRefills3[[#This Row],[prev_refill_days]]+TableRefills3[[#This Row],[quantity_days]])</f>
        <v>45924</v>
      </c>
      <c r="G2505">
        <f>IF(TableRefills3[[#This Row],[prev_refill_end]]="","",TableRefills3[[#This Row],[refill_date]]-TableRefills3[[#This Row],[prev_refill_end]])</f>
        <v>-1</v>
      </c>
      <c r="H2505" s="10">
        <f>IF(TableRefills3[[#This Row],[gap_days]]="",0,IF(TableRefills3[[#This Row],[gap_days]]&gt;2,1,0))</f>
        <v>0</v>
      </c>
      <c r="I2505">
        <f>_xlfn.MAXIFS(TableRefills3[discountinuation_flag], TableRefills3[patient_id], A2505)</f>
        <v>0</v>
      </c>
    </row>
    <row r="2506" spans="1:9" x14ac:dyDescent="0.25">
      <c r="A2506" t="s">
        <v>3970</v>
      </c>
      <c r="B2506" t="s">
        <v>3971</v>
      </c>
      <c r="C2506" s="3">
        <v>45950</v>
      </c>
      <c r="D2506">
        <v>30</v>
      </c>
      <c r="E2506" s="3">
        <f t="shared" si="39"/>
        <v>45923</v>
      </c>
      <c r="F2506" s="3">
        <f>IF(TableRefills3[[#This Row],[prev_refill_days]]="","",TableRefills3[[#This Row],[prev_refill_days]]+TableRefills3[[#This Row],[quantity_days]])</f>
        <v>45953</v>
      </c>
      <c r="G2506">
        <f>IF(TableRefills3[[#This Row],[prev_refill_end]]="","",TableRefills3[[#This Row],[refill_date]]-TableRefills3[[#This Row],[prev_refill_end]])</f>
        <v>-3</v>
      </c>
      <c r="H2506" s="10">
        <f>IF(TableRefills3[[#This Row],[gap_days]]="",0,IF(TableRefills3[[#This Row],[gap_days]]&gt;2,1,0))</f>
        <v>0</v>
      </c>
      <c r="I2506">
        <f>_xlfn.MAXIFS(TableRefills3[discountinuation_flag], TableRefills3[patient_id], A2506)</f>
        <v>0</v>
      </c>
    </row>
    <row r="2507" spans="1:9" x14ac:dyDescent="0.25">
      <c r="A2507" t="s">
        <v>3976</v>
      </c>
      <c r="B2507" t="s">
        <v>3977</v>
      </c>
      <c r="C2507" s="3">
        <v>45863</v>
      </c>
      <c r="D2507">
        <v>30</v>
      </c>
      <c r="E2507" s="3" t="str">
        <f t="shared" si="39"/>
        <v/>
      </c>
      <c r="F2507" s="3" t="str">
        <f>IF(TableRefills3[[#This Row],[prev_refill_days]]="","",TableRefills3[[#This Row],[prev_refill_days]]+TableRefills3[[#This Row],[quantity_days]])</f>
        <v/>
      </c>
      <c r="G2507" t="str">
        <f>IF(TableRefills3[[#This Row],[prev_refill_end]]="","",TableRefills3[[#This Row],[refill_date]]-TableRefills3[[#This Row],[prev_refill_end]])</f>
        <v/>
      </c>
      <c r="H2507" s="10">
        <f>IF(TableRefills3[[#This Row],[gap_days]]="",0,IF(TableRefills3[[#This Row],[gap_days]]&gt;2,1,0))</f>
        <v>0</v>
      </c>
      <c r="I2507">
        <f>_xlfn.MAXIFS(TableRefills3[discountinuation_flag], TableRefills3[patient_id], A2507)</f>
        <v>1</v>
      </c>
    </row>
    <row r="2508" spans="1:9" x14ac:dyDescent="0.25">
      <c r="A2508" t="s">
        <v>3976</v>
      </c>
      <c r="B2508" t="s">
        <v>3977</v>
      </c>
      <c r="C2508" s="3">
        <v>45890</v>
      </c>
      <c r="D2508">
        <v>30</v>
      </c>
      <c r="E2508" s="3">
        <f t="shared" si="39"/>
        <v>45863</v>
      </c>
      <c r="F2508" s="3">
        <f>IF(TableRefills3[[#This Row],[prev_refill_days]]="","",TableRefills3[[#This Row],[prev_refill_days]]+TableRefills3[[#This Row],[quantity_days]])</f>
        <v>45893</v>
      </c>
      <c r="G2508">
        <f>IF(TableRefills3[[#This Row],[prev_refill_end]]="","",TableRefills3[[#This Row],[refill_date]]-TableRefills3[[#This Row],[prev_refill_end]])</f>
        <v>-3</v>
      </c>
      <c r="H2508" s="10">
        <f>IF(TableRefills3[[#This Row],[gap_days]]="",0,IF(TableRefills3[[#This Row],[gap_days]]&gt;2,1,0))</f>
        <v>0</v>
      </c>
      <c r="I2508">
        <f>_xlfn.MAXIFS(TableRefills3[discountinuation_flag], TableRefills3[patient_id], A2508)</f>
        <v>1</v>
      </c>
    </row>
    <row r="2509" spans="1:9" x14ac:dyDescent="0.25">
      <c r="A2509" t="s">
        <v>3976</v>
      </c>
      <c r="B2509" t="s">
        <v>3977</v>
      </c>
      <c r="C2509" s="3">
        <v>45921</v>
      </c>
      <c r="D2509">
        <v>30</v>
      </c>
      <c r="E2509" s="3">
        <f t="shared" si="39"/>
        <v>45890</v>
      </c>
      <c r="F2509" s="3">
        <f>IF(TableRefills3[[#This Row],[prev_refill_days]]="","",TableRefills3[[#This Row],[prev_refill_days]]+TableRefills3[[#This Row],[quantity_days]])</f>
        <v>45920</v>
      </c>
      <c r="G2509">
        <f>IF(TableRefills3[[#This Row],[prev_refill_end]]="","",TableRefills3[[#This Row],[refill_date]]-TableRefills3[[#This Row],[prev_refill_end]])</f>
        <v>1</v>
      </c>
      <c r="H2509" s="10">
        <f>IF(TableRefills3[[#This Row],[gap_days]]="",0,IF(TableRefills3[[#This Row],[gap_days]]&gt;2,1,0))</f>
        <v>0</v>
      </c>
      <c r="I2509">
        <f>_xlfn.MAXIFS(TableRefills3[discountinuation_flag], TableRefills3[patient_id], A2509)</f>
        <v>1</v>
      </c>
    </row>
    <row r="2510" spans="1:9" x14ac:dyDescent="0.25">
      <c r="A2510" t="s">
        <v>3976</v>
      </c>
      <c r="B2510" t="s">
        <v>3977</v>
      </c>
      <c r="C2510" s="3">
        <v>45954</v>
      </c>
      <c r="D2510">
        <v>30</v>
      </c>
      <c r="E2510" s="3">
        <f t="shared" si="39"/>
        <v>45921</v>
      </c>
      <c r="F2510" s="3">
        <f>IF(TableRefills3[[#This Row],[prev_refill_days]]="","",TableRefills3[[#This Row],[prev_refill_days]]+TableRefills3[[#This Row],[quantity_days]])</f>
        <v>45951</v>
      </c>
      <c r="G2510">
        <f>IF(TableRefills3[[#This Row],[prev_refill_end]]="","",TableRefills3[[#This Row],[refill_date]]-TableRefills3[[#This Row],[prev_refill_end]])</f>
        <v>3</v>
      </c>
      <c r="H2510" s="10">
        <f>IF(TableRefills3[[#This Row],[gap_days]]="",0,IF(TableRefills3[[#This Row],[gap_days]]&gt;2,1,0))</f>
        <v>1</v>
      </c>
      <c r="I2510">
        <f>_xlfn.MAXIFS(TableRefills3[discountinuation_flag], TableRefills3[patient_id], A2510)</f>
        <v>1</v>
      </c>
    </row>
    <row r="2511" spans="1:9" x14ac:dyDescent="0.25">
      <c r="A2511" t="s">
        <v>3982</v>
      </c>
      <c r="B2511" t="s">
        <v>3983</v>
      </c>
      <c r="C2511" s="3">
        <v>45944</v>
      </c>
      <c r="D2511">
        <v>28</v>
      </c>
      <c r="E2511" s="3" t="str">
        <f t="shared" si="39"/>
        <v/>
      </c>
      <c r="F2511" s="3" t="str">
        <f>IF(TableRefills3[[#This Row],[prev_refill_days]]="","",TableRefills3[[#This Row],[prev_refill_days]]+TableRefills3[[#This Row],[quantity_days]])</f>
        <v/>
      </c>
      <c r="G2511" t="str">
        <f>IF(TableRefills3[[#This Row],[prev_refill_end]]="","",TableRefills3[[#This Row],[refill_date]]-TableRefills3[[#This Row],[prev_refill_end]])</f>
        <v/>
      </c>
      <c r="H2511" s="10">
        <f>IF(TableRefills3[[#This Row],[gap_days]]="",0,IF(TableRefills3[[#This Row],[gap_days]]&gt;2,1,0))</f>
        <v>0</v>
      </c>
      <c r="I2511">
        <f>_xlfn.MAXIFS(TableRefills3[discountinuation_flag], TableRefills3[patient_id], A2511)</f>
        <v>0</v>
      </c>
    </row>
    <row r="2512" spans="1:9" x14ac:dyDescent="0.25">
      <c r="A2512" t="s">
        <v>3985</v>
      </c>
      <c r="B2512" t="s">
        <v>3986</v>
      </c>
      <c r="C2512" s="3">
        <v>45812</v>
      </c>
      <c r="D2512">
        <v>28</v>
      </c>
      <c r="E2512" s="3" t="str">
        <f t="shared" si="39"/>
        <v/>
      </c>
      <c r="F2512" s="3" t="str">
        <f>IF(TableRefills3[[#This Row],[prev_refill_days]]="","",TableRefills3[[#This Row],[prev_refill_days]]+TableRefills3[[#This Row],[quantity_days]])</f>
        <v/>
      </c>
      <c r="G2512" t="str">
        <f>IF(TableRefills3[[#This Row],[prev_refill_end]]="","",TableRefills3[[#This Row],[refill_date]]-TableRefills3[[#This Row],[prev_refill_end]])</f>
        <v/>
      </c>
      <c r="H2512" s="10">
        <f>IF(TableRefills3[[#This Row],[gap_days]]="",0,IF(TableRefills3[[#This Row],[gap_days]]&gt;2,1,0))</f>
        <v>0</v>
      </c>
      <c r="I2512">
        <f>_xlfn.MAXIFS(TableRefills3[discountinuation_flag], TableRefills3[patient_id], A2512)</f>
        <v>1</v>
      </c>
    </row>
    <row r="2513" spans="1:9" x14ac:dyDescent="0.25">
      <c r="A2513" t="s">
        <v>3985</v>
      </c>
      <c r="B2513" t="s">
        <v>3986</v>
      </c>
      <c r="C2513" s="3">
        <v>45837</v>
      </c>
      <c r="D2513">
        <v>28</v>
      </c>
      <c r="E2513" s="3">
        <f t="shared" si="39"/>
        <v>45812</v>
      </c>
      <c r="F2513" s="3">
        <f>IF(TableRefills3[[#This Row],[prev_refill_days]]="","",TableRefills3[[#This Row],[prev_refill_days]]+TableRefills3[[#This Row],[quantity_days]])</f>
        <v>45840</v>
      </c>
      <c r="G2513">
        <f>IF(TableRefills3[[#This Row],[prev_refill_end]]="","",TableRefills3[[#This Row],[refill_date]]-TableRefills3[[#This Row],[prev_refill_end]])</f>
        <v>-3</v>
      </c>
      <c r="H2513" s="10">
        <f>IF(TableRefills3[[#This Row],[gap_days]]="",0,IF(TableRefills3[[#This Row],[gap_days]]&gt;2,1,0))</f>
        <v>0</v>
      </c>
      <c r="I2513">
        <f>_xlfn.MAXIFS(TableRefills3[discountinuation_flag], TableRefills3[patient_id], A2513)</f>
        <v>1</v>
      </c>
    </row>
    <row r="2514" spans="1:9" x14ac:dyDescent="0.25">
      <c r="A2514" t="s">
        <v>3985</v>
      </c>
      <c r="B2514" t="s">
        <v>3986</v>
      </c>
      <c r="C2514" s="3">
        <v>45868</v>
      </c>
      <c r="D2514">
        <v>28</v>
      </c>
      <c r="E2514" s="3">
        <f t="shared" si="39"/>
        <v>45837</v>
      </c>
      <c r="F2514" s="3">
        <f>IF(TableRefills3[[#This Row],[prev_refill_days]]="","",TableRefills3[[#This Row],[prev_refill_days]]+TableRefills3[[#This Row],[quantity_days]])</f>
        <v>45865</v>
      </c>
      <c r="G2514">
        <f>IF(TableRefills3[[#This Row],[prev_refill_end]]="","",TableRefills3[[#This Row],[refill_date]]-TableRefills3[[#This Row],[prev_refill_end]])</f>
        <v>3</v>
      </c>
      <c r="H2514" s="10">
        <f>IF(TableRefills3[[#This Row],[gap_days]]="",0,IF(TableRefills3[[#This Row],[gap_days]]&gt;2,1,0))</f>
        <v>1</v>
      </c>
      <c r="I2514">
        <f>_xlfn.MAXIFS(TableRefills3[discountinuation_flag], TableRefills3[patient_id], A2514)</f>
        <v>1</v>
      </c>
    </row>
    <row r="2515" spans="1:9" x14ac:dyDescent="0.25">
      <c r="A2515" t="s">
        <v>3985</v>
      </c>
      <c r="B2515" t="s">
        <v>3986</v>
      </c>
      <c r="C2515" s="3">
        <v>45894</v>
      </c>
      <c r="D2515">
        <v>28</v>
      </c>
      <c r="E2515" s="3">
        <f t="shared" si="39"/>
        <v>45868</v>
      </c>
      <c r="F2515" s="3">
        <f>IF(TableRefills3[[#This Row],[prev_refill_days]]="","",TableRefills3[[#This Row],[prev_refill_days]]+TableRefills3[[#This Row],[quantity_days]])</f>
        <v>45896</v>
      </c>
      <c r="G2515">
        <f>IF(TableRefills3[[#This Row],[prev_refill_end]]="","",TableRefills3[[#This Row],[refill_date]]-TableRefills3[[#This Row],[prev_refill_end]])</f>
        <v>-2</v>
      </c>
      <c r="H2515" s="10">
        <f>IF(TableRefills3[[#This Row],[gap_days]]="",0,IF(TableRefills3[[#This Row],[gap_days]]&gt;2,1,0))</f>
        <v>0</v>
      </c>
      <c r="I2515">
        <f>_xlfn.MAXIFS(TableRefills3[discountinuation_flag], TableRefills3[patient_id], A2515)</f>
        <v>1</v>
      </c>
    </row>
    <row r="2516" spans="1:9" x14ac:dyDescent="0.25">
      <c r="A2516" t="s">
        <v>3985</v>
      </c>
      <c r="B2516" t="s">
        <v>3986</v>
      </c>
      <c r="C2516" s="3">
        <v>45924</v>
      </c>
      <c r="D2516">
        <v>28</v>
      </c>
      <c r="E2516" s="3">
        <f t="shared" si="39"/>
        <v>45894</v>
      </c>
      <c r="F2516" s="3">
        <f>IF(TableRefills3[[#This Row],[prev_refill_days]]="","",TableRefills3[[#This Row],[prev_refill_days]]+TableRefills3[[#This Row],[quantity_days]])</f>
        <v>45922</v>
      </c>
      <c r="G2516">
        <f>IF(TableRefills3[[#This Row],[prev_refill_end]]="","",TableRefills3[[#This Row],[refill_date]]-TableRefills3[[#This Row],[prev_refill_end]])</f>
        <v>2</v>
      </c>
      <c r="H2516" s="10">
        <f>IF(TableRefills3[[#This Row],[gap_days]]="",0,IF(TableRefills3[[#This Row],[gap_days]]&gt;2,1,0))</f>
        <v>0</v>
      </c>
      <c r="I2516">
        <f>_xlfn.MAXIFS(TableRefills3[discountinuation_flag], TableRefills3[patient_id], A2516)</f>
        <v>1</v>
      </c>
    </row>
    <row r="2517" spans="1:9" x14ac:dyDescent="0.25">
      <c r="A2517" t="s">
        <v>3985</v>
      </c>
      <c r="B2517" t="s">
        <v>3986</v>
      </c>
      <c r="C2517" s="3">
        <v>45954</v>
      </c>
      <c r="D2517">
        <v>28</v>
      </c>
      <c r="E2517" s="3">
        <f t="shared" si="39"/>
        <v>45924</v>
      </c>
      <c r="F2517" s="3">
        <f>IF(TableRefills3[[#This Row],[prev_refill_days]]="","",TableRefills3[[#This Row],[prev_refill_days]]+TableRefills3[[#This Row],[quantity_days]])</f>
        <v>45952</v>
      </c>
      <c r="G2517">
        <f>IF(TableRefills3[[#This Row],[prev_refill_end]]="","",TableRefills3[[#This Row],[refill_date]]-TableRefills3[[#This Row],[prev_refill_end]])</f>
        <v>2</v>
      </c>
      <c r="H2517" s="10">
        <f>IF(TableRefills3[[#This Row],[gap_days]]="",0,IF(TableRefills3[[#This Row],[gap_days]]&gt;2,1,0))</f>
        <v>0</v>
      </c>
      <c r="I2517">
        <f>_xlfn.MAXIFS(TableRefills3[discountinuation_flag], TableRefills3[patient_id], A2517)</f>
        <v>1</v>
      </c>
    </row>
    <row r="2518" spans="1:9" x14ac:dyDescent="0.25">
      <c r="A2518" t="s">
        <v>3993</v>
      </c>
      <c r="B2518" t="s">
        <v>3994</v>
      </c>
      <c r="C2518" s="3">
        <v>45860</v>
      </c>
      <c r="D2518">
        <v>30</v>
      </c>
      <c r="E2518" s="3" t="str">
        <f t="shared" si="39"/>
        <v/>
      </c>
      <c r="F2518" s="3" t="str">
        <f>IF(TableRefills3[[#This Row],[prev_refill_days]]="","",TableRefills3[[#This Row],[prev_refill_days]]+TableRefills3[[#This Row],[quantity_days]])</f>
        <v/>
      </c>
      <c r="G2518" t="str">
        <f>IF(TableRefills3[[#This Row],[prev_refill_end]]="","",TableRefills3[[#This Row],[refill_date]]-TableRefills3[[#This Row],[prev_refill_end]])</f>
        <v/>
      </c>
      <c r="H2518" s="10">
        <f>IF(TableRefills3[[#This Row],[gap_days]]="",0,IF(TableRefills3[[#This Row],[gap_days]]&gt;2,1,0))</f>
        <v>0</v>
      </c>
      <c r="I2518">
        <f>_xlfn.MAXIFS(TableRefills3[discountinuation_flag], TableRefills3[patient_id], A2518)</f>
        <v>0</v>
      </c>
    </row>
    <row r="2519" spans="1:9" x14ac:dyDescent="0.25">
      <c r="A2519" t="s">
        <v>3993</v>
      </c>
      <c r="B2519" t="s">
        <v>3994</v>
      </c>
      <c r="C2519" s="3">
        <v>45887</v>
      </c>
      <c r="D2519">
        <v>30</v>
      </c>
      <c r="E2519" s="3">
        <f t="shared" si="39"/>
        <v>45860</v>
      </c>
      <c r="F2519" s="3">
        <f>IF(TableRefills3[[#This Row],[prev_refill_days]]="","",TableRefills3[[#This Row],[prev_refill_days]]+TableRefills3[[#This Row],[quantity_days]])</f>
        <v>45890</v>
      </c>
      <c r="G2519">
        <f>IF(TableRefills3[[#This Row],[prev_refill_end]]="","",TableRefills3[[#This Row],[refill_date]]-TableRefills3[[#This Row],[prev_refill_end]])</f>
        <v>-3</v>
      </c>
      <c r="H2519" s="10">
        <f>IF(TableRefills3[[#This Row],[gap_days]]="",0,IF(TableRefills3[[#This Row],[gap_days]]&gt;2,1,0))</f>
        <v>0</v>
      </c>
      <c r="I2519">
        <f>_xlfn.MAXIFS(TableRefills3[discountinuation_flag], TableRefills3[patient_id], A2519)</f>
        <v>0</v>
      </c>
    </row>
    <row r="2520" spans="1:9" x14ac:dyDescent="0.25">
      <c r="A2520" t="s">
        <v>3993</v>
      </c>
      <c r="B2520" t="s">
        <v>3994</v>
      </c>
      <c r="C2520" s="3">
        <v>45915</v>
      </c>
      <c r="D2520">
        <v>30</v>
      </c>
      <c r="E2520" s="3">
        <f t="shared" si="39"/>
        <v>45887</v>
      </c>
      <c r="F2520" s="3">
        <f>IF(TableRefills3[[#This Row],[prev_refill_days]]="","",TableRefills3[[#This Row],[prev_refill_days]]+TableRefills3[[#This Row],[quantity_days]])</f>
        <v>45917</v>
      </c>
      <c r="G2520">
        <f>IF(TableRefills3[[#This Row],[prev_refill_end]]="","",TableRefills3[[#This Row],[refill_date]]-TableRefills3[[#This Row],[prev_refill_end]])</f>
        <v>-2</v>
      </c>
      <c r="H2520" s="10">
        <f>IF(TableRefills3[[#This Row],[gap_days]]="",0,IF(TableRefills3[[#This Row],[gap_days]]&gt;2,1,0))</f>
        <v>0</v>
      </c>
      <c r="I2520">
        <f>_xlfn.MAXIFS(TableRefills3[discountinuation_flag], TableRefills3[patient_id], A2520)</f>
        <v>0</v>
      </c>
    </row>
    <row r="2521" spans="1:9" x14ac:dyDescent="0.25">
      <c r="A2521" t="s">
        <v>3993</v>
      </c>
      <c r="B2521" t="s">
        <v>3994</v>
      </c>
      <c r="C2521" s="3">
        <v>45944</v>
      </c>
      <c r="D2521">
        <v>30</v>
      </c>
      <c r="E2521" s="3">
        <f t="shared" si="39"/>
        <v>45915</v>
      </c>
      <c r="F2521" s="3">
        <f>IF(TableRefills3[[#This Row],[prev_refill_days]]="","",TableRefills3[[#This Row],[prev_refill_days]]+TableRefills3[[#This Row],[quantity_days]])</f>
        <v>45945</v>
      </c>
      <c r="G2521">
        <f>IF(TableRefills3[[#This Row],[prev_refill_end]]="","",TableRefills3[[#This Row],[refill_date]]-TableRefills3[[#This Row],[prev_refill_end]])</f>
        <v>-1</v>
      </c>
      <c r="H2521" s="10">
        <f>IF(TableRefills3[[#This Row],[gap_days]]="",0,IF(TableRefills3[[#This Row],[gap_days]]&gt;2,1,0))</f>
        <v>0</v>
      </c>
      <c r="I2521">
        <f>_xlfn.MAXIFS(TableRefills3[discountinuation_flag], TableRefills3[patient_id], A2521)</f>
        <v>0</v>
      </c>
    </row>
    <row r="2522" spans="1:9" x14ac:dyDescent="0.25">
      <c r="A2522" t="s">
        <v>3999</v>
      </c>
      <c r="B2522" t="s">
        <v>4000</v>
      </c>
      <c r="C2522" s="3">
        <v>45955</v>
      </c>
      <c r="D2522">
        <v>28</v>
      </c>
      <c r="E2522" s="3" t="str">
        <f t="shared" si="39"/>
        <v/>
      </c>
      <c r="F2522" s="3" t="str">
        <f>IF(TableRefills3[[#This Row],[prev_refill_days]]="","",TableRefills3[[#This Row],[prev_refill_days]]+TableRefills3[[#This Row],[quantity_days]])</f>
        <v/>
      </c>
      <c r="G2522" t="str">
        <f>IF(TableRefills3[[#This Row],[prev_refill_end]]="","",TableRefills3[[#This Row],[refill_date]]-TableRefills3[[#This Row],[prev_refill_end]])</f>
        <v/>
      </c>
      <c r="H2522" s="10">
        <f>IF(TableRefills3[[#This Row],[gap_days]]="",0,IF(TableRefills3[[#This Row],[gap_days]]&gt;2,1,0))</f>
        <v>0</v>
      </c>
      <c r="I2522">
        <f>_xlfn.MAXIFS(TableRefills3[discountinuation_flag], TableRefills3[patient_id], A2522)</f>
        <v>0</v>
      </c>
    </row>
    <row r="2523" spans="1:9" x14ac:dyDescent="0.25">
      <c r="A2523" t="s">
        <v>4002</v>
      </c>
      <c r="B2523" t="s">
        <v>4003</v>
      </c>
      <c r="C2523" s="3">
        <v>45900</v>
      </c>
      <c r="D2523">
        <v>28</v>
      </c>
      <c r="E2523" s="3" t="str">
        <f t="shared" si="39"/>
        <v/>
      </c>
      <c r="F2523" s="3" t="str">
        <f>IF(TableRefills3[[#This Row],[prev_refill_days]]="","",TableRefills3[[#This Row],[prev_refill_days]]+TableRefills3[[#This Row],[quantity_days]])</f>
        <v/>
      </c>
      <c r="G2523" t="str">
        <f>IF(TableRefills3[[#This Row],[prev_refill_end]]="","",TableRefills3[[#This Row],[refill_date]]-TableRefills3[[#This Row],[prev_refill_end]])</f>
        <v/>
      </c>
      <c r="H2523" s="10">
        <f>IF(TableRefills3[[#This Row],[gap_days]]="",0,IF(TableRefills3[[#This Row],[gap_days]]&gt;2,1,0))</f>
        <v>0</v>
      </c>
      <c r="I2523">
        <f>_xlfn.MAXIFS(TableRefills3[discountinuation_flag], TableRefills3[patient_id], A2523)</f>
        <v>0</v>
      </c>
    </row>
    <row r="2524" spans="1:9" x14ac:dyDescent="0.25">
      <c r="A2524" t="s">
        <v>4002</v>
      </c>
      <c r="B2524" t="s">
        <v>4003</v>
      </c>
      <c r="C2524" s="3">
        <v>45928</v>
      </c>
      <c r="D2524">
        <v>28</v>
      </c>
      <c r="E2524" s="3">
        <f t="shared" si="39"/>
        <v>45900</v>
      </c>
      <c r="F2524" s="3">
        <f>IF(TableRefills3[[#This Row],[prev_refill_days]]="","",TableRefills3[[#This Row],[prev_refill_days]]+TableRefills3[[#This Row],[quantity_days]])</f>
        <v>45928</v>
      </c>
      <c r="G2524">
        <f>IF(TableRefills3[[#This Row],[prev_refill_end]]="","",TableRefills3[[#This Row],[refill_date]]-TableRefills3[[#This Row],[prev_refill_end]])</f>
        <v>0</v>
      </c>
      <c r="H2524" s="10">
        <f>IF(TableRefills3[[#This Row],[gap_days]]="",0,IF(TableRefills3[[#This Row],[gap_days]]&gt;2,1,0))</f>
        <v>0</v>
      </c>
      <c r="I2524">
        <f>_xlfn.MAXIFS(TableRefills3[discountinuation_flag], TableRefills3[patient_id], A2524)</f>
        <v>0</v>
      </c>
    </row>
    <row r="2525" spans="1:9" x14ac:dyDescent="0.25">
      <c r="A2525" t="s">
        <v>4002</v>
      </c>
      <c r="B2525" t="s">
        <v>4003</v>
      </c>
      <c r="C2525" s="3">
        <v>45955</v>
      </c>
      <c r="D2525">
        <v>28</v>
      </c>
      <c r="E2525" s="3">
        <f t="shared" si="39"/>
        <v>45928</v>
      </c>
      <c r="F2525" s="3">
        <f>IF(TableRefills3[[#This Row],[prev_refill_days]]="","",TableRefills3[[#This Row],[prev_refill_days]]+TableRefills3[[#This Row],[quantity_days]])</f>
        <v>45956</v>
      </c>
      <c r="G2525">
        <f>IF(TableRefills3[[#This Row],[prev_refill_end]]="","",TableRefills3[[#This Row],[refill_date]]-TableRefills3[[#This Row],[prev_refill_end]])</f>
        <v>-1</v>
      </c>
      <c r="H2525" s="10">
        <f>IF(TableRefills3[[#This Row],[gap_days]]="",0,IF(TableRefills3[[#This Row],[gap_days]]&gt;2,1,0))</f>
        <v>0</v>
      </c>
      <c r="I2525">
        <f>_xlfn.MAXIFS(TableRefills3[discountinuation_flag], TableRefills3[patient_id], A2525)</f>
        <v>0</v>
      </c>
    </row>
    <row r="2526" spans="1:9" x14ac:dyDescent="0.25">
      <c r="A2526" t="s">
        <v>4007</v>
      </c>
      <c r="B2526" t="s">
        <v>4008</v>
      </c>
      <c r="C2526" s="3">
        <v>45823</v>
      </c>
      <c r="D2526">
        <v>30</v>
      </c>
      <c r="E2526" s="3" t="str">
        <f t="shared" si="39"/>
        <v/>
      </c>
      <c r="F2526" s="3" t="str">
        <f>IF(TableRefills3[[#This Row],[prev_refill_days]]="","",TableRefills3[[#This Row],[prev_refill_days]]+TableRefills3[[#This Row],[quantity_days]])</f>
        <v/>
      </c>
      <c r="G2526" t="str">
        <f>IF(TableRefills3[[#This Row],[prev_refill_end]]="","",TableRefills3[[#This Row],[refill_date]]-TableRefills3[[#This Row],[prev_refill_end]])</f>
        <v/>
      </c>
      <c r="H2526" s="10">
        <f>IF(TableRefills3[[#This Row],[gap_days]]="",0,IF(TableRefills3[[#This Row],[gap_days]]&gt;2,1,0))</f>
        <v>0</v>
      </c>
      <c r="I2526">
        <f>_xlfn.MAXIFS(TableRefills3[discountinuation_flag], TableRefills3[patient_id], A2526)</f>
        <v>1</v>
      </c>
    </row>
    <row r="2527" spans="1:9" x14ac:dyDescent="0.25">
      <c r="A2527" t="s">
        <v>4007</v>
      </c>
      <c r="B2527" t="s">
        <v>4008</v>
      </c>
      <c r="C2527" s="3">
        <v>45855</v>
      </c>
      <c r="D2527">
        <v>30</v>
      </c>
      <c r="E2527" s="3">
        <f t="shared" si="39"/>
        <v>45823</v>
      </c>
      <c r="F2527" s="3">
        <f>IF(TableRefills3[[#This Row],[prev_refill_days]]="","",TableRefills3[[#This Row],[prev_refill_days]]+TableRefills3[[#This Row],[quantity_days]])</f>
        <v>45853</v>
      </c>
      <c r="G2527">
        <f>IF(TableRefills3[[#This Row],[prev_refill_end]]="","",TableRefills3[[#This Row],[refill_date]]-TableRefills3[[#This Row],[prev_refill_end]])</f>
        <v>2</v>
      </c>
      <c r="H2527" s="10">
        <f>IF(TableRefills3[[#This Row],[gap_days]]="",0,IF(TableRefills3[[#This Row],[gap_days]]&gt;2,1,0))</f>
        <v>0</v>
      </c>
      <c r="I2527">
        <f>_xlfn.MAXIFS(TableRefills3[discountinuation_flag], TableRefills3[patient_id], A2527)</f>
        <v>1</v>
      </c>
    </row>
    <row r="2528" spans="1:9" x14ac:dyDescent="0.25">
      <c r="A2528" t="s">
        <v>4007</v>
      </c>
      <c r="B2528" t="s">
        <v>4008</v>
      </c>
      <c r="C2528" s="3">
        <v>45888</v>
      </c>
      <c r="D2528">
        <v>30</v>
      </c>
      <c r="E2528" s="3">
        <f t="shared" si="39"/>
        <v>45855</v>
      </c>
      <c r="F2528" s="3">
        <f>IF(TableRefills3[[#This Row],[prev_refill_days]]="","",TableRefills3[[#This Row],[prev_refill_days]]+TableRefills3[[#This Row],[quantity_days]])</f>
        <v>45885</v>
      </c>
      <c r="G2528">
        <f>IF(TableRefills3[[#This Row],[prev_refill_end]]="","",TableRefills3[[#This Row],[refill_date]]-TableRefills3[[#This Row],[prev_refill_end]])</f>
        <v>3</v>
      </c>
      <c r="H2528" s="10">
        <f>IF(TableRefills3[[#This Row],[gap_days]]="",0,IF(TableRefills3[[#This Row],[gap_days]]&gt;2,1,0))</f>
        <v>1</v>
      </c>
      <c r="I2528">
        <f>_xlfn.MAXIFS(TableRefills3[discountinuation_flag], TableRefills3[patient_id], A2528)</f>
        <v>1</v>
      </c>
    </row>
    <row r="2529" spans="1:9" x14ac:dyDescent="0.25">
      <c r="A2529" t="s">
        <v>4007</v>
      </c>
      <c r="B2529" t="s">
        <v>4008</v>
      </c>
      <c r="C2529" s="3">
        <v>45917</v>
      </c>
      <c r="D2529">
        <v>30</v>
      </c>
      <c r="E2529" s="3">
        <f t="shared" si="39"/>
        <v>45888</v>
      </c>
      <c r="F2529" s="3">
        <f>IF(TableRefills3[[#This Row],[prev_refill_days]]="","",TableRefills3[[#This Row],[prev_refill_days]]+TableRefills3[[#This Row],[quantity_days]])</f>
        <v>45918</v>
      </c>
      <c r="G2529">
        <f>IF(TableRefills3[[#This Row],[prev_refill_end]]="","",TableRefills3[[#This Row],[refill_date]]-TableRefills3[[#This Row],[prev_refill_end]])</f>
        <v>-1</v>
      </c>
      <c r="H2529" s="10">
        <f>IF(TableRefills3[[#This Row],[gap_days]]="",0,IF(TableRefills3[[#This Row],[gap_days]]&gt;2,1,0))</f>
        <v>0</v>
      </c>
      <c r="I2529">
        <f>_xlfn.MAXIFS(TableRefills3[discountinuation_flag], TableRefills3[patient_id], A2529)</f>
        <v>1</v>
      </c>
    </row>
    <row r="2530" spans="1:9" x14ac:dyDescent="0.25">
      <c r="A2530" t="s">
        <v>4007</v>
      </c>
      <c r="B2530" t="s">
        <v>4008</v>
      </c>
      <c r="C2530" s="3">
        <v>45950</v>
      </c>
      <c r="D2530">
        <v>30</v>
      </c>
      <c r="E2530" s="3">
        <f t="shared" si="39"/>
        <v>45917</v>
      </c>
      <c r="F2530" s="3">
        <f>IF(TableRefills3[[#This Row],[prev_refill_days]]="","",TableRefills3[[#This Row],[prev_refill_days]]+TableRefills3[[#This Row],[quantity_days]])</f>
        <v>45947</v>
      </c>
      <c r="G2530">
        <f>IF(TableRefills3[[#This Row],[prev_refill_end]]="","",TableRefills3[[#This Row],[refill_date]]-TableRefills3[[#This Row],[prev_refill_end]])</f>
        <v>3</v>
      </c>
      <c r="H2530" s="10">
        <f>IF(TableRefills3[[#This Row],[gap_days]]="",0,IF(TableRefills3[[#This Row],[gap_days]]&gt;2,1,0))</f>
        <v>1</v>
      </c>
      <c r="I2530">
        <f>_xlfn.MAXIFS(TableRefills3[discountinuation_flag], TableRefills3[patient_id], A2530)</f>
        <v>1</v>
      </c>
    </row>
    <row r="2531" spans="1:9" x14ac:dyDescent="0.25">
      <c r="A2531" t="s">
        <v>4014</v>
      </c>
      <c r="B2531" t="s">
        <v>4015</v>
      </c>
      <c r="C2531" s="3">
        <v>45859</v>
      </c>
      <c r="D2531">
        <v>30</v>
      </c>
      <c r="E2531" s="3" t="str">
        <f t="shared" si="39"/>
        <v/>
      </c>
      <c r="F2531" s="3" t="str">
        <f>IF(TableRefills3[[#This Row],[prev_refill_days]]="","",TableRefills3[[#This Row],[prev_refill_days]]+TableRefills3[[#This Row],[quantity_days]])</f>
        <v/>
      </c>
      <c r="G2531" t="str">
        <f>IF(TableRefills3[[#This Row],[prev_refill_end]]="","",TableRefills3[[#This Row],[refill_date]]-TableRefills3[[#This Row],[prev_refill_end]])</f>
        <v/>
      </c>
      <c r="H2531" s="10">
        <f>IF(TableRefills3[[#This Row],[gap_days]]="",0,IF(TableRefills3[[#This Row],[gap_days]]&gt;2,1,0))</f>
        <v>0</v>
      </c>
      <c r="I2531">
        <f>_xlfn.MAXIFS(TableRefills3[discountinuation_flag], TableRefills3[patient_id], A2531)</f>
        <v>0</v>
      </c>
    </row>
    <row r="2532" spans="1:9" x14ac:dyDescent="0.25">
      <c r="A2532" t="s">
        <v>4014</v>
      </c>
      <c r="B2532" t="s">
        <v>4015</v>
      </c>
      <c r="C2532" s="3">
        <v>45886</v>
      </c>
      <c r="D2532">
        <v>30</v>
      </c>
      <c r="E2532" s="3">
        <f t="shared" si="39"/>
        <v>45859</v>
      </c>
      <c r="F2532" s="3">
        <f>IF(TableRefills3[[#This Row],[prev_refill_days]]="","",TableRefills3[[#This Row],[prev_refill_days]]+TableRefills3[[#This Row],[quantity_days]])</f>
        <v>45889</v>
      </c>
      <c r="G2532">
        <f>IF(TableRefills3[[#This Row],[prev_refill_end]]="","",TableRefills3[[#This Row],[refill_date]]-TableRefills3[[#This Row],[prev_refill_end]])</f>
        <v>-3</v>
      </c>
      <c r="H2532" s="10">
        <f>IF(TableRefills3[[#This Row],[gap_days]]="",0,IF(TableRefills3[[#This Row],[gap_days]]&gt;2,1,0))</f>
        <v>0</v>
      </c>
      <c r="I2532">
        <f>_xlfn.MAXIFS(TableRefills3[discountinuation_flag], TableRefills3[patient_id], A2532)</f>
        <v>0</v>
      </c>
    </row>
    <row r="2533" spans="1:9" x14ac:dyDescent="0.25">
      <c r="A2533" t="s">
        <v>4014</v>
      </c>
      <c r="B2533" t="s">
        <v>4015</v>
      </c>
      <c r="C2533" s="3">
        <v>45916</v>
      </c>
      <c r="D2533">
        <v>30</v>
      </c>
      <c r="E2533" s="3">
        <f t="shared" si="39"/>
        <v>45886</v>
      </c>
      <c r="F2533" s="3">
        <f>IF(TableRefills3[[#This Row],[prev_refill_days]]="","",TableRefills3[[#This Row],[prev_refill_days]]+TableRefills3[[#This Row],[quantity_days]])</f>
        <v>45916</v>
      </c>
      <c r="G2533">
        <f>IF(TableRefills3[[#This Row],[prev_refill_end]]="","",TableRefills3[[#This Row],[refill_date]]-TableRefills3[[#This Row],[prev_refill_end]])</f>
        <v>0</v>
      </c>
      <c r="H2533" s="10">
        <f>IF(TableRefills3[[#This Row],[gap_days]]="",0,IF(TableRefills3[[#This Row],[gap_days]]&gt;2,1,0))</f>
        <v>0</v>
      </c>
      <c r="I2533">
        <f>_xlfn.MAXIFS(TableRefills3[discountinuation_flag], TableRefills3[patient_id], A2533)</f>
        <v>0</v>
      </c>
    </row>
    <row r="2534" spans="1:9" x14ac:dyDescent="0.25">
      <c r="A2534" t="s">
        <v>4014</v>
      </c>
      <c r="B2534" t="s">
        <v>4015</v>
      </c>
      <c r="C2534" s="3">
        <v>45943</v>
      </c>
      <c r="D2534">
        <v>30</v>
      </c>
      <c r="E2534" s="3">
        <f t="shared" si="39"/>
        <v>45916</v>
      </c>
      <c r="F2534" s="3">
        <f>IF(TableRefills3[[#This Row],[prev_refill_days]]="","",TableRefills3[[#This Row],[prev_refill_days]]+TableRefills3[[#This Row],[quantity_days]])</f>
        <v>45946</v>
      </c>
      <c r="G2534">
        <f>IF(TableRefills3[[#This Row],[prev_refill_end]]="","",TableRefills3[[#This Row],[refill_date]]-TableRefills3[[#This Row],[prev_refill_end]])</f>
        <v>-3</v>
      </c>
      <c r="H2534" s="10">
        <f>IF(TableRefills3[[#This Row],[gap_days]]="",0,IF(TableRefills3[[#This Row],[gap_days]]&gt;2,1,0))</f>
        <v>0</v>
      </c>
      <c r="I2534">
        <f>_xlfn.MAXIFS(TableRefills3[discountinuation_flag], TableRefills3[patient_id], A2534)</f>
        <v>0</v>
      </c>
    </row>
    <row r="2535" spans="1:9" x14ac:dyDescent="0.25">
      <c r="A2535" t="s">
        <v>4020</v>
      </c>
      <c r="B2535" t="s">
        <v>4021</v>
      </c>
      <c r="C2535" s="3">
        <v>45955</v>
      </c>
      <c r="D2535">
        <v>30</v>
      </c>
      <c r="E2535" s="3" t="str">
        <f t="shared" si="39"/>
        <v/>
      </c>
      <c r="F2535" s="3" t="str">
        <f>IF(TableRefills3[[#This Row],[prev_refill_days]]="","",TableRefills3[[#This Row],[prev_refill_days]]+TableRefills3[[#This Row],[quantity_days]])</f>
        <v/>
      </c>
      <c r="G2535" t="str">
        <f>IF(TableRefills3[[#This Row],[prev_refill_end]]="","",TableRefills3[[#This Row],[refill_date]]-TableRefills3[[#This Row],[prev_refill_end]])</f>
        <v/>
      </c>
      <c r="H2535" s="10">
        <f>IF(TableRefills3[[#This Row],[gap_days]]="",0,IF(TableRefills3[[#This Row],[gap_days]]&gt;2,1,0))</f>
        <v>0</v>
      </c>
      <c r="I2535">
        <f>_xlfn.MAXIFS(TableRefills3[discountinuation_flag], TableRefills3[patient_id], A2535)</f>
        <v>0</v>
      </c>
    </row>
    <row r="2536" spans="1:9" x14ac:dyDescent="0.25">
      <c r="A2536" t="s">
        <v>4023</v>
      </c>
      <c r="B2536" t="s">
        <v>4024</v>
      </c>
      <c r="C2536" s="3">
        <v>45903</v>
      </c>
      <c r="D2536">
        <v>28</v>
      </c>
      <c r="E2536" s="3" t="str">
        <f t="shared" si="39"/>
        <v/>
      </c>
      <c r="F2536" s="3" t="str">
        <f>IF(TableRefills3[[#This Row],[prev_refill_days]]="","",TableRefills3[[#This Row],[prev_refill_days]]+TableRefills3[[#This Row],[quantity_days]])</f>
        <v/>
      </c>
      <c r="G2536" t="str">
        <f>IF(TableRefills3[[#This Row],[prev_refill_end]]="","",TableRefills3[[#This Row],[refill_date]]-TableRefills3[[#This Row],[prev_refill_end]])</f>
        <v/>
      </c>
      <c r="H2536" s="10">
        <f>IF(TableRefills3[[#This Row],[gap_days]]="",0,IF(TableRefills3[[#This Row],[gap_days]]&gt;2,1,0))</f>
        <v>0</v>
      </c>
      <c r="I2536">
        <f>_xlfn.MAXIFS(TableRefills3[discountinuation_flag], TableRefills3[patient_id], A2536)</f>
        <v>0</v>
      </c>
    </row>
    <row r="2537" spans="1:9" x14ac:dyDescent="0.25">
      <c r="A2537" t="s">
        <v>4023</v>
      </c>
      <c r="B2537" t="s">
        <v>4024</v>
      </c>
      <c r="C2537" s="3">
        <v>45928</v>
      </c>
      <c r="D2537">
        <v>28</v>
      </c>
      <c r="E2537" s="3">
        <f t="shared" si="39"/>
        <v>45903</v>
      </c>
      <c r="F2537" s="3">
        <f>IF(TableRefills3[[#This Row],[prev_refill_days]]="","",TableRefills3[[#This Row],[prev_refill_days]]+TableRefills3[[#This Row],[quantity_days]])</f>
        <v>45931</v>
      </c>
      <c r="G2537">
        <f>IF(TableRefills3[[#This Row],[prev_refill_end]]="","",TableRefills3[[#This Row],[refill_date]]-TableRefills3[[#This Row],[prev_refill_end]])</f>
        <v>-3</v>
      </c>
      <c r="H2537" s="10">
        <f>IF(TableRefills3[[#This Row],[gap_days]]="",0,IF(TableRefills3[[#This Row],[gap_days]]&gt;2,1,0))</f>
        <v>0</v>
      </c>
      <c r="I2537">
        <f>_xlfn.MAXIFS(TableRefills3[discountinuation_flag], TableRefills3[patient_id], A2537)</f>
        <v>0</v>
      </c>
    </row>
    <row r="2538" spans="1:9" x14ac:dyDescent="0.25">
      <c r="A2538" t="s">
        <v>4023</v>
      </c>
      <c r="B2538" t="s">
        <v>4024</v>
      </c>
      <c r="C2538" s="3">
        <v>45954</v>
      </c>
      <c r="D2538">
        <v>28</v>
      </c>
      <c r="E2538" s="3">
        <f t="shared" si="39"/>
        <v>45928</v>
      </c>
      <c r="F2538" s="3">
        <f>IF(TableRefills3[[#This Row],[prev_refill_days]]="","",TableRefills3[[#This Row],[prev_refill_days]]+TableRefills3[[#This Row],[quantity_days]])</f>
        <v>45956</v>
      </c>
      <c r="G2538">
        <f>IF(TableRefills3[[#This Row],[prev_refill_end]]="","",TableRefills3[[#This Row],[refill_date]]-TableRefills3[[#This Row],[prev_refill_end]])</f>
        <v>-2</v>
      </c>
      <c r="H2538" s="10">
        <f>IF(TableRefills3[[#This Row],[gap_days]]="",0,IF(TableRefills3[[#This Row],[gap_days]]&gt;2,1,0))</f>
        <v>0</v>
      </c>
      <c r="I2538">
        <f>_xlfn.MAXIFS(TableRefills3[discountinuation_flag], TableRefills3[patient_id], A2538)</f>
        <v>0</v>
      </c>
    </row>
    <row r="2539" spans="1:9" x14ac:dyDescent="0.25">
      <c r="A2539" t="s">
        <v>4028</v>
      </c>
      <c r="B2539" t="s">
        <v>4029</v>
      </c>
      <c r="C2539" s="3">
        <v>45840</v>
      </c>
      <c r="D2539">
        <v>30</v>
      </c>
      <c r="E2539" s="3" t="str">
        <f t="shared" si="39"/>
        <v/>
      </c>
      <c r="F2539" s="3" t="str">
        <f>IF(TableRefills3[[#This Row],[prev_refill_days]]="","",TableRefills3[[#This Row],[prev_refill_days]]+TableRefills3[[#This Row],[quantity_days]])</f>
        <v/>
      </c>
      <c r="G2539" t="str">
        <f>IF(TableRefills3[[#This Row],[prev_refill_end]]="","",TableRefills3[[#This Row],[refill_date]]-TableRefills3[[#This Row],[prev_refill_end]])</f>
        <v/>
      </c>
      <c r="H2539" s="10">
        <f>IF(TableRefills3[[#This Row],[gap_days]]="",0,IF(TableRefills3[[#This Row],[gap_days]]&gt;2,1,0))</f>
        <v>0</v>
      </c>
      <c r="I2539">
        <f>_xlfn.MAXIFS(TableRefills3[discountinuation_flag], TableRefills3[patient_id], A2539)</f>
        <v>0</v>
      </c>
    </row>
    <row r="2540" spans="1:9" x14ac:dyDescent="0.25">
      <c r="A2540" t="s">
        <v>4028</v>
      </c>
      <c r="B2540" t="s">
        <v>4029</v>
      </c>
      <c r="C2540" s="3">
        <v>45870</v>
      </c>
      <c r="D2540">
        <v>30</v>
      </c>
      <c r="E2540" s="3">
        <f t="shared" si="39"/>
        <v>45840</v>
      </c>
      <c r="F2540" s="3">
        <f>IF(TableRefills3[[#This Row],[prev_refill_days]]="","",TableRefills3[[#This Row],[prev_refill_days]]+TableRefills3[[#This Row],[quantity_days]])</f>
        <v>45870</v>
      </c>
      <c r="G2540">
        <f>IF(TableRefills3[[#This Row],[prev_refill_end]]="","",TableRefills3[[#This Row],[refill_date]]-TableRefills3[[#This Row],[prev_refill_end]])</f>
        <v>0</v>
      </c>
      <c r="H2540" s="10">
        <f>IF(TableRefills3[[#This Row],[gap_days]]="",0,IF(TableRefills3[[#This Row],[gap_days]]&gt;2,1,0))</f>
        <v>0</v>
      </c>
      <c r="I2540">
        <f>_xlfn.MAXIFS(TableRefills3[discountinuation_flag], TableRefills3[patient_id], A2540)</f>
        <v>0</v>
      </c>
    </row>
    <row r="2541" spans="1:9" x14ac:dyDescent="0.25">
      <c r="A2541" t="s">
        <v>4032</v>
      </c>
      <c r="B2541" t="s">
        <v>4033</v>
      </c>
      <c r="C2541" s="3">
        <v>45874</v>
      </c>
      <c r="D2541">
        <v>30</v>
      </c>
      <c r="E2541" s="3" t="str">
        <f t="shared" si="39"/>
        <v/>
      </c>
      <c r="F2541" s="3" t="str">
        <f>IF(TableRefills3[[#This Row],[prev_refill_days]]="","",TableRefills3[[#This Row],[prev_refill_days]]+TableRefills3[[#This Row],[quantity_days]])</f>
        <v/>
      </c>
      <c r="G2541" t="str">
        <f>IF(TableRefills3[[#This Row],[prev_refill_end]]="","",TableRefills3[[#This Row],[refill_date]]-TableRefills3[[#This Row],[prev_refill_end]])</f>
        <v/>
      </c>
      <c r="H2541" s="10">
        <f>IF(TableRefills3[[#This Row],[gap_days]]="",0,IF(TableRefills3[[#This Row],[gap_days]]&gt;2,1,0))</f>
        <v>0</v>
      </c>
      <c r="I2541">
        <f>_xlfn.MAXIFS(TableRefills3[discountinuation_flag], TableRefills3[patient_id], A2541)</f>
        <v>1</v>
      </c>
    </row>
    <row r="2542" spans="1:9" x14ac:dyDescent="0.25">
      <c r="A2542" t="s">
        <v>4032</v>
      </c>
      <c r="B2542" t="s">
        <v>4033</v>
      </c>
      <c r="C2542" s="3">
        <v>45907</v>
      </c>
      <c r="D2542">
        <v>30</v>
      </c>
      <c r="E2542" s="3">
        <f t="shared" si="39"/>
        <v>45874</v>
      </c>
      <c r="F2542" s="3">
        <f>IF(TableRefills3[[#This Row],[prev_refill_days]]="","",TableRefills3[[#This Row],[prev_refill_days]]+TableRefills3[[#This Row],[quantity_days]])</f>
        <v>45904</v>
      </c>
      <c r="G2542">
        <f>IF(TableRefills3[[#This Row],[prev_refill_end]]="","",TableRefills3[[#This Row],[refill_date]]-TableRefills3[[#This Row],[prev_refill_end]])</f>
        <v>3</v>
      </c>
      <c r="H2542" s="10">
        <f>IF(TableRefills3[[#This Row],[gap_days]]="",0,IF(TableRefills3[[#This Row],[gap_days]]&gt;2,1,0))</f>
        <v>1</v>
      </c>
      <c r="I2542">
        <f>_xlfn.MAXIFS(TableRefills3[discountinuation_flag], TableRefills3[patient_id], A2542)</f>
        <v>1</v>
      </c>
    </row>
    <row r="2543" spans="1:9" x14ac:dyDescent="0.25">
      <c r="A2543" t="s">
        <v>4032</v>
      </c>
      <c r="B2543" t="s">
        <v>4033</v>
      </c>
      <c r="C2543" s="3">
        <v>45935</v>
      </c>
      <c r="D2543">
        <v>30</v>
      </c>
      <c r="E2543" s="3">
        <f t="shared" si="39"/>
        <v>45907</v>
      </c>
      <c r="F2543" s="3">
        <f>IF(TableRefills3[[#This Row],[prev_refill_days]]="","",TableRefills3[[#This Row],[prev_refill_days]]+TableRefills3[[#This Row],[quantity_days]])</f>
        <v>45937</v>
      </c>
      <c r="G2543">
        <f>IF(TableRefills3[[#This Row],[prev_refill_end]]="","",TableRefills3[[#This Row],[refill_date]]-TableRefills3[[#This Row],[prev_refill_end]])</f>
        <v>-2</v>
      </c>
      <c r="H2543" s="10">
        <f>IF(TableRefills3[[#This Row],[gap_days]]="",0,IF(TableRefills3[[#This Row],[gap_days]]&gt;2,1,0))</f>
        <v>0</v>
      </c>
      <c r="I2543">
        <f>_xlfn.MAXIFS(TableRefills3[discountinuation_flag], TableRefills3[patient_id], A2543)</f>
        <v>1</v>
      </c>
    </row>
    <row r="2544" spans="1:9" x14ac:dyDescent="0.25">
      <c r="A2544" t="s">
        <v>4037</v>
      </c>
      <c r="B2544" t="s">
        <v>4038</v>
      </c>
      <c r="C2544" s="3">
        <v>45878</v>
      </c>
      <c r="D2544">
        <v>28</v>
      </c>
      <c r="E2544" s="3" t="str">
        <f t="shared" si="39"/>
        <v/>
      </c>
      <c r="F2544" s="3" t="str">
        <f>IF(TableRefills3[[#This Row],[prev_refill_days]]="","",TableRefills3[[#This Row],[prev_refill_days]]+TableRefills3[[#This Row],[quantity_days]])</f>
        <v/>
      </c>
      <c r="G2544" t="str">
        <f>IF(TableRefills3[[#This Row],[prev_refill_end]]="","",TableRefills3[[#This Row],[refill_date]]-TableRefills3[[#This Row],[prev_refill_end]])</f>
        <v/>
      </c>
      <c r="H2544" s="10">
        <f>IF(TableRefills3[[#This Row],[gap_days]]="",0,IF(TableRefills3[[#This Row],[gap_days]]&gt;2,1,0))</f>
        <v>0</v>
      </c>
      <c r="I2544">
        <f>_xlfn.MAXIFS(TableRefills3[discountinuation_flag], TableRefills3[patient_id], A2544)</f>
        <v>0</v>
      </c>
    </row>
    <row r="2545" spans="1:9" x14ac:dyDescent="0.25">
      <c r="A2545" t="s">
        <v>4037</v>
      </c>
      <c r="B2545" t="s">
        <v>4038</v>
      </c>
      <c r="C2545" s="3">
        <v>45906</v>
      </c>
      <c r="D2545">
        <v>28</v>
      </c>
      <c r="E2545" s="3">
        <f t="shared" si="39"/>
        <v>45878</v>
      </c>
      <c r="F2545" s="3">
        <f>IF(TableRefills3[[#This Row],[prev_refill_days]]="","",TableRefills3[[#This Row],[prev_refill_days]]+TableRefills3[[#This Row],[quantity_days]])</f>
        <v>45906</v>
      </c>
      <c r="G2545">
        <f>IF(TableRefills3[[#This Row],[prev_refill_end]]="","",TableRefills3[[#This Row],[refill_date]]-TableRefills3[[#This Row],[prev_refill_end]])</f>
        <v>0</v>
      </c>
      <c r="H2545" s="10">
        <f>IF(TableRefills3[[#This Row],[gap_days]]="",0,IF(TableRefills3[[#This Row],[gap_days]]&gt;2,1,0))</f>
        <v>0</v>
      </c>
      <c r="I2545">
        <f>_xlfn.MAXIFS(TableRefills3[discountinuation_flag], TableRefills3[patient_id], A2545)</f>
        <v>0</v>
      </c>
    </row>
    <row r="2546" spans="1:9" x14ac:dyDescent="0.25">
      <c r="A2546" t="s">
        <v>4037</v>
      </c>
      <c r="B2546" t="s">
        <v>4038</v>
      </c>
      <c r="C2546" s="3">
        <v>45933</v>
      </c>
      <c r="D2546">
        <v>28</v>
      </c>
      <c r="E2546" s="3">
        <f t="shared" si="39"/>
        <v>45906</v>
      </c>
      <c r="F2546" s="3">
        <f>IF(TableRefills3[[#This Row],[prev_refill_days]]="","",TableRefills3[[#This Row],[prev_refill_days]]+TableRefills3[[#This Row],[quantity_days]])</f>
        <v>45934</v>
      </c>
      <c r="G2546">
        <f>IF(TableRefills3[[#This Row],[prev_refill_end]]="","",TableRefills3[[#This Row],[refill_date]]-TableRefills3[[#This Row],[prev_refill_end]])</f>
        <v>-1</v>
      </c>
      <c r="H2546" s="10">
        <f>IF(TableRefills3[[#This Row],[gap_days]]="",0,IF(TableRefills3[[#This Row],[gap_days]]&gt;2,1,0))</f>
        <v>0</v>
      </c>
      <c r="I2546">
        <f>_xlfn.MAXIFS(TableRefills3[discountinuation_flag], TableRefills3[patient_id], A2546)</f>
        <v>0</v>
      </c>
    </row>
    <row r="2547" spans="1:9" x14ac:dyDescent="0.25">
      <c r="A2547" t="s">
        <v>4037</v>
      </c>
      <c r="B2547" t="s">
        <v>4038</v>
      </c>
      <c r="C2547" s="3">
        <v>45958</v>
      </c>
      <c r="D2547">
        <v>28</v>
      </c>
      <c r="E2547" s="3">
        <f t="shared" si="39"/>
        <v>45933</v>
      </c>
      <c r="F2547" s="3">
        <f>IF(TableRefills3[[#This Row],[prev_refill_days]]="","",TableRefills3[[#This Row],[prev_refill_days]]+TableRefills3[[#This Row],[quantity_days]])</f>
        <v>45961</v>
      </c>
      <c r="G2547">
        <f>IF(TableRefills3[[#This Row],[prev_refill_end]]="","",TableRefills3[[#This Row],[refill_date]]-TableRefills3[[#This Row],[prev_refill_end]])</f>
        <v>-3</v>
      </c>
      <c r="H2547" s="10">
        <f>IF(TableRefills3[[#This Row],[gap_days]]="",0,IF(TableRefills3[[#This Row],[gap_days]]&gt;2,1,0))</f>
        <v>0</v>
      </c>
      <c r="I2547">
        <f>_xlfn.MAXIFS(TableRefills3[discountinuation_flag], TableRefills3[patient_id], A2547)</f>
        <v>0</v>
      </c>
    </row>
    <row r="2548" spans="1:9" x14ac:dyDescent="0.25">
      <c r="A2548" t="s">
        <v>4043</v>
      </c>
      <c r="B2548" t="s">
        <v>4044</v>
      </c>
      <c r="C2548" s="3">
        <v>45807</v>
      </c>
      <c r="D2548">
        <v>28</v>
      </c>
      <c r="E2548" s="3" t="str">
        <f t="shared" si="39"/>
        <v/>
      </c>
      <c r="F2548" s="3" t="str">
        <f>IF(TableRefills3[[#This Row],[prev_refill_days]]="","",TableRefills3[[#This Row],[prev_refill_days]]+TableRefills3[[#This Row],[quantity_days]])</f>
        <v/>
      </c>
      <c r="G2548" t="str">
        <f>IF(TableRefills3[[#This Row],[prev_refill_end]]="","",TableRefills3[[#This Row],[refill_date]]-TableRefills3[[#This Row],[prev_refill_end]])</f>
        <v/>
      </c>
      <c r="H2548" s="10">
        <f>IF(TableRefills3[[#This Row],[gap_days]]="",0,IF(TableRefills3[[#This Row],[gap_days]]&gt;2,1,0))</f>
        <v>0</v>
      </c>
      <c r="I2548">
        <f>_xlfn.MAXIFS(TableRefills3[discountinuation_flag], TableRefills3[patient_id], A2548)</f>
        <v>1</v>
      </c>
    </row>
    <row r="2549" spans="1:9" x14ac:dyDescent="0.25">
      <c r="A2549" t="s">
        <v>4043</v>
      </c>
      <c r="B2549" t="s">
        <v>4044</v>
      </c>
      <c r="C2549" s="3">
        <v>45837</v>
      </c>
      <c r="D2549">
        <v>28</v>
      </c>
      <c r="E2549" s="3">
        <f t="shared" si="39"/>
        <v>45807</v>
      </c>
      <c r="F2549" s="3">
        <f>IF(TableRefills3[[#This Row],[prev_refill_days]]="","",TableRefills3[[#This Row],[prev_refill_days]]+TableRefills3[[#This Row],[quantity_days]])</f>
        <v>45835</v>
      </c>
      <c r="G2549">
        <f>IF(TableRefills3[[#This Row],[prev_refill_end]]="","",TableRefills3[[#This Row],[refill_date]]-TableRefills3[[#This Row],[prev_refill_end]])</f>
        <v>2</v>
      </c>
      <c r="H2549" s="10">
        <f>IF(TableRefills3[[#This Row],[gap_days]]="",0,IF(TableRefills3[[#This Row],[gap_days]]&gt;2,1,0))</f>
        <v>0</v>
      </c>
      <c r="I2549">
        <f>_xlfn.MAXIFS(TableRefills3[discountinuation_flag], TableRefills3[patient_id], A2549)</f>
        <v>1</v>
      </c>
    </row>
    <row r="2550" spans="1:9" x14ac:dyDescent="0.25">
      <c r="A2550" t="s">
        <v>4043</v>
      </c>
      <c r="B2550" t="s">
        <v>4044</v>
      </c>
      <c r="C2550" s="3">
        <v>45868</v>
      </c>
      <c r="D2550">
        <v>28</v>
      </c>
      <c r="E2550" s="3">
        <f t="shared" si="39"/>
        <v>45837</v>
      </c>
      <c r="F2550" s="3">
        <f>IF(TableRefills3[[#This Row],[prev_refill_days]]="","",TableRefills3[[#This Row],[prev_refill_days]]+TableRefills3[[#This Row],[quantity_days]])</f>
        <v>45865</v>
      </c>
      <c r="G2550">
        <f>IF(TableRefills3[[#This Row],[prev_refill_end]]="","",TableRefills3[[#This Row],[refill_date]]-TableRefills3[[#This Row],[prev_refill_end]])</f>
        <v>3</v>
      </c>
      <c r="H2550" s="10">
        <f>IF(TableRefills3[[#This Row],[gap_days]]="",0,IF(TableRefills3[[#This Row],[gap_days]]&gt;2,1,0))</f>
        <v>1</v>
      </c>
      <c r="I2550">
        <f>_xlfn.MAXIFS(TableRefills3[discountinuation_flag], TableRefills3[patient_id], A2550)</f>
        <v>1</v>
      </c>
    </row>
    <row r="2551" spans="1:9" x14ac:dyDescent="0.25">
      <c r="A2551" t="s">
        <v>4043</v>
      </c>
      <c r="B2551" t="s">
        <v>4044</v>
      </c>
      <c r="C2551" s="3">
        <v>45893</v>
      </c>
      <c r="D2551">
        <v>28</v>
      </c>
      <c r="E2551" s="3">
        <f t="shared" si="39"/>
        <v>45868</v>
      </c>
      <c r="F2551" s="3">
        <f>IF(TableRefills3[[#This Row],[prev_refill_days]]="","",TableRefills3[[#This Row],[prev_refill_days]]+TableRefills3[[#This Row],[quantity_days]])</f>
        <v>45896</v>
      </c>
      <c r="G2551">
        <f>IF(TableRefills3[[#This Row],[prev_refill_end]]="","",TableRefills3[[#This Row],[refill_date]]-TableRefills3[[#This Row],[prev_refill_end]])</f>
        <v>-3</v>
      </c>
      <c r="H2551" s="10">
        <f>IF(TableRefills3[[#This Row],[gap_days]]="",0,IF(TableRefills3[[#This Row],[gap_days]]&gt;2,1,0))</f>
        <v>0</v>
      </c>
      <c r="I2551">
        <f>_xlfn.MAXIFS(TableRefills3[discountinuation_flag], TableRefills3[patient_id], A2551)</f>
        <v>1</v>
      </c>
    </row>
    <row r="2552" spans="1:9" x14ac:dyDescent="0.25">
      <c r="A2552" t="s">
        <v>4043</v>
      </c>
      <c r="B2552" t="s">
        <v>4044</v>
      </c>
      <c r="C2552" s="3">
        <v>45921</v>
      </c>
      <c r="D2552">
        <v>28</v>
      </c>
      <c r="E2552" s="3">
        <f t="shared" si="39"/>
        <v>45893</v>
      </c>
      <c r="F2552" s="3">
        <f>IF(TableRefills3[[#This Row],[prev_refill_days]]="","",TableRefills3[[#This Row],[prev_refill_days]]+TableRefills3[[#This Row],[quantity_days]])</f>
        <v>45921</v>
      </c>
      <c r="G2552">
        <f>IF(TableRefills3[[#This Row],[prev_refill_end]]="","",TableRefills3[[#This Row],[refill_date]]-TableRefills3[[#This Row],[prev_refill_end]])</f>
        <v>0</v>
      </c>
      <c r="H2552" s="10">
        <f>IF(TableRefills3[[#This Row],[gap_days]]="",0,IF(TableRefills3[[#This Row],[gap_days]]&gt;2,1,0))</f>
        <v>0</v>
      </c>
      <c r="I2552">
        <f>_xlfn.MAXIFS(TableRefills3[discountinuation_flag], TableRefills3[patient_id], A2552)</f>
        <v>1</v>
      </c>
    </row>
    <row r="2553" spans="1:9" x14ac:dyDescent="0.25">
      <c r="A2553" t="s">
        <v>4043</v>
      </c>
      <c r="B2553" t="s">
        <v>4044</v>
      </c>
      <c r="C2553" s="3">
        <v>45951</v>
      </c>
      <c r="D2553">
        <v>28</v>
      </c>
      <c r="E2553" s="3">
        <f t="shared" si="39"/>
        <v>45921</v>
      </c>
      <c r="F2553" s="3">
        <f>IF(TableRefills3[[#This Row],[prev_refill_days]]="","",TableRefills3[[#This Row],[prev_refill_days]]+TableRefills3[[#This Row],[quantity_days]])</f>
        <v>45949</v>
      </c>
      <c r="G2553">
        <f>IF(TableRefills3[[#This Row],[prev_refill_end]]="","",TableRefills3[[#This Row],[refill_date]]-TableRefills3[[#This Row],[prev_refill_end]])</f>
        <v>2</v>
      </c>
      <c r="H2553" s="10">
        <f>IF(TableRefills3[[#This Row],[gap_days]]="",0,IF(TableRefills3[[#This Row],[gap_days]]&gt;2,1,0))</f>
        <v>0</v>
      </c>
      <c r="I2553">
        <f>_xlfn.MAXIFS(TableRefills3[discountinuation_flag], TableRefills3[patient_id], A2553)</f>
        <v>1</v>
      </c>
    </row>
    <row r="2554" spans="1:9" x14ac:dyDescent="0.25">
      <c r="A2554" t="s">
        <v>4051</v>
      </c>
      <c r="B2554" t="s">
        <v>4052</v>
      </c>
      <c r="C2554" s="3">
        <v>45829</v>
      </c>
      <c r="D2554">
        <v>28</v>
      </c>
      <c r="E2554" s="3" t="str">
        <f t="shared" si="39"/>
        <v/>
      </c>
      <c r="F2554" s="3" t="str">
        <f>IF(TableRefills3[[#This Row],[prev_refill_days]]="","",TableRefills3[[#This Row],[prev_refill_days]]+TableRefills3[[#This Row],[quantity_days]])</f>
        <v/>
      </c>
      <c r="G2554" t="str">
        <f>IF(TableRefills3[[#This Row],[prev_refill_end]]="","",TableRefills3[[#This Row],[refill_date]]-TableRefills3[[#This Row],[prev_refill_end]])</f>
        <v/>
      </c>
      <c r="H2554" s="10">
        <f>IF(TableRefills3[[#This Row],[gap_days]]="",0,IF(TableRefills3[[#This Row],[gap_days]]&gt;2,1,0))</f>
        <v>0</v>
      </c>
      <c r="I2554">
        <f>_xlfn.MAXIFS(TableRefills3[discountinuation_flag], TableRefills3[patient_id], A2554)</f>
        <v>0</v>
      </c>
    </row>
    <row r="2555" spans="1:9" x14ac:dyDescent="0.25">
      <c r="A2555" t="s">
        <v>4051</v>
      </c>
      <c r="B2555" t="s">
        <v>4052</v>
      </c>
      <c r="C2555" s="3">
        <v>45854</v>
      </c>
      <c r="D2555">
        <v>28</v>
      </c>
      <c r="E2555" s="3">
        <f t="shared" si="39"/>
        <v>45829</v>
      </c>
      <c r="F2555" s="3">
        <f>IF(TableRefills3[[#This Row],[prev_refill_days]]="","",TableRefills3[[#This Row],[prev_refill_days]]+TableRefills3[[#This Row],[quantity_days]])</f>
        <v>45857</v>
      </c>
      <c r="G2555">
        <f>IF(TableRefills3[[#This Row],[prev_refill_end]]="","",TableRefills3[[#This Row],[refill_date]]-TableRefills3[[#This Row],[prev_refill_end]])</f>
        <v>-3</v>
      </c>
      <c r="H2555" s="10">
        <f>IF(TableRefills3[[#This Row],[gap_days]]="",0,IF(TableRefills3[[#This Row],[gap_days]]&gt;2,1,0))</f>
        <v>0</v>
      </c>
      <c r="I2555">
        <f>_xlfn.MAXIFS(TableRefills3[discountinuation_flag], TableRefills3[patient_id], A2555)</f>
        <v>0</v>
      </c>
    </row>
    <row r="2556" spans="1:9" x14ac:dyDescent="0.25">
      <c r="A2556" t="s">
        <v>4051</v>
      </c>
      <c r="B2556" t="s">
        <v>4052</v>
      </c>
      <c r="C2556" s="3">
        <v>45882</v>
      </c>
      <c r="D2556">
        <v>28</v>
      </c>
      <c r="E2556" s="3">
        <f t="shared" si="39"/>
        <v>45854</v>
      </c>
      <c r="F2556" s="3">
        <f>IF(TableRefills3[[#This Row],[prev_refill_days]]="","",TableRefills3[[#This Row],[prev_refill_days]]+TableRefills3[[#This Row],[quantity_days]])</f>
        <v>45882</v>
      </c>
      <c r="G2556">
        <f>IF(TableRefills3[[#This Row],[prev_refill_end]]="","",TableRefills3[[#This Row],[refill_date]]-TableRefills3[[#This Row],[prev_refill_end]])</f>
        <v>0</v>
      </c>
      <c r="H2556" s="10">
        <f>IF(TableRefills3[[#This Row],[gap_days]]="",0,IF(TableRefills3[[#This Row],[gap_days]]&gt;2,1,0))</f>
        <v>0</v>
      </c>
      <c r="I2556">
        <f>_xlfn.MAXIFS(TableRefills3[discountinuation_flag], TableRefills3[patient_id], A2556)</f>
        <v>0</v>
      </c>
    </row>
    <row r="2557" spans="1:9" x14ac:dyDescent="0.25">
      <c r="A2557" t="s">
        <v>4051</v>
      </c>
      <c r="B2557" t="s">
        <v>4052</v>
      </c>
      <c r="C2557" s="3">
        <v>45908</v>
      </c>
      <c r="D2557">
        <v>28</v>
      </c>
      <c r="E2557" s="3">
        <f t="shared" si="39"/>
        <v>45882</v>
      </c>
      <c r="F2557" s="3">
        <f>IF(TableRefills3[[#This Row],[prev_refill_days]]="","",TableRefills3[[#This Row],[prev_refill_days]]+TableRefills3[[#This Row],[quantity_days]])</f>
        <v>45910</v>
      </c>
      <c r="G2557">
        <f>IF(TableRefills3[[#This Row],[prev_refill_end]]="","",TableRefills3[[#This Row],[refill_date]]-TableRefills3[[#This Row],[prev_refill_end]])</f>
        <v>-2</v>
      </c>
      <c r="H2557" s="10">
        <f>IF(TableRefills3[[#This Row],[gap_days]]="",0,IF(TableRefills3[[#This Row],[gap_days]]&gt;2,1,0))</f>
        <v>0</v>
      </c>
      <c r="I2557">
        <f>_xlfn.MAXIFS(TableRefills3[discountinuation_flag], TableRefills3[patient_id], A2557)</f>
        <v>0</v>
      </c>
    </row>
    <row r="2558" spans="1:9" x14ac:dyDescent="0.25">
      <c r="A2558" t="s">
        <v>4051</v>
      </c>
      <c r="B2558" t="s">
        <v>4052</v>
      </c>
      <c r="C2558" s="3">
        <v>45935</v>
      </c>
      <c r="D2558">
        <v>28</v>
      </c>
      <c r="E2558" s="3">
        <f t="shared" si="39"/>
        <v>45908</v>
      </c>
      <c r="F2558" s="3">
        <f>IF(TableRefills3[[#This Row],[prev_refill_days]]="","",TableRefills3[[#This Row],[prev_refill_days]]+TableRefills3[[#This Row],[quantity_days]])</f>
        <v>45936</v>
      </c>
      <c r="G2558">
        <f>IF(TableRefills3[[#This Row],[prev_refill_end]]="","",TableRefills3[[#This Row],[refill_date]]-TableRefills3[[#This Row],[prev_refill_end]])</f>
        <v>-1</v>
      </c>
      <c r="H2558" s="10">
        <f>IF(TableRefills3[[#This Row],[gap_days]]="",0,IF(TableRefills3[[#This Row],[gap_days]]&gt;2,1,0))</f>
        <v>0</v>
      </c>
      <c r="I2558">
        <f>_xlfn.MAXIFS(TableRefills3[discountinuation_flag], TableRefills3[patient_id], A2558)</f>
        <v>0</v>
      </c>
    </row>
    <row r="2559" spans="1:9" x14ac:dyDescent="0.25">
      <c r="A2559" t="s">
        <v>4058</v>
      </c>
      <c r="B2559" t="s">
        <v>4059</v>
      </c>
      <c r="C2559" s="3">
        <v>45917</v>
      </c>
      <c r="D2559">
        <v>28</v>
      </c>
      <c r="E2559" s="3" t="str">
        <f t="shared" si="39"/>
        <v/>
      </c>
      <c r="F2559" s="3" t="str">
        <f>IF(TableRefills3[[#This Row],[prev_refill_days]]="","",TableRefills3[[#This Row],[prev_refill_days]]+TableRefills3[[#This Row],[quantity_days]])</f>
        <v/>
      </c>
      <c r="G2559" t="str">
        <f>IF(TableRefills3[[#This Row],[prev_refill_end]]="","",TableRefills3[[#This Row],[refill_date]]-TableRefills3[[#This Row],[prev_refill_end]])</f>
        <v/>
      </c>
      <c r="H2559" s="10">
        <f>IF(TableRefills3[[#This Row],[gap_days]]="",0,IF(TableRefills3[[#This Row],[gap_days]]&gt;2,1,0))</f>
        <v>0</v>
      </c>
      <c r="I2559">
        <f>_xlfn.MAXIFS(TableRefills3[discountinuation_flag], TableRefills3[patient_id], A2559)</f>
        <v>0</v>
      </c>
    </row>
    <row r="2560" spans="1:9" x14ac:dyDescent="0.25">
      <c r="A2560" t="s">
        <v>4061</v>
      </c>
      <c r="B2560" t="s">
        <v>4062</v>
      </c>
      <c r="C2560" s="3">
        <v>45952</v>
      </c>
      <c r="D2560">
        <v>28</v>
      </c>
      <c r="E2560" s="3" t="str">
        <f t="shared" si="39"/>
        <v/>
      </c>
      <c r="F2560" s="3" t="str">
        <f>IF(TableRefills3[[#This Row],[prev_refill_days]]="","",TableRefills3[[#This Row],[prev_refill_days]]+TableRefills3[[#This Row],[quantity_days]])</f>
        <v/>
      </c>
      <c r="G2560" t="str">
        <f>IF(TableRefills3[[#This Row],[prev_refill_end]]="","",TableRefills3[[#This Row],[refill_date]]-TableRefills3[[#This Row],[prev_refill_end]])</f>
        <v/>
      </c>
      <c r="H2560" s="10">
        <f>IF(TableRefills3[[#This Row],[gap_days]]="",0,IF(TableRefills3[[#This Row],[gap_days]]&gt;2,1,0))</f>
        <v>0</v>
      </c>
      <c r="I2560">
        <f>_xlfn.MAXIFS(TableRefills3[discountinuation_flag], TableRefills3[patient_id], A2560)</f>
        <v>0</v>
      </c>
    </row>
    <row r="2561" spans="1:9" x14ac:dyDescent="0.25">
      <c r="A2561" t="s">
        <v>4064</v>
      </c>
      <c r="B2561" t="s">
        <v>4065</v>
      </c>
      <c r="C2561" s="3">
        <v>45918</v>
      </c>
      <c r="D2561">
        <v>14</v>
      </c>
      <c r="E2561" s="3" t="str">
        <f t="shared" si="39"/>
        <v/>
      </c>
      <c r="F2561" s="3" t="str">
        <f>IF(TableRefills3[[#This Row],[prev_refill_days]]="","",TableRefills3[[#This Row],[prev_refill_days]]+TableRefills3[[#This Row],[quantity_days]])</f>
        <v/>
      </c>
      <c r="G2561" t="str">
        <f>IF(TableRefills3[[#This Row],[prev_refill_end]]="","",TableRefills3[[#This Row],[refill_date]]-TableRefills3[[#This Row],[prev_refill_end]])</f>
        <v/>
      </c>
      <c r="H2561" s="10">
        <f>IF(TableRefills3[[#This Row],[gap_days]]="",0,IF(TableRefills3[[#This Row],[gap_days]]&gt;2,1,0))</f>
        <v>0</v>
      </c>
      <c r="I2561">
        <f>_xlfn.MAXIFS(TableRefills3[discountinuation_flag], TableRefills3[patient_id], A2561)</f>
        <v>1</v>
      </c>
    </row>
    <row r="2562" spans="1:9" x14ac:dyDescent="0.25">
      <c r="A2562" t="s">
        <v>4064</v>
      </c>
      <c r="B2562" t="s">
        <v>4065</v>
      </c>
      <c r="C2562" s="3">
        <v>45935</v>
      </c>
      <c r="D2562">
        <v>14</v>
      </c>
      <c r="E2562" s="3">
        <f t="shared" ref="E2562:E2625" si="40">IF(A2561=A2562,C2561,"")</f>
        <v>45918</v>
      </c>
      <c r="F2562" s="3">
        <f>IF(TableRefills3[[#This Row],[prev_refill_days]]="","",TableRefills3[[#This Row],[prev_refill_days]]+TableRefills3[[#This Row],[quantity_days]])</f>
        <v>45932</v>
      </c>
      <c r="G2562">
        <f>IF(TableRefills3[[#This Row],[prev_refill_end]]="","",TableRefills3[[#This Row],[refill_date]]-TableRefills3[[#This Row],[prev_refill_end]])</f>
        <v>3</v>
      </c>
      <c r="H2562" s="10">
        <f>IF(TableRefills3[[#This Row],[gap_days]]="",0,IF(TableRefills3[[#This Row],[gap_days]]&gt;2,1,0))</f>
        <v>1</v>
      </c>
      <c r="I2562">
        <f>_xlfn.MAXIFS(TableRefills3[discountinuation_flag], TableRefills3[patient_id], A2562)</f>
        <v>1</v>
      </c>
    </row>
    <row r="2563" spans="1:9" x14ac:dyDescent="0.25">
      <c r="A2563" t="s">
        <v>4064</v>
      </c>
      <c r="B2563" t="s">
        <v>4065</v>
      </c>
      <c r="C2563" s="3">
        <v>45949</v>
      </c>
      <c r="D2563">
        <v>14</v>
      </c>
      <c r="E2563" s="3">
        <f t="shared" si="40"/>
        <v>45935</v>
      </c>
      <c r="F2563" s="3">
        <f>IF(TableRefills3[[#This Row],[prev_refill_days]]="","",TableRefills3[[#This Row],[prev_refill_days]]+TableRefills3[[#This Row],[quantity_days]])</f>
        <v>45949</v>
      </c>
      <c r="G2563">
        <f>IF(TableRefills3[[#This Row],[prev_refill_end]]="","",TableRefills3[[#This Row],[refill_date]]-TableRefills3[[#This Row],[prev_refill_end]])</f>
        <v>0</v>
      </c>
      <c r="H2563" s="10">
        <f>IF(TableRefills3[[#This Row],[gap_days]]="",0,IF(TableRefills3[[#This Row],[gap_days]]&gt;2,1,0))</f>
        <v>0</v>
      </c>
      <c r="I2563">
        <f>_xlfn.MAXIFS(TableRefills3[discountinuation_flag], TableRefills3[patient_id], A2563)</f>
        <v>1</v>
      </c>
    </row>
    <row r="2564" spans="1:9" x14ac:dyDescent="0.25">
      <c r="A2564" t="s">
        <v>4069</v>
      </c>
      <c r="B2564" t="s">
        <v>4070</v>
      </c>
      <c r="C2564" s="3">
        <v>45896</v>
      </c>
      <c r="D2564">
        <v>28</v>
      </c>
      <c r="E2564" s="3" t="str">
        <f t="shared" si="40"/>
        <v/>
      </c>
      <c r="F2564" s="3" t="str">
        <f>IF(TableRefills3[[#This Row],[prev_refill_days]]="","",TableRefills3[[#This Row],[prev_refill_days]]+TableRefills3[[#This Row],[quantity_days]])</f>
        <v/>
      </c>
      <c r="G2564" t="str">
        <f>IF(TableRefills3[[#This Row],[prev_refill_end]]="","",TableRefills3[[#This Row],[refill_date]]-TableRefills3[[#This Row],[prev_refill_end]])</f>
        <v/>
      </c>
      <c r="H2564" s="10">
        <f>IF(TableRefills3[[#This Row],[gap_days]]="",0,IF(TableRefills3[[#This Row],[gap_days]]&gt;2,1,0))</f>
        <v>0</v>
      </c>
      <c r="I2564">
        <f>_xlfn.MAXIFS(TableRefills3[discountinuation_flag], TableRefills3[patient_id], A2564)</f>
        <v>1</v>
      </c>
    </row>
    <row r="2565" spans="1:9" x14ac:dyDescent="0.25">
      <c r="A2565" t="s">
        <v>4069</v>
      </c>
      <c r="B2565" t="s">
        <v>4070</v>
      </c>
      <c r="C2565" s="3">
        <v>45927</v>
      </c>
      <c r="D2565">
        <v>28</v>
      </c>
      <c r="E2565" s="3">
        <f t="shared" si="40"/>
        <v>45896</v>
      </c>
      <c r="F2565" s="3">
        <f>IF(TableRefills3[[#This Row],[prev_refill_days]]="","",TableRefills3[[#This Row],[prev_refill_days]]+TableRefills3[[#This Row],[quantity_days]])</f>
        <v>45924</v>
      </c>
      <c r="G2565">
        <f>IF(TableRefills3[[#This Row],[prev_refill_end]]="","",TableRefills3[[#This Row],[refill_date]]-TableRefills3[[#This Row],[prev_refill_end]])</f>
        <v>3</v>
      </c>
      <c r="H2565" s="10">
        <f>IF(TableRefills3[[#This Row],[gap_days]]="",0,IF(TableRefills3[[#This Row],[gap_days]]&gt;2,1,0))</f>
        <v>1</v>
      </c>
      <c r="I2565">
        <f>_xlfn.MAXIFS(TableRefills3[discountinuation_flag], TableRefills3[patient_id], A2565)</f>
        <v>1</v>
      </c>
    </row>
    <row r="2566" spans="1:9" x14ac:dyDescent="0.25">
      <c r="A2566" t="s">
        <v>4073</v>
      </c>
      <c r="B2566" t="s">
        <v>4074</v>
      </c>
      <c r="C2566" s="3">
        <v>45831</v>
      </c>
      <c r="D2566">
        <v>28</v>
      </c>
      <c r="E2566" s="3" t="str">
        <f t="shared" si="40"/>
        <v/>
      </c>
      <c r="F2566" s="3" t="str">
        <f>IF(TableRefills3[[#This Row],[prev_refill_days]]="","",TableRefills3[[#This Row],[prev_refill_days]]+TableRefills3[[#This Row],[quantity_days]])</f>
        <v/>
      </c>
      <c r="G2566" t="str">
        <f>IF(TableRefills3[[#This Row],[prev_refill_end]]="","",TableRefills3[[#This Row],[refill_date]]-TableRefills3[[#This Row],[prev_refill_end]])</f>
        <v/>
      </c>
      <c r="H2566" s="10">
        <f>IF(TableRefills3[[#This Row],[gap_days]]="",0,IF(TableRefills3[[#This Row],[gap_days]]&gt;2,1,0))</f>
        <v>0</v>
      </c>
      <c r="I2566">
        <f>_xlfn.MAXIFS(TableRefills3[discountinuation_flag], TableRefills3[patient_id], A2566)</f>
        <v>0</v>
      </c>
    </row>
    <row r="2567" spans="1:9" x14ac:dyDescent="0.25">
      <c r="A2567" t="s">
        <v>4076</v>
      </c>
      <c r="B2567" t="s">
        <v>4077</v>
      </c>
      <c r="C2567" s="3">
        <v>45852</v>
      </c>
      <c r="D2567">
        <v>30</v>
      </c>
      <c r="E2567" s="3" t="str">
        <f t="shared" si="40"/>
        <v/>
      </c>
      <c r="F2567" s="3" t="str">
        <f>IF(TableRefills3[[#This Row],[prev_refill_days]]="","",TableRefills3[[#This Row],[prev_refill_days]]+TableRefills3[[#This Row],[quantity_days]])</f>
        <v/>
      </c>
      <c r="G2567" t="str">
        <f>IF(TableRefills3[[#This Row],[prev_refill_end]]="","",TableRefills3[[#This Row],[refill_date]]-TableRefills3[[#This Row],[prev_refill_end]])</f>
        <v/>
      </c>
      <c r="H2567" s="10">
        <f>IF(TableRefills3[[#This Row],[gap_days]]="",0,IF(TableRefills3[[#This Row],[gap_days]]&gt;2,1,0))</f>
        <v>0</v>
      </c>
      <c r="I2567">
        <f>_xlfn.MAXIFS(TableRefills3[discountinuation_flag], TableRefills3[patient_id], A2567)</f>
        <v>1</v>
      </c>
    </row>
    <row r="2568" spans="1:9" x14ac:dyDescent="0.25">
      <c r="A2568" t="s">
        <v>4076</v>
      </c>
      <c r="B2568" t="s">
        <v>4077</v>
      </c>
      <c r="C2568" s="3">
        <v>45882</v>
      </c>
      <c r="D2568">
        <v>30</v>
      </c>
      <c r="E2568" s="3">
        <f t="shared" si="40"/>
        <v>45852</v>
      </c>
      <c r="F2568" s="3">
        <f>IF(TableRefills3[[#This Row],[prev_refill_days]]="","",TableRefills3[[#This Row],[prev_refill_days]]+TableRefills3[[#This Row],[quantity_days]])</f>
        <v>45882</v>
      </c>
      <c r="G2568">
        <f>IF(TableRefills3[[#This Row],[prev_refill_end]]="","",TableRefills3[[#This Row],[refill_date]]-TableRefills3[[#This Row],[prev_refill_end]])</f>
        <v>0</v>
      </c>
      <c r="H2568" s="10">
        <f>IF(TableRefills3[[#This Row],[gap_days]]="",0,IF(TableRefills3[[#This Row],[gap_days]]&gt;2,1,0))</f>
        <v>0</v>
      </c>
      <c r="I2568">
        <f>_xlfn.MAXIFS(TableRefills3[discountinuation_flag], TableRefills3[patient_id], A2568)</f>
        <v>1</v>
      </c>
    </row>
    <row r="2569" spans="1:9" x14ac:dyDescent="0.25">
      <c r="A2569" t="s">
        <v>4076</v>
      </c>
      <c r="B2569" t="s">
        <v>4077</v>
      </c>
      <c r="C2569" s="3">
        <v>45915</v>
      </c>
      <c r="D2569">
        <v>30</v>
      </c>
      <c r="E2569" s="3">
        <f t="shared" si="40"/>
        <v>45882</v>
      </c>
      <c r="F2569" s="3">
        <f>IF(TableRefills3[[#This Row],[prev_refill_days]]="","",TableRefills3[[#This Row],[prev_refill_days]]+TableRefills3[[#This Row],[quantity_days]])</f>
        <v>45912</v>
      </c>
      <c r="G2569">
        <f>IF(TableRefills3[[#This Row],[prev_refill_end]]="","",TableRefills3[[#This Row],[refill_date]]-TableRefills3[[#This Row],[prev_refill_end]])</f>
        <v>3</v>
      </c>
      <c r="H2569" s="10">
        <f>IF(TableRefills3[[#This Row],[gap_days]]="",0,IF(TableRefills3[[#This Row],[gap_days]]&gt;2,1,0))</f>
        <v>1</v>
      </c>
      <c r="I2569">
        <f>_xlfn.MAXIFS(TableRefills3[discountinuation_flag], TableRefills3[patient_id], A2569)</f>
        <v>1</v>
      </c>
    </row>
    <row r="2570" spans="1:9" x14ac:dyDescent="0.25">
      <c r="A2570" t="s">
        <v>4076</v>
      </c>
      <c r="B2570" t="s">
        <v>4077</v>
      </c>
      <c r="C2570" s="3">
        <v>45945</v>
      </c>
      <c r="D2570">
        <v>30</v>
      </c>
      <c r="E2570" s="3">
        <f t="shared" si="40"/>
        <v>45915</v>
      </c>
      <c r="F2570" s="3">
        <f>IF(TableRefills3[[#This Row],[prev_refill_days]]="","",TableRefills3[[#This Row],[prev_refill_days]]+TableRefills3[[#This Row],[quantity_days]])</f>
        <v>45945</v>
      </c>
      <c r="G2570">
        <f>IF(TableRefills3[[#This Row],[prev_refill_end]]="","",TableRefills3[[#This Row],[refill_date]]-TableRefills3[[#This Row],[prev_refill_end]])</f>
        <v>0</v>
      </c>
      <c r="H2570" s="10">
        <f>IF(TableRefills3[[#This Row],[gap_days]]="",0,IF(TableRefills3[[#This Row],[gap_days]]&gt;2,1,0))</f>
        <v>0</v>
      </c>
      <c r="I2570">
        <f>_xlfn.MAXIFS(TableRefills3[discountinuation_flag], TableRefills3[patient_id], A2570)</f>
        <v>1</v>
      </c>
    </row>
    <row r="2571" spans="1:9" x14ac:dyDescent="0.25">
      <c r="A2571" t="s">
        <v>4082</v>
      </c>
      <c r="B2571" t="s">
        <v>4083</v>
      </c>
      <c r="C2571" s="3">
        <v>45955</v>
      </c>
      <c r="D2571">
        <v>30</v>
      </c>
      <c r="E2571" s="3" t="str">
        <f t="shared" si="40"/>
        <v/>
      </c>
      <c r="F2571" s="3" t="str">
        <f>IF(TableRefills3[[#This Row],[prev_refill_days]]="","",TableRefills3[[#This Row],[prev_refill_days]]+TableRefills3[[#This Row],[quantity_days]])</f>
        <v/>
      </c>
      <c r="G2571" t="str">
        <f>IF(TableRefills3[[#This Row],[prev_refill_end]]="","",TableRefills3[[#This Row],[refill_date]]-TableRefills3[[#This Row],[prev_refill_end]])</f>
        <v/>
      </c>
      <c r="H2571" s="10">
        <f>IF(TableRefills3[[#This Row],[gap_days]]="",0,IF(TableRefills3[[#This Row],[gap_days]]&gt;2,1,0))</f>
        <v>0</v>
      </c>
      <c r="I2571">
        <f>_xlfn.MAXIFS(TableRefills3[discountinuation_flag], TableRefills3[patient_id], A2571)</f>
        <v>0</v>
      </c>
    </row>
    <row r="2572" spans="1:9" x14ac:dyDescent="0.25">
      <c r="A2572" t="s">
        <v>4085</v>
      </c>
      <c r="B2572" t="s">
        <v>4086</v>
      </c>
      <c r="C2572" s="3">
        <v>45882</v>
      </c>
      <c r="D2572">
        <v>28</v>
      </c>
      <c r="E2572" s="3" t="str">
        <f t="shared" si="40"/>
        <v/>
      </c>
      <c r="F2572" s="3" t="str">
        <f>IF(TableRefills3[[#This Row],[prev_refill_days]]="","",TableRefills3[[#This Row],[prev_refill_days]]+TableRefills3[[#This Row],[quantity_days]])</f>
        <v/>
      </c>
      <c r="G2572" t="str">
        <f>IF(TableRefills3[[#This Row],[prev_refill_end]]="","",TableRefills3[[#This Row],[refill_date]]-TableRefills3[[#This Row],[prev_refill_end]])</f>
        <v/>
      </c>
      <c r="H2572" s="10">
        <f>IF(TableRefills3[[#This Row],[gap_days]]="",0,IF(TableRefills3[[#This Row],[gap_days]]&gt;2,1,0))</f>
        <v>0</v>
      </c>
      <c r="I2572">
        <f>_xlfn.MAXIFS(TableRefills3[discountinuation_flag], TableRefills3[patient_id], A2572)</f>
        <v>0</v>
      </c>
    </row>
    <row r="2573" spans="1:9" x14ac:dyDescent="0.25">
      <c r="A2573" t="s">
        <v>4085</v>
      </c>
      <c r="B2573" t="s">
        <v>4086</v>
      </c>
      <c r="C2573" s="3">
        <v>45912</v>
      </c>
      <c r="D2573">
        <v>28</v>
      </c>
      <c r="E2573" s="3">
        <f t="shared" si="40"/>
        <v>45882</v>
      </c>
      <c r="F2573" s="3">
        <f>IF(TableRefills3[[#This Row],[prev_refill_days]]="","",TableRefills3[[#This Row],[prev_refill_days]]+TableRefills3[[#This Row],[quantity_days]])</f>
        <v>45910</v>
      </c>
      <c r="G2573">
        <f>IF(TableRefills3[[#This Row],[prev_refill_end]]="","",TableRefills3[[#This Row],[refill_date]]-TableRefills3[[#This Row],[prev_refill_end]])</f>
        <v>2</v>
      </c>
      <c r="H2573" s="10">
        <f>IF(TableRefills3[[#This Row],[gap_days]]="",0,IF(TableRefills3[[#This Row],[gap_days]]&gt;2,1,0))</f>
        <v>0</v>
      </c>
      <c r="I2573">
        <f>_xlfn.MAXIFS(TableRefills3[discountinuation_flag], TableRefills3[patient_id], A2573)</f>
        <v>0</v>
      </c>
    </row>
    <row r="2574" spans="1:9" x14ac:dyDescent="0.25">
      <c r="A2574" t="s">
        <v>4085</v>
      </c>
      <c r="B2574" t="s">
        <v>4086</v>
      </c>
      <c r="C2574" s="3">
        <v>45940</v>
      </c>
      <c r="D2574">
        <v>28</v>
      </c>
      <c r="E2574" s="3">
        <f t="shared" si="40"/>
        <v>45912</v>
      </c>
      <c r="F2574" s="3">
        <f>IF(TableRefills3[[#This Row],[prev_refill_days]]="","",TableRefills3[[#This Row],[prev_refill_days]]+TableRefills3[[#This Row],[quantity_days]])</f>
        <v>45940</v>
      </c>
      <c r="G2574">
        <f>IF(TableRefills3[[#This Row],[prev_refill_end]]="","",TableRefills3[[#This Row],[refill_date]]-TableRefills3[[#This Row],[prev_refill_end]])</f>
        <v>0</v>
      </c>
      <c r="H2574" s="10">
        <f>IF(TableRefills3[[#This Row],[gap_days]]="",0,IF(TableRefills3[[#This Row],[gap_days]]&gt;2,1,0))</f>
        <v>0</v>
      </c>
      <c r="I2574">
        <f>_xlfn.MAXIFS(TableRefills3[discountinuation_flag], TableRefills3[patient_id], A2574)</f>
        <v>0</v>
      </c>
    </row>
    <row r="2575" spans="1:9" x14ac:dyDescent="0.25">
      <c r="A2575" t="s">
        <v>4090</v>
      </c>
      <c r="B2575" t="s">
        <v>4091</v>
      </c>
      <c r="C2575" s="3">
        <v>45905</v>
      </c>
      <c r="D2575">
        <v>28</v>
      </c>
      <c r="E2575" s="3" t="str">
        <f t="shared" si="40"/>
        <v/>
      </c>
      <c r="F2575" s="3" t="str">
        <f>IF(TableRefills3[[#This Row],[prev_refill_days]]="","",TableRefills3[[#This Row],[prev_refill_days]]+TableRefills3[[#This Row],[quantity_days]])</f>
        <v/>
      </c>
      <c r="G2575" t="str">
        <f>IF(TableRefills3[[#This Row],[prev_refill_end]]="","",TableRefills3[[#This Row],[refill_date]]-TableRefills3[[#This Row],[prev_refill_end]])</f>
        <v/>
      </c>
      <c r="H2575" s="10">
        <f>IF(TableRefills3[[#This Row],[gap_days]]="",0,IF(TableRefills3[[#This Row],[gap_days]]&gt;2,1,0))</f>
        <v>0</v>
      </c>
      <c r="I2575">
        <f>_xlfn.MAXIFS(TableRefills3[discountinuation_flag], TableRefills3[patient_id], A2575)</f>
        <v>0</v>
      </c>
    </row>
    <row r="2576" spans="1:9" x14ac:dyDescent="0.25">
      <c r="A2576" t="s">
        <v>4090</v>
      </c>
      <c r="B2576" t="s">
        <v>4091</v>
      </c>
      <c r="C2576" s="3">
        <v>45930</v>
      </c>
      <c r="D2576">
        <v>28</v>
      </c>
      <c r="E2576" s="3">
        <f t="shared" si="40"/>
        <v>45905</v>
      </c>
      <c r="F2576" s="3">
        <f>IF(TableRefills3[[#This Row],[prev_refill_days]]="","",TableRefills3[[#This Row],[prev_refill_days]]+TableRefills3[[#This Row],[quantity_days]])</f>
        <v>45933</v>
      </c>
      <c r="G2576">
        <f>IF(TableRefills3[[#This Row],[prev_refill_end]]="","",TableRefills3[[#This Row],[refill_date]]-TableRefills3[[#This Row],[prev_refill_end]])</f>
        <v>-3</v>
      </c>
      <c r="H2576" s="10">
        <f>IF(TableRefills3[[#This Row],[gap_days]]="",0,IF(TableRefills3[[#This Row],[gap_days]]&gt;2,1,0))</f>
        <v>0</v>
      </c>
      <c r="I2576">
        <f>_xlfn.MAXIFS(TableRefills3[discountinuation_flag], TableRefills3[patient_id], A2576)</f>
        <v>0</v>
      </c>
    </row>
    <row r="2577" spans="1:9" x14ac:dyDescent="0.25">
      <c r="A2577" t="s">
        <v>4090</v>
      </c>
      <c r="B2577" t="s">
        <v>4091</v>
      </c>
      <c r="C2577" s="3">
        <v>45959</v>
      </c>
      <c r="D2577">
        <v>28</v>
      </c>
      <c r="E2577" s="3">
        <f t="shared" si="40"/>
        <v>45930</v>
      </c>
      <c r="F2577" s="3">
        <f>IF(TableRefills3[[#This Row],[prev_refill_days]]="","",TableRefills3[[#This Row],[prev_refill_days]]+TableRefills3[[#This Row],[quantity_days]])</f>
        <v>45958</v>
      </c>
      <c r="G2577">
        <f>IF(TableRefills3[[#This Row],[prev_refill_end]]="","",TableRefills3[[#This Row],[refill_date]]-TableRefills3[[#This Row],[prev_refill_end]])</f>
        <v>1</v>
      </c>
      <c r="H2577" s="10">
        <f>IF(TableRefills3[[#This Row],[gap_days]]="",0,IF(TableRefills3[[#This Row],[gap_days]]&gt;2,1,0))</f>
        <v>0</v>
      </c>
      <c r="I2577">
        <f>_xlfn.MAXIFS(TableRefills3[discountinuation_flag], TableRefills3[patient_id], A2577)</f>
        <v>0</v>
      </c>
    </row>
    <row r="2578" spans="1:9" x14ac:dyDescent="0.25">
      <c r="A2578" t="s">
        <v>4095</v>
      </c>
      <c r="B2578" t="s">
        <v>4096</v>
      </c>
      <c r="C2578" s="3">
        <v>45940</v>
      </c>
      <c r="D2578">
        <v>30</v>
      </c>
      <c r="E2578" s="3" t="str">
        <f t="shared" si="40"/>
        <v/>
      </c>
      <c r="F2578" s="3" t="str">
        <f>IF(TableRefills3[[#This Row],[prev_refill_days]]="","",TableRefills3[[#This Row],[prev_refill_days]]+TableRefills3[[#This Row],[quantity_days]])</f>
        <v/>
      </c>
      <c r="G2578" t="str">
        <f>IF(TableRefills3[[#This Row],[prev_refill_end]]="","",TableRefills3[[#This Row],[refill_date]]-TableRefills3[[#This Row],[prev_refill_end]])</f>
        <v/>
      </c>
      <c r="H2578" s="10">
        <f>IF(TableRefills3[[#This Row],[gap_days]]="",0,IF(TableRefills3[[#This Row],[gap_days]]&gt;2,1,0))</f>
        <v>0</v>
      </c>
      <c r="I2578">
        <f>_xlfn.MAXIFS(TableRefills3[discountinuation_flag], TableRefills3[patient_id], A2578)</f>
        <v>0</v>
      </c>
    </row>
    <row r="2579" spans="1:9" x14ac:dyDescent="0.25">
      <c r="A2579" t="s">
        <v>4098</v>
      </c>
      <c r="B2579" t="s">
        <v>4099</v>
      </c>
      <c r="C2579" s="3">
        <v>45839</v>
      </c>
      <c r="D2579">
        <v>30</v>
      </c>
      <c r="E2579" s="3" t="str">
        <f t="shared" si="40"/>
        <v/>
      </c>
      <c r="F2579" s="3" t="str">
        <f>IF(TableRefills3[[#This Row],[prev_refill_days]]="","",TableRefills3[[#This Row],[prev_refill_days]]+TableRefills3[[#This Row],[quantity_days]])</f>
        <v/>
      </c>
      <c r="G2579" t="str">
        <f>IF(TableRefills3[[#This Row],[prev_refill_end]]="","",TableRefills3[[#This Row],[refill_date]]-TableRefills3[[#This Row],[prev_refill_end]])</f>
        <v/>
      </c>
      <c r="H2579" s="10">
        <f>IF(TableRefills3[[#This Row],[gap_days]]="",0,IF(TableRefills3[[#This Row],[gap_days]]&gt;2,1,0))</f>
        <v>0</v>
      </c>
      <c r="I2579">
        <f>_xlfn.MAXIFS(TableRefills3[discountinuation_flag], TableRefills3[patient_id], A2579)</f>
        <v>1</v>
      </c>
    </row>
    <row r="2580" spans="1:9" x14ac:dyDescent="0.25">
      <c r="A2580" t="s">
        <v>4098</v>
      </c>
      <c r="B2580" t="s">
        <v>4099</v>
      </c>
      <c r="C2580" s="3">
        <v>45872</v>
      </c>
      <c r="D2580">
        <v>30</v>
      </c>
      <c r="E2580" s="3">
        <f t="shared" si="40"/>
        <v>45839</v>
      </c>
      <c r="F2580" s="3">
        <f>IF(TableRefills3[[#This Row],[prev_refill_days]]="","",TableRefills3[[#This Row],[prev_refill_days]]+TableRefills3[[#This Row],[quantity_days]])</f>
        <v>45869</v>
      </c>
      <c r="G2580">
        <f>IF(TableRefills3[[#This Row],[prev_refill_end]]="","",TableRefills3[[#This Row],[refill_date]]-TableRefills3[[#This Row],[prev_refill_end]])</f>
        <v>3</v>
      </c>
      <c r="H2580" s="10">
        <f>IF(TableRefills3[[#This Row],[gap_days]]="",0,IF(TableRefills3[[#This Row],[gap_days]]&gt;2,1,0))</f>
        <v>1</v>
      </c>
      <c r="I2580">
        <f>_xlfn.MAXIFS(TableRefills3[discountinuation_flag], TableRefills3[patient_id], A2580)</f>
        <v>1</v>
      </c>
    </row>
    <row r="2581" spans="1:9" x14ac:dyDescent="0.25">
      <c r="A2581" t="s">
        <v>4098</v>
      </c>
      <c r="B2581" t="s">
        <v>4099</v>
      </c>
      <c r="C2581" s="3">
        <v>45901</v>
      </c>
      <c r="D2581">
        <v>30</v>
      </c>
      <c r="E2581" s="3">
        <f t="shared" si="40"/>
        <v>45872</v>
      </c>
      <c r="F2581" s="3">
        <f>IF(TableRefills3[[#This Row],[prev_refill_days]]="","",TableRefills3[[#This Row],[prev_refill_days]]+TableRefills3[[#This Row],[quantity_days]])</f>
        <v>45902</v>
      </c>
      <c r="G2581">
        <f>IF(TableRefills3[[#This Row],[prev_refill_end]]="","",TableRefills3[[#This Row],[refill_date]]-TableRefills3[[#This Row],[prev_refill_end]])</f>
        <v>-1</v>
      </c>
      <c r="H2581" s="10">
        <f>IF(TableRefills3[[#This Row],[gap_days]]="",0,IF(TableRefills3[[#This Row],[gap_days]]&gt;2,1,0))</f>
        <v>0</v>
      </c>
      <c r="I2581">
        <f>_xlfn.MAXIFS(TableRefills3[discountinuation_flag], TableRefills3[patient_id], A2581)</f>
        <v>1</v>
      </c>
    </row>
    <row r="2582" spans="1:9" x14ac:dyDescent="0.25">
      <c r="A2582" t="s">
        <v>4098</v>
      </c>
      <c r="B2582" t="s">
        <v>4099</v>
      </c>
      <c r="C2582" s="3">
        <v>45929</v>
      </c>
      <c r="D2582">
        <v>30</v>
      </c>
      <c r="E2582" s="3">
        <f t="shared" si="40"/>
        <v>45901</v>
      </c>
      <c r="F2582" s="3">
        <f>IF(TableRefills3[[#This Row],[prev_refill_days]]="","",TableRefills3[[#This Row],[prev_refill_days]]+TableRefills3[[#This Row],[quantity_days]])</f>
        <v>45931</v>
      </c>
      <c r="G2582">
        <f>IF(TableRefills3[[#This Row],[prev_refill_end]]="","",TableRefills3[[#This Row],[refill_date]]-TableRefills3[[#This Row],[prev_refill_end]])</f>
        <v>-2</v>
      </c>
      <c r="H2582" s="10">
        <f>IF(TableRefills3[[#This Row],[gap_days]]="",0,IF(TableRefills3[[#This Row],[gap_days]]&gt;2,1,0))</f>
        <v>0</v>
      </c>
      <c r="I2582">
        <f>_xlfn.MAXIFS(TableRefills3[discountinuation_flag], TableRefills3[patient_id], A2582)</f>
        <v>1</v>
      </c>
    </row>
    <row r="2583" spans="1:9" x14ac:dyDescent="0.25">
      <c r="A2583" t="s">
        <v>4098</v>
      </c>
      <c r="B2583" t="s">
        <v>4099</v>
      </c>
      <c r="C2583" s="3">
        <v>45960</v>
      </c>
      <c r="D2583">
        <v>30</v>
      </c>
      <c r="E2583" s="3">
        <f t="shared" si="40"/>
        <v>45929</v>
      </c>
      <c r="F2583" s="3">
        <f>IF(TableRefills3[[#This Row],[prev_refill_days]]="","",TableRefills3[[#This Row],[prev_refill_days]]+TableRefills3[[#This Row],[quantity_days]])</f>
        <v>45959</v>
      </c>
      <c r="G2583">
        <f>IF(TableRefills3[[#This Row],[prev_refill_end]]="","",TableRefills3[[#This Row],[refill_date]]-TableRefills3[[#This Row],[prev_refill_end]])</f>
        <v>1</v>
      </c>
      <c r="H2583" s="10">
        <f>IF(TableRefills3[[#This Row],[gap_days]]="",0,IF(TableRefills3[[#This Row],[gap_days]]&gt;2,1,0))</f>
        <v>0</v>
      </c>
      <c r="I2583">
        <f>_xlfn.MAXIFS(TableRefills3[discountinuation_flag], TableRefills3[patient_id], A2583)</f>
        <v>1</v>
      </c>
    </row>
    <row r="2584" spans="1:9" x14ac:dyDescent="0.25">
      <c r="A2584" t="s">
        <v>4105</v>
      </c>
      <c r="B2584" t="s">
        <v>4106</v>
      </c>
      <c r="C2584" s="3">
        <v>45946</v>
      </c>
      <c r="D2584">
        <v>28</v>
      </c>
      <c r="E2584" s="3" t="str">
        <f t="shared" si="40"/>
        <v/>
      </c>
      <c r="F2584" s="3" t="str">
        <f>IF(TableRefills3[[#This Row],[prev_refill_days]]="","",TableRefills3[[#This Row],[prev_refill_days]]+TableRefills3[[#This Row],[quantity_days]])</f>
        <v/>
      </c>
      <c r="G2584" t="str">
        <f>IF(TableRefills3[[#This Row],[prev_refill_end]]="","",TableRefills3[[#This Row],[refill_date]]-TableRefills3[[#This Row],[prev_refill_end]])</f>
        <v/>
      </c>
      <c r="H2584" s="10">
        <f>IF(TableRefills3[[#This Row],[gap_days]]="",0,IF(TableRefills3[[#This Row],[gap_days]]&gt;2,1,0))</f>
        <v>0</v>
      </c>
      <c r="I2584">
        <f>_xlfn.MAXIFS(TableRefills3[discountinuation_flag], TableRefills3[patient_id], A2584)</f>
        <v>0</v>
      </c>
    </row>
    <row r="2585" spans="1:9" x14ac:dyDescent="0.25">
      <c r="A2585" t="s">
        <v>4108</v>
      </c>
      <c r="B2585" t="s">
        <v>4109</v>
      </c>
      <c r="C2585" s="3">
        <v>45961</v>
      </c>
      <c r="D2585">
        <v>30</v>
      </c>
      <c r="E2585" s="3" t="str">
        <f t="shared" si="40"/>
        <v/>
      </c>
      <c r="F2585" s="3" t="str">
        <f>IF(TableRefills3[[#This Row],[prev_refill_days]]="","",TableRefills3[[#This Row],[prev_refill_days]]+TableRefills3[[#This Row],[quantity_days]])</f>
        <v/>
      </c>
      <c r="G2585" t="str">
        <f>IF(TableRefills3[[#This Row],[prev_refill_end]]="","",TableRefills3[[#This Row],[refill_date]]-TableRefills3[[#This Row],[prev_refill_end]])</f>
        <v/>
      </c>
      <c r="H2585" s="10">
        <f>IF(TableRefills3[[#This Row],[gap_days]]="",0,IF(TableRefills3[[#This Row],[gap_days]]&gt;2,1,0))</f>
        <v>0</v>
      </c>
      <c r="I2585">
        <f>_xlfn.MAXIFS(TableRefills3[discountinuation_flag], TableRefills3[patient_id], A2585)</f>
        <v>0</v>
      </c>
    </row>
    <row r="2586" spans="1:9" x14ac:dyDescent="0.25">
      <c r="A2586" t="s">
        <v>4111</v>
      </c>
      <c r="B2586" t="s">
        <v>4112</v>
      </c>
      <c r="C2586" s="3">
        <v>45874</v>
      </c>
      <c r="D2586">
        <v>28</v>
      </c>
      <c r="E2586" s="3" t="str">
        <f t="shared" si="40"/>
        <v/>
      </c>
      <c r="F2586" s="3" t="str">
        <f>IF(TableRefills3[[#This Row],[prev_refill_days]]="","",TableRefills3[[#This Row],[prev_refill_days]]+TableRefills3[[#This Row],[quantity_days]])</f>
        <v/>
      </c>
      <c r="G2586" t="str">
        <f>IF(TableRefills3[[#This Row],[prev_refill_end]]="","",TableRefills3[[#This Row],[refill_date]]-TableRefills3[[#This Row],[prev_refill_end]])</f>
        <v/>
      </c>
      <c r="H2586" s="10">
        <f>IF(TableRefills3[[#This Row],[gap_days]]="",0,IF(TableRefills3[[#This Row],[gap_days]]&gt;2,1,0))</f>
        <v>0</v>
      </c>
      <c r="I2586">
        <f>_xlfn.MAXIFS(TableRefills3[discountinuation_flag], TableRefills3[patient_id], A2586)</f>
        <v>0</v>
      </c>
    </row>
    <row r="2587" spans="1:9" x14ac:dyDescent="0.25">
      <c r="A2587" t="s">
        <v>4114</v>
      </c>
      <c r="B2587" t="s">
        <v>4115</v>
      </c>
      <c r="C2587" s="3">
        <v>45892</v>
      </c>
      <c r="D2587">
        <v>56</v>
      </c>
      <c r="E2587" s="3" t="str">
        <f t="shared" si="40"/>
        <v/>
      </c>
      <c r="F2587" s="3" t="str">
        <f>IF(TableRefills3[[#This Row],[prev_refill_days]]="","",TableRefills3[[#This Row],[prev_refill_days]]+TableRefills3[[#This Row],[quantity_days]])</f>
        <v/>
      </c>
      <c r="G2587" t="str">
        <f>IF(TableRefills3[[#This Row],[prev_refill_end]]="","",TableRefills3[[#This Row],[refill_date]]-TableRefills3[[#This Row],[prev_refill_end]])</f>
        <v/>
      </c>
      <c r="H2587" s="10">
        <f>IF(TableRefills3[[#This Row],[gap_days]]="",0,IF(TableRefills3[[#This Row],[gap_days]]&gt;2,1,0))</f>
        <v>0</v>
      </c>
      <c r="I2587">
        <f>_xlfn.MAXIFS(TableRefills3[discountinuation_flag], TableRefills3[patient_id], A2587)</f>
        <v>0</v>
      </c>
    </row>
    <row r="2588" spans="1:9" x14ac:dyDescent="0.25">
      <c r="A2588" t="s">
        <v>4114</v>
      </c>
      <c r="B2588" t="s">
        <v>4115</v>
      </c>
      <c r="C2588" s="3">
        <v>45950</v>
      </c>
      <c r="D2588">
        <v>56</v>
      </c>
      <c r="E2588" s="3">
        <f t="shared" si="40"/>
        <v>45892</v>
      </c>
      <c r="F2588" s="3">
        <f>IF(TableRefills3[[#This Row],[prev_refill_days]]="","",TableRefills3[[#This Row],[prev_refill_days]]+TableRefills3[[#This Row],[quantity_days]])</f>
        <v>45948</v>
      </c>
      <c r="G2588">
        <f>IF(TableRefills3[[#This Row],[prev_refill_end]]="","",TableRefills3[[#This Row],[refill_date]]-TableRefills3[[#This Row],[prev_refill_end]])</f>
        <v>2</v>
      </c>
      <c r="H2588" s="10">
        <f>IF(TableRefills3[[#This Row],[gap_days]]="",0,IF(TableRefills3[[#This Row],[gap_days]]&gt;2,1,0))</f>
        <v>0</v>
      </c>
      <c r="I2588">
        <f>_xlfn.MAXIFS(TableRefills3[discountinuation_flag], TableRefills3[patient_id], A2588)</f>
        <v>0</v>
      </c>
    </row>
    <row r="2589" spans="1:9" x14ac:dyDescent="0.25">
      <c r="A2589" t="s">
        <v>4118</v>
      </c>
      <c r="B2589" t="s">
        <v>4119</v>
      </c>
      <c r="C2589" s="3">
        <v>45900</v>
      </c>
      <c r="D2589">
        <v>21</v>
      </c>
      <c r="E2589" s="3" t="str">
        <f t="shared" si="40"/>
        <v/>
      </c>
      <c r="F2589" s="3" t="str">
        <f>IF(TableRefills3[[#This Row],[prev_refill_days]]="","",TableRefills3[[#This Row],[prev_refill_days]]+TableRefills3[[#This Row],[quantity_days]])</f>
        <v/>
      </c>
      <c r="G2589" t="str">
        <f>IF(TableRefills3[[#This Row],[prev_refill_end]]="","",TableRefills3[[#This Row],[refill_date]]-TableRefills3[[#This Row],[prev_refill_end]])</f>
        <v/>
      </c>
      <c r="H2589" s="10">
        <f>IF(TableRefills3[[#This Row],[gap_days]]="",0,IF(TableRefills3[[#This Row],[gap_days]]&gt;2,1,0))</f>
        <v>0</v>
      </c>
      <c r="I2589">
        <f>_xlfn.MAXIFS(TableRefills3[discountinuation_flag], TableRefills3[patient_id], A2589)</f>
        <v>0</v>
      </c>
    </row>
    <row r="2590" spans="1:9" x14ac:dyDescent="0.25">
      <c r="A2590" t="s">
        <v>4118</v>
      </c>
      <c r="B2590" t="s">
        <v>4119</v>
      </c>
      <c r="C2590" s="3">
        <v>45923</v>
      </c>
      <c r="D2590">
        <v>21</v>
      </c>
      <c r="E2590" s="3">
        <f t="shared" si="40"/>
        <v>45900</v>
      </c>
      <c r="F2590" s="3">
        <f>IF(TableRefills3[[#This Row],[prev_refill_days]]="","",TableRefills3[[#This Row],[prev_refill_days]]+TableRefills3[[#This Row],[quantity_days]])</f>
        <v>45921</v>
      </c>
      <c r="G2590">
        <f>IF(TableRefills3[[#This Row],[prev_refill_end]]="","",TableRefills3[[#This Row],[refill_date]]-TableRefills3[[#This Row],[prev_refill_end]])</f>
        <v>2</v>
      </c>
      <c r="H2590" s="10">
        <f>IF(TableRefills3[[#This Row],[gap_days]]="",0,IF(TableRefills3[[#This Row],[gap_days]]&gt;2,1,0))</f>
        <v>0</v>
      </c>
      <c r="I2590">
        <f>_xlfn.MAXIFS(TableRefills3[discountinuation_flag], TableRefills3[patient_id], A2590)</f>
        <v>0</v>
      </c>
    </row>
    <row r="2591" spans="1:9" x14ac:dyDescent="0.25">
      <c r="A2591" t="s">
        <v>4118</v>
      </c>
      <c r="B2591" t="s">
        <v>4119</v>
      </c>
      <c r="C2591" s="3">
        <v>45946</v>
      </c>
      <c r="D2591">
        <v>21</v>
      </c>
      <c r="E2591" s="3">
        <f t="shared" si="40"/>
        <v>45923</v>
      </c>
      <c r="F2591" s="3">
        <f>IF(TableRefills3[[#This Row],[prev_refill_days]]="","",TableRefills3[[#This Row],[prev_refill_days]]+TableRefills3[[#This Row],[quantity_days]])</f>
        <v>45944</v>
      </c>
      <c r="G2591">
        <f>IF(TableRefills3[[#This Row],[prev_refill_end]]="","",TableRefills3[[#This Row],[refill_date]]-TableRefills3[[#This Row],[prev_refill_end]])</f>
        <v>2</v>
      </c>
      <c r="H2591" s="10">
        <f>IF(TableRefills3[[#This Row],[gap_days]]="",0,IF(TableRefills3[[#This Row],[gap_days]]&gt;2,1,0))</f>
        <v>0</v>
      </c>
      <c r="I2591">
        <f>_xlfn.MAXIFS(TableRefills3[discountinuation_flag], TableRefills3[patient_id], A2591)</f>
        <v>0</v>
      </c>
    </row>
    <row r="2592" spans="1:9" x14ac:dyDescent="0.25">
      <c r="A2592" t="s">
        <v>4123</v>
      </c>
      <c r="B2592" t="s">
        <v>4124</v>
      </c>
      <c r="C2592" s="3">
        <v>45880</v>
      </c>
      <c r="D2592">
        <v>28</v>
      </c>
      <c r="E2592" s="3" t="str">
        <f t="shared" si="40"/>
        <v/>
      </c>
      <c r="F2592" s="3" t="str">
        <f>IF(TableRefills3[[#This Row],[prev_refill_days]]="","",TableRefills3[[#This Row],[prev_refill_days]]+TableRefills3[[#This Row],[quantity_days]])</f>
        <v/>
      </c>
      <c r="G2592" t="str">
        <f>IF(TableRefills3[[#This Row],[prev_refill_end]]="","",TableRefills3[[#This Row],[refill_date]]-TableRefills3[[#This Row],[prev_refill_end]])</f>
        <v/>
      </c>
      <c r="H2592" s="10">
        <f>IF(TableRefills3[[#This Row],[gap_days]]="",0,IF(TableRefills3[[#This Row],[gap_days]]&gt;2,1,0))</f>
        <v>0</v>
      </c>
      <c r="I2592">
        <f>_xlfn.MAXIFS(TableRefills3[discountinuation_flag], TableRefills3[patient_id], A2592)</f>
        <v>0</v>
      </c>
    </row>
    <row r="2593" spans="1:9" x14ac:dyDescent="0.25">
      <c r="A2593" t="s">
        <v>4123</v>
      </c>
      <c r="B2593" t="s">
        <v>4124</v>
      </c>
      <c r="C2593" s="3">
        <v>45906</v>
      </c>
      <c r="D2593">
        <v>28</v>
      </c>
      <c r="E2593" s="3">
        <f t="shared" si="40"/>
        <v>45880</v>
      </c>
      <c r="F2593" s="3">
        <f>IF(TableRefills3[[#This Row],[prev_refill_days]]="","",TableRefills3[[#This Row],[prev_refill_days]]+TableRefills3[[#This Row],[quantity_days]])</f>
        <v>45908</v>
      </c>
      <c r="G2593">
        <f>IF(TableRefills3[[#This Row],[prev_refill_end]]="","",TableRefills3[[#This Row],[refill_date]]-TableRefills3[[#This Row],[prev_refill_end]])</f>
        <v>-2</v>
      </c>
      <c r="H2593" s="10">
        <f>IF(TableRefills3[[#This Row],[gap_days]]="",0,IF(TableRefills3[[#This Row],[gap_days]]&gt;2,1,0))</f>
        <v>0</v>
      </c>
      <c r="I2593">
        <f>_xlfn.MAXIFS(TableRefills3[discountinuation_flag], TableRefills3[patient_id], A2593)</f>
        <v>0</v>
      </c>
    </row>
    <row r="2594" spans="1:9" x14ac:dyDescent="0.25">
      <c r="A2594" t="s">
        <v>4123</v>
      </c>
      <c r="B2594" t="s">
        <v>4124</v>
      </c>
      <c r="C2594" s="3">
        <v>45936</v>
      </c>
      <c r="D2594">
        <v>28</v>
      </c>
      <c r="E2594" s="3">
        <f t="shared" si="40"/>
        <v>45906</v>
      </c>
      <c r="F2594" s="3">
        <f>IF(TableRefills3[[#This Row],[prev_refill_days]]="","",TableRefills3[[#This Row],[prev_refill_days]]+TableRefills3[[#This Row],[quantity_days]])</f>
        <v>45934</v>
      </c>
      <c r="G2594">
        <f>IF(TableRefills3[[#This Row],[prev_refill_end]]="","",TableRefills3[[#This Row],[refill_date]]-TableRefills3[[#This Row],[prev_refill_end]])</f>
        <v>2</v>
      </c>
      <c r="H2594" s="10">
        <f>IF(TableRefills3[[#This Row],[gap_days]]="",0,IF(TableRefills3[[#This Row],[gap_days]]&gt;2,1,0))</f>
        <v>0</v>
      </c>
      <c r="I2594">
        <f>_xlfn.MAXIFS(TableRefills3[discountinuation_flag], TableRefills3[patient_id], A2594)</f>
        <v>0</v>
      </c>
    </row>
    <row r="2595" spans="1:9" x14ac:dyDescent="0.25">
      <c r="A2595" t="s">
        <v>4128</v>
      </c>
      <c r="B2595" t="s">
        <v>4129</v>
      </c>
      <c r="C2595" s="3">
        <v>45907</v>
      </c>
      <c r="D2595">
        <v>28</v>
      </c>
      <c r="E2595" s="3" t="str">
        <f t="shared" si="40"/>
        <v/>
      </c>
      <c r="F2595" s="3" t="str">
        <f>IF(TableRefills3[[#This Row],[prev_refill_days]]="","",TableRefills3[[#This Row],[prev_refill_days]]+TableRefills3[[#This Row],[quantity_days]])</f>
        <v/>
      </c>
      <c r="G2595" t="str">
        <f>IF(TableRefills3[[#This Row],[prev_refill_end]]="","",TableRefills3[[#This Row],[refill_date]]-TableRefills3[[#This Row],[prev_refill_end]])</f>
        <v/>
      </c>
      <c r="H2595" s="10">
        <f>IF(TableRefills3[[#This Row],[gap_days]]="",0,IF(TableRefills3[[#This Row],[gap_days]]&gt;2,1,0))</f>
        <v>0</v>
      </c>
      <c r="I2595">
        <f>_xlfn.MAXIFS(TableRefills3[discountinuation_flag], TableRefills3[patient_id], A2595)</f>
        <v>0</v>
      </c>
    </row>
    <row r="2596" spans="1:9" x14ac:dyDescent="0.25">
      <c r="A2596" t="s">
        <v>4128</v>
      </c>
      <c r="B2596" t="s">
        <v>4129</v>
      </c>
      <c r="C2596" s="3">
        <v>45935</v>
      </c>
      <c r="D2596">
        <v>28</v>
      </c>
      <c r="E2596" s="3">
        <f t="shared" si="40"/>
        <v>45907</v>
      </c>
      <c r="F2596" s="3">
        <f>IF(TableRefills3[[#This Row],[prev_refill_days]]="","",TableRefills3[[#This Row],[prev_refill_days]]+TableRefills3[[#This Row],[quantity_days]])</f>
        <v>45935</v>
      </c>
      <c r="G2596">
        <f>IF(TableRefills3[[#This Row],[prev_refill_end]]="","",TableRefills3[[#This Row],[refill_date]]-TableRefills3[[#This Row],[prev_refill_end]])</f>
        <v>0</v>
      </c>
      <c r="H2596" s="10">
        <f>IF(TableRefills3[[#This Row],[gap_days]]="",0,IF(TableRefills3[[#This Row],[gap_days]]&gt;2,1,0))</f>
        <v>0</v>
      </c>
      <c r="I2596">
        <f>_xlfn.MAXIFS(TableRefills3[discountinuation_flag], TableRefills3[patient_id], A2596)</f>
        <v>0</v>
      </c>
    </row>
    <row r="2597" spans="1:9" x14ac:dyDescent="0.25">
      <c r="A2597" t="s">
        <v>4132</v>
      </c>
      <c r="B2597" t="s">
        <v>4133</v>
      </c>
      <c r="C2597" s="3">
        <v>45885</v>
      </c>
      <c r="D2597">
        <v>30</v>
      </c>
      <c r="E2597" s="3" t="str">
        <f t="shared" si="40"/>
        <v/>
      </c>
      <c r="F2597" s="3" t="str">
        <f>IF(TableRefills3[[#This Row],[prev_refill_days]]="","",TableRefills3[[#This Row],[prev_refill_days]]+TableRefills3[[#This Row],[quantity_days]])</f>
        <v/>
      </c>
      <c r="G2597" t="str">
        <f>IF(TableRefills3[[#This Row],[prev_refill_end]]="","",TableRefills3[[#This Row],[refill_date]]-TableRefills3[[#This Row],[prev_refill_end]])</f>
        <v/>
      </c>
      <c r="H2597" s="10">
        <f>IF(TableRefills3[[#This Row],[gap_days]]="",0,IF(TableRefills3[[#This Row],[gap_days]]&gt;2,1,0))</f>
        <v>0</v>
      </c>
      <c r="I2597">
        <f>_xlfn.MAXIFS(TableRefills3[discountinuation_flag], TableRefills3[patient_id], A2597)</f>
        <v>0</v>
      </c>
    </row>
    <row r="2598" spans="1:9" x14ac:dyDescent="0.25">
      <c r="A2598" t="s">
        <v>4132</v>
      </c>
      <c r="B2598" t="s">
        <v>4133</v>
      </c>
      <c r="C2598" s="3">
        <v>45917</v>
      </c>
      <c r="D2598">
        <v>30</v>
      </c>
      <c r="E2598" s="3">
        <f t="shared" si="40"/>
        <v>45885</v>
      </c>
      <c r="F2598" s="3">
        <f>IF(TableRefills3[[#This Row],[prev_refill_days]]="","",TableRefills3[[#This Row],[prev_refill_days]]+TableRefills3[[#This Row],[quantity_days]])</f>
        <v>45915</v>
      </c>
      <c r="G2598">
        <f>IF(TableRefills3[[#This Row],[prev_refill_end]]="","",TableRefills3[[#This Row],[refill_date]]-TableRefills3[[#This Row],[prev_refill_end]])</f>
        <v>2</v>
      </c>
      <c r="H2598" s="10">
        <f>IF(TableRefills3[[#This Row],[gap_days]]="",0,IF(TableRefills3[[#This Row],[gap_days]]&gt;2,1,0))</f>
        <v>0</v>
      </c>
      <c r="I2598">
        <f>_xlfn.MAXIFS(TableRefills3[discountinuation_flag], TableRefills3[patient_id], A2598)</f>
        <v>0</v>
      </c>
    </row>
    <row r="2599" spans="1:9" x14ac:dyDescent="0.25">
      <c r="A2599" t="s">
        <v>4132</v>
      </c>
      <c r="B2599" t="s">
        <v>4133</v>
      </c>
      <c r="C2599" s="3">
        <v>45947</v>
      </c>
      <c r="D2599">
        <v>30</v>
      </c>
      <c r="E2599" s="3">
        <f t="shared" si="40"/>
        <v>45917</v>
      </c>
      <c r="F2599" s="3">
        <f>IF(TableRefills3[[#This Row],[prev_refill_days]]="","",TableRefills3[[#This Row],[prev_refill_days]]+TableRefills3[[#This Row],[quantity_days]])</f>
        <v>45947</v>
      </c>
      <c r="G2599">
        <f>IF(TableRefills3[[#This Row],[prev_refill_end]]="","",TableRefills3[[#This Row],[refill_date]]-TableRefills3[[#This Row],[prev_refill_end]])</f>
        <v>0</v>
      </c>
      <c r="H2599" s="10">
        <f>IF(TableRefills3[[#This Row],[gap_days]]="",0,IF(TableRefills3[[#This Row],[gap_days]]&gt;2,1,0))</f>
        <v>0</v>
      </c>
      <c r="I2599">
        <f>_xlfn.MAXIFS(TableRefills3[discountinuation_flag], TableRefills3[patient_id], A2599)</f>
        <v>0</v>
      </c>
    </row>
    <row r="2600" spans="1:9" x14ac:dyDescent="0.25">
      <c r="A2600" t="s">
        <v>4137</v>
      </c>
      <c r="B2600" t="s">
        <v>4138</v>
      </c>
      <c r="C2600" s="3">
        <v>45787</v>
      </c>
      <c r="D2600">
        <v>28</v>
      </c>
      <c r="E2600" s="3" t="str">
        <f t="shared" si="40"/>
        <v/>
      </c>
      <c r="F2600" s="3" t="str">
        <f>IF(TableRefills3[[#This Row],[prev_refill_days]]="","",TableRefills3[[#This Row],[prev_refill_days]]+TableRefills3[[#This Row],[quantity_days]])</f>
        <v/>
      </c>
      <c r="G2600" t="str">
        <f>IF(TableRefills3[[#This Row],[prev_refill_end]]="","",TableRefills3[[#This Row],[refill_date]]-TableRefills3[[#This Row],[prev_refill_end]])</f>
        <v/>
      </c>
      <c r="H2600" s="10">
        <f>IF(TableRefills3[[#This Row],[gap_days]]="",0,IF(TableRefills3[[#This Row],[gap_days]]&gt;2,1,0))</f>
        <v>0</v>
      </c>
      <c r="I2600">
        <f>_xlfn.MAXIFS(TableRefills3[discountinuation_flag], TableRefills3[patient_id], A2600)</f>
        <v>1</v>
      </c>
    </row>
    <row r="2601" spans="1:9" x14ac:dyDescent="0.25">
      <c r="A2601" t="s">
        <v>4137</v>
      </c>
      <c r="B2601" t="s">
        <v>4138</v>
      </c>
      <c r="C2601" s="3">
        <v>45815</v>
      </c>
      <c r="D2601">
        <v>28</v>
      </c>
      <c r="E2601" s="3">
        <f t="shared" si="40"/>
        <v>45787</v>
      </c>
      <c r="F2601" s="3">
        <f>IF(TableRefills3[[#This Row],[prev_refill_days]]="","",TableRefills3[[#This Row],[prev_refill_days]]+TableRefills3[[#This Row],[quantity_days]])</f>
        <v>45815</v>
      </c>
      <c r="G2601">
        <f>IF(TableRefills3[[#This Row],[prev_refill_end]]="","",TableRefills3[[#This Row],[refill_date]]-TableRefills3[[#This Row],[prev_refill_end]])</f>
        <v>0</v>
      </c>
      <c r="H2601" s="10">
        <f>IF(TableRefills3[[#This Row],[gap_days]]="",0,IF(TableRefills3[[#This Row],[gap_days]]&gt;2,1,0))</f>
        <v>0</v>
      </c>
      <c r="I2601">
        <f>_xlfn.MAXIFS(TableRefills3[discountinuation_flag], TableRefills3[patient_id], A2601)</f>
        <v>1</v>
      </c>
    </row>
    <row r="2602" spans="1:9" x14ac:dyDescent="0.25">
      <c r="A2602" t="s">
        <v>4137</v>
      </c>
      <c r="B2602" t="s">
        <v>4138</v>
      </c>
      <c r="C2602" s="3">
        <v>45840</v>
      </c>
      <c r="D2602">
        <v>28</v>
      </c>
      <c r="E2602" s="3">
        <f t="shared" si="40"/>
        <v>45815</v>
      </c>
      <c r="F2602" s="3">
        <f>IF(TableRefills3[[#This Row],[prev_refill_days]]="","",TableRefills3[[#This Row],[prev_refill_days]]+TableRefills3[[#This Row],[quantity_days]])</f>
        <v>45843</v>
      </c>
      <c r="G2602">
        <f>IF(TableRefills3[[#This Row],[prev_refill_end]]="","",TableRefills3[[#This Row],[refill_date]]-TableRefills3[[#This Row],[prev_refill_end]])</f>
        <v>-3</v>
      </c>
      <c r="H2602" s="10">
        <f>IF(TableRefills3[[#This Row],[gap_days]]="",0,IF(TableRefills3[[#This Row],[gap_days]]&gt;2,1,0))</f>
        <v>0</v>
      </c>
      <c r="I2602">
        <f>_xlfn.MAXIFS(TableRefills3[discountinuation_flag], TableRefills3[patient_id], A2602)</f>
        <v>1</v>
      </c>
    </row>
    <row r="2603" spans="1:9" x14ac:dyDescent="0.25">
      <c r="A2603" t="s">
        <v>4137</v>
      </c>
      <c r="B2603" t="s">
        <v>4138</v>
      </c>
      <c r="C2603" s="3">
        <v>45865</v>
      </c>
      <c r="D2603">
        <v>28</v>
      </c>
      <c r="E2603" s="3">
        <f t="shared" si="40"/>
        <v>45840</v>
      </c>
      <c r="F2603" s="3">
        <f>IF(TableRefills3[[#This Row],[prev_refill_days]]="","",TableRefills3[[#This Row],[prev_refill_days]]+TableRefills3[[#This Row],[quantity_days]])</f>
        <v>45868</v>
      </c>
      <c r="G2603">
        <f>IF(TableRefills3[[#This Row],[prev_refill_end]]="","",TableRefills3[[#This Row],[refill_date]]-TableRefills3[[#This Row],[prev_refill_end]])</f>
        <v>-3</v>
      </c>
      <c r="H2603" s="10">
        <f>IF(TableRefills3[[#This Row],[gap_days]]="",0,IF(TableRefills3[[#This Row],[gap_days]]&gt;2,1,0))</f>
        <v>0</v>
      </c>
      <c r="I2603">
        <f>_xlfn.MAXIFS(TableRefills3[discountinuation_flag], TableRefills3[patient_id], A2603)</f>
        <v>1</v>
      </c>
    </row>
    <row r="2604" spans="1:9" x14ac:dyDescent="0.25">
      <c r="A2604" t="s">
        <v>4137</v>
      </c>
      <c r="B2604" t="s">
        <v>4138</v>
      </c>
      <c r="C2604" s="3">
        <v>45896</v>
      </c>
      <c r="D2604">
        <v>28</v>
      </c>
      <c r="E2604" s="3">
        <f t="shared" si="40"/>
        <v>45865</v>
      </c>
      <c r="F2604" s="3">
        <f>IF(TableRefills3[[#This Row],[prev_refill_days]]="","",TableRefills3[[#This Row],[prev_refill_days]]+TableRefills3[[#This Row],[quantity_days]])</f>
        <v>45893</v>
      </c>
      <c r="G2604">
        <f>IF(TableRefills3[[#This Row],[prev_refill_end]]="","",TableRefills3[[#This Row],[refill_date]]-TableRefills3[[#This Row],[prev_refill_end]])</f>
        <v>3</v>
      </c>
      <c r="H2604" s="10">
        <f>IF(TableRefills3[[#This Row],[gap_days]]="",0,IF(TableRefills3[[#This Row],[gap_days]]&gt;2,1,0))</f>
        <v>1</v>
      </c>
      <c r="I2604">
        <f>_xlfn.MAXIFS(TableRefills3[discountinuation_flag], TableRefills3[patient_id], A2604)</f>
        <v>1</v>
      </c>
    </row>
    <row r="2605" spans="1:9" x14ac:dyDescent="0.25">
      <c r="A2605" t="s">
        <v>4137</v>
      </c>
      <c r="B2605" t="s">
        <v>4138</v>
      </c>
      <c r="C2605" s="3">
        <v>45921</v>
      </c>
      <c r="D2605">
        <v>28</v>
      </c>
      <c r="E2605" s="3">
        <f t="shared" si="40"/>
        <v>45896</v>
      </c>
      <c r="F2605" s="3">
        <f>IF(TableRefills3[[#This Row],[prev_refill_days]]="","",TableRefills3[[#This Row],[prev_refill_days]]+TableRefills3[[#This Row],[quantity_days]])</f>
        <v>45924</v>
      </c>
      <c r="G2605">
        <f>IF(TableRefills3[[#This Row],[prev_refill_end]]="","",TableRefills3[[#This Row],[refill_date]]-TableRefills3[[#This Row],[prev_refill_end]])</f>
        <v>-3</v>
      </c>
      <c r="H2605" s="10">
        <f>IF(TableRefills3[[#This Row],[gap_days]]="",0,IF(TableRefills3[[#This Row],[gap_days]]&gt;2,1,0))</f>
        <v>0</v>
      </c>
      <c r="I2605">
        <f>_xlfn.MAXIFS(TableRefills3[discountinuation_flag], TableRefills3[patient_id], A2605)</f>
        <v>1</v>
      </c>
    </row>
    <row r="2606" spans="1:9" x14ac:dyDescent="0.25">
      <c r="A2606" t="s">
        <v>4137</v>
      </c>
      <c r="B2606" t="s">
        <v>4138</v>
      </c>
      <c r="C2606" s="3">
        <v>45946</v>
      </c>
      <c r="D2606">
        <v>28</v>
      </c>
      <c r="E2606" s="3">
        <f t="shared" si="40"/>
        <v>45921</v>
      </c>
      <c r="F2606" s="3">
        <f>IF(TableRefills3[[#This Row],[prev_refill_days]]="","",TableRefills3[[#This Row],[prev_refill_days]]+TableRefills3[[#This Row],[quantity_days]])</f>
        <v>45949</v>
      </c>
      <c r="G2606">
        <f>IF(TableRefills3[[#This Row],[prev_refill_end]]="","",TableRefills3[[#This Row],[refill_date]]-TableRefills3[[#This Row],[prev_refill_end]])</f>
        <v>-3</v>
      </c>
      <c r="H2606" s="10">
        <f>IF(TableRefills3[[#This Row],[gap_days]]="",0,IF(TableRefills3[[#This Row],[gap_days]]&gt;2,1,0))</f>
        <v>0</v>
      </c>
      <c r="I2606">
        <f>_xlfn.MAXIFS(TableRefills3[discountinuation_flag], TableRefills3[patient_id], A2606)</f>
        <v>1</v>
      </c>
    </row>
    <row r="2607" spans="1:9" x14ac:dyDescent="0.25">
      <c r="A2607" t="s">
        <v>4146</v>
      </c>
      <c r="B2607" t="s">
        <v>4147</v>
      </c>
      <c r="C2607" s="3">
        <v>45870</v>
      </c>
      <c r="D2607">
        <v>30</v>
      </c>
      <c r="E2607" s="3" t="str">
        <f t="shared" si="40"/>
        <v/>
      </c>
      <c r="F2607" s="3" t="str">
        <f>IF(TableRefills3[[#This Row],[prev_refill_days]]="","",TableRefills3[[#This Row],[prev_refill_days]]+TableRefills3[[#This Row],[quantity_days]])</f>
        <v/>
      </c>
      <c r="G2607" t="str">
        <f>IF(TableRefills3[[#This Row],[prev_refill_end]]="","",TableRefills3[[#This Row],[refill_date]]-TableRefills3[[#This Row],[prev_refill_end]])</f>
        <v/>
      </c>
      <c r="H2607" s="10">
        <f>IF(TableRefills3[[#This Row],[gap_days]]="",0,IF(TableRefills3[[#This Row],[gap_days]]&gt;2,1,0))</f>
        <v>0</v>
      </c>
      <c r="I2607">
        <f>_xlfn.MAXIFS(TableRefills3[discountinuation_flag], TableRefills3[patient_id], A2607)</f>
        <v>1</v>
      </c>
    </row>
    <row r="2608" spans="1:9" x14ac:dyDescent="0.25">
      <c r="A2608" t="s">
        <v>4146</v>
      </c>
      <c r="B2608" t="s">
        <v>4147</v>
      </c>
      <c r="C2608" s="3">
        <v>45901</v>
      </c>
      <c r="D2608">
        <v>30</v>
      </c>
      <c r="E2608" s="3">
        <f t="shared" si="40"/>
        <v>45870</v>
      </c>
      <c r="F2608" s="3">
        <f>IF(TableRefills3[[#This Row],[prev_refill_days]]="","",TableRefills3[[#This Row],[prev_refill_days]]+TableRefills3[[#This Row],[quantity_days]])</f>
        <v>45900</v>
      </c>
      <c r="G2608">
        <f>IF(TableRefills3[[#This Row],[prev_refill_end]]="","",TableRefills3[[#This Row],[refill_date]]-TableRefills3[[#This Row],[prev_refill_end]])</f>
        <v>1</v>
      </c>
      <c r="H2608" s="10">
        <f>IF(TableRefills3[[#This Row],[gap_days]]="",0,IF(TableRefills3[[#This Row],[gap_days]]&gt;2,1,0))</f>
        <v>0</v>
      </c>
      <c r="I2608">
        <f>_xlfn.MAXIFS(TableRefills3[discountinuation_flag], TableRefills3[patient_id], A2608)</f>
        <v>1</v>
      </c>
    </row>
    <row r="2609" spans="1:9" x14ac:dyDescent="0.25">
      <c r="A2609" t="s">
        <v>4146</v>
      </c>
      <c r="B2609" t="s">
        <v>4147</v>
      </c>
      <c r="C2609" s="3">
        <v>45934</v>
      </c>
      <c r="D2609">
        <v>30</v>
      </c>
      <c r="E2609" s="3">
        <f t="shared" si="40"/>
        <v>45901</v>
      </c>
      <c r="F2609" s="3">
        <f>IF(TableRefills3[[#This Row],[prev_refill_days]]="","",TableRefills3[[#This Row],[prev_refill_days]]+TableRefills3[[#This Row],[quantity_days]])</f>
        <v>45931</v>
      </c>
      <c r="G2609">
        <f>IF(TableRefills3[[#This Row],[prev_refill_end]]="","",TableRefills3[[#This Row],[refill_date]]-TableRefills3[[#This Row],[prev_refill_end]])</f>
        <v>3</v>
      </c>
      <c r="H2609" s="10">
        <f>IF(TableRefills3[[#This Row],[gap_days]]="",0,IF(TableRefills3[[#This Row],[gap_days]]&gt;2,1,0))</f>
        <v>1</v>
      </c>
      <c r="I2609">
        <f>_xlfn.MAXIFS(TableRefills3[discountinuation_flag], TableRefills3[patient_id], A2609)</f>
        <v>1</v>
      </c>
    </row>
    <row r="2610" spans="1:9" x14ac:dyDescent="0.25">
      <c r="A2610" t="s">
        <v>4151</v>
      </c>
      <c r="B2610" t="s">
        <v>4152</v>
      </c>
      <c r="C2610" s="3">
        <v>45915</v>
      </c>
      <c r="D2610">
        <v>28</v>
      </c>
      <c r="E2610" s="3" t="str">
        <f t="shared" si="40"/>
        <v/>
      </c>
      <c r="F2610" s="3" t="str">
        <f>IF(TableRefills3[[#This Row],[prev_refill_days]]="","",TableRefills3[[#This Row],[prev_refill_days]]+TableRefills3[[#This Row],[quantity_days]])</f>
        <v/>
      </c>
      <c r="G2610" t="str">
        <f>IF(TableRefills3[[#This Row],[prev_refill_end]]="","",TableRefills3[[#This Row],[refill_date]]-TableRefills3[[#This Row],[prev_refill_end]])</f>
        <v/>
      </c>
      <c r="H2610" s="10">
        <f>IF(TableRefills3[[#This Row],[gap_days]]="",0,IF(TableRefills3[[#This Row],[gap_days]]&gt;2,1,0))</f>
        <v>0</v>
      </c>
      <c r="I2610">
        <f>_xlfn.MAXIFS(TableRefills3[discountinuation_flag], TableRefills3[patient_id], A2610)</f>
        <v>0</v>
      </c>
    </row>
    <row r="2611" spans="1:9" x14ac:dyDescent="0.25">
      <c r="A2611" t="s">
        <v>4151</v>
      </c>
      <c r="B2611" t="s">
        <v>4152</v>
      </c>
      <c r="C2611" s="3">
        <v>45945</v>
      </c>
      <c r="D2611">
        <v>28</v>
      </c>
      <c r="E2611" s="3">
        <f t="shared" si="40"/>
        <v>45915</v>
      </c>
      <c r="F2611" s="3">
        <f>IF(TableRefills3[[#This Row],[prev_refill_days]]="","",TableRefills3[[#This Row],[prev_refill_days]]+TableRefills3[[#This Row],[quantity_days]])</f>
        <v>45943</v>
      </c>
      <c r="G2611">
        <f>IF(TableRefills3[[#This Row],[prev_refill_end]]="","",TableRefills3[[#This Row],[refill_date]]-TableRefills3[[#This Row],[prev_refill_end]])</f>
        <v>2</v>
      </c>
      <c r="H2611" s="10">
        <f>IF(TableRefills3[[#This Row],[gap_days]]="",0,IF(TableRefills3[[#This Row],[gap_days]]&gt;2,1,0))</f>
        <v>0</v>
      </c>
      <c r="I2611">
        <f>_xlfn.MAXIFS(TableRefills3[discountinuation_flag], TableRefills3[patient_id], A2611)</f>
        <v>0</v>
      </c>
    </row>
    <row r="2612" spans="1:9" x14ac:dyDescent="0.25">
      <c r="A2612" t="s">
        <v>4155</v>
      </c>
      <c r="B2612" t="s">
        <v>4156</v>
      </c>
      <c r="C2612" s="3">
        <v>45941</v>
      </c>
      <c r="D2612">
        <v>28</v>
      </c>
      <c r="E2612" s="3" t="str">
        <f t="shared" si="40"/>
        <v/>
      </c>
      <c r="F2612" s="3" t="str">
        <f>IF(TableRefills3[[#This Row],[prev_refill_days]]="","",TableRefills3[[#This Row],[prev_refill_days]]+TableRefills3[[#This Row],[quantity_days]])</f>
        <v/>
      </c>
      <c r="G2612" t="str">
        <f>IF(TableRefills3[[#This Row],[prev_refill_end]]="","",TableRefills3[[#This Row],[refill_date]]-TableRefills3[[#This Row],[prev_refill_end]])</f>
        <v/>
      </c>
      <c r="H2612" s="10">
        <f>IF(TableRefills3[[#This Row],[gap_days]]="",0,IF(TableRefills3[[#This Row],[gap_days]]&gt;2,1,0))</f>
        <v>0</v>
      </c>
      <c r="I2612">
        <f>_xlfn.MAXIFS(TableRefills3[discountinuation_flag], TableRefills3[patient_id], A2612)</f>
        <v>0</v>
      </c>
    </row>
    <row r="2613" spans="1:9" x14ac:dyDescent="0.25">
      <c r="A2613" t="s">
        <v>4158</v>
      </c>
      <c r="B2613" t="s">
        <v>4159</v>
      </c>
      <c r="C2613" s="3">
        <v>45805</v>
      </c>
      <c r="D2613">
        <v>28</v>
      </c>
      <c r="E2613" s="3" t="str">
        <f t="shared" si="40"/>
        <v/>
      </c>
      <c r="F2613" s="3" t="str">
        <f>IF(TableRefills3[[#This Row],[prev_refill_days]]="","",TableRefills3[[#This Row],[prev_refill_days]]+TableRefills3[[#This Row],[quantity_days]])</f>
        <v/>
      </c>
      <c r="G2613" t="str">
        <f>IF(TableRefills3[[#This Row],[prev_refill_end]]="","",TableRefills3[[#This Row],[refill_date]]-TableRefills3[[#This Row],[prev_refill_end]])</f>
        <v/>
      </c>
      <c r="H2613" s="10">
        <f>IF(TableRefills3[[#This Row],[gap_days]]="",0,IF(TableRefills3[[#This Row],[gap_days]]&gt;2,1,0))</f>
        <v>0</v>
      </c>
      <c r="I2613">
        <f>_xlfn.MAXIFS(TableRefills3[discountinuation_flag], TableRefills3[patient_id], A2613)</f>
        <v>0</v>
      </c>
    </row>
    <row r="2614" spans="1:9" x14ac:dyDescent="0.25">
      <c r="A2614" t="s">
        <v>4158</v>
      </c>
      <c r="B2614" t="s">
        <v>4159</v>
      </c>
      <c r="C2614" s="3">
        <v>45835</v>
      </c>
      <c r="D2614">
        <v>28</v>
      </c>
      <c r="E2614" s="3">
        <f t="shared" si="40"/>
        <v>45805</v>
      </c>
      <c r="F2614" s="3">
        <f>IF(TableRefills3[[#This Row],[prev_refill_days]]="","",TableRefills3[[#This Row],[prev_refill_days]]+TableRefills3[[#This Row],[quantity_days]])</f>
        <v>45833</v>
      </c>
      <c r="G2614">
        <f>IF(TableRefills3[[#This Row],[prev_refill_end]]="","",TableRefills3[[#This Row],[refill_date]]-TableRefills3[[#This Row],[prev_refill_end]])</f>
        <v>2</v>
      </c>
      <c r="H2614" s="10">
        <f>IF(TableRefills3[[#This Row],[gap_days]]="",0,IF(TableRefills3[[#This Row],[gap_days]]&gt;2,1,0))</f>
        <v>0</v>
      </c>
      <c r="I2614">
        <f>_xlfn.MAXIFS(TableRefills3[discountinuation_flag], TableRefills3[patient_id], A2614)</f>
        <v>0</v>
      </c>
    </row>
    <row r="2615" spans="1:9" x14ac:dyDescent="0.25">
      <c r="A2615" t="s">
        <v>4158</v>
      </c>
      <c r="B2615" t="s">
        <v>4159</v>
      </c>
      <c r="C2615" s="3">
        <v>45863</v>
      </c>
      <c r="D2615">
        <v>28</v>
      </c>
      <c r="E2615" s="3">
        <f t="shared" si="40"/>
        <v>45835</v>
      </c>
      <c r="F2615" s="3">
        <f>IF(TableRefills3[[#This Row],[prev_refill_days]]="","",TableRefills3[[#This Row],[prev_refill_days]]+TableRefills3[[#This Row],[quantity_days]])</f>
        <v>45863</v>
      </c>
      <c r="G2615">
        <f>IF(TableRefills3[[#This Row],[prev_refill_end]]="","",TableRefills3[[#This Row],[refill_date]]-TableRefills3[[#This Row],[prev_refill_end]])</f>
        <v>0</v>
      </c>
      <c r="H2615" s="10">
        <f>IF(TableRefills3[[#This Row],[gap_days]]="",0,IF(TableRefills3[[#This Row],[gap_days]]&gt;2,1,0))</f>
        <v>0</v>
      </c>
      <c r="I2615">
        <f>_xlfn.MAXIFS(TableRefills3[discountinuation_flag], TableRefills3[patient_id], A2615)</f>
        <v>0</v>
      </c>
    </row>
    <row r="2616" spans="1:9" x14ac:dyDescent="0.25">
      <c r="A2616" t="s">
        <v>4158</v>
      </c>
      <c r="B2616" t="s">
        <v>4159</v>
      </c>
      <c r="C2616" s="3">
        <v>45888</v>
      </c>
      <c r="D2616">
        <v>28</v>
      </c>
      <c r="E2616" s="3">
        <f t="shared" si="40"/>
        <v>45863</v>
      </c>
      <c r="F2616" s="3">
        <f>IF(TableRefills3[[#This Row],[prev_refill_days]]="","",TableRefills3[[#This Row],[prev_refill_days]]+TableRefills3[[#This Row],[quantity_days]])</f>
        <v>45891</v>
      </c>
      <c r="G2616">
        <f>IF(TableRefills3[[#This Row],[prev_refill_end]]="","",TableRefills3[[#This Row],[refill_date]]-TableRefills3[[#This Row],[prev_refill_end]])</f>
        <v>-3</v>
      </c>
      <c r="H2616" s="10">
        <f>IF(TableRefills3[[#This Row],[gap_days]]="",0,IF(TableRefills3[[#This Row],[gap_days]]&gt;2,1,0))</f>
        <v>0</v>
      </c>
      <c r="I2616">
        <f>_xlfn.MAXIFS(TableRefills3[discountinuation_flag], TableRefills3[patient_id], A2616)</f>
        <v>0</v>
      </c>
    </row>
    <row r="2617" spans="1:9" x14ac:dyDescent="0.25">
      <c r="A2617" t="s">
        <v>4158</v>
      </c>
      <c r="B2617" t="s">
        <v>4159</v>
      </c>
      <c r="C2617" s="3">
        <v>45917</v>
      </c>
      <c r="D2617">
        <v>28</v>
      </c>
      <c r="E2617" s="3">
        <f t="shared" si="40"/>
        <v>45888</v>
      </c>
      <c r="F2617" s="3">
        <f>IF(TableRefills3[[#This Row],[prev_refill_days]]="","",TableRefills3[[#This Row],[prev_refill_days]]+TableRefills3[[#This Row],[quantity_days]])</f>
        <v>45916</v>
      </c>
      <c r="G2617">
        <f>IF(TableRefills3[[#This Row],[prev_refill_end]]="","",TableRefills3[[#This Row],[refill_date]]-TableRefills3[[#This Row],[prev_refill_end]])</f>
        <v>1</v>
      </c>
      <c r="H2617" s="10">
        <f>IF(TableRefills3[[#This Row],[gap_days]]="",0,IF(TableRefills3[[#This Row],[gap_days]]&gt;2,1,0))</f>
        <v>0</v>
      </c>
      <c r="I2617">
        <f>_xlfn.MAXIFS(TableRefills3[discountinuation_flag], TableRefills3[patient_id], A2617)</f>
        <v>0</v>
      </c>
    </row>
    <row r="2618" spans="1:9" x14ac:dyDescent="0.25">
      <c r="A2618" t="s">
        <v>4158</v>
      </c>
      <c r="B2618" t="s">
        <v>4159</v>
      </c>
      <c r="C2618" s="3">
        <v>45943</v>
      </c>
      <c r="D2618">
        <v>28</v>
      </c>
      <c r="E2618" s="3">
        <f t="shared" si="40"/>
        <v>45917</v>
      </c>
      <c r="F2618" s="3">
        <f>IF(TableRefills3[[#This Row],[prev_refill_days]]="","",TableRefills3[[#This Row],[prev_refill_days]]+TableRefills3[[#This Row],[quantity_days]])</f>
        <v>45945</v>
      </c>
      <c r="G2618">
        <f>IF(TableRefills3[[#This Row],[prev_refill_end]]="","",TableRefills3[[#This Row],[refill_date]]-TableRefills3[[#This Row],[prev_refill_end]])</f>
        <v>-2</v>
      </c>
      <c r="H2618" s="10">
        <f>IF(TableRefills3[[#This Row],[gap_days]]="",0,IF(TableRefills3[[#This Row],[gap_days]]&gt;2,1,0))</f>
        <v>0</v>
      </c>
      <c r="I2618">
        <f>_xlfn.MAXIFS(TableRefills3[discountinuation_flag], TableRefills3[patient_id], A2618)</f>
        <v>0</v>
      </c>
    </row>
    <row r="2619" spans="1:9" x14ac:dyDescent="0.25">
      <c r="A2619" t="s">
        <v>4166</v>
      </c>
      <c r="B2619" t="s">
        <v>4167</v>
      </c>
      <c r="C2619" s="3">
        <v>45841</v>
      </c>
      <c r="D2619">
        <v>30</v>
      </c>
      <c r="E2619" s="3" t="str">
        <f t="shared" si="40"/>
        <v/>
      </c>
      <c r="F2619" s="3" t="str">
        <f>IF(TableRefills3[[#This Row],[prev_refill_days]]="","",TableRefills3[[#This Row],[prev_refill_days]]+TableRefills3[[#This Row],[quantity_days]])</f>
        <v/>
      </c>
      <c r="G2619" t="str">
        <f>IF(TableRefills3[[#This Row],[prev_refill_end]]="","",TableRefills3[[#This Row],[refill_date]]-TableRefills3[[#This Row],[prev_refill_end]])</f>
        <v/>
      </c>
      <c r="H2619" s="10">
        <f>IF(TableRefills3[[#This Row],[gap_days]]="",0,IF(TableRefills3[[#This Row],[gap_days]]&gt;2,1,0))</f>
        <v>0</v>
      </c>
      <c r="I2619">
        <f>_xlfn.MAXIFS(TableRefills3[discountinuation_flag], TableRefills3[patient_id], A2619)</f>
        <v>0</v>
      </c>
    </row>
    <row r="2620" spans="1:9" x14ac:dyDescent="0.25">
      <c r="A2620" t="s">
        <v>4166</v>
      </c>
      <c r="B2620" t="s">
        <v>4167</v>
      </c>
      <c r="C2620" s="3">
        <v>45868</v>
      </c>
      <c r="D2620">
        <v>30</v>
      </c>
      <c r="E2620" s="3">
        <f t="shared" si="40"/>
        <v>45841</v>
      </c>
      <c r="F2620" s="3">
        <f>IF(TableRefills3[[#This Row],[prev_refill_days]]="","",TableRefills3[[#This Row],[prev_refill_days]]+TableRefills3[[#This Row],[quantity_days]])</f>
        <v>45871</v>
      </c>
      <c r="G2620">
        <f>IF(TableRefills3[[#This Row],[prev_refill_end]]="","",TableRefills3[[#This Row],[refill_date]]-TableRefills3[[#This Row],[prev_refill_end]])</f>
        <v>-3</v>
      </c>
      <c r="H2620" s="10">
        <f>IF(TableRefills3[[#This Row],[gap_days]]="",0,IF(TableRefills3[[#This Row],[gap_days]]&gt;2,1,0))</f>
        <v>0</v>
      </c>
      <c r="I2620">
        <f>_xlfn.MAXIFS(TableRefills3[discountinuation_flag], TableRefills3[patient_id], A2620)</f>
        <v>0</v>
      </c>
    </row>
    <row r="2621" spans="1:9" x14ac:dyDescent="0.25">
      <c r="A2621" t="s">
        <v>4166</v>
      </c>
      <c r="B2621" t="s">
        <v>4167</v>
      </c>
      <c r="C2621" s="3">
        <v>45900</v>
      </c>
      <c r="D2621">
        <v>30</v>
      </c>
      <c r="E2621" s="3">
        <f t="shared" si="40"/>
        <v>45868</v>
      </c>
      <c r="F2621" s="3">
        <f>IF(TableRefills3[[#This Row],[prev_refill_days]]="","",TableRefills3[[#This Row],[prev_refill_days]]+TableRefills3[[#This Row],[quantity_days]])</f>
        <v>45898</v>
      </c>
      <c r="G2621">
        <f>IF(TableRefills3[[#This Row],[prev_refill_end]]="","",TableRefills3[[#This Row],[refill_date]]-TableRefills3[[#This Row],[prev_refill_end]])</f>
        <v>2</v>
      </c>
      <c r="H2621" s="10">
        <f>IF(TableRefills3[[#This Row],[gap_days]]="",0,IF(TableRefills3[[#This Row],[gap_days]]&gt;2,1,0))</f>
        <v>0</v>
      </c>
      <c r="I2621">
        <f>_xlfn.MAXIFS(TableRefills3[discountinuation_flag], TableRefills3[patient_id], A2621)</f>
        <v>0</v>
      </c>
    </row>
    <row r="2622" spans="1:9" x14ac:dyDescent="0.25">
      <c r="A2622" t="s">
        <v>4166</v>
      </c>
      <c r="B2622" t="s">
        <v>4167</v>
      </c>
      <c r="C2622" s="3">
        <v>45929</v>
      </c>
      <c r="D2622">
        <v>30</v>
      </c>
      <c r="E2622" s="3">
        <f t="shared" si="40"/>
        <v>45900</v>
      </c>
      <c r="F2622" s="3">
        <f>IF(TableRefills3[[#This Row],[prev_refill_days]]="","",TableRefills3[[#This Row],[prev_refill_days]]+TableRefills3[[#This Row],[quantity_days]])</f>
        <v>45930</v>
      </c>
      <c r="G2622">
        <f>IF(TableRefills3[[#This Row],[prev_refill_end]]="","",TableRefills3[[#This Row],[refill_date]]-TableRefills3[[#This Row],[prev_refill_end]])</f>
        <v>-1</v>
      </c>
      <c r="H2622" s="10">
        <f>IF(TableRefills3[[#This Row],[gap_days]]="",0,IF(TableRefills3[[#This Row],[gap_days]]&gt;2,1,0))</f>
        <v>0</v>
      </c>
      <c r="I2622">
        <f>_xlfn.MAXIFS(TableRefills3[discountinuation_flag], TableRefills3[patient_id], A2622)</f>
        <v>0</v>
      </c>
    </row>
    <row r="2623" spans="1:9" x14ac:dyDescent="0.25">
      <c r="A2623" t="s">
        <v>4172</v>
      </c>
      <c r="B2623" t="s">
        <v>4173</v>
      </c>
      <c r="C2623" s="3">
        <v>45948</v>
      </c>
      <c r="D2623">
        <v>28</v>
      </c>
      <c r="E2623" s="3" t="str">
        <f t="shared" si="40"/>
        <v/>
      </c>
      <c r="F2623" s="3" t="str">
        <f>IF(TableRefills3[[#This Row],[prev_refill_days]]="","",TableRefills3[[#This Row],[prev_refill_days]]+TableRefills3[[#This Row],[quantity_days]])</f>
        <v/>
      </c>
      <c r="G2623" t="str">
        <f>IF(TableRefills3[[#This Row],[prev_refill_end]]="","",TableRefills3[[#This Row],[refill_date]]-TableRefills3[[#This Row],[prev_refill_end]])</f>
        <v/>
      </c>
      <c r="H2623" s="10">
        <f>IF(TableRefills3[[#This Row],[gap_days]]="",0,IF(TableRefills3[[#This Row],[gap_days]]&gt;2,1,0))</f>
        <v>0</v>
      </c>
      <c r="I2623">
        <f>_xlfn.MAXIFS(TableRefills3[discountinuation_flag], TableRefills3[patient_id], A2623)</f>
        <v>0</v>
      </c>
    </row>
    <row r="2624" spans="1:9" x14ac:dyDescent="0.25">
      <c r="A2624" t="s">
        <v>4175</v>
      </c>
      <c r="B2624" t="s">
        <v>4176</v>
      </c>
      <c r="C2624" s="3">
        <v>45820</v>
      </c>
      <c r="D2624">
        <v>28</v>
      </c>
      <c r="E2624" s="3" t="str">
        <f t="shared" si="40"/>
        <v/>
      </c>
      <c r="F2624" s="3" t="str">
        <f>IF(TableRefills3[[#This Row],[prev_refill_days]]="","",TableRefills3[[#This Row],[prev_refill_days]]+TableRefills3[[#This Row],[quantity_days]])</f>
        <v/>
      </c>
      <c r="G2624" t="str">
        <f>IF(TableRefills3[[#This Row],[prev_refill_end]]="","",TableRefills3[[#This Row],[refill_date]]-TableRefills3[[#This Row],[prev_refill_end]])</f>
        <v/>
      </c>
      <c r="H2624" s="10">
        <f>IF(TableRefills3[[#This Row],[gap_days]]="",0,IF(TableRefills3[[#This Row],[gap_days]]&gt;2,1,0))</f>
        <v>0</v>
      </c>
      <c r="I2624">
        <f>_xlfn.MAXIFS(TableRefills3[discountinuation_flag], TableRefills3[patient_id], A2624)</f>
        <v>1</v>
      </c>
    </row>
    <row r="2625" spans="1:9" x14ac:dyDescent="0.25">
      <c r="A2625" t="s">
        <v>4175</v>
      </c>
      <c r="B2625" t="s">
        <v>4176</v>
      </c>
      <c r="C2625" s="3">
        <v>45846</v>
      </c>
      <c r="D2625">
        <v>28</v>
      </c>
      <c r="E2625" s="3">
        <f t="shared" si="40"/>
        <v>45820</v>
      </c>
      <c r="F2625" s="3">
        <f>IF(TableRefills3[[#This Row],[prev_refill_days]]="","",TableRefills3[[#This Row],[prev_refill_days]]+TableRefills3[[#This Row],[quantity_days]])</f>
        <v>45848</v>
      </c>
      <c r="G2625">
        <f>IF(TableRefills3[[#This Row],[prev_refill_end]]="","",TableRefills3[[#This Row],[refill_date]]-TableRefills3[[#This Row],[prev_refill_end]])</f>
        <v>-2</v>
      </c>
      <c r="H2625" s="10">
        <f>IF(TableRefills3[[#This Row],[gap_days]]="",0,IF(TableRefills3[[#This Row],[gap_days]]&gt;2,1,0))</f>
        <v>0</v>
      </c>
      <c r="I2625">
        <f>_xlfn.MAXIFS(TableRefills3[discountinuation_flag], TableRefills3[patient_id], A2625)</f>
        <v>1</v>
      </c>
    </row>
    <row r="2626" spans="1:9" x14ac:dyDescent="0.25">
      <c r="A2626" t="s">
        <v>4175</v>
      </c>
      <c r="B2626" t="s">
        <v>4176</v>
      </c>
      <c r="C2626" s="3">
        <v>45875</v>
      </c>
      <c r="D2626">
        <v>28</v>
      </c>
      <c r="E2626" s="3">
        <f t="shared" ref="E2626:E2689" si="41">IF(A2625=A2626,C2625,"")</f>
        <v>45846</v>
      </c>
      <c r="F2626" s="3">
        <f>IF(TableRefills3[[#This Row],[prev_refill_days]]="","",TableRefills3[[#This Row],[prev_refill_days]]+TableRefills3[[#This Row],[quantity_days]])</f>
        <v>45874</v>
      </c>
      <c r="G2626">
        <f>IF(TableRefills3[[#This Row],[prev_refill_end]]="","",TableRefills3[[#This Row],[refill_date]]-TableRefills3[[#This Row],[prev_refill_end]])</f>
        <v>1</v>
      </c>
      <c r="H2626" s="10">
        <f>IF(TableRefills3[[#This Row],[gap_days]]="",0,IF(TableRefills3[[#This Row],[gap_days]]&gt;2,1,0))</f>
        <v>0</v>
      </c>
      <c r="I2626">
        <f>_xlfn.MAXIFS(TableRefills3[discountinuation_flag], TableRefills3[patient_id], A2626)</f>
        <v>1</v>
      </c>
    </row>
    <row r="2627" spans="1:9" x14ac:dyDescent="0.25">
      <c r="A2627" t="s">
        <v>4175</v>
      </c>
      <c r="B2627" t="s">
        <v>4176</v>
      </c>
      <c r="C2627" s="3">
        <v>45906</v>
      </c>
      <c r="D2627">
        <v>28</v>
      </c>
      <c r="E2627" s="3">
        <f t="shared" si="41"/>
        <v>45875</v>
      </c>
      <c r="F2627" s="3">
        <f>IF(TableRefills3[[#This Row],[prev_refill_days]]="","",TableRefills3[[#This Row],[prev_refill_days]]+TableRefills3[[#This Row],[quantity_days]])</f>
        <v>45903</v>
      </c>
      <c r="G2627">
        <f>IF(TableRefills3[[#This Row],[prev_refill_end]]="","",TableRefills3[[#This Row],[refill_date]]-TableRefills3[[#This Row],[prev_refill_end]])</f>
        <v>3</v>
      </c>
      <c r="H2627" s="10">
        <f>IF(TableRefills3[[#This Row],[gap_days]]="",0,IF(TableRefills3[[#This Row],[gap_days]]&gt;2,1,0))</f>
        <v>1</v>
      </c>
      <c r="I2627">
        <f>_xlfn.MAXIFS(TableRefills3[discountinuation_flag], TableRefills3[patient_id], A2627)</f>
        <v>1</v>
      </c>
    </row>
    <row r="2628" spans="1:9" x14ac:dyDescent="0.25">
      <c r="A2628" t="s">
        <v>4175</v>
      </c>
      <c r="B2628" t="s">
        <v>4176</v>
      </c>
      <c r="C2628" s="3">
        <v>45931</v>
      </c>
      <c r="D2628">
        <v>28</v>
      </c>
      <c r="E2628" s="3">
        <f t="shared" si="41"/>
        <v>45906</v>
      </c>
      <c r="F2628" s="3">
        <f>IF(TableRefills3[[#This Row],[prev_refill_days]]="","",TableRefills3[[#This Row],[prev_refill_days]]+TableRefills3[[#This Row],[quantity_days]])</f>
        <v>45934</v>
      </c>
      <c r="G2628">
        <f>IF(TableRefills3[[#This Row],[prev_refill_end]]="","",TableRefills3[[#This Row],[refill_date]]-TableRefills3[[#This Row],[prev_refill_end]])</f>
        <v>-3</v>
      </c>
      <c r="H2628" s="10">
        <f>IF(TableRefills3[[#This Row],[gap_days]]="",0,IF(TableRefills3[[#This Row],[gap_days]]&gt;2,1,0))</f>
        <v>0</v>
      </c>
      <c r="I2628">
        <f>_xlfn.MAXIFS(TableRefills3[discountinuation_flag], TableRefills3[patient_id], A2628)</f>
        <v>1</v>
      </c>
    </row>
    <row r="2629" spans="1:9" x14ac:dyDescent="0.25">
      <c r="A2629" t="s">
        <v>4175</v>
      </c>
      <c r="B2629" t="s">
        <v>4176</v>
      </c>
      <c r="C2629" s="3">
        <v>45959</v>
      </c>
      <c r="D2629">
        <v>28</v>
      </c>
      <c r="E2629" s="3">
        <f t="shared" si="41"/>
        <v>45931</v>
      </c>
      <c r="F2629" s="3">
        <f>IF(TableRefills3[[#This Row],[prev_refill_days]]="","",TableRefills3[[#This Row],[prev_refill_days]]+TableRefills3[[#This Row],[quantity_days]])</f>
        <v>45959</v>
      </c>
      <c r="G2629">
        <f>IF(TableRefills3[[#This Row],[prev_refill_end]]="","",TableRefills3[[#This Row],[refill_date]]-TableRefills3[[#This Row],[prev_refill_end]])</f>
        <v>0</v>
      </c>
      <c r="H2629" s="10">
        <f>IF(TableRefills3[[#This Row],[gap_days]]="",0,IF(TableRefills3[[#This Row],[gap_days]]&gt;2,1,0))</f>
        <v>0</v>
      </c>
      <c r="I2629">
        <f>_xlfn.MAXIFS(TableRefills3[discountinuation_flag], TableRefills3[patient_id], A2629)</f>
        <v>1</v>
      </c>
    </row>
    <row r="2630" spans="1:9" x14ac:dyDescent="0.25">
      <c r="A2630" t="s">
        <v>4183</v>
      </c>
      <c r="B2630" t="s">
        <v>4184</v>
      </c>
      <c r="C2630" s="3">
        <v>45934</v>
      </c>
      <c r="D2630">
        <v>28</v>
      </c>
      <c r="E2630" s="3" t="str">
        <f t="shared" si="41"/>
        <v/>
      </c>
      <c r="F2630" s="3" t="str">
        <f>IF(TableRefills3[[#This Row],[prev_refill_days]]="","",TableRefills3[[#This Row],[prev_refill_days]]+TableRefills3[[#This Row],[quantity_days]])</f>
        <v/>
      </c>
      <c r="G2630" t="str">
        <f>IF(TableRefills3[[#This Row],[prev_refill_end]]="","",TableRefills3[[#This Row],[refill_date]]-TableRefills3[[#This Row],[prev_refill_end]])</f>
        <v/>
      </c>
      <c r="H2630" s="10">
        <f>IF(TableRefills3[[#This Row],[gap_days]]="",0,IF(TableRefills3[[#This Row],[gap_days]]&gt;2,1,0))</f>
        <v>0</v>
      </c>
      <c r="I2630">
        <f>_xlfn.MAXIFS(TableRefills3[discountinuation_flag], TableRefills3[patient_id], A2630)</f>
        <v>0</v>
      </c>
    </row>
    <row r="2631" spans="1:9" x14ac:dyDescent="0.25">
      <c r="A2631" t="s">
        <v>4183</v>
      </c>
      <c r="B2631" t="s">
        <v>4184</v>
      </c>
      <c r="C2631" s="3">
        <v>45960</v>
      </c>
      <c r="D2631">
        <v>28</v>
      </c>
      <c r="E2631" s="3">
        <f t="shared" si="41"/>
        <v>45934</v>
      </c>
      <c r="F2631" s="3">
        <f>IF(TableRefills3[[#This Row],[prev_refill_days]]="","",TableRefills3[[#This Row],[prev_refill_days]]+TableRefills3[[#This Row],[quantity_days]])</f>
        <v>45962</v>
      </c>
      <c r="G2631">
        <f>IF(TableRefills3[[#This Row],[prev_refill_end]]="","",TableRefills3[[#This Row],[refill_date]]-TableRefills3[[#This Row],[prev_refill_end]])</f>
        <v>-2</v>
      </c>
      <c r="H2631" s="10">
        <f>IF(TableRefills3[[#This Row],[gap_days]]="",0,IF(TableRefills3[[#This Row],[gap_days]]&gt;2,1,0))</f>
        <v>0</v>
      </c>
      <c r="I2631">
        <f>_xlfn.MAXIFS(TableRefills3[discountinuation_flag], TableRefills3[patient_id], A2631)</f>
        <v>0</v>
      </c>
    </row>
    <row r="2632" spans="1:9" x14ac:dyDescent="0.25">
      <c r="A2632" t="s">
        <v>4187</v>
      </c>
      <c r="B2632" t="s">
        <v>4188</v>
      </c>
      <c r="C2632" s="3">
        <v>45922</v>
      </c>
      <c r="D2632">
        <v>28</v>
      </c>
      <c r="E2632" s="3" t="str">
        <f t="shared" si="41"/>
        <v/>
      </c>
      <c r="F2632" s="3" t="str">
        <f>IF(TableRefills3[[#This Row],[prev_refill_days]]="","",TableRefills3[[#This Row],[prev_refill_days]]+TableRefills3[[#This Row],[quantity_days]])</f>
        <v/>
      </c>
      <c r="G2632" t="str">
        <f>IF(TableRefills3[[#This Row],[prev_refill_end]]="","",TableRefills3[[#This Row],[refill_date]]-TableRefills3[[#This Row],[prev_refill_end]])</f>
        <v/>
      </c>
      <c r="H2632" s="10">
        <f>IF(TableRefills3[[#This Row],[gap_days]]="",0,IF(TableRefills3[[#This Row],[gap_days]]&gt;2,1,0))</f>
        <v>0</v>
      </c>
      <c r="I2632">
        <f>_xlfn.MAXIFS(TableRefills3[discountinuation_flag], TableRefills3[patient_id], A2632)</f>
        <v>0</v>
      </c>
    </row>
    <row r="2633" spans="1:9" x14ac:dyDescent="0.25">
      <c r="A2633" t="s">
        <v>4187</v>
      </c>
      <c r="B2633" t="s">
        <v>4188</v>
      </c>
      <c r="C2633" s="3">
        <v>45950</v>
      </c>
      <c r="D2633">
        <v>28</v>
      </c>
      <c r="E2633" s="3">
        <f t="shared" si="41"/>
        <v>45922</v>
      </c>
      <c r="F2633" s="3">
        <f>IF(TableRefills3[[#This Row],[prev_refill_days]]="","",TableRefills3[[#This Row],[prev_refill_days]]+TableRefills3[[#This Row],[quantity_days]])</f>
        <v>45950</v>
      </c>
      <c r="G2633">
        <f>IF(TableRefills3[[#This Row],[prev_refill_end]]="","",TableRefills3[[#This Row],[refill_date]]-TableRefills3[[#This Row],[prev_refill_end]])</f>
        <v>0</v>
      </c>
      <c r="H2633" s="10">
        <f>IF(TableRefills3[[#This Row],[gap_days]]="",0,IF(TableRefills3[[#This Row],[gap_days]]&gt;2,1,0))</f>
        <v>0</v>
      </c>
      <c r="I2633">
        <f>_xlfn.MAXIFS(TableRefills3[discountinuation_flag], TableRefills3[patient_id], A2633)</f>
        <v>0</v>
      </c>
    </row>
    <row r="2634" spans="1:9" x14ac:dyDescent="0.25">
      <c r="A2634" t="s">
        <v>4191</v>
      </c>
      <c r="B2634" t="s">
        <v>4192</v>
      </c>
      <c r="C2634" s="3">
        <v>45951</v>
      </c>
      <c r="D2634">
        <v>28</v>
      </c>
      <c r="E2634" s="3" t="str">
        <f t="shared" si="41"/>
        <v/>
      </c>
      <c r="F2634" s="3" t="str">
        <f>IF(TableRefills3[[#This Row],[prev_refill_days]]="","",TableRefills3[[#This Row],[prev_refill_days]]+TableRefills3[[#This Row],[quantity_days]])</f>
        <v/>
      </c>
      <c r="G2634" t="str">
        <f>IF(TableRefills3[[#This Row],[prev_refill_end]]="","",TableRefills3[[#This Row],[refill_date]]-TableRefills3[[#This Row],[prev_refill_end]])</f>
        <v/>
      </c>
      <c r="H2634" s="10">
        <f>IF(TableRefills3[[#This Row],[gap_days]]="",0,IF(TableRefills3[[#This Row],[gap_days]]&gt;2,1,0))</f>
        <v>0</v>
      </c>
      <c r="I2634">
        <f>_xlfn.MAXIFS(TableRefills3[discountinuation_flag], TableRefills3[patient_id], A2634)</f>
        <v>0</v>
      </c>
    </row>
    <row r="2635" spans="1:9" x14ac:dyDescent="0.25">
      <c r="A2635" t="s">
        <v>4194</v>
      </c>
      <c r="B2635" t="s">
        <v>4195</v>
      </c>
      <c r="C2635" s="3">
        <v>45880</v>
      </c>
      <c r="D2635">
        <v>28</v>
      </c>
      <c r="E2635" s="3" t="str">
        <f t="shared" si="41"/>
        <v/>
      </c>
      <c r="F2635" s="3" t="str">
        <f>IF(TableRefills3[[#This Row],[prev_refill_days]]="","",TableRefills3[[#This Row],[prev_refill_days]]+TableRefills3[[#This Row],[quantity_days]])</f>
        <v/>
      </c>
      <c r="G2635" t="str">
        <f>IF(TableRefills3[[#This Row],[prev_refill_end]]="","",TableRefills3[[#This Row],[refill_date]]-TableRefills3[[#This Row],[prev_refill_end]])</f>
        <v/>
      </c>
      <c r="H2635" s="10">
        <f>IF(TableRefills3[[#This Row],[gap_days]]="",0,IF(TableRefills3[[#This Row],[gap_days]]&gt;2,1,0))</f>
        <v>0</v>
      </c>
      <c r="I2635">
        <f>_xlfn.MAXIFS(TableRefills3[discountinuation_flag], TableRefills3[patient_id], A2635)</f>
        <v>0</v>
      </c>
    </row>
    <row r="2636" spans="1:9" x14ac:dyDescent="0.25">
      <c r="A2636" t="s">
        <v>4194</v>
      </c>
      <c r="B2636" t="s">
        <v>4195</v>
      </c>
      <c r="C2636" s="3">
        <v>45908</v>
      </c>
      <c r="D2636">
        <v>28</v>
      </c>
      <c r="E2636" s="3">
        <f t="shared" si="41"/>
        <v>45880</v>
      </c>
      <c r="F2636" s="3">
        <f>IF(TableRefills3[[#This Row],[prev_refill_days]]="","",TableRefills3[[#This Row],[prev_refill_days]]+TableRefills3[[#This Row],[quantity_days]])</f>
        <v>45908</v>
      </c>
      <c r="G2636">
        <f>IF(TableRefills3[[#This Row],[prev_refill_end]]="","",TableRefills3[[#This Row],[refill_date]]-TableRefills3[[#This Row],[prev_refill_end]])</f>
        <v>0</v>
      </c>
      <c r="H2636" s="10">
        <f>IF(TableRefills3[[#This Row],[gap_days]]="",0,IF(TableRefills3[[#This Row],[gap_days]]&gt;2,1,0))</f>
        <v>0</v>
      </c>
      <c r="I2636">
        <f>_xlfn.MAXIFS(TableRefills3[discountinuation_flag], TableRefills3[patient_id], A2636)</f>
        <v>0</v>
      </c>
    </row>
    <row r="2637" spans="1:9" x14ac:dyDescent="0.25">
      <c r="A2637" t="s">
        <v>4194</v>
      </c>
      <c r="B2637" t="s">
        <v>4195</v>
      </c>
      <c r="C2637" s="3">
        <v>45933</v>
      </c>
      <c r="D2637">
        <v>28</v>
      </c>
      <c r="E2637" s="3">
        <f t="shared" si="41"/>
        <v>45908</v>
      </c>
      <c r="F2637" s="3">
        <f>IF(TableRefills3[[#This Row],[prev_refill_days]]="","",TableRefills3[[#This Row],[prev_refill_days]]+TableRefills3[[#This Row],[quantity_days]])</f>
        <v>45936</v>
      </c>
      <c r="G2637">
        <f>IF(TableRefills3[[#This Row],[prev_refill_end]]="","",TableRefills3[[#This Row],[refill_date]]-TableRefills3[[#This Row],[prev_refill_end]])</f>
        <v>-3</v>
      </c>
      <c r="H2637" s="10">
        <f>IF(TableRefills3[[#This Row],[gap_days]]="",0,IF(TableRefills3[[#This Row],[gap_days]]&gt;2,1,0))</f>
        <v>0</v>
      </c>
      <c r="I2637">
        <f>_xlfn.MAXIFS(TableRefills3[discountinuation_flag], TableRefills3[patient_id], A2637)</f>
        <v>0</v>
      </c>
    </row>
    <row r="2638" spans="1:9" x14ac:dyDescent="0.25">
      <c r="A2638" t="s">
        <v>4199</v>
      </c>
      <c r="B2638" t="s">
        <v>4200</v>
      </c>
      <c r="C2638" s="3">
        <v>45862</v>
      </c>
      <c r="D2638">
        <v>28</v>
      </c>
      <c r="E2638" s="3" t="str">
        <f t="shared" si="41"/>
        <v/>
      </c>
      <c r="F2638" s="3" t="str">
        <f>IF(TableRefills3[[#This Row],[prev_refill_days]]="","",TableRefills3[[#This Row],[prev_refill_days]]+TableRefills3[[#This Row],[quantity_days]])</f>
        <v/>
      </c>
      <c r="G2638" t="str">
        <f>IF(TableRefills3[[#This Row],[prev_refill_end]]="","",TableRefills3[[#This Row],[refill_date]]-TableRefills3[[#This Row],[prev_refill_end]])</f>
        <v/>
      </c>
      <c r="H2638" s="10">
        <f>IF(TableRefills3[[#This Row],[gap_days]]="",0,IF(TableRefills3[[#This Row],[gap_days]]&gt;2,1,0))</f>
        <v>0</v>
      </c>
      <c r="I2638">
        <f>_xlfn.MAXIFS(TableRefills3[discountinuation_flag], TableRefills3[patient_id], A2638)</f>
        <v>1</v>
      </c>
    </row>
    <row r="2639" spans="1:9" x14ac:dyDescent="0.25">
      <c r="A2639" t="s">
        <v>4199</v>
      </c>
      <c r="B2639" t="s">
        <v>4200</v>
      </c>
      <c r="C2639" s="3">
        <v>45888</v>
      </c>
      <c r="D2639">
        <v>28</v>
      </c>
      <c r="E2639" s="3">
        <f t="shared" si="41"/>
        <v>45862</v>
      </c>
      <c r="F2639" s="3">
        <f>IF(TableRefills3[[#This Row],[prev_refill_days]]="","",TableRefills3[[#This Row],[prev_refill_days]]+TableRefills3[[#This Row],[quantity_days]])</f>
        <v>45890</v>
      </c>
      <c r="G2639">
        <f>IF(TableRefills3[[#This Row],[prev_refill_end]]="","",TableRefills3[[#This Row],[refill_date]]-TableRefills3[[#This Row],[prev_refill_end]])</f>
        <v>-2</v>
      </c>
      <c r="H2639" s="10">
        <f>IF(TableRefills3[[#This Row],[gap_days]]="",0,IF(TableRefills3[[#This Row],[gap_days]]&gt;2,1,0))</f>
        <v>0</v>
      </c>
      <c r="I2639">
        <f>_xlfn.MAXIFS(TableRefills3[discountinuation_flag], TableRefills3[patient_id], A2639)</f>
        <v>1</v>
      </c>
    </row>
    <row r="2640" spans="1:9" x14ac:dyDescent="0.25">
      <c r="A2640" t="s">
        <v>4199</v>
      </c>
      <c r="B2640" t="s">
        <v>4200</v>
      </c>
      <c r="C2640" s="3">
        <v>45919</v>
      </c>
      <c r="D2640">
        <v>28</v>
      </c>
      <c r="E2640" s="3">
        <f t="shared" si="41"/>
        <v>45888</v>
      </c>
      <c r="F2640" s="3">
        <f>IF(TableRefills3[[#This Row],[prev_refill_days]]="","",TableRefills3[[#This Row],[prev_refill_days]]+TableRefills3[[#This Row],[quantity_days]])</f>
        <v>45916</v>
      </c>
      <c r="G2640">
        <f>IF(TableRefills3[[#This Row],[prev_refill_end]]="","",TableRefills3[[#This Row],[refill_date]]-TableRefills3[[#This Row],[prev_refill_end]])</f>
        <v>3</v>
      </c>
      <c r="H2640" s="10">
        <f>IF(TableRefills3[[#This Row],[gap_days]]="",0,IF(TableRefills3[[#This Row],[gap_days]]&gt;2,1,0))</f>
        <v>1</v>
      </c>
      <c r="I2640">
        <f>_xlfn.MAXIFS(TableRefills3[discountinuation_flag], TableRefills3[patient_id], A2640)</f>
        <v>1</v>
      </c>
    </row>
    <row r="2641" spans="1:9" x14ac:dyDescent="0.25">
      <c r="A2641" t="s">
        <v>4199</v>
      </c>
      <c r="B2641" t="s">
        <v>4200</v>
      </c>
      <c r="C2641" s="3">
        <v>45945</v>
      </c>
      <c r="D2641">
        <v>28</v>
      </c>
      <c r="E2641" s="3">
        <f t="shared" si="41"/>
        <v>45919</v>
      </c>
      <c r="F2641" s="3">
        <f>IF(TableRefills3[[#This Row],[prev_refill_days]]="","",TableRefills3[[#This Row],[prev_refill_days]]+TableRefills3[[#This Row],[quantity_days]])</f>
        <v>45947</v>
      </c>
      <c r="G2641">
        <f>IF(TableRefills3[[#This Row],[prev_refill_end]]="","",TableRefills3[[#This Row],[refill_date]]-TableRefills3[[#This Row],[prev_refill_end]])</f>
        <v>-2</v>
      </c>
      <c r="H2641" s="10">
        <f>IF(TableRefills3[[#This Row],[gap_days]]="",0,IF(TableRefills3[[#This Row],[gap_days]]&gt;2,1,0))</f>
        <v>0</v>
      </c>
      <c r="I2641">
        <f>_xlfn.MAXIFS(TableRefills3[discountinuation_flag], TableRefills3[patient_id], A2641)</f>
        <v>1</v>
      </c>
    </row>
    <row r="2642" spans="1:9" x14ac:dyDescent="0.25">
      <c r="A2642" t="s">
        <v>4205</v>
      </c>
      <c r="B2642" t="s">
        <v>4206</v>
      </c>
      <c r="C2642" s="3">
        <v>45888</v>
      </c>
      <c r="D2642">
        <v>28</v>
      </c>
      <c r="E2642" s="3" t="str">
        <f t="shared" si="41"/>
        <v/>
      </c>
      <c r="F2642" s="3" t="str">
        <f>IF(TableRefills3[[#This Row],[prev_refill_days]]="","",TableRefills3[[#This Row],[prev_refill_days]]+TableRefills3[[#This Row],[quantity_days]])</f>
        <v/>
      </c>
      <c r="G2642" t="str">
        <f>IF(TableRefills3[[#This Row],[prev_refill_end]]="","",TableRefills3[[#This Row],[refill_date]]-TableRefills3[[#This Row],[prev_refill_end]])</f>
        <v/>
      </c>
      <c r="H2642" s="10">
        <f>IF(TableRefills3[[#This Row],[gap_days]]="",0,IF(TableRefills3[[#This Row],[gap_days]]&gt;2,1,0))</f>
        <v>0</v>
      </c>
      <c r="I2642">
        <f>_xlfn.MAXIFS(TableRefills3[discountinuation_flag], TableRefills3[patient_id], A2642)</f>
        <v>0</v>
      </c>
    </row>
    <row r="2643" spans="1:9" x14ac:dyDescent="0.25">
      <c r="A2643" t="s">
        <v>4205</v>
      </c>
      <c r="B2643" t="s">
        <v>4206</v>
      </c>
      <c r="C2643" s="3">
        <v>45914</v>
      </c>
      <c r="D2643">
        <v>28</v>
      </c>
      <c r="E2643" s="3">
        <f t="shared" si="41"/>
        <v>45888</v>
      </c>
      <c r="F2643" s="3">
        <f>IF(TableRefills3[[#This Row],[prev_refill_days]]="","",TableRefills3[[#This Row],[prev_refill_days]]+TableRefills3[[#This Row],[quantity_days]])</f>
        <v>45916</v>
      </c>
      <c r="G2643">
        <f>IF(TableRefills3[[#This Row],[prev_refill_end]]="","",TableRefills3[[#This Row],[refill_date]]-TableRefills3[[#This Row],[prev_refill_end]])</f>
        <v>-2</v>
      </c>
      <c r="H2643" s="10">
        <f>IF(TableRefills3[[#This Row],[gap_days]]="",0,IF(TableRefills3[[#This Row],[gap_days]]&gt;2,1,0))</f>
        <v>0</v>
      </c>
      <c r="I2643">
        <f>_xlfn.MAXIFS(TableRefills3[discountinuation_flag], TableRefills3[patient_id], A2643)</f>
        <v>0</v>
      </c>
    </row>
    <row r="2644" spans="1:9" x14ac:dyDescent="0.25">
      <c r="A2644" t="s">
        <v>4205</v>
      </c>
      <c r="B2644" t="s">
        <v>4206</v>
      </c>
      <c r="C2644" s="3">
        <v>45939</v>
      </c>
      <c r="D2644">
        <v>28</v>
      </c>
      <c r="E2644" s="3">
        <f t="shared" si="41"/>
        <v>45914</v>
      </c>
      <c r="F2644" s="3">
        <f>IF(TableRefills3[[#This Row],[prev_refill_days]]="","",TableRefills3[[#This Row],[prev_refill_days]]+TableRefills3[[#This Row],[quantity_days]])</f>
        <v>45942</v>
      </c>
      <c r="G2644">
        <f>IF(TableRefills3[[#This Row],[prev_refill_end]]="","",TableRefills3[[#This Row],[refill_date]]-TableRefills3[[#This Row],[prev_refill_end]])</f>
        <v>-3</v>
      </c>
      <c r="H2644" s="10">
        <f>IF(TableRefills3[[#This Row],[gap_days]]="",0,IF(TableRefills3[[#This Row],[gap_days]]&gt;2,1,0))</f>
        <v>0</v>
      </c>
      <c r="I2644">
        <f>_xlfn.MAXIFS(TableRefills3[discountinuation_flag], TableRefills3[patient_id], A2644)</f>
        <v>0</v>
      </c>
    </row>
    <row r="2645" spans="1:9" x14ac:dyDescent="0.25">
      <c r="A2645" t="s">
        <v>4210</v>
      </c>
      <c r="B2645" t="s">
        <v>4211</v>
      </c>
      <c r="C2645" s="3">
        <v>45780</v>
      </c>
      <c r="D2645">
        <v>28</v>
      </c>
      <c r="E2645" s="3" t="str">
        <f t="shared" si="41"/>
        <v/>
      </c>
      <c r="F2645" s="3" t="str">
        <f>IF(TableRefills3[[#This Row],[prev_refill_days]]="","",TableRefills3[[#This Row],[prev_refill_days]]+TableRefills3[[#This Row],[quantity_days]])</f>
        <v/>
      </c>
      <c r="G2645" t="str">
        <f>IF(TableRefills3[[#This Row],[prev_refill_end]]="","",TableRefills3[[#This Row],[refill_date]]-TableRefills3[[#This Row],[prev_refill_end]])</f>
        <v/>
      </c>
      <c r="H2645" s="10">
        <f>IF(TableRefills3[[#This Row],[gap_days]]="",0,IF(TableRefills3[[#This Row],[gap_days]]&gt;2,1,0))</f>
        <v>0</v>
      </c>
      <c r="I2645">
        <f>_xlfn.MAXIFS(TableRefills3[discountinuation_flag], TableRefills3[patient_id], A2645)</f>
        <v>1</v>
      </c>
    </row>
    <row r="2646" spans="1:9" x14ac:dyDescent="0.25">
      <c r="A2646" t="s">
        <v>4210</v>
      </c>
      <c r="B2646" t="s">
        <v>4211</v>
      </c>
      <c r="C2646" s="3">
        <v>45811</v>
      </c>
      <c r="D2646">
        <v>28</v>
      </c>
      <c r="E2646" s="3">
        <f t="shared" si="41"/>
        <v>45780</v>
      </c>
      <c r="F2646" s="3">
        <f>IF(TableRefills3[[#This Row],[prev_refill_days]]="","",TableRefills3[[#This Row],[prev_refill_days]]+TableRefills3[[#This Row],[quantity_days]])</f>
        <v>45808</v>
      </c>
      <c r="G2646">
        <f>IF(TableRefills3[[#This Row],[prev_refill_end]]="","",TableRefills3[[#This Row],[refill_date]]-TableRefills3[[#This Row],[prev_refill_end]])</f>
        <v>3</v>
      </c>
      <c r="H2646" s="10">
        <f>IF(TableRefills3[[#This Row],[gap_days]]="",0,IF(TableRefills3[[#This Row],[gap_days]]&gt;2,1,0))</f>
        <v>1</v>
      </c>
      <c r="I2646">
        <f>_xlfn.MAXIFS(TableRefills3[discountinuation_flag], TableRefills3[patient_id], A2646)</f>
        <v>1</v>
      </c>
    </row>
    <row r="2647" spans="1:9" x14ac:dyDescent="0.25">
      <c r="A2647" t="s">
        <v>4210</v>
      </c>
      <c r="B2647" t="s">
        <v>4211</v>
      </c>
      <c r="C2647" s="3">
        <v>45837</v>
      </c>
      <c r="D2647">
        <v>28</v>
      </c>
      <c r="E2647" s="3">
        <f t="shared" si="41"/>
        <v>45811</v>
      </c>
      <c r="F2647" s="3">
        <f>IF(TableRefills3[[#This Row],[prev_refill_days]]="","",TableRefills3[[#This Row],[prev_refill_days]]+TableRefills3[[#This Row],[quantity_days]])</f>
        <v>45839</v>
      </c>
      <c r="G2647">
        <f>IF(TableRefills3[[#This Row],[prev_refill_end]]="","",TableRefills3[[#This Row],[refill_date]]-TableRefills3[[#This Row],[prev_refill_end]])</f>
        <v>-2</v>
      </c>
      <c r="H2647" s="10">
        <f>IF(TableRefills3[[#This Row],[gap_days]]="",0,IF(TableRefills3[[#This Row],[gap_days]]&gt;2,1,0))</f>
        <v>0</v>
      </c>
      <c r="I2647">
        <f>_xlfn.MAXIFS(TableRefills3[discountinuation_flag], TableRefills3[patient_id], A2647)</f>
        <v>1</v>
      </c>
    </row>
    <row r="2648" spans="1:9" x14ac:dyDescent="0.25">
      <c r="A2648" t="s">
        <v>4210</v>
      </c>
      <c r="B2648" t="s">
        <v>4211</v>
      </c>
      <c r="C2648" s="3">
        <v>45864</v>
      </c>
      <c r="D2648">
        <v>28</v>
      </c>
      <c r="E2648" s="3">
        <f t="shared" si="41"/>
        <v>45837</v>
      </c>
      <c r="F2648" s="3">
        <f>IF(TableRefills3[[#This Row],[prev_refill_days]]="","",TableRefills3[[#This Row],[prev_refill_days]]+TableRefills3[[#This Row],[quantity_days]])</f>
        <v>45865</v>
      </c>
      <c r="G2648">
        <f>IF(TableRefills3[[#This Row],[prev_refill_end]]="","",TableRefills3[[#This Row],[refill_date]]-TableRefills3[[#This Row],[prev_refill_end]])</f>
        <v>-1</v>
      </c>
      <c r="H2648" s="10">
        <f>IF(TableRefills3[[#This Row],[gap_days]]="",0,IF(TableRefills3[[#This Row],[gap_days]]&gt;2,1,0))</f>
        <v>0</v>
      </c>
      <c r="I2648">
        <f>_xlfn.MAXIFS(TableRefills3[discountinuation_flag], TableRefills3[patient_id], A2648)</f>
        <v>1</v>
      </c>
    </row>
    <row r="2649" spans="1:9" x14ac:dyDescent="0.25">
      <c r="A2649" t="s">
        <v>4210</v>
      </c>
      <c r="B2649" t="s">
        <v>4211</v>
      </c>
      <c r="C2649" s="3">
        <v>45890</v>
      </c>
      <c r="D2649">
        <v>28</v>
      </c>
      <c r="E2649" s="3">
        <f t="shared" si="41"/>
        <v>45864</v>
      </c>
      <c r="F2649" s="3">
        <f>IF(TableRefills3[[#This Row],[prev_refill_days]]="","",TableRefills3[[#This Row],[prev_refill_days]]+TableRefills3[[#This Row],[quantity_days]])</f>
        <v>45892</v>
      </c>
      <c r="G2649">
        <f>IF(TableRefills3[[#This Row],[prev_refill_end]]="","",TableRefills3[[#This Row],[refill_date]]-TableRefills3[[#This Row],[prev_refill_end]])</f>
        <v>-2</v>
      </c>
      <c r="H2649" s="10">
        <f>IF(TableRefills3[[#This Row],[gap_days]]="",0,IF(TableRefills3[[#This Row],[gap_days]]&gt;2,1,0))</f>
        <v>0</v>
      </c>
      <c r="I2649">
        <f>_xlfn.MAXIFS(TableRefills3[discountinuation_flag], TableRefills3[patient_id], A2649)</f>
        <v>1</v>
      </c>
    </row>
    <row r="2650" spans="1:9" x14ac:dyDescent="0.25">
      <c r="A2650" t="s">
        <v>4210</v>
      </c>
      <c r="B2650" t="s">
        <v>4211</v>
      </c>
      <c r="C2650" s="3">
        <v>45916</v>
      </c>
      <c r="D2650">
        <v>28</v>
      </c>
      <c r="E2650" s="3">
        <f t="shared" si="41"/>
        <v>45890</v>
      </c>
      <c r="F2650" s="3">
        <f>IF(TableRefills3[[#This Row],[prev_refill_days]]="","",TableRefills3[[#This Row],[prev_refill_days]]+TableRefills3[[#This Row],[quantity_days]])</f>
        <v>45918</v>
      </c>
      <c r="G2650">
        <f>IF(TableRefills3[[#This Row],[prev_refill_end]]="","",TableRefills3[[#This Row],[refill_date]]-TableRefills3[[#This Row],[prev_refill_end]])</f>
        <v>-2</v>
      </c>
      <c r="H2650" s="10">
        <f>IF(TableRefills3[[#This Row],[gap_days]]="",0,IF(TableRefills3[[#This Row],[gap_days]]&gt;2,1,0))</f>
        <v>0</v>
      </c>
      <c r="I2650">
        <f>_xlfn.MAXIFS(TableRefills3[discountinuation_flag], TableRefills3[patient_id], A2650)</f>
        <v>1</v>
      </c>
    </row>
    <row r="2651" spans="1:9" x14ac:dyDescent="0.25">
      <c r="A2651" t="s">
        <v>4210</v>
      </c>
      <c r="B2651" t="s">
        <v>4211</v>
      </c>
      <c r="C2651" s="3">
        <v>45945</v>
      </c>
      <c r="D2651">
        <v>28</v>
      </c>
      <c r="E2651" s="3">
        <f t="shared" si="41"/>
        <v>45916</v>
      </c>
      <c r="F2651" s="3">
        <f>IF(TableRefills3[[#This Row],[prev_refill_days]]="","",TableRefills3[[#This Row],[prev_refill_days]]+TableRefills3[[#This Row],[quantity_days]])</f>
        <v>45944</v>
      </c>
      <c r="G2651">
        <f>IF(TableRefills3[[#This Row],[prev_refill_end]]="","",TableRefills3[[#This Row],[refill_date]]-TableRefills3[[#This Row],[prev_refill_end]])</f>
        <v>1</v>
      </c>
      <c r="H2651" s="10">
        <f>IF(TableRefills3[[#This Row],[gap_days]]="",0,IF(TableRefills3[[#This Row],[gap_days]]&gt;2,1,0))</f>
        <v>0</v>
      </c>
      <c r="I2651">
        <f>_xlfn.MAXIFS(TableRefills3[discountinuation_flag], TableRefills3[patient_id], A2651)</f>
        <v>1</v>
      </c>
    </row>
    <row r="2652" spans="1:9" x14ac:dyDescent="0.25">
      <c r="A2652" t="s">
        <v>4219</v>
      </c>
      <c r="B2652" t="s">
        <v>4220</v>
      </c>
      <c r="C2652" s="3">
        <v>45844</v>
      </c>
      <c r="D2652">
        <v>28</v>
      </c>
      <c r="E2652" s="3" t="str">
        <f t="shared" si="41"/>
        <v/>
      </c>
      <c r="F2652" s="3" t="str">
        <f>IF(TableRefills3[[#This Row],[prev_refill_days]]="","",TableRefills3[[#This Row],[prev_refill_days]]+TableRefills3[[#This Row],[quantity_days]])</f>
        <v/>
      </c>
      <c r="G2652" t="str">
        <f>IF(TableRefills3[[#This Row],[prev_refill_end]]="","",TableRefills3[[#This Row],[refill_date]]-TableRefills3[[#This Row],[prev_refill_end]])</f>
        <v/>
      </c>
      <c r="H2652" s="10">
        <f>IF(TableRefills3[[#This Row],[gap_days]]="",0,IF(TableRefills3[[#This Row],[gap_days]]&gt;2,1,0))</f>
        <v>0</v>
      </c>
      <c r="I2652">
        <f>_xlfn.MAXIFS(TableRefills3[discountinuation_flag], TableRefills3[patient_id], A2652)</f>
        <v>0</v>
      </c>
    </row>
    <row r="2653" spans="1:9" x14ac:dyDescent="0.25">
      <c r="A2653" t="s">
        <v>4219</v>
      </c>
      <c r="B2653" t="s">
        <v>4220</v>
      </c>
      <c r="C2653" s="3">
        <v>45873</v>
      </c>
      <c r="D2653">
        <v>28</v>
      </c>
      <c r="E2653" s="3">
        <f t="shared" si="41"/>
        <v>45844</v>
      </c>
      <c r="F2653" s="3">
        <f>IF(TableRefills3[[#This Row],[prev_refill_days]]="","",TableRefills3[[#This Row],[prev_refill_days]]+TableRefills3[[#This Row],[quantity_days]])</f>
        <v>45872</v>
      </c>
      <c r="G2653">
        <f>IF(TableRefills3[[#This Row],[prev_refill_end]]="","",TableRefills3[[#This Row],[refill_date]]-TableRefills3[[#This Row],[prev_refill_end]])</f>
        <v>1</v>
      </c>
      <c r="H2653" s="10">
        <f>IF(TableRefills3[[#This Row],[gap_days]]="",0,IF(TableRefills3[[#This Row],[gap_days]]&gt;2,1,0))</f>
        <v>0</v>
      </c>
      <c r="I2653">
        <f>_xlfn.MAXIFS(TableRefills3[discountinuation_flag], TableRefills3[patient_id], A2653)</f>
        <v>0</v>
      </c>
    </row>
    <row r="2654" spans="1:9" x14ac:dyDescent="0.25">
      <c r="A2654" t="s">
        <v>4223</v>
      </c>
      <c r="B2654" t="s">
        <v>4224</v>
      </c>
      <c r="C2654" s="3">
        <v>45908</v>
      </c>
      <c r="D2654">
        <v>28</v>
      </c>
      <c r="E2654" s="3" t="str">
        <f t="shared" si="41"/>
        <v/>
      </c>
      <c r="F2654" s="3" t="str">
        <f>IF(TableRefills3[[#This Row],[prev_refill_days]]="","",TableRefills3[[#This Row],[prev_refill_days]]+TableRefills3[[#This Row],[quantity_days]])</f>
        <v/>
      </c>
      <c r="G2654" t="str">
        <f>IF(TableRefills3[[#This Row],[prev_refill_end]]="","",TableRefills3[[#This Row],[refill_date]]-TableRefills3[[#This Row],[prev_refill_end]])</f>
        <v/>
      </c>
      <c r="H2654" s="10">
        <f>IF(TableRefills3[[#This Row],[gap_days]]="",0,IF(TableRefills3[[#This Row],[gap_days]]&gt;2,1,0))</f>
        <v>0</v>
      </c>
      <c r="I2654">
        <f>_xlfn.MAXIFS(TableRefills3[discountinuation_flag], TableRefills3[patient_id], A2654)</f>
        <v>0</v>
      </c>
    </row>
    <row r="2655" spans="1:9" x14ac:dyDescent="0.25">
      <c r="A2655" t="s">
        <v>4223</v>
      </c>
      <c r="B2655" t="s">
        <v>4224</v>
      </c>
      <c r="C2655" s="3">
        <v>45936</v>
      </c>
      <c r="D2655">
        <v>28</v>
      </c>
      <c r="E2655" s="3">
        <f t="shared" si="41"/>
        <v>45908</v>
      </c>
      <c r="F2655" s="3">
        <f>IF(TableRefills3[[#This Row],[prev_refill_days]]="","",TableRefills3[[#This Row],[prev_refill_days]]+TableRefills3[[#This Row],[quantity_days]])</f>
        <v>45936</v>
      </c>
      <c r="G2655">
        <f>IF(TableRefills3[[#This Row],[prev_refill_end]]="","",TableRefills3[[#This Row],[refill_date]]-TableRefills3[[#This Row],[prev_refill_end]])</f>
        <v>0</v>
      </c>
      <c r="H2655" s="10">
        <f>IF(TableRefills3[[#This Row],[gap_days]]="",0,IF(TableRefills3[[#This Row],[gap_days]]&gt;2,1,0))</f>
        <v>0</v>
      </c>
      <c r="I2655">
        <f>_xlfn.MAXIFS(TableRefills3[discountinuation_flag], TableRefills3[patient_id], A2655)</f>
        <v>0</v>
      </c>
    </row>
    <row r="2656" spans="1:9" x14ac:dyDescent="0.25">
      <c r="A2656" t="s">
        <v>4223</v>
      </c>
      <c r="B2656" t="s">
        <v>4224</v>
      </c>
      <c r="C2656" s="3">
        <v>45961</v>
      </c>
      <c r="D2656">
        <v>28</v>
      </c>
      <c r="E2656" s="3">
        <f t="shared" si="41"/>
        <v>45936</v>
      </c>
      <c r="F2656" s="3">
        <f>IF(TableRefills3[[#This Row],[prev_refill_days]]="","",TableRefills3[[#This Row],[prev_refill_days]]+TableRefills3[[#This Row],[quantity_days]])</f>
        <v>45964</v>
      </c>
      <c r="G2656">
        <f>IF(TableRefills3[[#This Row],[prev_refill_end]]="","",TableRefills3[[#This Row],[refill_date]]-TableRefills3[[#This Row],[prev_refill_end]])</f>
        <v>-3</v>
      </c>
      <c r="H2656" s="10">
        <f>IF(TableRefills3[[#This Row],[gap_days]]="",0,IF(TableRefills3[[#This Row],[gap_days]]&gt;2,1,0))</f>
        <v>0</v>
      </c>
      <c r="I2656">
        <f>_xlfn.MAXIFS(TableRefills3[discountinuation_flag], TableRefills3[patient_id], A2656)</f>
        <v>0</v>
      </c>
    </row>
    <row r="2657" spans="1:9" x14ac:dyDescent="0.25">
      <c r="A2657" t="s">
        <v>4228</v>
      </c>
      <c r="B2657" t="s">
        <v>4229</v>
      </c>
      <c r="C2657" s="3">
        <v>45910</v>
      </c>
      <c r="D2657">
        <v>28</v>
      </c>
      <c r="E2657" s="3" t="str">
        <f t="shared" si="41"/>
        <v/>
      </c>
      <c r="F2657" s="3" t="str">
        <f>IF(TableRefills3[[#This Row],[prev_refill_days]]="","",TableRefills3[[#This Row],[prev_refill_days]]+TableRefills3[[#This Row],[quantity_days]])</f>
        <v/>
      </c>
      <c r="G2657" t="str">
        <f>IF(TableRefills3[[#This Row],[prev_refill_end]]="","",TableRefills3[[#This Row],[refill_date]]-TableRefills3[[#This Row],[prev_refill_end]])</f>
        <v/>
      </c>
      <c r="H2657" s="10">
        <f>IF(TableRefills3[[#This Row],[gap_days]]="",0,IF(TableRefills3[[#This Row],[gap_days]]&gt;2,1,0))</f>
        <v>0</v>
      </c>
      <c r="I2657">
        <f>_xlfn.MAXIFS(TableRefills3[discountinuation_flag], TableRefills3[patient_id], A2657)</f>
        <v>0</v>
      </c>
    </row>
    <row r="2658" spans="1:9" x14ac:dyDescent="0.25">
      <c r="A2658" t="s">
        <v>4231</v>
      </c>
      <c r="B2658" t="s">
        <v>4232</v>
      </c>
      <c r="C2658" s="3">
        <v>45926</v>
      </c>
      <c r="D2658">
        <v>14</v>
      </c>
      <c r="E2658" s="3" t="str">
        <f t="shared" si="41"/>
        <v/>
      </c>
      <c r="F2658" s="3" t="str">
        <f>IF(TableRefills3[[#This Row],[prev_refill_days]]="","",TableRefills3[[#This Row],[prev_refill_days]]+TableRefills3[[#This Row],[quantity_days]])</f>
        <v/>
      </c>
      <c r="G2658" t="str">
        <f>IF(TableRefills3[[#This Row],[prev_refill_end]]="","",TableRefills3[[#This Row],[refill_date]]-TableRefills3[[#This Row],[prev_refill_end]])</f>
        <v/>
      </c>
      <c r="H2658" s="10">
        <f>IF(TableRefills3[[#This Row],[gap_days]]="",0,IF(TableRefills3[[#This Row],[gap_days]]&gt;2,1,0))</f>
        <v>0</v>
      </c>
      <c r="I2658">
        <f>_xlfn.MAXIFS(TableRefills3[discountinuation_flag], TableRefills3[patient_id], A2658)</f>
        <v>0</v>
      </c>
    </row>
    <row r="2659" spans="1:9" x14ac:dyDescent="0.25">
      <c r="A2659" t="s">
        <v>4231</v>
      </c>
      <c r="B2659" t="s">
        <v>4232</v>
      </c>
      <c r="C2659" s="3">
        <v>45941</v>
      </c>
      <c r="D2659">
        <v>14</v>
      </c>
      <c r="E2659" s="3">
        <f t="shared" si="41"/>
        <v>45926</v>
      </c>
      <c r="F2659" s="3">
        <f>IF(TableRefills3[[#This Row],[prev_refill_days]]="","",TableRefills3[[#This Row],[prev_refill_days]]+TableRefills3[[#This Row],[quantity_days]])</f>
        <v>45940</v>
      </c>
      <c r="G2659">
        <f>IF(TableRefills3[[#This Row],[prev_refill_end]]="","",TableRefills3[[#This Row],[refill_date]]-TableRefills3[[#This Row],[prev_refill_end]])</f>
        <v>1</v>
      </c>
      <c r="H2659" s="10">
        <f>IF(TableRefills3[[#This Row],[gap_days]]="",0,IF(TableRefills3[[#This Row],[gap_days]]&gt;2,1,0))</f>
        <v>0</v>
      </c>
      <c r="I2659">
        <f>_xlfn.MAXIFS(TableRefills3[discountinuation_flag], TableRefills3[patient_id], A2659)</f>
        <v>0</v>
      </c>
    </row>
    <row r="2660" spans="1:9" x14ac:dyDescent="0.25">
      <c r="A2660" t="s">
        <v>4235</v>
      </c>
      <c r="B2660" t="s">
        <v>4236</v>
      </c>
      <c r="C2660" s="3">
        <v>45925</v>
      </c>
      <c r="D2660">
        <v>30</v>
      </c>
      <c r="E2660" s="3" t="str">
        <f t="shared" si="41"/>
        <v/>
      </c>
      <c r="F2660" s="3" t="str">
        <f>IF(TableRefills3[[#This Row],[prev_refill_days]]="","",TableRefills3[[#This Row],[prev_refill_days]]+TableRefills3[[#This Row],[quantity_days]])</f>
        <v/>
      </c>
      <c r="G2660" t="str">
        <f>IF(TableRefills3[[#This Row],[prev_refill_end]]="","",TableRefills3[[#This Row],[refill_date]]-TableRefills3[[#This Row],[prev_refill_end]])</f>
        <v/>
      </c>
      <c r="H2660" s="10">
        <f>IF(TableRefills3[[#This Row],[gap_days]]="",0,IF(TableRefills3[[#This Row],[gap_days]]&gt;2,1,0))</f>
        <v>0</v>
      </c>
      <c r="I2660">
        <f>_xlfn.MAXIFS(TableRefills3[discountinuation_flag], TableRefills3[patient_id], A2660)</f>
        <v>1</v>
      </c>
    </row>
    <row r="2661" spans="1:9" x14ac:dyDescent="0.25">
      <c r="A2661" t="s">
        <v>4235</v>
      </c>
      <c r="B2661" t="s">
        <v>4236</v>
      </c>
      <c r="C2661" s="3">
        <v>45958</v>
      </c>
      <c r="D2661">
        <v>30</v>
      </c>
      <c r="E2661" s="3">
        <f t="shared" si="41"/>
        <v>45925</v>
      </c>
      <c r="F2661" s="3">
        <f>IF(TableRefills3[[#This Row],[prev_refill_days]]="","",TableRefills3[[#This Row],[prev_refill_days]]+TableRefills3[[#This Row],[quantity_days]])</f>
        <v>45955</v>
      </c>
      <c r="G2661">
        <f>IF(TableRefills3[[#This Row],[prev_refill_end]]="","",TableRefills3[[#This Row],[refill_date]]-TableRefills3[[#This Row],[prev_refill_end]])</f>
        <v>3</v>
      </c>
      <c r="H2661" s="10">
        <f>IF(TableRefills3[[#This Row],[gap_days]]="",0,IF(TableRefills3[[#This Row],[gap_days]]&gt;2,1,0))</f>
        <v>1</v>
      </c>
      <c r="I2661">
        <f>_xlfn.MAXIFS(TableRefills3[discountinuation_flag], TableRefills3[patient_id], A2661)</f>
        <v>1</v>
      </c>
    </row>
    <row r="2662" spans="1:9" x14ac:dyDescent="0.25">
      <c r="A2662" t="s">
        <v>4239</v>
      </c>
      <c r="B2662" t="s">
        <v>4240</v>
      </c>
      <c r="C2662" s="3">
        <v>45892</v>
      </c>
      <c r="D2662">
        <v>14</v>
      </c>
      <c r="E2662" s="3" t="str">
        <f t="shared" si="41"/>
        <v/>
      </c>
      <c r="F2662" s="3" t="str">
        <f>IF(TableRefills3[[#This Row],[prev_refill_days]]="","",TableRefills3[[#This Row],[prev_refill_days]]+TableRefills3[[#This Row],[quantity_days]])</f>
        <v/>
      </c>
      <c r="G2662" t="str">
        <f>IF(TableRefills3[[#This Row],[prev_refill_end]]="","",TableRefills3[[#This Row],[refill_date]]-TableRefills3[[#This Row],[prev_refill_end]])</f>
        <v/>
      </c>
      <c r="H2662" s="10">
        <f>IF(TableRefills3[[#This Row],[gap_days]]="",0,IF(TableRefills3[[#This Row],[gap_days]]&gt;2,1,0))</f>
        <v>0</v>
      </c>
      <c r="I2662">
        <f>_xlfn.MAXIFS(TableRefills3[discountinuation_flag], TableRefills3[patient_id], A2662)</f>
        <v>0</v>
      </c>
    </row>
    <row r="2663" spans="1:9" x14ac:dyDescent="0.25">
      <c r="A2663" t="s">
        <v>4239</v>
      </c>
      <c r="B2663" t="s">
        <v>4240</v>
      </c>
      <c r="C2663" s="3">
        <v>45904</v>
      </c>
      <c r="D2663">
        <v>14</v>
      </c>
      <c r="E2663" s="3">
        <f t="shared" si="41"/>
        <v>45892</v>
      </c>
      <c r="F2663" s="3">
        <f>IF(TableRefills3[[#This Row],[prev_refill_days]]="","",TableRefills3[[#This Row],[prev_refill_days]]+TableRefills3[[#This Row],[quantity_days]])</f>
        <v>45906</v>
      </c>
      <c r="G2663">
        <f>IF(TableRefills3[[#This Row],[prev_refill_end]]="","",TableRefills3[[#This Row],[refill_date]]-TableRefills3[[#This Row],[prev_refill_end]])</f>
        <v>-2</v>
      </c>
      <c r="H2663" s="10">
        <f>IF(TableRefills3[[#This Row],[gap_days]]="",0,IF(TableRefills3[[#This Row],[gap_days]]&gt;2,1,0))</f>
        <v>0</v>
      </c>
      <c r="I2663">
        <f>_xlfn.MAXIFS(TableRefills3[discountinuation_flag], TableRefills3[patient_id], A2663)</f>
        <v>0</v>
      </c>
    </row>
    <row r="2664" spans="1:9" x14ac:dyDescent="0.25">
      <c r="A2664" t="s">
        <v>4239</v>
      </c>
      <c r="B2664" t="s">
        <v>4240</v>
      </c>
      <c r="C2664" s="3">
        <v>45916</v>
      </c>
      <c r="D2664">
        <v>14</v>
      </c>
      <c r="E2664" s="3">
        <f t="shared" si="41"/>
        <v>45904</v>
      </c>
      <c r="F2664" s="3">
        <f>IF(TableRefills3[[#This Row],[prev_refill_days]]="","",TableRefills3[[#This Row],[prev_refill_days]]+TableRefills3[[#This Row],[quantity_days]])</f>
        <v>45918</v>
      </c>
      <c r="G2664">
        <f>IF(TableRefills3[[#This Row],[prev_refill_end]]="","",TableRefills3[[#This Row],[refill_date]]-TableRefills3[[#This Row],[prev_refill_end]])</f>
        <v>-2</v>
      </c>
      <c r="H2664" s="10">
        <f>IF(TableRefills3[[#This Row],[gap_days]]="",0,IF(TableRefills3[[#This Row],[gap_days]]&gt;2,1,0))</f>
        <v>0</v>
      </c>
      <c r="I2664">
        <f>_xlfn.MAXIFS(TableRefills3[discountinuation_flag], TableRefills3[patient_id], A2664)</f>
        <v>0</v>
      </c>
    </row>
    <row r="2665" spans="1:9" x14ac:dyDescent="0.25">
      <c r="A2665" t="s">
        <v>4239</v>
      </c>
      <c r="B2665" t="s">
        <v>4240</v>
      </c>
      <c r="C2665" s="3">
        <v>45929</v>
      </c>
      <c r="D2665">
        <v>14</v>
      </c>
      <c r="E2665" s="3">
        <f t="shared" si="41"/>
        <v>45916</v>
      </c>
      <c r="F2665" s="3">
        <f>IF(TableRefills3[[#This Row],[prev_refill_days]]="","",TableRefills3[[#This Row],[prev_refill_days]]+TableRefills3[[#This Row],[quantity_days]])</f>
        <v>45930</v>
      </c>
      <c r="G2665">
        <f>IF(TableRefills3[[#This Row],[prev_refill_end]]="","",TableRefills3[[#This Row],[refill_date]]-TableRefills3[[#This Row],[prev_refill_end]])</f>
        <v>-1</v>
      </c>
      <c r="H2665" s="10">
        <f>IF(TableRefills3[[#This Row],[gap_days]]="",0,IF(TableRefills3[[#This Row],[gap_days]]&gt;2,1,0))</f>
        <v>0</v>
      </c>
      <c r="I2665">
        <f>_xlfn.MAXIFS(TableRefills3[discountinuation_flag], TableRefills3[patient_id], A2665)</f>
        <v>0</v>
      </c>
    </row>
    <row r="2666" spans="1:9" x14ac:dyDescent="0.25">
      <c r="A2666" t="s">
        <v>4239</v>
      </c>
      <c r="B2666" t="s">
        <v>4240</v>
      </c>
      <c r="C2666" s="3">
        <v>45943</v>
      </c>
      <c r="D2666">
        <v>14</v>
      </c>
      <c r="E2666" s="3">
        <f t="shared" si="41"/>
        <v>45929</v>
      </c>
      <c r="F2666" s="3">
        <f>IF(TableRefills3[[#This Row],[prev_refill_days]]="","",TableRefills3[[#This Row],[prev_refill_days]]+TableRefills3[[#This Row],[quantity_days]])</f>
        <v>45943</v>
      </c>
      <c r="G2666">
        <f>IF(TableRefills3[[#This Row],[prev_refill_end]]="","",TableRefills3[[#This Row],[refill_date]]-TableRefills3[[#This Row],[prev_refill_end]])</f>
        <v>0</v>
      </c>
      <c r="H2666" s="10">
        <f>IF(TableRefills3[[#This Row],[gap_days]]="",0,IF(TableRefills3[[#This Row],[gap_days]]&gt;2,1,0))</f>
        <v>0</v>
      </c>
      <c r="I2666">
        <f>_xlfn.MAXIFS(TableRefills3[discountinuation_flag], TableRefills3[patient_id], A2666)</f>
        <v>0</v>
      </c>
    </row>
    <row r="2667" spans="1:9" x14ac:dyDescent="0.25">
      <c r="A2667" t="s">
        <v>4239</v>
      </c>
      <c r="B2667" t="s">
        <v>4240</v>
      </c>
      <c r="C2667" s="3">
        <v>45955</v>
      </c>
      <c r="D2667">
        <v>14</v>
      </c>
      <c r="E2667" s="3">
        <f t="shared" si="41"/>
        <v>45943</v>
      </c>
      <c r="F2667" s="3">
        <f>IF(TableRefills3[[#This Row],[prev_refill_days]]="","",TableRefills3[[#This Row],[prev_refill_days]]+TableRefills3[[#This Row],[quantity_days]])</f>
        <v>45957</v>
      </c>
      <c r="G2667">
        <f>IF(TableRefills3[[#This Row],[prev_refill_end]]="","",TableRefills3[[#This Row],[refill_date]]-TableRefills3[[#This Row],[prev_refill_end]])</f>
        <v>-2</v>
      </c>
      <c r="H2667" s="10">
        <f>IF(TableRefills3[[#This Row],[gap_days]]="",0,IF(TableRefills3[[#This Row],[gap_days]]&gt;2,1,0))</f>
        <v>0</v>
      </c>
      <c r="I2667">
        <f>_xlfn.MAXIFS(TableRefills3[discountinuation_flag], TableRefills3[patient_id], A2667)</f>
        <v>0</v>
      </c>
    </row>
    <row r="2668" spans="1:9" x14ac:dyDescent="0.25">
      <c r="A2668" t="s">
        <v>4247</v>
      </c>
      <c r="B2668" t="s">
        <v>4248</v>
      </c>
      <c r="C2668" s="3">
        <v>45878</v>
      </c>
      <c r="D2668">
        <v>30</v>
      </c>
      <c r="E2668" s="3" t="str">
        <f t="shared" si="41"/>
        <v/>
      </c>
      <c r="F2668" s="3" t="str">
        <f>IF(TableRefills3[[#This Row],[prev_refill_days]]="","",TableRefills3[[#This Row],[prev_refill_days]]+TableRefills3[[#This Row],[quantity_days]])</f>
        <v/>
      </c>
      <c r="G2668" t="str">
        <f>IF(TableRefills3[[#This Row],[prev_refill_end]]="","",TableRefills3[[#This Row],[refill_date]]-TableRefills3[[#This Row],[prev_refill_end]])</f>
        <v/>
      </c>
      <c r="H2668" s="10">
        <f>IF(TableRefills3[[#This Row],[gap_days]]="",0,IF(TableRefills3[[#This Row],[gap_days]]&gt;2,1,0))</f>
        <v>0</v>
      </c>
      <c r="I2668">
        <f>_xlfn.MAXIFS(TableRefills3[discountinuation_flag], TableRefills3[patient_id], A2668)</f>
        <v>0</v>
      </c>
    </row>
    <row r="2669" spans="1:9" x14ac:dyDescent="0.25">
      <c r="A2669" t="s">
        <v>4247</v>
      </c>
      <c r="B2669" t="s">
        <v>4248</v>
      </c>
      <c r="C2669" s="3">
        <v>45910</v>
      </c>
      <c r="D2669">
        <v>30</v>
      </c>
      <c r="E2669" s="3">
        <f t="shared" si="41"/>
        <v>45878</v>
      </c>
      <c r="F2669" s="3">
        <f>IF(TableRefills3[[#This Row],[prev_refill_days]]="","",TableRefills3[[#This Row],[prev_refill_days]]+TableRefills3[[#This Row],[quantity_days]])</f>
        <v>45908</v>
      </c>
      <c r="G2669">
        <f>IF(TableRefills3[[#This Row],[prev_refill_end]]="","",TableRefills3[[#This Row],[refill_date]]-TableRefills3[[#This Row],[prev_refill_end]])</f>
        <v>2</v>
      </c>
      <c r="H2669" s="10">
        <f>IF(TableRefills3[[#This Row],[gap_days]]="",0,IF(TableRefills3[[#This Row],[gap_days]]&gt;2,1,0))</f>
        <v>0</v>
      </c>
      <c r="I2669">
        <f>_xlfn.MAXIFS(TableRefills3[discountinuation_flag], TableRefills3[patient_id], A2669)</f>
        <v>0</v>
      </c>
    </row>
    <row r="2670" spans="1:9" x14ac:dyDescent="0.25">
      <c r="A2670" t="s">
        <v>4247</v>
      </c>
      <c r="B2670" t="s">
        <v>4248</v>
      </c>
      <c r="C2670" s="3">
        <v>45941</v>
      </c>
      <c r="D2670">
        <v>30</v>
      </c>
      <c r="E2670" s="3">
        <f t="shared" si="41"/>
        <v>45910</v>
      </c>
      <c r="F2670" s="3">
        <f>IF(TableRefills3[[#This Row],[prev_refill_days]]="","",TableRefills3[[#This Row],[prev_refill_days]]+TableRefills3[[#This Row],[quantity_days]])</f>
        <v>45940</v>
      </c>
      <c r="G2670">
        <f>IF(TableRefills3[[#This Row],[prev_refill_end]]="","",TableRefills3[[#This Row],[refill_date]]-TableRefills3[[#This Row],[prev_refill_end]])</f>
        <v>1</v>
      </c>
      <c r="H2670" s="10">
        <f>IF(TableRefills3[[#This Row],[gap_days]]="",0,IF(TableRefills3[[#This Row],[gap_days]]&gt;2,1,0))</f>
        <v>0</v>
      </c>
      <c r="I2670">
        <f>_xlfn.MAXIFS(TableRefills3[discountinuation_flag], TableRefills3[patient_id], A2670)</f>
        <v>0</v>
      </c>
    </row>
    <row r="2671" spans="1:9" x14ac:dyDescent="0.25">
      <c r="A2671" t="s">
        <v>4252</v>
      </c>
      <c r="B2671" t="s">
        <v>4253</v>
      </c>
      <c r="C2671" s="3">
        <v>45951</v>
      </c>
      <c r="D2671">
        <v>14</v>
      </c>
      <c r="E2671" s="3" t="str">
        <f t="shared" si="41"/>
        <v/>
      </c>
      <c r="F2671" s="3" t="str">
        <f>IF(TableRefills3[[#This Row],[prev_refill_days]]="","",TableRefills3[[#This Row],[prev_refill_days]]+TableRefills3[[#This Row],[quantity_days]])</f>
        <v/>
      </c>
      <c r="G2671" t="str">
        <f>IF(TableRefills3[[#This Row],[prev_refill_end]]="","",TableRefills3[[#This Row],[refill_date]]-TableRefills3[[#This Row],[prev_refill_end]])</f>
        <v/>
      </c>
      <c r="H2671" s="10">
        <f>IF(TableRefills3[[#This Row],[gap_days]]="",0,IF(TableRefills3[[#This Row],[gap_days]]&gt;2,1,0))</f>
        <v>0</v>
      </c>
      <c r="I2671">
        <f>_xlfn.MAXIFS(TableRefills3[discountinuation_flag], TableRefills3[patient_id], A2671)</f>
        <v>0</v>
      </c>
    </row>
    <row r="2672" spans="1:9" x14ac:dyDescent="0.25">
      <c r="A2672" t="s">
        <v>4255</v>
      </c>
      <c r="B2672" t="s">
        <v>4256</v>
      </c>
      <c r="C2672" s="3">
        <v>45954</v>
      </c>
      <c r="D2672">
        <v>28</v>
      </c>
      <c r="E2672" s="3" t="str">
        <f t="shared" si="41"/>
        <v/>
      </c>
      <c r="F2672" s="3" t="str">
        <f>IF(TableRefills3[[#This Row],[prev_refill_days]]="","",TableRefills3[[#This Row],[prev_refill_days]]+TableRefills3[[#This Row],[quantity_days]])</f>
        <v/>
      </c>
      <c r="G2672" t="str">
        <f>IF(TableRefills3[[#This Row],[prev_refill_end]]="","",TableRefills3[[#This Row],[refill_date]]-TableRefills3[[#This Row],[prev_refill_end]])</f>
        <v/>
      </c>
      <c r="H2672" s="10">
        <f>IF(TableRefills3[[#This Row],[gap_days]]="",0,IF(TableRefills3[[#This Row],[gap_days]]&gt;2,1,0))</f>
        <v>0</v>
      </c>
      <c r="I2672">
        <f>_xlfn.MAXIFS(TableRefills3[discountinuation_flag], TableRefills3[patient_id], A2672)</f>
        <v>0</v>
      </c>
    </row>
    <row r="2673" spans="1:9" x14ac:dyDescent="0.25">
      <c r="A2673" t="s">
        <v>4258</v>
      </c>
      <c r="B2673" t="s">
        <v>4259</v>
      </c>
      <c r="C2673" s="3">
        <v>45816</v>
      </c>
      <c r="D2673">
        <v>28</v>
      </c>
      <c r="E2673" s="3" t="str">
        <f t="shared" si="41"/>
        <v/>
      </c>
      <c r="F2673" s="3" t="str">
        <f>IF(TableRefills3[[#This Row],[prev_refill_days]]="","",TableRefills3[[#This Row],[prev_refill_days]]+TableRefills3[[#This Row],[quantity_days]])</f>
        <v/>
      </c>
      <c r="G2673" t="str">
        <f>IF(TableRefills3[[#This Row],[prev_refill_end]]="","",TableRefills3[[#This Row],[refill_date]]-TableRefills3[[#This Row],[prev_refill_end]])</f>
        <v/>
      </c>
      <c r="H2673" s="10">
        <f>IF(TableRefills3[[#This Row],[gap_days]]="",0,IF(TableRefills3[[#This Row],[gap_days]]&gt;2,1,0))</f>
        <v>0</v>
      </c>
      <c r="I2673">
        <f>_xlfn.MAXIFS(TableRefills3[discountinuation_flag], TableRefills3[patient_id], A2673)</f>
        <v>0</v>
      </c>
    </row>
    <row r="2674" spans="1:9" x14ac:dyDescent="0.25">
      <c r="A2674" t="s">
        <v>4258</v>
      </c>
      <c r="B2674" t="s">
        <v>4259</v>
      </c>
      <c r="C2674" s="3">
        <v>45843</v>
      </c>
      <c r="D2674">
        <v>28</v>
      </c>
      <c r="E2674" s="3">
        <f t="shared" si="41"/>
        <v>45816</v>
      </c>
      <c r="F2674" s="3">
        <f>IF(TableRefills3[[#This Row],[prev_refill_days]]="","",TableRefills3[[#This Row],[prev_refill_days]]+TableRefills3[[#This Row],[quantity_days]])</f>
        <v>45844</v>
      </c>
      <c r="G2674">
        <f>IF(TableRefills3[[#This Row],[prev_refill_end]]="","",TableRefills3[[#This Row],[refill_date]]-TableRefills3[[#This Row],[prev_refill_end]])</f>
        <v>-1</v>
      </c>
      <c r="H2674" s="10">
        <f>IF(TableRefills3[[#This Row],[gap_days]]="",0,IF(TableRefills3[[#This Row],[gap_days]]&gt;2,1,0))</f>
        <v>0</v>
      </c>
      <c r="I2674">
        <f>_xlfn.MAXIFS(TableRefills3[discountinuation_flag], TableRefills3[patient_id], A2674)</f>
        <v>0</v>
      </c>
    </row>
    <row r="2675" spans="1:9" x14ac:dyDescent="0.25">
      <c r="A2675" t="s">
        <v>4262</v>
      </c>
      <c r="B2675" t="s">
        <v>4263</v>
      </c>
      <c r="C2675" s="3">
        <v>45784</v>
      </c>
      <c r="D2675">
        <v>28</v>
      </c>
      <c r="E2675" s="3" t="str">
        <f t="shared" si="41"/>
        <v/>
      </c>
      <c r="F2675" s="3" t="str">
        <f>IF(TableRefills3[[#This Row],[prev_refill_days]]="","",TableRefills3[[#This Row],[prev_refill_days]]+TableRefills3[[#This Row],[quantity_days]])</f>
        <v/>
      </c>
      <c r="G2675" t="str">
        <f>IF(TableRefills3[[#This Row],[prev_refill_end]]="","",TableRefills3[[#This Row],[refill_date]]-TableRefills3[[#This Row],[prev_refill_end]])</f>
        <v/>
      </c>
      <c r="H2675" s="10">
        <f>IF(TableRefills3[[#This Row],[gap_days]]="",0,IF(TableRefills3[[#This Row],[gap_days]]&gt;2,1,0))</f>
        <v>0</v>
      </c>
      <c r="I2675">
        <f>_xlfn.MAXIFS(TableRefills3[discountinuation_flag], TableRefills3[patient_id], A2675)</f>
        <v>1</v>
      </c>
    </row>
    <row r="2676" spans="1:9" x14ac:dyDescent="0.25">
      <c r="A2676" t="s">
        <v>4262</v>
      </c>
      <c r="B2676" t="s">
        <v>4263</v>
      </c>
      <c r="C2676" s="3">
        <v>45810</v>
      </c>
      <c r="D2676">
        <v>28</v>
      </c>
      <c r="E2676" s="3">
        <f t="shared" si="41"/>
        <v>45784</v>
      </c>
      <c r="F2676" s="3">
        <f>IF(TableRefills3[[#This Row],[prev_refill_days]]="","",TableRefills3[[#This Row],[prev_refill_days]]+TableRefills3[[#This Row],[quantity_days]])</f>
        <v>45812</v>
      </c>
      <c r="G2676">
        <f>IF(TableRefills3[[#This Row],[prev_refill_end]]="","",TableRefills3[[#This Row],[refill_date]]-TableRefills3[[#This Row],[prev_refill_end]])</f>
        <v>-2</v>
      </c>
      <c r="H2676" s="10">
        <f>IF(TableRefills3[[#This Row],[gap_days]]="",0,IF(TableRefills3[[#This Row],[gap_days]]&gt;2,1,0))</f>
        <v>0</v>
      </c>
      <c r="I2676">
        <f>_xlfn.MAXIFS(TableRefills3[discountinuation_flag], TableRefills3[patient_id], A2676)</f>
        <v>1</v>
      </c>
    </row>
    <row r="2677" spans="1:9" x14ac:dyDescent="0.25">
      <c r="A2677" t="s">
        <v>4262</v>
      </c>
      <c r="B2677" t="s">
        <v>4263</v>
      </c>
      <c r="C2677" s="3">
        <v>45835</v>
      </c>
      <c r="D2677">
        <v>28</v>
      </c>
      <c r="E2677" s="3">
        <f t="shared" si="41"/>
        <v>45810</v>
      </c>
      <c r="F2677" s="3">
        <f>IF(TableRefills3[[#This Row],[prev_refill_days]]="","",TableRefills3[[#This Row],[prev_refill_days]]+TableRefills3[[#This Row],[quantity_days]])</f>
        <v>45838</v>
      </c>
      <c r="G2677">
        <f>IF(TableRefills3[[#This Row],[prev_refill_end]]="","",TableRefills3[[#This Row],[refill_date]]-TableRefills3[[#This Row],[prev_refill_end]])</f>
        <v>-3</v>
      </c>
      <c r="H2677" s="10">
        <f>IF(TableRefills3[[#This Row],[gap_days]]="",0,IF(TableRefills3[[#This Row],[gap_days]]&gt;2,1,0))</f>
        <v>0</v>
      </c>
      <c r="I2677">
        <f>_xlfn.MAXIFS(TableRefills3[discountinuation_flag], TableRefills3[patient_id], A2677)</f>
        <v>1</v>
      </c>
    </row>
    <row r="2678" spans="1:9" x14ac:dyDescent="0.25">
      <c r="A2678" t="s">
        <v>4262</v>
      </c>
      <c r="B2678" t="s">
        <v>4263</v>
      </c>
      <c r="C2678" s="3">
        <v>45860</v>
      </c>
      <c r="D2678">
        <v>28</v>
      </c>
      <c r="E2678" s="3">
        <f t="shared" si="41"/>
        <v>45835</v>
      </c>
      <c r="F2678" s="3">
        <f>IF(TableRefills3[[#This Row],[prev_refill_days]]="","",TableRefills3[[#This Row],[prev_refill_days]]+TableRefills3[[#This Row],[quantity_days]])</f>
        <v>45863</v>
      </c>
      <c r="G2678">
        <f>IF(TableRefills3[[#This Row],[prev_refill_end]]="","",TableRefills3[[#This Row],[refill_date]]-TableRefills3[[#This Row],[prev_refill_end]])</f>
        <v>-3</v>
      </c>
      <c r="H2678" s="10">
        <f>IF(TableRefills3[[#This Row],[gap_days]]="",0,IF(TableRefills3[[#This Row],[gap_days]]&gt;2,1,0))</f>
        <v>0</v>
      </c>
      <c r="I2678">
        <f>_xlfn.MAXIFS(TableRefills3[discountinuation_flag], TableRefills3[patient_id], A2678)</f>
        <v>1</v>
      </c>
    </row>
    <row r="2679" spans="1:9" x14ac:dyDescent="0.25">
      <c r="A2679" t="s">
        <v>4262</v>
      </c>
      <c r="B2679" t="s">
        <v>4263</v>
      </c>
      <c r="C2679" s="3">
        <v>45887</v>
      </c>
      <c r="D2679">
        <v>28</v>
      </c>
      <c r="E2679" s="3">
        <f t="shared" si="41"/>
        <v>45860</v>
      </c>
      <c r="F2679" s="3">
        <f>IF(TableRefills3[[#This Row],[prev_refill_days]]="","",TableRefills3[[#This Row],[prev_refill_days]]+TableRefills3[[#This Row],[quantity_days]])</f>
        <v>45888</v>
      </c>
      <c r="G2679">
        <f>IF(TableRefills3[[#This Row],[prev_refill_end]]="","",TableRefills3[[#This Row],[refill_date]]-TableRefills3[[#This Row],[prev_refill_end]])</f>
        <v>-1</v>
      </c>
      <c r="H2679" s="10">
        <f>IF(TableRefills3[[#This Row],[gap_days]]="",0,IF(TableRefills3[[#This Row],[gap_days]]&gt;2,1,0))</f>
        <v>0</v>
      </c>
      <c r="I2679">
        <f>_xlfn.MAXIFS(TableRefills3[discountinuation_flag], TableRefills3[patient_id], A2679)</f>
        <v>1</v>
      </c>
    </row>
    <row r="2680" spans="1:9" x14ac:dyDescent="0.25">
      <c r="A2680" t="s">
        <v>4262</v>
      </c>
      <c r="B2680" t="s">
        <v>4263</v>
      </c>
      <c r="C2680" s="3">
        <v>45918</v>
      </c>
      <c r="D2680">
        <v>28</v>
      </c>
      <c r="E2680" s="3">
        <f t="shared" si="41"/>
        <v>45887</v>
      </c>
      <c r="F2680" s="3">
        <f>IF(TableRefills3[[#This Row],[prev_refill_days]]="","",TableRefills3[[#This Row],[prev_refill_days]]+TableRefills3[[#This Row],[quantity_days]])</f>
        <v>45915</v>
      </c>
      <c r="G2680">
        <f>IF(TableRefills3[[#This Row],[prev_refill_end]]="","",TableRefills3[[#This Row],[refill_date]]-TableRefills3[[#This Row],[prev_refill_end]])</f>
        <v>3</v>
      </c>
      <c r="H2680" s="10">
        <f>IF(TableRefills3[[#This Row],[gap_days]]="",0,IF(TableRefills3[[#This Row],[gap_days]]&gt;2,1,0))</f>
        <v>1</v>
      </c>
      <c r="I2680">
        <f>_xlfn.MAXIFS(TableRefills3[discountinuation_flag], TableRefills3[patient_id], A2680)</f>
        <v>1</v>
      </c>
    </row>
    <row r="2681" spans="1:9" x14ac:dyDescent="0.25">
      <c r="A2681" t="s">
        <v>4262</v>
      </c>
      <c r="B2681" t="s">
        <v>4263</v>
      </c>
      <c r="C2681" s="3">
        <v>45947</v>
      </c>
      <c r="D2681">
        <v>28</v>
      </c>
      <c r="E2681" s="3">
        <f t="shared" si="41"/>
        <v>45918</v>
      </c>
      <c r="F2681" s="3">
        <f>IF(TableRefills3[[#This Row],[prev_refill_days]]="","",TableRefills3[[#This Row],[prev_refill_days]]+TableRefills3[[#This Row],[quantity_days]])</f>
        <v>45946</v>
      </c>
      <c r="G2681">
        <f>IF(TableRefills3[[#This Row],[prev_refill_end]]="","",TableRefills3[[#This Row],[refill_date]]-TableRefills3[[#This Row],[prev_refill_end]])</f>
        <v>1</v>
      </c>
      <c r="H2681" s="10">
        <f>IF(TableRefills3[[#This Row],[gap_days]]="",0,IF(TableRefills3[[#This Row],[gap_days]]&gt;2,1,0))</f>
        <v>0</v>
      </c>
      <c r="I2681">
        <f>_xlfn.MAXIFS(TableRefills3[discountinuation_flag], TableRefills3[patient_id], A2681)</f>
        <v>1</v>
      </c>
    </row>
    <row r="2682" spans="1:9" x14ac:dyDescent="0.25">
      <c r="A2682" t="s">
        <v>4271</v>
      </c>
      <c r="B2682" t="s">
        <v>4272</v>
      </c>
      <c r="C2682" s="3">
        <v>45804</v>
      </c>
      <c r="D2682">
        <v>28</v>
      </c>
      <c r="E2682" s="3" t="str">
        <f t="shared" si="41"/>
        <v/>
      </c>
      <c r="F2682" s="3" t="str">
        <f>IF(TableRefills3[[#This Row],[prev_refill_days]]="","",TableRefills3[[#This Row],[prev_refill_days]]+TableRefills3[[#This Row],[quantity_days]])</f>
        <v/>
      </c>
      <c r="G2682" t="str">
        <f>IF(TableRefills3[[#This Row],[prev_refill_end]]="","",TableRefills3[[#This Row],[refill_date]]-TableRefills3[[#This Row],[prev_refill_end]])</f>
        <v/>
      </c>
      <c r="H2682" s="10">
        <f>IF(TableRefills3[[#This Row],[gap_days]]="",0,IF(TableRefills3[[#This Row],[gap_days]]&gt;2,1,0))</f>
        <v>0</v>
      </c>
      <c r="I2682">
        <f>_xlfn.MAXIFS(TableRefills3[discountinuation_flag], TableRefills3[patient_id], A2682)</f>
        <v>0</v>
      </c>
    </row>
    <row r="2683" spans="1:9" x14ac:dyDescent="0.25">
      <c r="A2683" t="s">
        <v>4271</v>
      </c>
      <c r="B2683" t="s">
        <v>4272</v>
      </c>
      <c r="C2683" s="3">
        <v>45834</v>
      </c>
      <c r="D2683">
        <v>28</v>
      </c>
      <c r="E2683" s="3">
        <f t="shared" si="41"/>
        <v>45804</v>
      </c>
      <c r="F2683" s="3">
        <f>IF(TableRefills3[[#This Row],[prev_refill_days]]="","",TableRefills3[[#This Row],[prev_refill_days]]+TableRefills3[[#This Row],[quantity_days]])</f>
        <v>45832</v>
      </c>
      <c r="G2683">
        <f>IF(TableRefills3[[#This Row],[prev_refill_end]]="","",TableRefills3[[#This Row],[refill_date]]-TableRefills3[[#This Row],[prev_refill_end]])</f>
        <v>2</v>
      </c>
      <c r="H2683" s="10">
        <f>IF(TableRefills3[[#This Row],[gap_days]]="",0,IF(TableRefills3[[#This Row],[gap_days]]&gt;2,1,0))</f>
        <v>0</v>
      </c>
      <c r="I2683">
        <f>_xlfn.MAXIFS(TableRefills3[discountinuation_flag], TableRefills3[patient_id], A2683)</f>
        <v>0</v>
      </c>
    </row>
    <row r="2684" spans="1:9" x14ac:dyDescent="0.25">
      <c r="A2684" t="s">
        <v>4271</v>
      </c>
      <c r="B2684" t="s">
        <v>4272</v>
      </c>
      <c r="C2684" s="3">
        <v>45860</v>
      </c>
      <c r="D2684">
        <v>28</v>
      </c>
      <c r="E2684" s="3">
        <f t="shared" si="41"/>
        <v>45834</v>
      </c>
      <c r="F2684" s="3">
        <f>IF(TableRefills3[[#This Row],[prev_refill_days]]="","",TableRefills3[[#This Row],[prev_refill_days]]+TableRefills3[[#This Row],[quantity_days]])</f>
        <v>45862</v>
      </c>
      <c r="G2684">
        <f>IF(TableRefills3[[#This Row],[prev_refill_end]]="","",TableRefills3[[#This Row],[refill_date]]-TableRefills3[[#This Row],[prev_refill_end]])</f>
        <v>-2</v>
      </c>
      <c r="H2684" s="10">
        <f>IF(TableRefills3[[#This Row],[gap_days]]="",0,IF(TableRefills3[[#This Row],[gap_days]]&gt;2,1,0))</f>
        <v>0</v>
      </c>
      <c r="I2684">
        <f>_xlfn.MAXIFS(TableRefills3[discountinuation_flag], TableRefills3[patient_id], A2684)</f>
        <v>0</v>
      </c>
    </row>
    <row r="2685" spans="1:9" x14ac:dyDescent="0.25">
      <c r="A2685" t="s">
        <v>4271</v>
      </c>
      <c r="B2685" t="s">
        <v>4272</v>
      </c>
      <c r="C2685" s="3">
        <v>45885</v>
      </c>
      <c r="D2685">
        <v>28</v>
      </c>
      <c r="E2685" s="3">
        <f t="shared" si="41"/>
        <v>45860</v>
      </c>
      <c r="F2685" s="3">
        <f>IF(TableRefills3[[#This Row],[prev_refill_days]]="","",TableRefills3[[#This Row],[prev_refill_days]]+TableRefills3[[#This Row],[quantity_days]])</f>
        <v>45888</v>
      </c>
      <c r="G2685">
        <f>IF(TableRefills3[[#This Row],[prev_refill_end]]="","",TableRefills3[[#This Row],[refill_date]]-TableRefills3[[#This Row],[prev_refill_end]])</f>
        <v>-3</v>
      </c>
      <c r="H2685" s="10">
        <f>IF(TableRefills3[[#This Row],[gap_days]]="",0,IF(TableRefills3[[#This Row],[gap_days]]&gt;2,1,0))</f>
        <v>0</v>
      </c>
      <c r="I2685">
        <f>_xlfn.MAXIFS(TableRefills3[discountinuation_flag], TableRefills3[patient_id], A2685)</f>
        <v>0</v>
      </c>
    </row>
    <row r="2686" spans="1:9" x14ac:dyDescent="0.25">
      <c r="A2686" t="s">
        <v>4271</v>
      </c>
      <c r="B2686" t="s">
        <v>4272</v>
      </c>
      <c r="C2686" s="3">
        <v>45910</v>
      </c>
      <c r="D2686">
        <v>28</v>
      </c>
      <c r="E2686" s="3">
        <f t="shared" si="41"/>
        <v>45885</v>
      </c>
      <c r="F2686" s="3">
        <f>IF(TableRefills3[[#This Row],[prev_refill_days]]="","",TableRefills3[[#This Row],[prev_refill_days]]+TableRefills3[[#This Row],[quantity_days]])</f>
        <v>45913</v>
      </c>
      <c r="G2686">
        <f>IF(TableRefills3[[#This Row],[prev_refill_end]]="","",TableRefills3[[#This Row],[refill_date]]-TableRefills3[[#This Row],[prev_refill_end]])</f>
        <v>-3</v>
      </c>
      <c r="H2686" s="10">
        <f>IF(TableRefills3[[#This Row],[gap_days]]="",0,IF(TableRefills3[[#This Row],[gap_days]]&gt;2,1,0))</f>
        <v>0</v>
      </c>
      <c r="I2686">
        <f>_xlfn.MAXIFS(TableRefills3[discountinuation_flag], TableRefills3[patient_id], A2686)</f>
        <v>0</v>
      </c>
    </row>
    <row r="2687" spans="1:9" x14ac:dyDescent="0.25">
      <c r="A2687" t="s">
        <v>4271</v>
      </c>
      <c r="B2687" t="s">
        <v>4272</v>
      </c>
      <c r="C2687" s="3">
        <v>45936</v>
      </c>
      <c r="D2687">
        <v>28</v>
      </c>
      <c r="E2687" s="3">
        <f t="shared" si="41"/>
        <v>45910</v>
      </c>
      <c r="F2687" s="3">
        <f>IF(TableRefills3[[#This Row],[prev_refill_days]]="","",TableRefills3[[#This Row],[prev_refill_days]]+TableRefills3[[#This Row],[quantity_days]])</f>
        <v>45938</v>
      </c>
      <c r="G2687">
        <f>IF(TableRefills3[[#This Row],[prev_refill_end]]="","",TableRefills3[[#This Row],[refill_date]]-TableRefills3[[#This Row],[prev_refill_end]])</f>
        <v>-2</v>
      </c>
      <c r="H2687" s="10">
        <f>IF(TableRefills3[[#This Row],[gap_days]]="",0,IF(TableRefills3[[#This Row],[gap_days]]&gt;2,1,0))</f>
        <v>0</v>
      </c>
      <c r="I2687">
        <f>_xlfn.MAXIFS(TableRefills3[discountinuation_flag], TableRefills3[patient_id], A2687)</f>
        <v>0</v>
      </c>
    </row>
    <row r="2688" spans="1:9" x14ac:dyDescent="0.25">
      <c r="A2688" t="s">
        <v>4279</v>
      </c>
      <c r="B2688" t="s">
        <v>4280</v>
      </c>
      <c r="C2688" s="3">
        <v>45884</v>
      </c>
      <c r="D2688">
        <v>30</v>
      </c>
      <c r="E2688" s="3" t="str">
        <f t="shared" si="41"/>
        <v/>
      </c>
      <c r="F2688" s="3" t="str">
        <f>IF(TableRefills3[[#This Row],[prev_refill_days]]="","",TableRefills3[[#This Row],[prev_refill_days]]+TableRefills3[[#This Row],[quantity_days]])</f>
        <v/>
      </c>
      <c r="G2688" t="str">
        <f>IF(TableRefills3[[#This Row],[prev_refill_end]]="","",TableRefills3[[#This Row],[refill_date]]-TableRefills3[[#This Row],[prev_refill_end]])</f>
        <v/>
      </c>
      <c r="H2688" s="10">
        <f>IF(TableRefills3[[#This Row],[gap_days]]="",0,IF(TableRefills3[[#This Row],[gap_days]]&gt;2,1,0))</f>
        <v>0</v>
      </c>
      <c r="I2688">
        <f>_xlfn.MAXIFS(TableRefills3[discountinuation_flag], TableRefills3[patient_id], A2688)</f>
        <v>0</v>
      </c>
    </row>
    <row r="2689" spans="1:9" x14ac:dyDescent="0.25">
      <c r="A2689" t="s">
        <v>4279</v>
      </c>
      <c r="B2689" t="s">
        <v>4280</v>
      </c>
      <c r="C2689" s="3">
        <v>45914</v>
      </c>
      <c r="D2689">
        <v>30</v>
      </c>
      <c r="E2689" s="3">
        <f t="shared" si="41"/>
        <v>45884</v>
      </c>
      <c r="F2689" s="3">
        <f>IF(TableRefills3[[#This Row],[prev_refill_days]]="","",TableRefills3[[#This Row],[prev_refill_days]]+TableRefills3[[#This Row],[quantity_days]])</f>
        <v>45914</v>
      </c>
      <c r="G2689">
        <f>IF(TableRefills3[[#This Row],[prev_refill_end]]="","",TableRefills3[[#This Row],[refill_date]]-TableRefills3[[#This Row],[prev_refill_end]])</f>
        <v>0</v>
      </c>
      <c r="H2689" s="10">
        <f>IF(TableRefills3[[#This Row],[gap_days]]="",0,IF(TableRefills3[[#This Row],[gap_days]]&gt;2,1,0))</f>
        <v>0</v>
      </c>
      <c r="I2689">
        <f>_xlfn.MAXIFS(TableRefills3[discountinuation_flag], TableRefills3[patient_id], A2689)</f>
        <v>0</v>
      </c>
    </row>
    <row r="2690" spans="1:9" x14ac:dyDescent="0.25">
      <c r="A2690" t="s">
        <v>4279</v>
      </c>
      <c r="B2690" t="s">
        <v>4280</v>
      </c>
      <c r="C2690" s="3">
        <v>45942</v>
      </c>
      <c r="D2690">
        <v>30</v>
      </c>
      <c r="E2690" s="3">
        <f t="shared" ref="E2690:E2753" si="42">IF(A2689=A2690,C2689,"")</f>
        <v>45914</v>
      </c>
      <c r="F2690" s="3">
        <f>IF(TableRefills3[[#This Row],[prev_refill_days]]="","",TableRefills3[[#This Row],[prev_refill_days]]+TableRefills3[[#This Row],[quantity_days]])</f>
        <v>45944</v>
      </c>
      <c r="G2690">
        <f>IF(TableRefills3[[#This Row],[prev_refill_end]]="","",TableRefills3[[#This Row],[refill_date]]-TableRefills3[[#This Row],[prev_refill_end]])</f>
        <v>-2</v>
      </c>
      <c r="H2690" s="10">
        <f>IF(TableRefills3[[#This Row],[gap_days]]="",0,IF(TableRefills3[[#This Row],[gap_days]]&gt;2,1,0))</f>
        <v>0</v>
      </c>
      <c r="I2690">
        <f>_xlfn.MAXIFS(TableRefills3[discountinuation_flag], TableRefills3[patient_id], A2690)</f>
        <v>0</v>
      </c>
    </row>
    <row r="2691" spans="1:9" x14ac:dyDescent="0.25">
      <c r="A2691" t="s">
        <v>4284</v>
      </c>
      <c r="B2691" t="s">
        <v>4285</v>
      </c>
      <c r="C2691" s="3">
        <v>45807</v>
      </c>
      <c r="D2691">
        <v>14</v>
      </c>
      <c r="E2691" s="3" t="str">
        <f t="shared" si="42"/>
        <v/>
      </c>
      <c r="F2691" s="3" t="str">
        <f>IF(TableRefills3[[#This Row],[prev_refill_days]]="","",TableRefills3[[#This Row],[prev_refill_days]]+TableRefills3[[#This Row],[quantity_days]])</f>
        <v/>
      </c>
      <c r="G2691" t="str">
        <f>IF(TableRefills3[[#This Row],[prev_refill_end]]="","",TableRefills3[[#This Row],[refill_date]]-TableRefills3[[#This Row],[prev_refill_end]])</f>
        <v/>
      </c>
      <c r="H2691" s="10">
        <f>IF(TableRefills3[[#This Row],[gap_days]]="",0,IF(TableRefills3[[#This Row],[gap_days]]&gt;2,1,0))</f>
        <v>0</v>
      </c>
      <c r="I2691">
        <f>_xlfn.MAXIFS(TableRefills3[discountinuation_flag], TableRefills3[patient_id], A2691)</f>
        <v>1</v>
      </c>
    </row>
    <row r="2692" spans="1:9" x14ac:dyDescent="0.25">
      <c r="A2692" t="s">
        <v>4284</v>
      </c>
      <c r="B2692" t="s">
        <v>4285</v>
      </c>
      <c r="C2692" s="3">
        <v>45818</v>
      </c>
      <c r="D2692">
        <v>14</v>
      </c>
      <c r="E2692" s="3">
        <f t="shared" si="42"/>
        <v>45807</v>
      </c>
      <c r="F2692" s="3">
        <f>IF(TableRefills3[[#This Row],[prev_refill_days]]="","",TableRefills3[[#This Row],[prev_refill_days]]+TableRefills3[[#This Row],[quantity_days]])</f>
        <v>45821</v>
      </c>
      <c r="G2692">
        <f>IF(TableRefills3[[#This Row],[prev_refill_end]]="","",TableRefills3[[#This Row],[refill_date]]-TableRefills3[[#This Row],[prev_refill_end]])</f>
        <v>-3</v>
      </c>
      <c r="H2692" s="10">
        <f>IF(TableRefills3[[#This Row],[gap_days]]="",0,IF(TableRefills3[[#This Row],[gap_days]]&gt;2,1,0))</f>
        <v>0</v>
      </c>
      <c r="I2692">
        <f>_xlfn.MAXIFS(TableRefills3[discountinuation_flag], TableRefills3[patient_id], A2692)</f>
        <v>1</v>
      </c>
    </row>
    <row r="2693" spans="1:9" x14ac:dyDescent="0.25">
      <c r="A2693" t="s">
        <v>4284</v>
      </c>
      <c r="B2693" t="s">
        <v>4285</v>
      </c>
      <c r="C2693" s="3">
        <v>45834</v>
      </c>
      <c r="D2693">
        <v>14</v>
      </c>
      <c r="E2693" s="3">
        <f t="shared" si="42"/>
        <v>45818</v>
      </c>
      <c r="F2693" s="3">
        <f>IF(TableRefills3[[#This Row],[prev_refill_days]]="","",TableRefills3[[#This Row],[prev_refill_days]]+TableRefills3[[#This Row],[quantity_days]])</f>
        <v>45832</v>
      </c>
      <c r="G2693">
        <f>IF(TableRefills3[[#This Row],[prev_refill_end]]="","",TableRefills3[[#This Row],[refill_date]]-TableRefills3[[#This Row],[prev_refill_end]])</f>
        <v>2</v>
      </c>
      <c r="H2693" s="10">
        <f>IF(TableRefills3[[#This Row],[gap_days]]="",0,IF(TableRefills3[[#This Row],[gap_days]]&gt;2,1,0))</f>
        <v>0</v>
      </c>
      <c r="I2693">
        <f>_xlfn.MAXIFS(TableRefills3[discountinuation_flag], TableRefills3[patient_id], A2693)</f>
        <v>1</v>
      </c>
    </row>
    <row r="2694" spans="1:9" x14ac:dyDescent="0.25">
      <c r="A2694" t="s">
        <v>4284</v>
      </c>
      <c r="B2694" t="s">
        <v>4285</v>
      </c>
      <c r="C2694" s="3">
        <v>45847</v>
      </c>
      <c r="D2694">
        <v>14</v>
      </c>
      <c r="E2694" s="3">
        <f t="shared" si="42"/>
        <v>45834</v>
      </c>
      <c r="F2694" s="3">
        <f>IF(TableRefills3[[#This Row],[prev_refill_days]]="","",TableRefills3[[#This Row],[prev_refill_days]]+TableRefills3[[#This Row],[quantity_days]])</f>
        <v>45848</v>
      </c>
      <c r="G2694">
        <f>IF(TableRefills3[[#This Row],[prev_refill_end]]="","",TableRefills3[[#This Row],[refill_date]]-TableRefills3[[#This Row],[prev_refill_end]])</f>
        <v>-1</v>
      </c>
      <c r="H2694" s="10">
        <f>IF(TableRefills3[[#This Row],[gap_days]]="",0,IF(TableRefills3[[#This Row],[gap_days]]&gt;2,1,0))</f>
        <v>0</v>
      </c>
      <c r="I2694">
        <f>_xlfn.MAXIFS(TableRefills3[discountinuation_flag], TableRefills3[patient_id], A2694)</f>
        <v>1</v>
      </c>
    </row>
    <row r="2695" spans="1:9" x14ac:dyDescent="0.25">
      <c r="A2695" t="s">
        <v>4284</v>
      </c>
      <c r="B2695" t="s">
        <v>4285</v>
      </c>
      <c r="C2695" s="3">
        <v>45861</v>
      </c>
      <c r="D2695">
        <v>14</v>
      </c>
      <c r="E2695" s="3">
        <f t="shared" si="42"/>
        <v>45847</v>
      </c>
      <c r="F2695" s="3">
        <f>IF(TableRefills3[[#This Row],[prev_refill_days]]="","",TableRefills3[[#This Row],[prev_refill_days]]+TableRefills3[[#This Row],[quantity_days]])</f>
        <v>45861</v>
      </c>
      <c r="G2695">
        <f>IF(TableRefills3[[#This Row],[prev_refill_end]]="","",TableRefills3[[#This Row],[refill_date]]-TableRefills3[[#This Row],[prev_refill_end]])</f>
        <v>0</v>
      </c>
      <c r="H2695" s="10">
        <f>IF(TableRefills3[[#This Row],[gap_days]]="",0,IF(TableRefills3[[#This Row],[gap_days]]&gt;2,1,0))</f>
        <v>0</v>
      </c>
      <c r="I2695">
        <f>_xlfn.MAXIFS(TableRefills3[discountinuation_flag], TableRefills3[patient_id], A2695)</f>
        <v>1</v>
      </c>
    </row>
    <row r="2696" spans="1:9" x14ac:dyDescent="0.25">
      <c r="A2696" t="s">
        <v>4284</v>
      </c>
      <c r="B2696" t="s">
        <v>4285</v>
      </c>
      <c r="C2696" s="3">
        <v>45874</v>
      </c>
      <c r="D2696">
        <v>14</v>
      </c>
      <c r="E2696" s="3">
        <f t="shared" si="42"/>
        <v>45861</v>
      </c>
      <c r="F2696" s="3">
        <f>IF(TableRefills3[[#This Row],[prev_refill_days]]="","",TableRefills3[[#This Row],[prev_refill_days]]+TableRefills3[[#This Row],[quantity_days]])</f>
        <v>45875</v>
      </c>
      <c r="G2696">
        <f>IF(TableRefills3[[#This Row],[prev_refill_end]]="","",TableRefills3[[#This Row],[refill_date]]-TableRefills3[[#This Row],[prev_refill_end]])</f>
        <v>-1</v>
      </c>
      <c r="H2696" s="10">
        <f>IF(TableRefills3[[#This Row],[gap_days]]="",0,IF(TableRefills3[[#This Row],[gap_days]]&gt;2,1,0))</f>
        <v>0</v>
      </c>
      <c r="I2696">
        <f>_xlfn.MAXIFS(TableRefills3[discountinuation_flag], TableRefills3[patient_id], A2696)</f>
        <v>1</v>
      </c>
    </row>
    <row r="2697" spans="1:9" x14ac:dyDescent="0.25">
      <c r="A2697" t="s">
        <v>4284</v>
      </c>
      <c r="B2697" t="s">
        <v>4285</v>
      </c>
      <c r="C2697" s="3">
        <v>45891</v>
      </c>
      <c r="D2697">
        <v>14</v>
      </c>
      <c r="E2697" s="3">
        <f t="shared" si="42"/>
        <v>45874</v>
      </c>
      <c r="F2697" s="3">
        <f>IF(TableRefills3[[#This Row],[prev_refill_days]]="","",TableRefills3[[#This Row],[prev_refill_days]]+TableRefills3[[#This Row],[quantity_days]])</f>
        <v>45888</v>
      </c>
      <c r="G2697">
        <f>IF(TableRefills3[[#This Row],[prev_refill_end]]="","",TableRefills3[[#This Row],[refill_date]]-TableRefills3[[#This Row],[prev_refill_end]])</f>
        <v>3</v>
      </c>
      <c r="H2697" s="10">
        <f>IF(TableRefills3[[#This Row],[gap_days]]="",0,IF(TableRefills3[[#This Row],[gap_days]]&gt;2,1,0))</f>
        <v>1</v>
      </c>
      <c r="I2697">
        <f>_xlfn.MAXIFS(TableRefills3[discountinuation_flag], TableRefills3[patient_id], A2697)</f>
        <v>1</v>
      </c>
    </row>
    <row r="2698" spans="1:9" x14ac:dyDescent="0.25">
      <c r="A2698" t="s">
        <v>4284</v>
      </c>
      <c r="B2698" t="s">
        <v>4285</v>
      </c>
      <c r="C2698" s="3">
        <v>45908</v>
      </c>
      <c r="D2698">
        <v>14</v>
      </c>
      <c r="E2698" s="3">
        <f t="shared" si="42"/>
        <v>45891</v>
      </c>
      <c r="F2698" s="3">
        <f>IF(TableRefills3[[#This Row],[prev_refill_days]]="","",TableRefills3[[#This Row],[prev_refill_days]]+TableRefills3[[#This Row],[quantity_days]])</f>
        <v>45905</v>
      </c>
      <c r="G2698">
        <f>IF(TableRefills3[[#This Row],[prev_refill_end]]="","",TableRefills3[[#This Row],[refill_date]]-TableRefills3[[#This Row],[prev_refill_end]])</f>
        <v>3</v>
      </c>
      <c r="H2698" s="10">
        <f>IF(TableRefills3[[#This Row],[gap_days]]="",0,IF(TableRefills3[[#This Row],[gap_days]]&gt;2,1,0))</f>
        <v>1</v>
      </c>
      <c r="I2698">
        <f>_xlfn.MAXIFS(TableRefills3[discountinuation_flag], TableRefills3[patient_id], A2698)</f>
        <v>1</v>
      </c>
    </row>
    <row r="2699" spans="1:9" x14ac:dyDescent="0.25">
      <c r="A2699" t="s">
        <v>4284</v>
      </c>
      <c r="B2699" t="s">
        <v>4285</v>
      </c>
      <c r="C2699" s="3">
        <v>45919</v>
      </c>
      <c r="D2699">
        <v>14</v>
      </c>
      <c r="E2699" s="3">
        <f t="shared" si="42"/>
        <v>45908</v>
      </c>
      <c r="F2699" s="3">
        <f>IF(TableRefills3[[#This Row],[prev_refill_days]]="","",TableRefills3[[#This Row],[prev_refill_days]]+TableRefills3[[#This Row],[quantity_days]])</f>
        <v>45922</v>
      </c>
      <c r="G2699">
        <f>IF(TableRefills3[[#This Row],[prev_refill_end]]="","",TableRefills3[[#This Row],[refill_date]]-TableRefills3[[#This Row],[prev_refill_end]])</f>
        <v>-3</v>
      </c>
      <c r="H2699" s="10">
        <f>IF(TableRefills3[[#This Row],[gap_days]]="",0,IF(TableRefills3[[#This Row],[gap_days]]&gt;2,1,0))</f>
        <v>0</v>
      </c>
      <c r="I2699">
        <f>_xlfn.MAXIFS(TableRefills3[discountinuation_flag], TableRefills3[patient_id], A2699)</f>
        <v>1</v>
      </c>
    </row>
    <row r="2700" spans="1:9" x14ac:dyDescent="0.25">
      <c r="A2700" t="s">
        <v>4284</v>
      </c>
      <c r="B2700" t="s">
        <v>4285</v>
      </c>
      <c r="C2700" s="3">
        <v>45935</v>
      </c>
      <c r="D2700">
        <v>14</v>
      </c>
      <c r="E2700" s="3">
        <f t="shared" si="42"/>
        <v>45919</v>
      </c>
      <c r="F2700" s="3">
        <f>IF(TableRefills3[[#This Row],[prev_refill_days]]="","",TableRefills3[[#This Row],[prev_refill_days]]+TableRefills3[[#This Row],[quantity_days]])</f>
        <v>45933</v>
      </c>
      <c r="G2700">
        <f>IF(TableRefills3[[#This Row],[prev_refill_end]]="","",TableRefills3[[#This Row],[refill_date]]-TableRefills3[[#This Row],[prev_refill_end]])</f>
        <v>2</v>
      </c>
      <c r="H2700" s="10">
        <f>IF(TableRefills3[[#This Row],[gap_days]]="",0,IF(TableRefills3[[#This Row],[gap_days]]&gt;2,1,0))</f>
        <v>0</v>
      </c>
      <c r="I2700">
        <f>_xlfn.MAXIFS(TableRefills3[discountinuation_flag], TableRefills3[patient_id], A2700)</f>
        <v>1</v>
      </c>
    </row>
    <row r="2701" spans="1:9" x14ac:dyDescent="0.25">
      <c r="A2701" t="s">
        <v>4284</v>
      </c>
      <c r="B2701" t="s">
        <v>4285</v>
      </c>
      <c r="C2701" s="3">
        <v>45950</v>
      </c>
      <c r="D2701">
        <v>14</v>
      </c>
      <c r="E2701" s="3">
        <f t="shared" si="42"/>
        <v>45935</v>
      </c>
      <c r="F2701" s="3">
        <f>IF(TableRefills3[[#This Row],[prev_refill_days]]="","",TableRefills3[[#This Row],[prev_refill_days]]+TableRefills3[[#This Row],[quantity_days]])</f>
        <v>45949</v>
      </c>
      <c r="G2701">
        <f>IF(TableRefills3[[#This Row],[prev_refill_end]]="","",TableRefills3[[#This Row],[refill_date]]-TableRefills3[[#This Row],[prev_refill_end]])</f>
        <v>1</v>
      </c>
      <c r="H2701" s="10">
        <f>IF(TableRefills3[[#This Row],[gap_days]]="",0,IF(TableRefills3[[#This Row],[gap_days]]&gt;2,1,0))</f>
        <v>0</v>
      </c>
      <c r="I2701">
        <f>_xlfn.MAXIFS(TableRefills3[discountinuation_flag], TableRefills3[patient_id], A2701)</f>
        <v>1</v>
      </c>
    </row>
    <row r="2702" spans="1:9" x14ac:dyDescent="0.25">
      <c r="A2702" t="s">
        <v>4297</v>
      </c>
      <c r="B2702" t="s">
        <v>4298</v>
      </c>
      <c r="C2702" s="3">
        <v>45814</v>
      </c>
      <c r="D2702">
        <v>28</v>
      </c>
      <c r="E2702" s="3" t="str">
        <f t="shared" si="42"/>
        <v/>
      </c>
      <c r="F2702" s="3" t="str">
        <f>IF(TableRefills3[[#This Row],[prev_refill_days]]="","",TableRefills3[[#This Row],[prev_refill_days]]+TableRefills3[[#This Row],[quantity_days]])</f>
        <v/>
      </c>
      <c r="G2702" t="str">
        <f>IF(TableRefills3[[#This Row],[prev_refill_end]]="","",TableRefills3[[#This Row],[refill_date]]-TableRefills3[[#This Row],[prev_refill_end]])</f>
        <v/>
      </c>
      <c r="H2702" s="10">
        <f>IF(TableRefills3[[#This Row],[gap_days]]="",0,IF(TableRefills3[[#This Row],[gap_days]]&gt;2,1,0))</f>
        <v>0</v>
      </c>
      <c r="I2702">
        <f>_xlfn.MAXIFS(TableRefills3[discountinuation_flag], TableRefills3[patient_id], A2702)</f>
        <v>0</v>
      </c>
    </row>
    <row r="2703" spans="1:9" x14ac:dyDescent="0.25">
      <c r="A2703" t="s">
        <v>4300</v>
      </c>
      <c r="B2703" t="s">
        <v>4301</v>
      </c>
      <c r="C2703" s="3">
        <v>45857</v>
      </c>
      <c r="D2703">
        <v>28</v>
      </c>
      <c r="E2703" s="3" t="str">
        <f t="shared" si="42"/>
        <v/>
      </c>
      <c r="F2703" s="3" t="str">
        <f>IF(TableRefills3[[#This Row],[prev_refill_days]]="","",TableRefills3[[#This Row],[prev_refill_days]]+TableRefills3[[#This Row],[quantity_days]])</f>
        <v/>
      </c>
      <c r="G2703" t="str">
        <f>IF(TableRefills3[[#This Row],[prev_refill_end]]="","",TableRefills3[[#This Row],[refill_date]]-TableRefills3[[#This Row],[prev_refill_end]])</f>
        <v/>
      </c>
      <c r="H2703" s="10">
        <f>IF(TableRefills3[[#This Row],[gap_days]]="",0,IF(TableRefills3[[#This Row],[gap_days]]&gt;2,1,0))</f>
        <v>0</v>
      </c>
      <c r="I2703">
        <f>_xlfn.MAXIFS(TableRefills3[discountinuation_flag], TableRefills3[patient_id], A2703)</f>
        <v>0</v>
      </c>
    </row>
    <row r="2704" spans="1:9" x14ac:dyDescent="0.25">
      <c r="A2704" t="s">
        <v>4300</v>
      </c>
      <c r="B2704" t="s">
        <v>4301</v>
      </c>
      <c r="C2704" s="3">
        <v>45882</v>
      </c>
      <c r="D2704">
        <v>28</v>
      </c>
      <c r="E2704" s="3">
        <f t="shared" si="42"/>
        <v>45857</v>
      </c>
      <c r="F2704" s="3">
        <f>IF(TableRefills3[[#This Row],[prev_refill_days]]="","",TableRefills3[[#This Row],[prev_refill_days]]+TableRefills3[[#This Row],[quantity_days]])</f>
        <v>45885</v>
      </c>
      <c r="G2704">
        <f>IF(TableRefills3[[#This Row],[prev_refill_end]]="","",TableRefills3[[#This Row],[refill_date]]-TableRefills3[[#This Row],[prev_refill_end]])</f>
        <v>-3</v>
      </c>
      <c r="H2704" s="10">
        <f>IF(TableRefills3[[#This Row],[gap_days]]="",0,IF(TableRefills3[[#This Row],[gap_days]]&gt;2,1,0))</f>
        <v>0</v>
      </c>
      <c r="I2704">
        <f>_xlfn.MAXIFS(TableRefills3[discountinuation_flag], TableRefills3[patient_id], A2704)</f>
        <v>0</v>
      </c>
    </row>
    <row r="2705" spans="1:9" x14ac:dyDescent="0.25">
      <c r="A2705" t="s">
        <v>4304</v>
      </c>
      <c r="B2705" t="s">
        <v>4305</v>
      </c>
      <c r="C2705" s="3">
        <v>45894</v>
      </c>
      <c r="D2705">
        <v>30</v>
      </c>
      <c r="E2705" s="3" t="str">
        <f t="shared" si="42"/>
        <v/>
      </c>
      <c r="F2705" s="3" t="str">
        <f>IF(TableRefills3[[#This Row],[prev_refill_days]]="","",TableRefills3[[#This Row],[prev_refill_days]]+TableRefills3[[#This Row],[quantity_days]])</f>
        <v/>
      </c>
      <c r="G2705" t="str">
        <f>IF(TableRefills3[[#This Row],[prev_refill_end]]="","",TableRefills3[[#This Row],[refill_date]]-TableRefills3[[#This Row],[prev_refill_end]])</f>
        <v/>
      </c>
      <c r="H2705" s="10">
        <f>IF(TableRefills3[[#This Row],[gap_days]]="",0,IF(TableRefills3[[#This Row],[gap_days]]&gt;2,1,0))</f>
        <v>0</v>
      </c>
      <c r="I2705">
        <f>_xlfn.MAXIFS(TableRefills3[discountinuation_flag], TableRefills3[patient_id], A2705)</f>
        <v>0</v>
      </c>
    </row>
    <row r="2706" spans="1:9" x14ac:dyDescent="0.25">
      <c r="A2706" t="s">
        <v>4304</v>
      </c>
      <c r="B2706" t="s">
        <v>4305</v>
      </c>
      <c r="C2706" s="3">
        <v>45924</v>
      </c>
      <c r="D2706">
        <v>30</v>
      </c>
      <c r="E2706" s="3">
        <f t="shared" si="42"/>
        <v>45894</v>
      </c>
      <c r="F2706" s="3">
        <f>IF(TableRefills3[[#This Row],[prev_refill_days]]="","",TableRefills3[[#This Row],[prev_refill_days]]+TableRefills3[[#This Row],[quantity_days]])</f>
        <v>45924</v>
      </c>
      <c r="G2706">
        <f>IF(TableRefills3[[#This Row],[prev_refill_end]]="","",TableRefills3[[#This Row],[refill_date]]-TableRefills3[[#This Row],[prev_refill_end]])</f>
        <v>0</v>
      </c>
      <c r="H2706" s="10">
        <f>IF(TableRefills3[[#This Row],[gap_days]]="",0,IF(TableRefills3[[#This Row],[gap_days]]&gt;2,1,0))</f>
        <v>0</v>
      </c>
      <c r="I2706">
        <f>_xlfn.MAXIFS(TableRefills3[discountinuation_flag], TableRefills3[patient_id], A2706)</f>
        <v>0</v>
      </c>
    </row>
    <row r="2707" spans="1:9" x14ac:dyDescent="0.25">
      <c r="A2707" t="s">
        <v>4304</v>
      </c>
      <c r="B2707" t="s">
        <v>4305</v>
      </c>
      <c r="C2707" s="3">
        <v>45955</v>
      </c>
      <c r="D2707">
        <v>30</v>
      </c>
      <c r="E2707" s="3">
        <f t="shared" si="42"/>
        <v>45924</v>
      </c>
      <c r="F2707" s="3">
        <f>IF(TableRefills3[[#This Row],[prev_refill_days]]="","",TableRefills3[[#This Row],[prev_refill_days]]+TableRefills3[[#This Row],[quantity_days]])</f>
        <v>45954</v>
      </c>
      <c r="G2707">
        <f>IF(TableRefills3[[#This Row],[prev_refill_end]]="","",TableRefills3[[#This Row],[refill_date]]-TableRefills3[[#This Row],[prev_refill_end]])</f>
        <v>1</v>
      </c>
      <c r="H2707" s="10">
        <f>IF(TableRefills3[[#This Row],[gap_days]]="",0,IF(TableRefills3[[#This Row],[gap_days]]&gt;2,1,0))</f>
        <v>0</v>
      </c>
      <c r="I2707">
        <f>_xlfn.MAXIFS(TableRefills3[discountinuation_flag], TableRefills3[patient_id], A2707)</f>
        <v>0</v>
      </c>
    </row>
    <row r="2708" spans="1:9" x14ac:dyDescent="0.25">
      <c r="A2708" t="s">
        <v>4309</v>
      </c>
      <c r="B2708" t="s">
        <v>4310</v>
      </c>
      <c r="C2708" s="3">
        <v>45830</v>
      </c>
      <c r="D2708">
        <v>30</v>
      </c>
      <c r="E2708" s="3" t="str">
        <f t="shared" si="42"/>
        <v/>
      </c>
      <c r="F2708" s="3" t="str">
        <f>IF(TableRefills3[[#This Row],[prev_refill_days]]="","",TableRefills3[[#This Row],[prev_refill_days]]+TableRefills3[[#This Row],[quantity_days]])</f>
        <v/>
      </c>
      <c r="G2708" t="str">
        <f>IF(TableRefills3[[#This Row],[prev_refill_end]]="","",TableRefills3[[#This Row],[refill_date]]-TableRefills3[[#This Row],[prev_refill_end]])</f>
        <v/>
      </c>
      <c r="H2708" s="10">
        <f>IF(TableRefills3[[#This Row],[gap_days]]="",0,IF(TableRefills3[[#This Row],[gap_days]]&gt;2,1,0))</f>
        <v>0</v>
      </c>
      <c r="I2708">
        <f>_xlfn.MAXIFS(TableRefills3[discountinuation_flag], TableRefills3[patient_id], A2708)</f>
        <v>0</v>
      </c>
    </row>
    <row r="2709" spans="1:9" x14ac:dyDescent="0.25">
      <c r="A2709" t="s">
        <v>4309</v>
      </c>
      <c r="B2709" t="s">
        <v>4310</v>
      </c>
      <c r="C2709" s="3">
        <v>45862</v>
      </c>
      <c r="D2709">
        <v>30</v>
      </c>
      <c r="E2709" s="3">
        <f t="shared" si="42"/>
        <v>45830</v>
      </c>
      <c r="F2709" s="3">
        <f>IF(TableRefills3[[#This Row],[prev_refill_days]]="","",TableRefills3[[#This Row],[prev_refill_days]]+TableRefills3[[#This Row],[quantity_days]])</f>
        <v>45860</v>
      </c>
      <c r="G2709">
        <f>IF(TableRefills3[[#This Row],[prev_refill_end]]="","",TableRefills3[[#This Row],[refill_date]]-TableRefills3[[#This Row],[prev_refill_end]])</f>
        <v>2</v>
      </c>
      <c r="H2709" s="10">
        <f>IF(TableRefills3[[#This Row],[gap_days]]="",0,IF(TableRefills3[[#This Row],[gap_days]]&gt;2,1,0))</f>
        <v>0</v>
      </c>
      <c r="I2709">
        <f>_xlfn.MAXIFS(TableRefills3[discountinuation_flag], TableRefills3[patient_id], A2709)</f>
        <v>0</v>
      </c>
    </row>
    <row r="2710" spans="1:9" x14ac:dyDescent="0.25">
      <c r="A2710" t="s">
        <v>4313</v>
      </c>
      <c r="B2710" t="s">
        <v>4314</v>
      </c>
      <c r="C2710" s="3">
        <v>45901</v>
      </c>
      <c r="D2710">
        <v>28</v>
      </c>
      <c r="E2710" s="3" t="str">
        <f t="shared" si="42"/>
        <v/>
      </c>
      <c r="F2710" s="3" t="str">
        <f>IF(TableRefills3[[#This Row],[prev_refill_days]]="","",TableRefills3[[#This Row],[prev_refill_days]]+TableRefills3[[#This Row],[quantity_days]])</f>
        <v/>
      </c>
      <c r="G2710" t="str">
        <f>IF(TableRefills3[[#This Row],[prev_refill_end]]="","",TableRefills3[[#This Row],[refill_date]]-TableRefills3[[#This Row],[prev_refill_end]])</f>
        <v/>
      </c>
      <c r="H2710" s="10">
        <f>IF(TableRefills3[[#This Row],[gap_days]]="",0,IF(TableRefills3[[#This Row],[gap_days]]&gt;2,1,0))</f>
        <v>0</v>
      </c>
      <c r="I2710">
        <f>_xlfn.MAXIFS(TableRefills3[discountinuation_flag], TableRefills3[patient_id], A2710)</f>
        <v>0</v>
      </c>
    </row>
    <row r="2711" spans="1:9" x14ac:dyDescent="0.25">
      <c r="A2711" t="s">
        <v>4316</v>
      </c>
      <c r="B2711" t="s">
        <v>4317</v>
      </c>
      <c r="C2711" s="3">
        <v>45899</v>
      </c>
      <c r="D2711">
        <v>28</v>
      </c>
      <c r="E2711" s="3" t="str">
        <f t="shared" si="42"/>
        <v/>
      </c>
      <c r="F2711" s="3" t="str">
        <f>IF(TableRefills3[[#This Row],[prev_refill_days]]="","",TableRefills3[[#This Row],[prev_refill_days]]+TableRefills3[[#This Row],[quantity_days]])</f>
        <v/>
      </c>
      <c r="G2711" t="str">
        <f>IF(TableRefills3[[#This Row],[prev_refill_end]]="","",TableRefills3[[#This Row],[refill_date]]-TableRefills3[[#This Row],[prev_refill_end]])</f>
        <v/>
      </c>
      <c r="H2711" s="10">
        <f>IF(TableRefills3[[#This Row],[gap_days]]="",0,IF(TableRefills3[[#This Row],[gap_days]]&gt;2,1,0))</f>
        <v>0</v>
      </c>
      <c r="I2711">
        <f>_xlfn.MAXIFS(TableRefills3[discountinuation_flag], TableRefills3[patient_id], A2711)</f>
        <v>0</v>
      </c>
    </row>
    <row r="2712" spans="1:9" x14ac:dyDescent="0.25">
      <c r="A2712" t="s">
        <v>4319</v>
      </c>
      <c r="B2712" t="s">
        <v>4320</v>
      </c>
      <c r="C2712" s="3">
        <v>45890</v>
      </c>
      <c r="D2712">
        <v>30</v>
      </c>
      <c r="E2712" s="3" t="str">
        <f t="shared" si="42"/>
        <v/>
      </c>
      <c r="F2712" s="3" t="str">
        <f>IF(TableRefills3[[#This Row],[prev_refill_days]]="","",TableRefills3[[#This Row],[prev_refill_days]]+TableRefills3[[#This Row],[quantity_days]])</f>
        <v/>
      </c>
      <c r="G2712" t="str">
        <f>IF(TableRefills3[[#This Row],[prev_refill_end]]="","",TableRefills3[[#This Row],[refill_date]]-TableRefills3[[#This Row],[prev_refill_end]])</f>
        <v/>
      </c>
      <c r="H2712" s="10">
        <f>IF(TableRefills3[[#This Row],[gap_days]]="",0,IF(TableRefills3[[#This Row],[gap_days]]&gt;2,1,0))</f>
        <v>0</v>
      </c>
      <c r="I2712">
        <f>_xlfn.MAXIFS(TableRefills3[discountinuation_flag], TableRefills3[patient_id], A2712)</f>
        <v>0</v>
      </c>
    </row>
    <row r="2713" spans="1:9" x14ac:dyDescent="0.25">
      <c r="A2713" t="s">
        <v>4319</v>
      </c>
      <c r="B2713" t="s">
        <v>4320</v>
      </c>
      <c r="C2713" s="3">
        <v>45918</v>
      </c>
      <c r="D2713">
        <v>30</v>
      </c>
      <c r="E2713" s="3">
        <f t="shared" si="42"/>
        <v>45890</v>
      </c>
      <c r="F2713" s="3">
        <f>IF(TableRefills3[[#This Row],[prev_refill_days]]="","",TableRefills3[[#This Row],[prev_refill_days]]+TableRefills3[[#This Row],[quantity_days]])</f>
        <v>45920</v>
      </c>
      <c r="G2713">
        <f>IF(TableRefills3[[#This Row],[prev_refill_end]]="","",TableRefills3[[#This Row],[refill_date]]-TableRefills3[[#This Row],[prev_refill_end]])</f>
        <v>-2</v>
      </c>
      <c r="H2713" s="10">
        <f>IF(TableRefills3[[#This Row],[gap_days]]="",0,IF(TableRefills3[[#This Row],[gap_days]]&gt;2,1,0))</f>
        <v>0</v>
      </c>
      <c r="I2713">
        <f>_xlfn.MAXIFS(TableRefills3[discountinuation_flag], TableRefills3[patient_id], A2713)</f>
        <v>0</v>
      </c>
    </row>
    <row r="2714" spans="1:9" x14ac:dyDescent="0.25">
      <c r="A2714" t="s">
        <v>4319</v>
      </c>
      <c r="B2714" t="s">
        <v>4320</v>
      </c>
      <c r="C2714" s="3">
        <v>45948</v>
      </c>
      <c r="D2714">
        <v>30</v>
      </c>
      <c r="E2714" s="3">
        <f t="shared" si="42"/>
        <v>45918</v>
      </c>
      <c r="F2714" s="3">
        <f>IF(TableRefills3[[#This Row],[prev_refill_days]]="","",TableRefills3[[#This Row],[prev_refill_days]]+TableRefills3[[#This Row],[quantity_days]])</f>
        <v>45948</v>
      </c>
      <c r="G2714">
        <f>IF(TableRefills3[[#This Row],[prev_refill_end]]="","",TableRefills3[[#This Row],[refill_date]]-TableRefills3[[#This Row],[prev_refill_end]])</f>
        <v>0</v>
      </c>
      <c r="H2714" s="10">
        <f>IF(TableRefills3[[#This Row],[gap_days]]="",0,IF(TableRefills3[[#This Row],[gap_days]]&gt;2,1,0))</f>
        <v>0</v>
      </c>
      <c r="I2714">
        <f>_xlfn.MAXIFS(TableRefills3[discountinuation_flag], TableRefills3[patient_id], A2714)</f>
        <v>0</v>
      </c>
    </row>
    <row r="2715" spans="1:9" x14ac:dyDescent="0.25">
      <c r="A2715" t="s">
        <v>4324</v>
      </c>
      <c r="B2715" t="s">
        <v>4325</v>
      </c>
      <c r="C2715" s="3">
        <v>45956</v>
      </c>
      <c r="D2715">
        <v>28</v>
      </c>
      <c r="E2715" s="3" t="str">
        <f t="shared" si="42"/>
        <v/>
      </c>
      <c r="F2715" s="3" t="str">
        <f>IF(TableRefills3[[#This Row],[prev_refill_days]]="","",TableRefills3[[#This Row],[prev_refill_days]]+TableRefills3[[#This Row],[quantity_days]])</f>
        <v/>
      </c>
      <c r="G2715" t="str">
        <f>IF(TableRefills3[[#This Row],[prev_refill_end]]="","",TableRefills3[[#This Row],[refill_date]]-TableRefills3[[#This Row],[prev_refill_end]])</f>
        <v/>
      </c>
      <c r="H2715" s="10">
        <f>IF(TableRefills3[[#This Row],[gap_days]]="",0,IF(TableRefills3[[#This Row],[gap_days]]&gt;2,1,0))</f>
        <v>0</v>
      </c>
      <c r="I2715">
        <f>_xlfn.MAXIFS(TableRefills3[discountinuation_flag], TableRefills3[patient_id], A2715)</f>
        <v>0</v>
      </c>
    </row>
    <row r="2716" spans="1:9" x14ac:dyDescent="0.25">
      <c r="A2716" t="s">
        <v>4327</v>
      </c>
      <c r="B2716" t="s">
        <v>4328</v>
      </c>
      <c r="C2716" s="3">
        <v>45859</v>
      </c>
      <c r="D2716">
        <v>28</v>
      </c>
      <c r="E2716" s="3" t="str">
        <f t="shared" si="42"/>
        <v/>
      </c>
      <c r="F2716" s="3" t="str">
        <f>IF(TableRefills3[[#This Row],[prev_refill_days]]="","",TableRefills3[[#This Row],[prev_refill_days]]+TableRefills3[[#This Row],[quantity_days]])</f>
        <v/>
      </c>
      <c r="G2716" t="str">
        <f>IF(TableRefills3[[#This Row],[prev_refill_end]]="","",TableRefills3[[#This Row],[refill_date]]-TableRefills3[[#This Row],[prev_refill_end]])</f>
        <v/>
      </c>
      <c r="H2716" s="10">
        <f>IF(TableRefills3[[#This Row],[gap_days]]="",0,IF(TableRefills3[[#This Row],[gap_days]]&gt;2,1,0))</f>
        <v>0</v>
      </c>
      <c r="I2716">
        <f>_xlfn.MAXIFS(TableRefills3[discountinuation_flag], TableRefills3[patient_id], A2716)</f>
        <v>0</v>
      </c>
    </row>
    <row r="2717" spans="1:9" x14ac:dyDescent="0.25">
      <c r="A2717" t="s">
        <v>4327</v>
      </c>
      <c r="B2717" t="s">
        <v>4328</v>
      </c>
      <c r="C2717" s="3">
        <v>45887</v>
      </c>
      <c r="D2717">
        <v>28</v>
      </c>
      <c r="E2717" s="3">
        <f t="shared" si="42"/>
        <v>45859</v>
      </c>
      <c r="F2717" s="3">
        <f>IF(TableRefills3[[#This Row],[prev_refill_days]]="","",TableRefills3[[#This Row],[prev_refill_days]]+TableRefills3[[#This Row],[quantity_days]])</f>
        <v>45887</v>
      </c>
      <c r="G2717">
        <f>IF(TableRefills3[[#This Row],[prev_refill_end]]="","",TableRefills3[[#This Row],[refill_date]]-TableRefills3[[#This Row],[prev_refill_end]])</f>
        <v>0</v>
      </c>
      <c r="H2717" s="10">
        <f>IF(TableRefills3[[#This Row],[gap_days]]="",0,IF(TableRefills3[[#This Row],[gap_days]]&gt;2,1,0))</f>
        <v>0</v>
      </c>
      <c r="I2717">
        <f>_xlfn.MAXIFS(TableRefills3[discountinuation_flag], TableRefills3[patient_id], A2717)</f>
        <v>0</v>
      </c>
    </row>
    <row r="2718" spans="1:9" x14ac:dyDescent="0.25">
      <c r="A2718" t="s">
        <v>4327</v>
      </c>
      <c r="B2718" t="s">
        <v>4328</v>
      </c>
      <c r="C2718" s="3">
        <v>45915</v>
      </c>
      <c r="D2718">
        <v>28</v>
      </c>
      <c r="E2718" s="3">
        <f t="shared" si="42"/>
        <v>45887</v>
      </c>
      <c r="F2718" s="3">
        <f>IF(TableRefills3[[#This Row],[prev_refill_days]]="","",TableRefills3[[#This Row],[prev_refill_days]]+TableRefills3[[#This Row],[quantity_days]])</f>
        <v>45915</v>
      </c>
      <c r="G2718">
        <f>IF(TableRefills3[[#This Row],[prev_refill_end]]="","",TableRefills3[[#This Row],[refill_date]]-TableRefills3[[#This Row],[prev_refill_end]])</f>
        <v>0</v>
      </c>
      <c r="H2718" s="10">
        <f>IF(TableRefills3[[#This Row],[gap_days]]="",0,IF(TableRefills3[[#This Row],[gap_days]]&gt;2,1,0))</f>
        <v>0</v>
      </c>
      <c r="I2718">
        <f>_xlfn.MAXIFS(TableRefills3[discountinuation_flag], TableRefills3[patient_id], A2718)</f>
        <v>0</v>
      </c>
    </row>
    <row r="2719" spans="1:9" x14ac:dyDescent="0.25">
      <c r="A2719" t="s">
        <v>4327</v>
      </c>
      <c r="B2719" t="s">
        <v>4328</v>
      </c>
      <c r="C2719" s="3">
        <v>45943</v>
      </c>
      <c r="D2719">
        <v>28</v>
      </c>
      <c r="E2719" s="3">
        <f t="shared" si="42"/>
        <v>45915</v>
      </c>
      <c r="F2719" s="3">
        <f>IF(TableRefills3[[#This Row],[prev_refill_days]]="","",TableRefills3[[#This Row],[prev_refill_days]]+TableRefills3[[#This Row],[quantity_days]])</f>
        <v>45943</v>
      </c>
      <c r="G2719">
        <f>IF(TableRefills3[[#This Row],[prev_refill_end]]="","",TableRefills3[[#This Row],[refill_date]]-TableRefills3[[#This Row],[prev_refill_end]])</f>
        <v>0</v>
      </c>
      <c r="H2719" s="10">
        <f>IF(TableRefills3[[#This Row],[gap_days]]="",0,IF(TableRefills3[[#This Row],[gap_days]]&gt;2,1,0))</f>
        <v>0</v>
      </c>
      <c r="I2719">
        <f>_xlfn.MAXIFS(TableRefills3[discountinuation_flag], TableRefills3[patient_id], A2719)</f>
        <v>0</v>
      </c>
    </row>
    <row r="2720" spans="1:9" x14ac:dyDescent="0.25">
      <c r="A2720" t="s">
        <v>4333</v>
      </c>
      <c r="B2720" t="s">
        <v>4334</v>
      </c>
      <c r="C2720" s="3">
        <v>45854</v>
      </c>
      <c r="D2720">
        <v>30</v>
      </c>
      <c r="E2720" s="3" t="str">
        <f t="shared" si="42"/>
        <v/>
      </c>
      <c r="F2720" s="3" t="str">
        <f>IF(TableRefills3[[#This Row],[prev_refill_days]]="","",TableRefills3[[#This Row],[prev_refill_days]]+TableRefills3[[#This Row],[quantity_days]])</f>
        <v/>
      </c>
      <c r="G2720" t="str">
        <f>IF(TableRefills3[[#This Row],[prev_refill_end]]="","",TableRefills3[[#This Row],[refill_date]]-TableRefills3[[#This Row],[prev_refill_end]])</f>
        <v/>
      </c>
      <c r="H2720" s="10">
        <f>IF(TableRefills3[[#This Row],[gap_days]]="",0,IF(TableRefills3[[#This Row],[gap_days]]&gt;2,1,0))</f>
        <v>0</v>
      </c>
      <c r="I2720">
        <f>_xlfn.MAXIFS(TableRefills3[discountinuation_flag], TableRefills3[patient_id], A2720)</f>
        <v>0</v>
      </c>
    </row>
    <row r="2721" spans="1:9" x14ac:dyDescent="0.25">
      <c r="A2721" t="s">
        <v>4333</v>
      </c>
      <c r="B2721" t="s">
        <v>4334</v>
      </c>
      <c r="C2721" s="3">
        <v>45885</v>
      </c>
      <c r="D2721">
        <v>30</v>
      </c>
      <c r="E2721" s="3">
        <f t="shared" si="42"/>
        <v>45854</v>
      </c>
      <c r="F2721" s="3">
        <f>IF(TableRefills3[[#This Row],[prev_refill_days]]="","",TableRefills3[[#This Row],[prev_refill_days]]+TableRefills3[[#This Row],[quantity_days]])</f>
        <v>45884</v>
      </c>
      <c r="G2721">
        <f>IF(TableRefills3[[#This Row],[prev_refill_end]]="","",TableRefills3[[#This Row],[refill_date]]-TableRefills3[[#This Row],[prev_refill_end]])</f>
        <v>1</v>
      </c>
      <c r="H2721" s="10">
        <f>IF(TableRefills3[[#This Row],[gap_days]]="",0,IF(TableRefills3[[#This Row],[gap_days]]&gt;2,1,0))</f>
        <v>0</v>
      </c>
      <c r="I2721">
        <f>_xlfn.MAXIFS(TableRefills3[discountinuation_flag], TableRefills3[patient_id], A2721)</f>
        <v>0</v>
      </c>
    </row>
    <row r="2722" spans="1:9" x14ac:dyDescent="0.25">
      <c r="A2722" t="s">
        <v>4333</v>
      </c>
      <c r="B2722" t="s">
        <v>4334</v>
      </c>
      <c r="C2722" s="3">
        <v>45913</v>
      </c>
      <c r="D2722">
        <v>30</v>
      </c>
      <c r="E2722" s="3">
        <f t="shared" si="42"/>
        <v>45885</v>
      </c>
      <c r="F2722" s="3">
        <f>IF(TableRefills3[[#This Row],[prev_refill_days]]="","",TableRefills3[[#This Row],[prev_refill_days]]+TableRefills3[[#This Row],[quantity_days]])</f>
        <v>45915</v>
      </c>
      <c r="G2722">
        <f>IF(TableRefills3[[#This Row],[prev_refill_end]]="","",TableRefills3[[#This Row],[refill_date]]-TableRefills3[[#This Row],[prev_refill_end]])</f>
        <v>-2</v>
      </c>
      <c r="H2722" s="10">
        <f>IF(TableRefills3[[#This Row],[gap_days]]="",0,IF(TableRefills3[[#This Row],[gap_days]]&gt;2,1,0))</f>
        <v>0</v>
      </c>
      <c r="I2722">
        <f>_xlfn.MAXIFS(TableRefills3[discountinuation_flag], TableRefills3[patient_id], A2722)</f>
        <v>0</v>
      </c>
    </row>
    <row r="2723" spans="1:9" x14ac:dyDescent="0.25">
      <c r="A2723" t="s">
        <v>4333</v>
      </c>
      <c r="B2723" t="s">
        <v>4334</v>
      </c>
      <c r="C2723" s="3">
        <v>45942</v>
      </c>
      <c r="D2723">
        <v>30</v>
      </c>
      <c r="E2723" s="3">
        <f t="shared" si="42"/>
        <v>45913</v>
      </c>
      <c r="F2723" s="3">
        <f>IF(TableRefills3[[#This Row],[prev_refill_days]]="","",TableRefills3[[#This Row],[prev_refill_days]]+TableRefills3[[#This Row],[quantity_days]])</f>
        <v>45943</v>
      </c>
      <c r="G2723">
        <f>IF(TableRefills3[[#This Row],[prev_refill_end]]="","",TableRefills3[[#This Row],[refill_date]]-TableRefills3[[#This Row],[prev_refill_end]])</f>
        <v>-1</v>
      </c>
      <c r="H2723" s="10">
        <f>IF(TableRefills3[[#This Row],[gap_days]]="",0,IF(TableRefills3[[#This Row],[gap_days]]&gt;2,1,0))</f>
        <v>0</v>
      </c>
      <c r="I2723">
        <f>_xlfn.MAXIFS(TableRefills3[discountinuation_flag], TableRefills3[patient_id], A2723)</f>
        <v>0</v>
      </c>
    </row>
    <row r="2724" spans="1:9" x14ac:dyDescent="0.25">
      <c r="A2724" t="s">
        <v>4339</v>
      </c>
      <c r="B2724" t="s">
        <v>4340</v>
      </c>
      <c r="C2724" s="3">
        <v>45959</v>
      </c>
      <c r="D2724">
        <v>28</v>
      </c>
      <c r="E2724" s="3" t="str">
        <f t="shared" si="42"/>
        <v/>
      </c>
      <c r="F2724" s="3" t="str">
        <f>IF(TableRefills3[[#This Row],[prev_refill_days]]="","",TableRefills3[[#This Row],[prev_refill_days]]+TableRefills3[[#This Row],[quantity_days]])</f>
        <v/>
      </c>
      <c r="G2724" t="str">
        <f>IF(TableRefills3[[#This Row],[prev_refill_end]]="","",TableRefills3[[#This Row],[refill_date]]-TableRefills3[[#This Row],[prev_refill_end]])</f>
        <v/>
      </c>
      <c r="H2724" s="10">
        <f>IF(TableRefills3[[#This Row],[gap_days]]="",0,IF(TableRefills3[[#This Row],[gap_days]]&gt;2,1,0))</f>
        <v>0</v>
      </c>
      <c r="I2724">
        <f>_xlfn.MAXIFS(TableRefills3[discountinuation_flag], TableRefills3[patient_id], A2724)</f>
        <v>0</v>
      </c>
    </row>
    <row r="2725" spans="1:9" x14ac:dyDescent="0.25">
      <c r="A2725" t="s">
        <v>4342</v>
      </c>
      <c r="B2725" t="s">
        <v>4343</v>
      </c>
      <c r="C2725" s="3">
        <v>45783</v>
      </c>
      <c r="D2725">
        <v>14</v>
      </c>
      <c r="E2725" s="3" t="str">
        <f t="shared" si="42"/>
        <v/>
      </c>
      <c r="F2725" s="3" t="str">
        <f>IF(TableRefills3[[#This Row],[prev_refill_days]]="","",TableRefills3[[#This Row],[prev_refill_days]]+TableRefills3[[#This Row],[quantity_days]])</f>
        <v/>
      </c>
      <c r="G2725" t="str">
        <f>IF(TableRefills3[[#This Row],[prev_refill_end]]="","",TableRefills3[[#This Row],[refill_date]]-TableRefills3[[#This Row],[prev_refill_end]])</f>
        <v/>
      </c>
      <c r="H2725" s="10">
        <f>IF(TableRefills3[[#This Row],[gap_days]]="",0,IF(TableRefills3[[#This Row],[gap_days]]&gt;2,1,0))</f>
        <v>0</v>
      </c>
      <c r="I2725">
        <f>_xlfn.MAXIFS(TableRefills3[discountinuation_flag], TableRefills3[patient_id], A2725)</f>
        <v>1</v>
      </c>
    </row>
    <row r="2726" spans="1:9" x14ac:dyDescent="0.25">
      <c r="A2726" t="s">
        <v>4342</v>
      </c>
      <c r="B2726" t="s">
        <v>4343</v>
      </c>
      <c r="C2726" s="3">
        <v>45796</v>
      </c>
      <c r="D2726">
        <v>14</v>
      </c>
      <c r="E2726" s="3">
        <f t="shared" si="42"/>
        <v>45783</v>
      </c>
      <c r="F2726" s="3">
        <f>IF(TableRefills3[[#This Row],[prev_refill_days]]="","",TableRefills3[[#This Row],[prev_refill_days]]+TableRefills3[[#This Row],[quantity_days]])</f>
        <v>45797</v>
      </c>
      <c r="G2726">
        <f>IF(TableRefills3[[#This Row],[prev_refill_end]]="","",TableRefills3[[#This Row],[refill_date]]-TableRefills3[[#This Row],[prev_refill_end]])</f>
        <v>-1</v>
      </c>
      <c r="H2726" s="10">
        <f>IF(TableRefills3[[#This Row],[gap_days]]="",0,IF(TableRefills3[[#This Row],[gap_days]]&gt;2,1,0))</f>
        <v>0</v>
      </c>
      <c r="I2726">
        <f>_xlfn.MAXIFS(TableRefills3[discountinuation_flag], TableRefills3[patient_id], A2726)</f>
        <v>1</v>
      </c>
    </row>
    <row r="2727" spans="1:9" x14ac:dyDescent="0.25">
      <c r="A2727" t="s">
        <v>4342</v>
      </c>
      <c r="B2727" t="s">
        <v>4343</v>
      </c>
      <c r="C2727" s="3">
        <v>45808</v>
      </c>
      <c r="D2727">
        <v>14</v>
      </c>
      <c r="E2727" s="3">
        <f t="shared" si="42"/>
        <v>45796</v>
      </c>
      <c r="F2727" s="3">
        <f>IF(TableRefills3[[#This Row],[prev_refill_days]]="","",TableRefills3[[#This Row],[prev_refill_days]]+TableRefills3[[#This Row],[quantity_days]])</f>
        <v>45810</v>
      </c>
      <c r="G2727">
        <f>IF(TableRefills3[[#This Row],[prev_refill_end]]="","",TableRefills3[[#This Row],[refill_date]]-TableRefills3[[#This Row],[prev_refill_end]])</f>
        <v>-2</v>
      </c>
      <c r="H2727" s="10">
        <f>IF(TableRefills3[[#This Row],[gap_days]]="",0,IF(TableRefills3[[#This Row],[gap_days]]&gt;2,1,0))</f>
        <v>0</v>
      </c>
      <c r="I2727">
        <f>_xlfn.MAXIFS(TableRefills3[discountinuation_flag], TableRefills3[patient_id], A2727)</f>
        <v>1</v>
      </c>
    </row>
    <row r="2728" spans="1:9" x14ac:dyDescent="0.25">
      <c r="A2728" t="s">
        <v>4342</v>
      </c>
      <c r="B2728" t="s">
        <v>4343</v>
      </c>
      <c r="C2728" s="3">
        <v>45820</v>
      </c>
      <c r="D2728">
        <v>14</v>
      </c>
      <c r="E2728" s="3">
        <f t="shared" si="42"/>
        <v>45808</v>
      </c>
      <c r="F2728" s="3">
        <f>IF(TableRefills3[[#This Row],[prev_refill_days]]="","",TableRefills3[[#This Row],[prev_refill_days]]+TableRefills3[[#This Row],[quantity_days]])</f>
        <v>45822</v>
      </c>
      <c r="G2728">
        <f>IF(TableRefills3[[#This Row],[prev_refill_end]]="","",TableRefills3[[#This Row],[refill_date]]-TableRefills3[[#This Row],[prev_refill_end]])</f>
        <v>-2</v>
      </c>
      <c r="H2728" s="10">
        <f>IF(TableRefills3[[#This Row],[gap_days]]="",0,IF(TableRefills3[[#This Row],[gap_days]]&gt;2,1,0))</f>
        <v>0</v>
      </c>
      <c r="I2728">
        <f>_xlfn.MAXIFS(TableRefills3[discountinuation_flag], TableRefills3[patient_id], A2728)</f>
        <v>1</v>
      </c>
    </row>
    <row r="2729" spans="1:9" x14ac:dyDescent="0.25">
      <c r="A2729" t="s">
        <v>4342</v>
      </c>
      <c r="B2729" t="s">
        <v>4343</v>
      </c>
      <c r="C2729" s="3">
        <v>45836</v>
      </c>
      <c r="D2729">
        <v>14</v>
      </c>
      <c r="E2729" s="3">
        <f t="shared" si="42"/>
        <v>45820</v>
      </c>
      <c r="F2729" s="3">
        <f>IF(TableRefills3[[#This Row],[prev_refill_days]]="","",TableRefills3[[#This Row],[prev_refill_days]]+TableRefills3[[#This Row],[quantity_days]])</f>
        <v>45834</v>
      </c>
      <c r="G2729">
        <f>IF(TableRefills3[[#This Row],[prev_refill_end]]="","",TableRefills3[[#This Row],[refill_date]]-TableRefills3[[#This Row],[prev_refill_end]])</f>
        <v>2</v>
      </c>
      <c r="H2729" s="10">
        <f>IF(TableRefills3[[#This Row],[gap_days]]="",0,IF(TableRefills3[[#This Row],[gap_days]]&gt;2,1,0))</f>
        <v>0</v>
      </c>
      <c r="I2729">
        <f>_xlfn.MAXIFS(TableRefills3[discountinuation_flag], TableRefills3[patient_id], A2729)</f>
        <v>1</v>
      </c>
    </row>
    <row r="2730" spans="1:9" x14ac:dyDescent="0.25">
      <c r="A2730" t="s">
        <v>4342</v>
      </c>
      <c r="B2730" t="s">
        <v>4343</v>
      </c>
      <c r="C2730" s="3">
        <v>45847</v>
      </c>
      <c r="D2730">
        <v>14</v>
      </c>
      <c r="E2730" s="3">
        <f t="shared" si="42"/>
        <v>45836</v>
      </c>
      <c r="F2730" s="3">
        <f>IF(TableRefills3[[#This Row],[prev_refill_days]]="","",TableRefills3[[#This Row],[prev_refill_days]]+TableRefills3[[#This Row],[quantity_days]])</f>
        <v>45850</v>
      </c>
      <c r="G2730">
        <f>IF(TableRefills3[[#This Row],[prev_refill_end]]="","",TableRefills3[[#This Row],[refill_date]]-TableRefills3[[#This Row],[prev_refill_end]])</f>
        <v>-3</v>
      </c>
      <c r="H2730" s="10">
        <f>IF(TableRefills3[[#This Row],[gap_days]]="",0,IF(TableRefills3[[#This Row],[gap_days]]&gt;2,1,0))</f>
        <v>0</v>
      </c>
      <c r="I2730">
        <f>_xlfn.MAXIFS(TableRefills3[discountinuation_flag], TableRefills3[patient_id], A2730)</f>
        <v>1</v>
      </c>
    </row>
    <row r="2731" spans="1:9" x14ac:dyDescent="0.25">
      <c r="A2731" t="s">
        <v>4342</v>
      </c>
      <c r="B2731" t="s">
        <v>4343</v>
      </c>
      <c r="C2731" s="3">
        <v>45859</v>
      </c>
      <c r="D2731">
        <v>14</v>
      </c>
      <c r="E2731" s="3">
        <f t="shared" si="42"/>
        <v>45847</v>
      </c>
      <c r="F2731" s="3">
        <f>IF(TableRefills3[[#This Row],[prev_refill_days]]="","",TableRefills3[[#This Row],[prev_refill_days]]+TableRefills3[[#This Row],[quantity_days]])</f>
        <v>45861</v>
      </c>
      <c r="G2731">
        <f>IF(TableRefills3[[#This Row],[prev_refill_end]]="","",TableRefills3[[#This Row],[refill_date]]-TableRefills3[[#This Row],[prev_refill_end]])</f>
        <v>-2</v>
      </c>
      <c r="H2731" s="10">
        <f>IF(TableRefills3[[#This Row],[gap_days]]="",0,IF(TableRefills3[[#This Row],[gap_days]]&gt;2,1,0))</f>
        <v>0</v>
      </c>
      <c r="I2731">
        <f>_xlfn.MAXIFS(TableRefills3[discountinuation_flag], TableRefills3[patient_id], A2731)</f>
        <v>1</v>
      </c>
    </row>
    <row r="2732" spans="1:9" x14ac:dyDescent="0.25">
      <c r="A2732" t="s">
        <v>4342</v>
      </c>
      <c r="B2732" t="s">
        <v>4343</v>
      </c>
      <c r="C2732" s="3">
        <v>45876</v>
      </c>
      <c r="D2732">
        <v>14</v>
      </c>
      <c r="E2732" s="3">
        <f t="shared" si="42"/>
        <v>45859</v>
      </c>
      <c r="F2732" s="3">
        <f>IF(TableRefills3[[#This Row],[prev_refill_days]]="","",TableRefills3[[#This Row],[prev_refill_days]]+TableRefills3[[#This Row],[quantity_days]])</f>
        <v>45873</v>
      </c>
      <c r="G2732">
        <f>IF(TableRefills3[[#This Row],[prev_refill_end]]="","",TableRefills3[[#This Row],[refill_date]]-TableRefills3[[#This Row],[prev_refill_end]])</f>
        <v>3</v>
      </c>
      <c r="H2732" s="10">
        <f>IF(TableRefills3[[#This Row],[gap_days]]="",0,IF(TableRefills3[[#This Row],[gap_days]]&gt;2,1,0))</f>
        <v>1</v>
      </c>
      <c r="I2732">
        <f>_xlfn.MAXIFS(TableRefills3[discountinuation_flag], TableRefills3[patient_id], A2732)</f>
        <v>1</v>
      </c>
    </row>
    <row r="2733" spans="1:9" x14ac:dyDescent="0.25">
      <c r="A2733" t="s">
        <v>4342</v>
      </c>
      <c r="B2733" t="s">
        <v>4343</v>
      </c>
      <c r="C2733" s="3">
        <v>45890</v>
      </c>
      <c r="D2733">
        <v>14</v>
      </c>
      <c r="E2733" s="3">
        <f t="shared" si="42"/>
        <v>45876</v>
      </c>
      <c r="F2733" s="3">
        <f>IF(TableRefills3[[#This Row],[prev_refill_days]]="","",TableRefills3[[#This Row],[prev_refill_days]]+TableRefills3[[#This Row],[quantity_days]])</f>
        <v>45890</v>
      </c>
      <c r="G2733">
        <f>IF(TableRefills3[[#This Row],[prev_refill_end]]="","",TableRefills3[[#This Row],[refill_date]]-TableRefills3[[#This Row],[prev_refill_end]])</f>
        <v>0</v>
      </c>
      <c r="H2733" s="10">
        <f>IF(TableRefills3[[#This Row],[gap_days]]="",0,IF(TableRefills3[[#This Row],[gap_days]]&gt;2,1,0))</f>
        <v>0</v>
      </c>
      <c r="I2733">
        <f>_xlfn.MAXIFS(TableRefills3[discountinuation_flag], TableRefills3[patient_id], A2733)</f>
        <v>1</v>
      </c>
    </row>
    <row r="2734" spans="1:9" x14ac:dyDescent="0.25">
      <c r="A2734" t="s">
        <v>4342</v>
      </c>
      <c r="B2734" t="s">
        <v>4343</v>
      </c>
      <c r="C2734" s="3">
        <v>45902</v>
      </c>
      <c r="D2734">
        <v>14</v>
      </c>
      <c r="E2734" s="3">
        <f t="shared" si="42"/>
        <v>45890</v>
      </c>
      <c r="F2734" s="3">
        <f>IF(TableRefills3[[#This Row],[prev_refill_days]]="","",TableRefills3[[#This Row],[prev_refill_days]]+TableRefills3[[#This Row],[quantity_days]])</f>
        <v>45904</v>
      </c>
      <c r="G2734">
        <f>IF(TableRefills3[[#This Row],[prev_refill_end]]="","",TableRefills3[[#This Row],[refill_date]]-TableRefills3[[#This Row],[prev_refill_end]])</f>
        <v>-2</v>
      </c>
      <c r="H2734" s="10">
        <f>IF(TableRefills3[[#This Row],[gap_days]]="",0,IF(TableRefills3[[#This Row],[gap_days]]&gt;2,1,0))</f>
        <v>0</v>
      </c>
      <c r="I2734">
        <f>_xlfn.MAXIFS(TableRefills3[discountinuation_flag], TableRefills3[patient_id], A2734)</f>
        <v>1</v>
      </c>
    </row>
    <row r="2735" spans="1:9" x14ac:dyDescent="0.25">
      <c r="A2735" t="s">
        <v>4342</v>
      </c>
      <c r="B2735" t="s">
        <v>4343</v>
      </c>
      <c r="C2735" s="3">
        <v>45915</v>
      </c>
      <c r="D2735">
        <v>14</v>
      </c>
      <c r="E2735" s="3">
        <f t="shared" si="42"/>
        <v>45902</v>
      </c>
      <c r="F2735" s="3">
        <f>IF(TableRefills3[[#This Row],[prev_refill_days]]="","",TableRefills3[[#This Row],[prev_refill_days]]+TableRefills3[[#This Row],[quantity_days]])</f>
        <v>45916</v>
      </c>
      <c r="G2735">
        <f>IF(TableRefills3[[#This Row],[prev_refill_end]]="","",TableRefills3[[#This Row],[refill_date]]-TableRefills3[[#This Row],[prev_refill_end]])</f>
        <v>-1</v>
      </c>
      <c r="H2735" s="10">
        <f>IF(TableRefills3[[#This Row],[gap_days]]="",0,IF(TableRefills3[[#This Row],[gap_days]]&gt;2,1,0))</f>
        <v>0</v>
      </c>
      <c r="I2735">
        <f>_xlfn.MAXIFS(TableRefills3[discountinuation_flag], TableRefills3[patient_id], A2735)</f>
        <v>1</v>
      </c>
    </row>
    <row r="2736" spans="1:9" x14ac:dyDescent="0.25">
      <c r="A2736" t="s">
        <v>4342</v>
      </c>
      <c r="B2736" t="s">
        <v>4343</v>
      </c>
      <c r="C2736" s="3">
        <v>45928</v>
      </c>
      <c r="D2736">
        <v>14</v>
      </c>
      <c r="E2736" s="3">
        <f t="shared" si="42"/>
        <v>45915</v>
      </c>
      <c r="F2736" s="3">
        <f>IF(TableRefills3[[#This Row],[prev_refill_days]]="","",TableRefills3[[#This Row],[prev_refill_days]]+TableRefills3[[#This Row],[quantity_days]])</f>
        <v>45929</v>
      </c>
      <c r="G2736">
        <f>IF(TableRefills3[[#This Row],[prev_refill_end]]="","",TableRefills3[[#This Row],[refill_date]]-TableRefills3[[#This Row],[prev_refill_end]])</f>
        <v>-1</v>
      </c>
      <c r="H2736" s="10">
        <f>IF(TableRefills3[[#This Row],[gap_days]]="",0,IF(TableRefills3[[#This Row],[gap_days]]&gt;2,1,0))</f>
        <v>0</v>
      </c>
      <c r="I2736">
        <f>_xlfn.MAXIFS(TableRefills3[discountinuation_flag], TableRefills3[patient_id], A2736)</f>
        <v>1</v>
      </c>
    </row>
    <row r="2737" spans="1:9" x14ac:dyDescent="0.25">
      <c r="A2737" t="s">
        <v>4342</v>
      </c>
      <c r="B2737" t="s">
        <v>4343</v>
      </c>
      <c r="C2737" s="3">
        <v>45940</v>
      </c>
      <c r="D2737">
        <v>14</v>
      </c>
      <c r="E2737" s="3">
        <f t="shared" si="42"/>
        <v>45928</v>
      </c>
      <c r="F2737" s="3">
        <f>IF(TableRefills3[[#This Row],[prev_refill_days]]="","",TableRefills3[[#This Row],[prev_refill_days]]+TableRefills3[[#This Row],[quantity_days]])</f>
        <v>45942</v>
      </c>
      <c r="G2737">
        <f>IF(TableRefills3[[#This Row],[prev_refill_end]]="","",TableRefills3[[#This Row],[refill_date]]-TableRefills3[[#This Row],[prev_refill_end]])</f>
        <v>-2</v>
      </c>
      <c r="H2737" s="10">
        <f>IF(TableRefills3[[#This Row],[gap_days]]="",0,IF(TableRefills3[[#This Row],[gap_days]]&gt;2,1,0))</f>
        <v>0</v>
      </c>
      <c r="I2737">
        <f>_xlfn.MAXIFS(TableRefills3[discountinuation_flag], TableRefills3[patient_id], A2737)</f>
        <v>1</v>
      </c>
    </row>
    <row r="2738" spans="1:9" x14ac:dyDescent="0.25">
      <c r="A2738" t="s">
        <v>4342</v>
      </c>
      <c r="B2738" t="s">
        <v>4343</v>
      </c>
      <c r="C2738" s="3">
        <v>45957</v>
      </c>
      <c r="D2738">
        <v>14</v>
      </c>
      <c r="E2738" s="3">
        <f t="shared" si="42"/>
        <v>45940</v>
      </c>
      <c r="F2738" s="3">
        <f>IF(TableRefills3[[#This Row],[prev_refill_days]]="","",TableRefills3[[#This Row],[prev_refill_days]]+TableRefills3[[#This Row],[quantity_days]])</f>
        <v>45954</v>
      </c>
      <c r="G2738">
        <f>IF(TableRefills3[[#This Row],[prev_refill_end]]="","",TableRefills3[[#This Row],[refill_date]]-TableRefills3[[#This Row],[prev_refill_end]])</f>
        <v>3</v>
      </c>
      <c r="H2738" s="10">
        <f>IF(TableRefills3[[#This Row],[gap_days]]="",0,IF(TableRefills3[[#This Row],[gap_days]]&gt;2,1,0))</f>
        <v>1</v>
      </c>
      <c r="I2738">
        <f>_xlfn.MAXIFS(TableRefills3[discountinuation_flag], TableRefills3[patient_id], A2738)</f>
        <v>1</v>
      </c>
    </row>
    <row r="2739" spans="1:9" x14ac:dyDescent="0.25">
      <c r="A2739" t="s">
        <v>4358</v>
      </c>
      <c r="B2739" t="s">
        <v>4359</v>
      </c>
      <c r="C2739" s="3">
        <v>45865</v>
      </c>
      <c r="D2739">
        <v>28</v>
      </c>
      <c r="E2739" s="3" t="str">
        <f t="shared" si="42"/>
        <v/>
      </c>
      <c r="F2739" s="3" t="str">
        <f>IF(TableRefills3[[#This Row],[prev_refill_days]]="","",TableRefills3[[#This Row],[prev_refill_days]]+TableRefills3[[#This Row],[quantity_days]])</f>
        <v/>
      </c>
      <c r="G2739" t="str">
        <f>IF(TableRefills3[[#This Row],[prev_refill_end]]="","",TableRefills3[[#This Row],[refill_date]]-TableRefills3[[#This Row],[prev_refill_end]])</f>
        <v/>
      </c>
      <c r="H2739" s="10">
        <f>IF(TableRefills3[[#This Row],[gap_days]]="",0,IF(TableRefills3[[#This Row],[gap_days]]&gt;2,1,0))</f>
        <v>0</v>
      </c>
      <c r="I2739">
        <f>_xlfn.MAXIFS(TableRefills3[discountinuation_flag], TableRefills3[patient_id], A2739)</f>
        <v>0</v>
      </c>
    </row>
    <row r="2740" spans="1:9" x14ac:dyDescent="0.25">
      <c r="A2740" t="s">
        <v>4358</v>
      </c>
      <c r="B2740" t="s">
        <v>4359</v>
      </c>
      <c r="C2740" s="3">
        <v>45891</v>
      </c>
      <c r="D2740">
        <v>28</v>
      </c>
      <c r="E2740" s="3">
        <f t="shared" si="42"/>
        <v>45865</v>
      </c>
      <c r="F2740" s="3">
        <f>IF(TableRefills3[[#This Row],[prev_refill_days]]="","",TableRefills3[[#This Row],[prev_refill_days]]+TableRefills3[[#This Row],[quantity_days]])</f>
        <v>45893</v>
      </c>
      <c r="G2740">
        <f>IF(TableRefills3[[#This Row],[prev_refill_end]]="","",TableRefills3[[#This Row],[refill_date]]-TableRefills3[[#This Row],[prev_refill_end]])</f>
        <v>-2</v>
      </c>
      <c r="H2740" s="10">
        <f>IF(TableRefills3[[#This Row],[gap_days]]="",0,IF(TableRefills3[[#This Row],[gap_days]]&gt;2,1,0))</f>
        <v>0</v>
      </c>
      <c r="I2740">
        <f>_xlfn.MAXIFS(TableRefills3[discountinuation_flag], TableRefills3[patient_id], A2740)</f>
        <v>0</v>
      </c>
    </row>
    <row r="2741" spans="1:9" x14ac:dyDescent="0.25">
      <c r="A2741" t="s">
        <v>4358</v>
      </c>
      <c r="B2741" t="s">
        <v>4359</v>
      </c>
      <c r="C2741" s="3">
        <v>45920</v>
      </c>
      <c r="D2741">
        <v>28</v>
      </c>
      <c r="E2741" s="3">
        <f t="shared" si="42"/>
        <v>45891</v>
      </c>
      <c r="F2741" s="3">
        <f>IF(TableRefills3[[#This Row],[prev_refill_days]]="","",TableRefills3[[#This Row],[prev_refill_days]]+TableRefills3[[#This Row],[quantity_days]])</f>
        <v>45919</v>
      </c>
      <c r="G2741">
        <f>IF(TableRefills3[[#This Row],[prev_refill_end]]="","",TableRefills3[[#This Row],[refill_date]]-TableRefills3[[#This Row],[prev_refill_end]])</f>
        <v>1</v>
      </c>
      <c r="H2741" s="10">
        <f>IF(TableRefills3[[#This Row],[gap_days]]="",0,IF(TableRefills3[[#This Row],[gap_days]]&gt;2,1,0))</f>
        <v>0</v>
      </c>
      <c r="I2741">
        <f>_xlfn.MAXIFS(TableRefills3[discountinuation_flag], TableRefills3[patient_id], A2741)</f>
        <v>0</v>
      </c>
    </row>
    <row r="2742" spans="1:9" x14ac:dyDescent="0.25">
      <c r="A2742" t="s">
        <v>4358</v>
      </c>
      <c r="B2742" t="s">
        <v>4359</v>
      </c>
      <c r="C2742" s="3">
        <v>45946</v>
      </c>
      <c r="D2742">
        <v>28</v>
      </c>
      <c r="E2742" s="3">
        <f t="shared" si="42"/>
        <v>45920</v>
      </c>
      <c r="F2742" s="3">
        <f>IF(TableRefills3[[#This Row],[prev_refill_days]]="","",TableRefills3[[#This Row],[prev_refill_days]]+TableRefills3[[#This Row],[quantity_days]])</f>
        <v>45948</v>
      </c>
      <c r="G2742">
        <f>IF(TableRefills3[[#This Row],[prev_refill_end]]="","",TableRefills3[[#This Row],[refill_date]]-TableRefills3[[#This Row],[prev_refill_end]])</f>
        <v>-2</v>
      </c>
      <c r="H2742" s="10">
        <f>IF(TableRefills3[[#This Row],[gap_days]]="",0,IF(TableRefills3[[#This Row],[gap_days]]&gt;2,1,0))</f>
        <v>0</v>
      </c>
      <c r="I2742">
        <f>_xlfn.MAXIFS(TableRefills3[discountinuation_flag], TableRefills3[patient_id], A2742)</f>
        <v>0</v>
      </c>
    </row>
    <row r="2743" spans="1:9" x14ac:dyDescent="0.25">
      <c r="A2743" t="s">
        <v>4364</v>
      </c>
      <c r="B2743" t="s">
        <v>4365</v>
      </c>
      <c r="C2743" s="3">
        <v>45805</v>
      </c>
      <c r="D2743">
        <v>28</v>
      </c>
      <c r="E2743" s="3" t="str">
        <f t="shared" si="42"/>
        <v/>
      </c>
      <c r="F2743" s="3" t="str">
        <f>IF(TableRefills3[[#This Row],[prev_refill_days]]="","",TableRefills3[[#This Row],[prev_refill_days]]+TableRefills3[[#This Row],[quantity_days]])</f>
        <v/>
      </c>
      <c r="G2743" t="str">
        <f>IF(TableRefills3[[#This Row],[prev_refill_end]]="","",TableRefills3[[#This Row],[refill_date]]-TableRefills3[[#This Row],[prev_refill_end]])</f>
        <v/>
      </c>
      <c r="H2743" s="10">
        <f>IF(TableRefills3[[#This Row],[gap_days]]="",0,IF(TableRefills3[[#This Row],[gap_days]]&gt;2,1,0))</f>
        <v>0</v>
      </c>
      <c r="I2743">
        <f>_xlfn.MAXIFS(TableRefills3[discountinuation_flag], TableRefills3[patient_id], A2743)</f>
        <v>1</v>
      </c>
    </row>
    <row r="2744" spans="1:9" x14ac:dyDescent="0.25">
      <c r="A2744" t="s">
        <v>4364</v>
      </c>
      <c r="B2744" t="s">
        <v>4365</v>
      </c>
      <c r="C2744" s="3">
        <v>45834</v>
      </c>
      <c r="D2744">
        <v>28</v>
      </c>
      <c r="E2744" s="3">
        <f t="shared" si="42"/>
        <v>45805</v>
      </c>
      <c r="F2744" s="3">
        <f>IF(TableRefills3[[#This Row],[prev_refill_days]]="","",TableRefills3[[#This Row],[prev_refill_days]]+TableRefills3[[#This Row],[quantity_days]])</f>
        <v>45833</v>
      </c>
      <c r="G2744">
        <f>IF(TableRefills3[[#This Row],[prev_refill_end]]="","",TableRefills3[[#This Row],[refill_date]]-TableRefills3[[#This Row],[prev_refill_end]])</f>
        <v>1</v>
      </c>
      <c r="H2744" s="10">
        <f>IF(TableRefills3[[#This Row],[gap_days]]="",0,IF(TableRefills3[[#This Row],[gap_days]]&gt;2,1,0))</f>
        <v>0</v>
      </c>
      <c r="I2744">
        <f>_xlfn.MAXIFS(TableRefills3[discountinuation_flag], TableRefills3[patient_id], A2744)</f>
        <v>1</v>
      </c>
    </row>
    <row r="2745" spans="1:9" x14ac:dyDescent="0.25">
      <c r="A2745" t="s">
        <v>4364</v>
      </c>
      <c r="B2745" t="s">
        <v>4365</v>
      </c>
      <c r="C2745" s="3">
        <v>45865</v>
      </c>
      <c r="D2745">
        <v>28</v>
      </c>
      <c r="E2745" s="3">
        <f t="shared" si="42"/>
        <v>45834</v>
      </c>
      <c r="F2745" s="3">
        <f>IF(TableRefills3[[#This Row],[prev_refill_days]]="","",TableRefills3[[#This Row],[prev_refill_days]]+TableRefills3[[#This Row],[quantity_days]])</f>
        <v>45862</v>
      </c>
      <c r="G2745">
        <f>IF(TableRefills3[[#This Row],[prev_refill_end]]="","",TableRefills3[[#This Row],[refill_date]]-TableRefills3[[#This Row],[prev_refill_end]])</f>
        <v>3</v>
      </c>
      <c r="H2745" s="10">
        <f>IF(TableRefills3[[#This Row],[gap_days]]="",0,IF(TableRefills3[[#This Row],[gap_days]]&gt;2,1,0))</f>
        <v>1</v>
      </c>
      <c r="I2745">
        <f>_xlfn.MAXIFS(TableRefills3[discountinuation_flag], TableRefills3[patient_id], A2745)</f>
        <v>1</v>
      </c>
    </row>
    <row r="2746" spans="1:9" x14ac:dyDescent="0.25">
      <c r="A2746" t="s">
        <v>4364</v>
      </c>
      <c r="B2746" t="s">
        <v>4365</v>
      </c>
      <c r="C2746" s="3">
        <v>45894</v>
      </c>
      <c r="D2746">
        <v>28</v>
      </c>
      <c r="E2746" s="3">
        <f t="shared" si="42"/>
        <v>45865</v>
      </c>
      <c r="F2746" s="3">
        <f>IF(TableRefills3[[#This Row],[prev_refill_days]]="","",TableRefills3[[#This Row],[prev_refill_days]]+TableRefills3[[#This Row],[quantity_days]])</f>
        <v>45893</v>
      </c>
      <c r="G2746">
        <f>IF(TableRefills3[[#This Row],[prev_refill_end]]="","",TableRefills3[[#This Row],[refill_date]]-TableRefills3[[#This Row],[prev_refill_end]])</f>
        <v>1</v>
      </c>
      <c r="H2746" s="10">
        <f>IF(TableRefills3[[#This Row],[gap_days]]="",0,IF(TableRefills3[[#This Row],[gap_days]]&gt;2,1,0))</f>
        <v>0</v>
      </c>
      <c r="I2746">
        <f>_xlfn.MAXIFS(TableRefills3[discountinuation_flag], TableRefills3[patient_id], A2746)</f>
        <v>1</v>
      </c>
    </row>
    <row r="2747" spans="1:9" x14ac:dyDescent="0.25">
      <c r="A2747" t="s">
        <v>4364</v>
      </c>
      <c r="B2747" t="s">
        <v>4365</v>
      </c>
      <c r="C2747" s="3">
        <v>45925</v>
      </c>
      <c r="D2747">
        <v>28</v>
      </c>
      <c r="E2747" s="3">
        <f t="shared" si="42"/>
        <v>45894</v>
      </c>
      <c r="F2747" s="3">
        <f>IF(TableRefills3[[#This Row],[prev_refill_days]]="","",TableRefills3[[#This Row],[prev_refill_days]]+TableRefills3[[#This Row],[quantity_days]])</f>
        <v>45922</v>
      </c>
      <c r="G2747">
        <f>IF(TableRefills3[[#This Row],[prev_refill_end]]="","",TableRefills3[[#This Row],[refill_date]]-TableRefills3[[#This Row],[prev_refill_end]])</f>
        <v>3</v>
      </c>
      <c r="H2747" s="10">
        <f>IF(TableRefills3[[#This Row],[gap_days]]="",0,IF(TableRefills3[[#This Row],[gap_days]]&gt;2,1,0))</f>
        <v>1</v>
      </c>
      <c r="I2747">
        <f>_xlfn.MAXIFS(TableRefills3[discountinuation_flag], TableRefills3[patient_id], A2747)</f>
        <v>1</v>
      </c>
    </row>
    <row r="2748" spans="1:9" x14ac:dyDescent="0.25">
      <c r="A2748" t="s">
        <v>4364</v>
      </c>
      <c r="B2748" t="s">
        <v>4365</v>
      </c>
      <c r="C2748" s="3">
        <v>45952</v>
      </c>
      <c r="D2748">
        <v>28</v>
      </c>
      <c r="E2748" s="3">
        <f t="shared" si="42"/>
        <v>45925</v>
      </c>
      <c r="F2748" s="3">
        <f>IF(TableRefills3[[#This Row],[prev_refill_days]]="","",TableRefills3[[#This Row],[prev_refill_days]]+TableRefills3[[#This Row],[quantity_days]])</f>
        <v>45953</v>
      </c>
      <c r="G2748">
        <f>IF(TableRefills3[[#This Row],[prev_refill_end]]="","",TableRefills3[[#This Row],[refill_date]]-TableRefills3[[#This Row],[prev_refill_end]])</f>
        <v>-1</v>
      </c>
      <c r="H2748" s="10">
        <f>IF(TableRefills3[[#This Row],[gap_days]]="",0,IF(TableRefills3[[#This Row],[gap_days]]&gt;2,1,0))</f>
        <v>0</v>
      </c>
      <c r="I2748">
        <f>_xlfn.MAXIFS(TableRefills3[discountinuation_flag], TableRefills3[patient_id], A2748)</f>
        <v>1</v>
      </c>
    </row>
    <row r="2749" spans="1:9" x14ac:dyDescent="0.25">
      <c r="A2749" t="s">
        <v>4372</v>
      </c>
      <c r="B2749" t="s">
        <v>4373</v>
      </c>
      <c r="C2749" s="3">
        <v>45820</v>
      </c>
      <c r="D2749">
        <v>56</v>
      </c>
      <c r="E2749" s="3" t="str">
        <f t="shared" si="42"/>
        <v/>
      </c>
      <c r="F2749" s="3" t="str">
        <f>IF(TableRefills3[[#This Row],[prev_refill_days]]="","",TableRefills3[[#This Row],[prev_refill_days]]+TableRefills3[[#This Row],[quantity_days]])</f>
        <v/>
      </c>
      <c r="G2749" t="str">
        <f>IF(TableRefills3[[#This Row],[prev_refill_end]]="","",TableRefills3[[#This Row],[refill_date]]-TableRefills3[[#This Row],[prev_refill_end]])</f>
        <v/>
      </c>
      <c r="H2749" s="10">
        <f>IF(TableRefills3[[#This Row],[gap_days]]="",0,IF(TableRefills3[[#This Row],[gap_days]]&gt;2,1,0))</f>
        <v>0</v>
      </c>
      <c r="I2749">
        <f>_xlfn.MAXIFS(TableRefills3[discountinuation_flag], TableRefills3[patient_id], A2749)</f>
        <v>0</v>
      </c>
    </row>
    <row r="2750" spans="1:9" x14ac:dyDescent="0.25">
      <c r="A2750" t="s">
        <v>4372</v>
      </c>
      <c r="B2750" t="s">
        <v>4373</v>
      </c>
      <c r="C2750" s="3">
        <v>45878</v>
      </c>
      <c r="D2750">
        <v>56</v>
      </c>
      <c r="E2750" s="3">
        <f t="shared" si="42"/>
        <v>45820</v>
      </c>
      <c r="F2750" s="3">
        <f>IF(TableRefills3[[#This Row],[prev_refill_days]]="","",TableRefills3[[#This Row],[prev_refill_days]]+TableRefills3[[#This Row],[quantity_days]])</f>
        <v>45876</v>
      </c>
      <c r="G2750">
        <f>IF(TableRefills3[[#This Row],[prev_refill_end]]="","",TableRefills3[[#This Row],[refill_date]]-TableRefills3[[#This Row],[prev_refill_end]])</f>
        <v>2</v>
      </c>
      <c r="H2750" s="10">
        <f>IF(TableRefills3[[#This Row],[gap_days]]="",0,IF(TableRefills3[[#This Row],[gap_days]]&gt;2,1,0))</f>
        <v>0</v>
      </c>
      <c r="I2750">
        <f>_xlfn.MAXIFS(TableRefills3[discountinuation_flag], TableRefills3[patient_id], A2750)</f>
        <v>0</v>
      </c>
    </row>
    <row r="2751" spans="1:9" x14ac:dyDescent="0.25">
      <c r="A2751" t="s">
        <v>4372</v>
      </c>
      <c r="B2751" t="s">
        <v>4373</v>
      </c>
      <c r="C2751" s="3">
        <v>45932</v>
      </c>
      <c r="D2751">
        <v>56</v>
      </c>
      <c r="E2751" s="3">
        <f t="shared" si="42"/>
        <v>45878</v>
      </c>
      <c r="F2751" s="3">
        <f>IF(TableRefills3[[#This Row],[prev_refill_days]]="","",TableRefills3[[#This Row],[prev_refill_days]]+TableRefills3[[#This Row],[quantity_days]])</f>
        <v>45934</v>
      </c>
      <c r="G2751">
        <f>IF(TableRefills3[[#This Row],[prev_refill_end]]="","",TableRefills3[[#This Row],[refill_date]]-TableRefills3[[#This Row],[prev_refill_end]])</f>
        <v>-2</v>
      </c>
      <c r="H2751" s="10">
        <f>IF(TableRefills3[[#This Row],[gap_days]]="",0,IF(TableRefills3[[#This Row],[gap_days]]&gt;2,1,0))</f>
        <v>0</v>
      </c>
      <c r="I2751">
        <f>_xlfn.MAXIFS(TableRefills3[discountinuation_flag], TableRefills3[patient_id], A2751)</f>
        <v>0</v>
      </c>
    </row>
    <row r="2752" spans="1:9" x14ac:dyDescent="0.25">
      <c r="A2752" t="s">
        <v>4377</v>
      </c>
      <c r="B2752" t="s">
        <v>4378</v>
      </c>
      <c r="C2752" s="3">
        <v>45840</v>
      </c>
      <c r="D2752">
        <v>56</v>
      </c>
      <c r="E2752" s="3" t="str">
        <f t="shared" si="42"/>
        <v/>
      </c>
      <c r="F2752" s="3" t="str">
        <f>IF(TableRefills3[[#This Row],[prev_refill_days]]="","",TableRefills3[[#This Row],[prev_refill_days]]+TableRefills3[[#This Row],[quantity_days]])</f>
        <v/>
      </c>
      <c r="G2752" t="str">
        <f>IF(TableRefills3[[#This Row],[prev_refill_end]]="","",TableRefills3[[#This Row],[refill_date]]-TableRefills3[[#This Row],[prev_refill_end]])</f>
        <v/>
      </c>
      <c r="H2752" s="10">
        <f>IF(TableRefills3[[#This Row],[gap_days]]="",0,IF(TableRefills3[[#This Row],[gap_days]]&gt;2,1,0))</f>
        <v>0</v>
      </c>
      <c r="I2752">
        <f>_xlfn.MAXIFS(TableRefills3[discountinuation_flag], TableRefills3[patient_id], A2752)</f>
        <v>0</v>
      </c>
    </row>
    <row r="2753" spans="1:9" x14ac:dyDescent="0.25">
      <c r="A2753" t="s">
        <v>4377</v>
      </c>
      <c r="B2753" t="s">
        <v>4378</v>
      </c>
      <c r="C2753" s="3">
        <v>45897</v>
      </c>
      <c r="D2753">
        <v>56</v>
      </c>
      <c r="E2753" s="3">
        <f t="shared" si="42"/>
        <v>45840</v>
      </c>
      <c r="F2753" s="3">
        <f>IF(TableRefills3[[#This Row],[prev_refill_days]]="","",TableRefills3[[#This Row],[prev_refill_days]]+TableRefills3[[#This Row],[quantity_days]])</f>
        <v>45896</v>
      </c>
      <c r="G2753">
        <f>IF(TableRefills3[[#This Row],[prev_refill_end]]="","",TableRefills3[[#This Row],[refill_date]]-TableRefills3[[#This Row],[prev_refill_end]])</f>
        <v>1</v>
      </c>
      <c r="H2753" s="10">
        <f>IF(TableRefills3[[#This Row],[gap_days]]="",0,IF(TableRefills3[[#This Row],[gap_days]]&gt;2,1,0))</f>
        <v>0</v>
      </c>
      <c r="I2753">
        <f>_xlfn.MAXIFS(TableRefills3[discountinuation_flag], TableRefills3[patient_id], A2753)</f>
        <v>0</v>
      </c>
    </row>
    <row r="2754" spans="1:9" x14ac:dyDescent="0.25">
      <c r="A2754" t="s">
        <v>4377</v>
      </c>
      <c r="B2754" t="s">
        <v>4378</v>
      </c>
      <c r="C2754" s="3">
        <v>45954</v>
      </c>
      <c r="D2754">
        <v>56</v>
      </c>
      <c r="E2754" s="3">
        <f t="shared" ref="E2754:E2817" si="43">IF(A2753=A2754,C2753,"")</f>
        <v>45897</v>
      </c>
      <c r="F2754" s="3">
        <f>IF(TableRefills3[[#This Row],[prev_refill_days]]="","",TableRefills3[[#This Row],[prev_refill_days]]+TableRefills3[[#This Row],[quantity_days]])</f>
        <v>45953</v>
      </c>
      <c r="G2754">
        <f>IF(TableRefills3[[#This Row],[prev_refill_end]]="","",TableRefills3[[#This Row],[refill_date]]-TableRefills3[[#This Row],[prev_refill_end]])</f>
        <v>1</v>
      </c>
      <c r="H2754" s="10">
        <f>IF(TableRefills3[[#This Row],[gap_days]]="",0,IF(TableRefills3[[#This Row],[gap_days]]&gt;2,1,0))</f>
        <v>0</v>
      </c>
      <c r="I2754">
        <f>_xlfn.MAXIFS(TableRefills3[discountinuation_flag], TableRefills3[patient_id], A2754)</f>
        <v>0</v>
      </c>
    </row>
    <row r="2755" spans="1:9" x14ac:dyDescent="0.25">
      <c r="A2755" t="s">
        <v>4382</v>
      </c>
      <c r="B2755" t="s">
        <v>4383</v>
      </c>
      <c r="C2755" s="3">
        <v>45822</v>
      </c>
      <c r="D2755">
        <v>28</v>
      </c>
      <c r="E2755" s="3" t="str">
        <f t="shared" si="43"/>
        <v/>
      </c>
      <c r="F2755" s="3" t="str">
        <f>IF(TableRefills3[[#This Row],[prev_refill_days]]="","",TableRefills3[[#This Row],[prev_refill_days]]+TableRefills3[[#This Row],[quantity_days]])</f>
        <v/>
      </c>
      <c r="G2755" t="str">
        <f>IF(TableRefills3[[#This Row],[prev_refill_end]]="","",TableRefills3[[#This Row],[refill_date]]-TableRefills3[[#This Row],[prev_refill_end]])</f>
        <v/>
      </c>
      <c r="H2755" s="10">
        <f>IF(TableRefills3[[#This Row],[gap_days]]="",0,IF(TableRefills3[[#This Row],[gap_days]]&gt;2,1,0))</f>
        <v>0</v>
      </c>
      <c r="I2755">
        <f>_xlfn.MAXIFS(TableRefills3[discountinuation_flag], TableRefills3[patient_id], A2755)</f>
        <v>1</v>
      </c>
    </row>
    <row r="2756" spans="1:9" x14ac:dyDescent="0.25">
      <c r="A2756" t="s">
        <v>4382</v>
      </c>
      <c r="B2756" t="s">
        <v>4383</v>
      </c>
      <c r="C2756" s="3">
        <v>45851</v>
      </c>
      <c r="D2756">
        <v>28</v>
      </c>
      <c r="E2756" s="3">
        <f t="shared" si="43"/>
        <v>45822</v>
      </c>
      <c r="F2756" s="3">
        <f>IF(TableRefills3[[#This Row],[prev_refill_days]]="","",TableRefills3[[#This Row],[prev_refill_days]]+TableRefills3[[#This Row],[quantity_days]])</f>
        <v>45850</v>
      </c>
      <c r="G2756">
        <f>IF(TableRefills3[[#This Row],[prev_refill_end]]="","",TableRefills3[[#This Row],[refill_date]]-TableRefills3[[#This Row],[prev_refill_end]])</f>
        <v>1</v>
      </c>
      <c r="H2756" s="10">
        <f>IF(TableRefills3[[#This Row],[gap_days]]="",0,IF(TableRefills3[[#This Row],[gap_days]]&gt;2,1,0))</f>
        <v>0</v>
      </c>
      <c r="I2756">
        <f>_xlfn.MAXIFS(TableRefills3[discountinuation_flag], TableRefills3[patient_id], A2756)</f>
        <v>1</v>
      </c>
    </row>
    <row r="2757" spans="1:9" x14ac:dyDescent="0.25">
      <c r="A2757" t="s">
        <v>4382</v>
      </c>
      <c r="B2757" t="s">
        <v>4383</v>
      </c>
      <c r="C2757" s="3">
        <v>45876</v>
      </c>
      <c r="D2757">
        <v>28</v>
      </c>
      <c r="E2757" s="3">
        <f t="shared" si="43"/>
        <v>45851</v>
      </c>
      <c r="F2757" s="3">
        <f>IF(TableRefills3[[#This Row],[prev_refill_days]]="","",TableRefills3[[#This Row],[prev_refill_days]]+TableRefills3[[#This Row],[quantity_days]])</f>
        <v>45879</v>
      </c>
      <c r="G2757">
        <f>IF(TableRefills3[[#This Row],[prev_refill_end]]="","",TableRefills3[[#This Row],[refill_date]]-TableRefills3[[#This Row],[prev_refill_end]])</f>
        <v>-3</v>
      </c>
      <c r="H2757" s="10">
        <f>IF(TableRefills3[[#This Row],[gap_days]]="",0,IF(TableRefills3[[#This Row],[gap_days]]&gt;2,1,0))</f>
        <v>0</v>
      </c>
      <c r="I2757">
        <f>_xlfn.MAXIFS(TableRefills3[discountinuation_flag], TableRefills3[patient_id], A2757)</f>
        <v>1</v>
      </c>
    </row>
    <row r="2758" spans="1:9" x14ac:dyDescent="0.25">
      <c r="A2758" t="s">
        <v>4382</v>
      </c>
      <c r="B2758" t="s">
        <v>4383</v>
      </c>
      <c r="C2758" s="3">
        <v>45901</v>
      </c>
      <c r="D2758">
        <v>28</v>
      </c>
      <c r="E2758" s="3">
        <f t="shared" si="43"/>
        <v>45876</v>
      </c>
      <c r="F2758" s="3">
        <f>IF(TableRefills3[[#This Row],[prev_refill_days]]="","",TableRefills3[[#This Row],[prev_refill_days]]+TableRefills3[[#This Row],[quantity_days]])</f>
        <v>45904</v>
      </c>
      <c r="G2758">
        <f>IF(TableRefills3[[#This Row],[prev_refill_end]]="","",TableRefills3[[#This Row],[refill_date]]-TableRefills3[[#This Row],[prev_refill_end]])</f>
        <v>-3</v>
      </c>
      <c r="H2758" s="10">
        <f>IF(TableRefills3[[#This Row],[gap_days]]="",0,IF(TableRefills3[[#This Row],[gap_days]]&gt;2,1,0))</f>
        <v>0</v>
      </c>
      <c r="I2758">
        <f>_xlfn.MAXIFS(TableRefills3[discountinuation_flag], TableRefills3[patient_id], A2758)</f>
        <v>1</v>
      </c>
    </row>
    <row r="2759" spans="1:9" x14ac:dyDescent="0.25">
      <c r="A2759" t="s">
        <v>4382</v>
      </c>
      <c r="B2759" t="s">
        <v>4383</v>
      </c>
      <c r="C2759" s="3">
        <v>45929</v>
      </c>
      <c r="D2759">
        <v>28</v>
      </c>
      <c r="E2759" s="3">
        <f t="shared" si="43"/>
        <v>45901</v>
      </c>
      <c r="F2759" s="3">
        <f>IF(TableRefills3[[#This Row],[prev_refill_days]]="","",TableRefills3[[#This Row],[prev_refill_days]]+TableRefills3[[#This Row],[quantity_days]])</f>
        <v>45929</v>
      </c>
      <c r="G2759">
        <f>IF(TableRefills3[[#This Row],[prev_refill_end]]="","",TableRefills3[[#This Row],[refill_date]]-TableRefills3[[#This Row],[prev_refill_end]])</f>
        <v>0</v>
      </c>
      <c r="H2759" s="10">
        <f>IF(TableRefills3[[#This Row],[gap_days]]="",0,IF(TableRefills3[[#This Row],[gap_days]]&gt;2,1,0))</f>
        <v>0</v>
      </c>
      <c r="I2759">
        <f>_xlfn.MAXIFS(TableRefills3[discountinuation_flag], TableRefills3[patient_id], A2759)</f>
        <v>1</v>
      </c>
    </row>
    <row r="2760" spans="1:9" x14ac:dyDescent="0.25">
      <c r="A2760" t="s">
        <v>4382</v>
      </c>
      <c r="B2760" t="s">
        <v>4383</v>
      </c>
      <c r="C2760" s="3">
        <v>45960</v>
      </c>
      <c r="D2760">
        <v>28</v>
      </c>
      <c r="E2760" s="3">
        <f t="shared" si="43"/>
        <v>45929</v>
      </c>
      <c r="F2760" s="3">
        <f>IF(TableRefills3[[#This Row],[prev_refill_days]]="","",TableRefills3[[#This Row],[prev_refill_days]]+TableRefills3[[#This Row],[quantity_days]])</f>
        <v>45957</v>
      </c>
      <c r="G2760">
        <f>IF(TableRefills3[[#This Row],[prev_refill_end]]="","",TableRefills3[[#This Row],[refill_date]]-TableRefills3[[#This Row],[prev_refill_end]])</f>
        <v>3</v>
      </c>
      <c r="H2760" s="10">
        <f>IF(TableRefills3[[#This Row],[gap_days]]="",0,IF(TableRefills3[[#This Row],[gap_days]]&gt;2,1,0))</f>
        <v>1</v>
      </c>
      <c r="I2760">
        <f>_xlfn.MAXIFS(TableRefills3[discountinuation_flag], TableRefills3[patient_id], A2760)</f>
        <v>1</v>
      </c>
    </row>
    <row r="2761" spans="1:9" x14ac:dyDescent="0.25">
      <c r="A2761" t="s">
        <v>4390</v>
      </c>
      <c r="B2761" t="s">
        <v>4391</v>
      </c>
      <c r="C2761" s="3">
        <v>45818</v>
      </c>
      <c r="D2761">
        <v>28</v>
      </c>
      <c r="E2761" s="3" t="str">
        <f t="shared" si="43"/>
        <v/>
      </c>
      <c r="F2761" s="3" t="str">
        <f>IF(TableRefills3[[#This Row],[prev_refill_days]]="","",TableRefills3[[#This Row],[prev_refill_days]]+TableRefills3[[#This Row],[quantity_days]])</f>
        <v/>
      </c>
      <c r="G2761" t="str">
        <f>IF(TableRefills3[[#This Row],[prev_refill_end]]="","",TableRefills3[[#This Row],[refill_date]]-TableRefills3[[#This Row],[prev_refill_end]])</f>
        <v/>
      </c>
      <c r="H2761" s="10">
        <f>IF(TableRefills3[[#This Row],[gap_days]]="",0,IF(TableRefills3[[#This Row],[gap_days]]&gt;2,1,0))</f>
        <v>0</v>
      </c>
      <c r="I2761">
        <f>_xlfn.MAXIFS(TableRefills3[discountinuation_flag], TableRefills3[patient_id], A2761)</f>
        <v>1</v>
      </c>
    </row>
    <row r="2762" spans="1:9" x14ac:dyDescent="0.25">
      <c r="A2762" t="s">
        <v>4390</v>
      </c>
      <c r="B2762" t="s">
        <v>4391</v>
      </c>
      <c r="C2762" s="3">
        <v>45847</v>
      </c>
      <c r="D2762">
        <v>28</v>
      </c>
      <c r="E2762" s="3">
        <f t="shared" si="43"/>
        <v>45818</v>
      </c>
      <c r="F2762" s="3">
        <f>IF(TableRefills3[[#This Row],[prev_refill_days]]="","",TableRefills3[[#This Row],[prev_refill_days]]+TableRefills3[[#This Row],[quantity_days]])</f>
        <v>45846</v>
      </c>
      <c r="G2762">
        <f>IF(TableRefills3[[#This Row],[prev_refill_end]]="","",TableRefills3[[#This Row],[refill_date]]-TableRefills3[[#This Row],[prev_refill_end]])</f>
        <v>1</v>
      </c>
      <c r="H2762" s="10">
        <f>IF(TableRefills3[[#This Row],[gap_days]]="",0,IF(TableRefills3[[#This Row],[gap_days]]&gt;2,1,0))</f>
        <v>0</v>
      </c>
      <c r="I2762">
        <f>_xlfn.MAXIFS(TableRefills3[discountinuation_flag], TableRefills3[patient_id], A2762)</f>
        <v>1</v>
      </c>
    </row>
    <row r="2763" spans="1:9" x14ac:dyDescent="0.25">
      <c r="A2763" t="s">
        <v>4390</v>
      </c>
      <c r="B2763" t="s">
        <v>4391</v>
      </c>
      <c r="C2763" s="3">
        <v>45875</v>
      </c>
      <c r="D2763">
        <v>28</v>
      </c>
      <c r="E2763" s="3">
        <f t="shared" si="43"/>
        <v>45847</v>
      </c>
      <c r="F2763" s="3">
        <f>IF(TableRefills3[[#This Row],[prev_refill_days]]="","",TableRefills3[[#This Row],[prev_refill_days]]+TableRefills3[[#This Row],[quantity_days]])</f>
        <v>45875</v>
      </c>
      <c r="G2763">
        <f>IF(TableRefills3[[#This Row],[prev_refill_end]]="","",TableRefills3[[#This Row],[refill_date]]-TableRefills3[[#This Row],[prev_refill_end]])</f>
        <v>0</v>
      </c>
      <c r="H2763" s="10">
        <f>IF(TableRefills3[[#This Row],[gap_days]]="",0,IF(TableRefills3[[#This Row],[gap_days]]&gt;2,1,0))</f>
        <v>0</v>
      </c>
      <c r="I2763">
        <f>_xlfn.MAXIFS(TableRefills3[discountinuation_flag], TableRefills3[patient_id], A2763)</f>
        <v>1</v>
      </c>
    </row>
    <row r="2764" spans="1:9" x14ac:dyDescent="0.25">
      <c r="A2764" t="s">
        <v>4390</v>
      </c>
      <c r="B2764" t="s">
        <v>4391</v>
      </c>
      <c r="C2764" s="3">
        <v>45906</v>
      </c>
      <c r="D2764">
        <v>28</v>
      </c>
      <c r="E2764" s="3">
        <f t="shared" si="43"/>
        <v>45875</v>
      </c>
      <c r="F2764" s="3">
        <f>IF(TableRefills3[[#This Row],[prev_refill_days]]="","",TableRefills3[[#This Row],[prev_refill_days]]+TableRefills3[[#This Row],[quantity_days]])</f>
        <v>45903</v>
      </c>
      <c r="G2764">
        <f>IF(TableRefills3[[#This Row],[prev_refill_end]]="","",TableRefills3[[#This Row],[refill_date]]-TableRefills3[[#This Row],[prev_refill_end]])</f>
        <v>3</v>
      </c>
      <c r="H2764" s="10">
        <f>IF(TableRefills3[[#This Row],[gap_days]]="",0,IF(TableRefills3[[#This Row],[gap_days]]&gt;2,1,0))</f>
        <v>1</v>
      </c>
      <c r="I2764">
        <f>_xlfn.MAXIFS(TableRefills3[discountinuation_flag], TableRefills3[patient_id], A2764)</f>
        <v>1</v>
      </c>
    </row>
    <row r="2765" spans="1:9" x14ac:dyDescent="0.25">
      <c r="A2765" t="s">
        <v>4390</v>
      </c>
      <c r="B2765" t="s">
        <v>4391</v>
      </c>
      <c r="C2765" s="3">
        <v>45937</v>
      </c>
      <c r="D2765">
        <v>28</v>
      </c>
      <c r="E2765" s="3">
        <f t="shared" si="43"/>
        <v>45906</v>
      </c>
      <c r="F2765" s="3">
        <f>IF(TableRefills3[[#This Row],[prev_refill_days]]="","",TableRefills3[[#This Row],[prev_refill_days]]+TableRefills3[[#This Row],[quantity_days]])</f>
        <v>45934</v>
      </c>
      <c r="G2765">
        <f>IF(TableRefills3[[#This Row],[prev_refill_end]]="","",TableRefills3[[#This Row],[refill_date]]-TableRefills3[[#This Row],[prev_refill_end]])</f>
        <v>3</v>
      </c>
      <c r="H2765" s="10">
        <f>IF(TableRefills3[[#This Row],[gap_days]]="",0,IF(TableRefills3[[#This Row],[gap_days]]&gt;2,1,0))</f>
        <v>1</v>
      </c>
      <c r="I2765">
        <f>_xlfn.MAXIFS(TableRefills3[discountinuation_flag], TableRefills3[patient_id], A2765)</f>
        <v>1</v>
      </c>
    </row>
    <row r="2766" spans="1:9" x14ac:dyDescent="0.25">
      <c r="A2766" t="s">
        <v>4397</v>
      </c>
      <c r="B2766" t="s">
        <v>4398</v>
      </c>
      <c r="C2766" s="3">
        <v>45921</v>
      </c>
      <c r="D2766">
        <v>28</v>
      </c>
      <c r="E2766" s="3" t="str">
        <f t="shared" si="43"/>
        <v/>
      </c>
      <c r="F2766" s="3" t="str">
        <f>IF(TableRefills3[[#This Row],[prev_refill_days]]="","",TableRefills3[[#This Row],[prev_refill_days]]+TableRefills3[[#This Row],[quantity_days]])</f>
        <v/>
      </c>
      <c r="G2766" t="str">
        <f>IF(TableRefills3[[#This Row],[prev_refill_end]]="","",TableRefills3[[#This Row],[refill_date]]-TableRefills3[[#This Row],[prev_refill_end]])</f>
        <v/>
      </c>
      <c r="H2766" s="10">
        <f>IF(TableRefills3[[#This Row],[gap_days]]="",0,IF(TableRefills3[[#This Row],[gap_days]]&gt;2,1,0))</f>
        <v>0</v>
      </c>
      <c r="I2766">
        <f>_xlfn.MAXIFS(TableRefills3[discountinuation_flag], TableRefills3[patient_id], A2766)</f>
        <v>0</v>
      </c>
    </row>
    <row r="2767" spans="1:9" x14ac:dyDescent="0.25">
      <c r="A2767" t="s">
        <v>4397</v>
      </c>
      <c r="B2767" t="s">
        <v>4398</v>
      </c>
      <c r="C2767" s="3">
        <v>45947</v>
      </c>
      <c r="D2767">
        <v>28</v>
      </c>
      <c r="E2767" s="3">
        <f t="shared" si="43"/>
        <v>45921</v>
      </c>
      <c r="F2767" s="3">
        <f>IF(TableRefills3[[#This Row],[prev_refill_days]]="","",TableRefills3[[#This Row],[prev_refill_days]]+TableRefills3[[#This Row],[quantity_days]])</f>
        <v>45949</v>
      </c>
      <c r="G2767">
        <f>IF(TableRefills3[[#This Row],[prev_refill_end]]="","",TableRefills3[[#This Row],[refill_date]]-TableRefills3[[#This Row],[prev_refill_end]])</f>
        <v>-2</v>
      </c>
      <c r="H2767" s="10">
        <f>IF(TableRefills3[[#This Row],[gap_days]]="",0,IF(TableRefills3[[#This Row],[gap_days]]&gt;2,1,0))</f>
        <v>0</v>
      </c>
      <c r="I2767">
        <f>_xlfn.MAXIFS(TableRefills3[discountinuation_flag], TableRefills3[patient_id], A2767)</f>
        <v>0</v>
      </c>
    </row>
    <row r="2768" spans="1:9" x14ac:dyDescent="0.25">
      <c r="A2768" t="s">
        <v>4401</v>
      </c>
      <c r="B2768" t="s">
        <v>4402</v>
      </c>
      <c r="C2768" s="3">
        <v>45896</v>
      </c>
      <c r="D2768">
        <v>21</v>
      </c>
      <c r="E2768" s="3" t="str">
        <f t="shared" si="43"/>
        <v/>
      </c>
      <c r="F2768" s="3" t="str">
        <f>IF(TableRefills3[[#This Row],[prev_refill_days]]="","",TableRefills3[[#This Row],[prev_refill_days]]+TableRefills3[[#This Row],[quantity_days]])</f>
        <v/>
      </c>
      <c r="G2768" t="str">
        <f>IF(TableRefills3[[#This Row],[prev_refill_end]]="","",TableRefills3[[#This Row],[refill_date]]-TableRefills3[[#This Row],[prev_refill_end]])</f>
        <v/>
      </c>
      <c r="H2768" s="10">
        <f>IF(TableRefills3[[#This Row],[gap_days]]="",0,IF(TableRefills3[[#This Row],[gap_days]]&gt;2,1,0))</f>
        <v>0</v>
      </c>
      <c r="I2768">
        <f>_xlfn.MAXIFS(TableRefills3[discountinuation_flag], TableRefills3[patient_id], A2768)</f>
        <v>0</v>
      </c>
    </row>
    <row r="2769" spans="1:9" x14ac:dyDescent="0.25">
      <c r="A2769" t="s">
        <v>4401</v>
      </c>
      <c r="B2769" t="s">
        <v>4402</v>
      </c>
      <c r="C2769" s="3">
        <v>45914</v>
      </c>
      <c r="D2769">
        <v>21</v>
      </c>
      <c r="E2769" s="3">
        <f t="shared" si="43"/>
        <v>45896</v>
      </c>
      <c r="F2769" s="3">
        <f>IF(TableRefills3[[#This Row],[prev_refill_days]]="","",TableRefills3[[#This Row],[prev_refill_days]]+TableRefills3[[#This Row],[quantity_days]])</f>
        <v>45917</v>
      </c>
      <c r="G2769">
        <f>IF(TableRefills3[[#This Row],[prev_refill_end]]="","",TableRefills3[[#This Row],[refill_date]]-TableRefills3[[#This Row],[prev_refill_end]])</f>
        <v>-3</v>
      </c>
      <c r="H2769" s="10">
        <f>IF(TableRefills3[[#This Row],[gap_days]]="",0,IF(TableRefills3[[#This Row],[gap_days]]&gt;2,1,0))</f>
        <v>0</v>
      </c>
      <c r="I2769">
        <f>_xlfn.MAXIFS(TableRefills3[discountinuation_flag], TableRefills3[patient_id], A2769)</f>
        <v>0</v>
      </c>
    </row>
    <row r="2770" spans="1:9" x14ac:dyDescent="0.25">
      <c r="A2770" t="s">
        <v>4401</v>
      </c>
      <c r="B2770" t="s">
        <v>4402</v>
      </c>
      <c r="C2770" s="3">
        <v>45937</v>
      </c>
      <c r="D2770">
        <v>21</v>
      </c>
      <c r="E2770" s="3">
        <f t="shared" si="43"/>
        <v>45914</v>
      </c>
      <c r="F2770" s="3">
        <f>IF(TableRefills3[[#This Row],[prev_refill_days]]="","",TableRefills3[[#This Row],[prev_refill_days]]+TableRefills3[[#This Row],[quantity_days]])</f>
        <v>45935</v>
      </c>
      <c r="G2770">
        <f>IF(TableRefills3[[#This Row],[prev_refill_end]]="","",TableRefills3[[#This Row],[refill_date]]-TableRefills3[[#This Row],[prev_refill_end]])</f>
        <v>2</v>
      </c>
      <c r="H2770" s="10">
        <f>IF(TableRefills3[[#This Row],[gap_days]]="",0,IF(TableRefills3[[#This Row],[gap_days]]&gt;2,1,0))</f>
        <v>0</v>
      </c>
      <c r="I2770">
        <f>_xlfn.MAXIFS(TableRefills3[discountinuation_flag], TableRefills3[patient_id], A2770)</f>
        <v>0</v>
      </c>
    </row>
    <row r="2771" spans="1:9" x14ac:dyDescent="0.25">
      <c r="A2771" t="s">
        <v>4401</v>
      </c>
      <c r="B2771" t="s">
        <v>4402</v>
      </c>
      <c r="C2771" s="3">
        <v>45956</v>
      </c>
      <c r="D2771">
        <v>21</v>
      </c>
      <c r="E2771" s="3">
        <f t="shared" si="43"/>
        <v>45937</v>
      </c>
      <c r="F2771" s="3">
        <f>IF(TableRefills3[[#This Row],[prev_refill_days]]="","",TableRefills3[[#This Row],[prev_refill_days]]+TableRefills3[[#This Row],[quantity_days]])</f>
        <v>45958</v>
      </c>
      <c r="G2771">
        <f>IF(TableRefills3[[#This Row],[prev_refill_end]]="","",TableRefills3[[#This Row],[refill_date]]-TableRefills3[[#This Row],[prev_refill_end]])</f>
        <v>-2</v>
      </c>
      <c r="H2771" s="10">
        <f>IF(TableRefills3[[#This Row],[gap_days]]="",0,IF(TableRefills3[[#This Row],[gap_days]]&gt;2,1,0))</f>
        <v>0</v>
      </c>
      <c r="I2771">
        <f>_xlfn.MAXIFS(TableRefills3[discountinuation_flag], TableRefills3[patient_id], A2771)</f>
        <v>0</v>
      </c>
    </row>
    <row r="2772" spans="1:9" x14ac:dyDescent="0.25">
      <c r="A2772" t="s">
        <v>4407</v>
      </c>
      <c r="B2772" t="s">
        <v>4408</v>
      </c>
      <c r="C2772" s="3">
        <v>45881</v>
      </c>
      <c r="D2772">
        <v>28</v>
      </c>
      <c r="E2772" s="3" t="str">
        <f t="shared" si="43"/>
        <v/>
      </c>
      <c r="F2772" s="3" t="str">
        <f>IF(TableRefills3[[#This Row],[prev_refill_days]]="","",TableRefills3[[#This Row],[prev_refill_days]]+TableRefills3[[#This Row],[quantity_days]])</f>
        <v/>
      </c>
      <c r="G2772" t="str">
        <f>IF(TableRefills3[[#This Row],[prev_refill_end]]="","",TableRefills3[[#This Row],[refill_date]]-TableRefills3[[#This Row],[prev_refill_end]])</f>
        <v/>
      </c>
      <c r="H2772" s="10">
        <f>IF(TableRefills3[[#This Row],[gap_days]]="",0,IF(TableRefills3[[#This Row],[gap_days]]&gt;2,1,0))</f>
        <v>0</v>
      </c>
      <c r="I2772">
        <f>_xlfn.MAXIFS(TableRefills3[discountinuation_flag], TableRefills3[patient_id], A2772)</f>
        <v>0</v>
      </c>
    </row>
    <row r="2773" spans="1:9" x14ac:dyDescent="0.25">
      <c r="A2773" t="s">
        <v>4410</v>
      </c>
      <c r="B2773" t="s">
        <v>4411</v>
      </c>
      <c r="C2773" s="3">
        <v>45825</v>
      </c>
      <c r="D2773">
        <v>28</v>
      </c>
      <c r="E2773" s="3" t="str">
        <f t="shared" si="43"/>
        <v/>
      </c>
      <c r="F2773" s="3" t="str">
        <f>IF(TableRefills3[[#This Row],[prev_refill_days]]="","",TableRefills3[[#This Row],[prev_refill_days]]+TableRefills3[[#This Row],[quantity_days]])</f>
        <v/>
      </c>
      <c r="G2773" t="str">
        <f>IF(TableRefills3[[#This Row],[prev_refill_end]]="","",TableRefills3[[#This Row],[refill_date]]-TableRefills3[[#This Row],[prev_refill_end]])</f>
        <v/>
      </c>
      <c r="H2773" s="10">
        <f>IF(TableRefills3[[#This Row],[gap_days]]="",0,IF(TableRefills3[[#This Row],[gap_days]]&gt;2,1,0))</f>
        <v>0</v>
      </c>
      <c r="I2773">
        <f>_xlfn.MAXIFS(TableRefills3[discountinuation_flag], TableRefills3[patient_id], A2773)</f>
        <v>0</v>
      </c>
    </row>
    <row r="2774" spans="1:9" x14ac:dyDescent="0.25">
      <c r="A2774" t="s">
        <v>4413</v>
      </c>
      <c r="B2774" t="s">
        <v>4414</v>
      </c>
      <c r="C2774" s="3">
        <v>45941</v>
      </c>
      <c r="D2774">
        <v>28</v>
      </c>
      <c r="E2774" s="3" t="str">
        <f t="shared" si="43"/>
        <v/>
      </c>
      <c r="F2774" s="3" t="str">
        <f>IF(TableRefills3[[#This Row],[prev_refill_days]]="","",TableRefills3[[#This Row],[prev_refill_days]]+TableRefills3[[#This Row],[quantity_days]])</f>
        <v/>
      </c>
      <c r="G2774" t="str">
        <f>IF(TableRefills3[[#This Row],[prev_refill_end]]="","",TableRefills3[[#This Row],[refill_date]]-TableRefills3[[#This Row],[prev_refill_end]])</f>
        <v/>
      </c>
      <c r="H2774" s="10">
        <f>IF(TableRefills3[[#This Row],[gap_days]]="",0,IF(TableRefills3[[#This Row],[gap_days]]&gt;2,1,0))</f>
        <v>0</v>
      </c>
      <c r="I2774">
        <f>_xlfn.MAXIFS(TableRefills3[discountinuation_flag], TableRefills3[patient_id], A2774)</f>
        <v>0</v>
      </c>
    </row>
    <row r="2775" spans="1:9" x14ac:dyDescent="0.25">
      <c r="A2775" t="s">
        <v>4416</v>
      </c>
      <c r="B2775" t="s">
        <v>4417</v>
      </c>
      <c r="C2775" s="3">
        <v>45888</v>
      </c>
      <c r="D2775">
        <v>14</v>
      </c>
      <c r="E2775" s="3" t="str">
        <f t="shared" si="43"/>
        <v/>
      </c>
      <c r="F2775" s="3" t="str">
        <f>IF(TableRefills3[[#This Row],[prev_refill_days]]="","",TableRefills3[[#This Row],[prev_refill_days]]+TableRefills3[[#This Row],[quantity_days]])</f>
        <v/>
      </c>
      <c r="G2775" t="str">
        <f>IF(TableRefills3[[#This Row],[prev_refill_end]]="","",TableRefills3[[#This Row],[refill_date]]-TableRefills3[[#This Row],[prev_refill_end]])</f>
        <v/>
      </c>
      <c r="H2775" s="10">
        <f>IF(TableRefills3[[#This Row],[gap_days]]="",0,IF(TableRefills3[[#This Row],[gap_days]]&gt;2,1,0))</f>
        <v>0</v>
      </c>
      <c r="I2775">
        <f>_xlfn.MAXIFS(TableRefills3[discountinuation_flag], TableRefills3[patient_id], A2775)</f>
        <v>0</v>
      </c>
    </row>
    <row r="2776" spans="1:9" x14ac:dyDescent="0.25">
      <c r="A2776" t="s">
        <v>4419</v>
      </c>
      <c r="B2776" t="s">
        <v>4420</v>
      </c>
      <c r="C2776" s="3">
        <v>45785</v>
      </c>
      <c r="D2776">
        <v>14</v>
      </c>
      <c r="E2776" s="3" t="str">
        <f t="shared" si="43"/>
        <v/>
      </c>
      <c r="F2776" s="3" t="str">
        <f>IF(TableRefills3[[#This Row],[prev_refill_days]]="","",TableRefills3[[#This Row],[prev_refill_days]]+TableRefills3[[#This Row],[quantity_days]])</f>
        <v/>
      </c>
      <c r="G2776" t="str">
        <f>IF(TableRefills3[[#This Row],[prev_refill_end]]="","",TableRefills3[[#This Row],[refill_date]]-TableRefills3[[#This Row],[prev_refill_end]])</f>
        <v/>
      </c>
      <c r="H2776" s="10">
        <f>IF(TableRefills3[[#This Row],[gap_days]]="",0,IF(TableRefills3[[#This Row],[gap_days]]&gt;2,1,0))</f>
        <v>0</v>
      </c>
      <c r="I2776">
        <f>_xlfn.MAXIFS(TableRefills3[discountinuation_flag], TableRefills3[patient_id], A2776)</f>
        <v>1</v>
      </c>
    </row>
    <row r="2777" spans="1:9" x14ac:dyDescent="0.25">
      <c r="A2777" t="s">
        <v>4419</v>
      </c>
      <c r="B2777" t="s">
        <v>4420</v>
      </c>
      <c r="C2777" s="3">
        <v>45799</v>
      </c>
      <c r="D2777">
        <v>14</v>
      </c>
      <c r="E2777" s="3">
        <f t="shared" si="43"/>
        <v>45785</v>
      </c>
      <c r="F2777" s="3">
        <f>IF(TableRefills3[[#This Row],[prev_refill_days]]="","",TableRefills3[[#This Row],[prev_refill_days]]+TableRefills3[[#This Row],[quantity_days]])</f>
        <v>45799</v>
      </c>
      <c r="G2777">
        <f>IF(TableRefills3[[#This Row],[prev_refill_end]]="","",TableRefills3[[#This Row],[refill_date]]-TableRefills3[[#This Row],[prev_refill_end]])</f>
        <v>0</v>
      </c>
      <c r="H2777" s="10">
        <f>IF(TableRefills3[[#This Row],[gap_days]]="",0,IF(TableRefills3[[#This Row],[gap_days]]&gt;2,1,0))</f>
        <v>0</v>
      </c>
      <c r="I2777">
        <f>_xlfn.MAXIFS(TableRefills3[discountinuation_flag], TableRefills3[patient_id], A2777)</f>
        <v>1</v>
      </c>
    </row>
    <row r="2778" spans="1:9" x14ac:dyDescent="0.25">
      <c r="A2778" t="s">
        <v>4419</v>
      </c>
      <c r="B2778" t="s">
        <v>4420</v>
      </c>
      <c r="C2778" s="3">
        <v>45814</v>
      </c>
      <c r="D2778">
        <v>14</v>
      </c>
      <c r="E2778" s="3">
        <f t="shared" si="43"/>
        <v>45799</v>
      </c>
      <c r="F2778" s="3">
        <f>IF(TableRefills3[[#This Row],[prev_refill_days]]="","",TableRefills3[[#This Row],[prev_refill_days]]+TableRefills3[[#This Row],[quantity_days]])</f>
        <v>45813</v>
      </c>
      <c r="G2778">
        <f>IF(TableRefills3[[#This Row],[prev_refill_end]]="","",TableRefills3[[#This Row],[refill_date]]-TableRefills3[[#This Row],[prev_refill_end]])</f>
        <v>1</v>
      </c>
      <c r="H2778" s="10">
        <f>IF(TableRefills3[[#This Row],[gap_days]]="",0,IF(TableRefills3[[#This Row],[gap_days]]&gt;2,1,0))</f>
        <v>0</v>
      </c>
      <c r="I2778">
        <f>_xlfn.MAXIFS(TableRefills3[discountinuation_flag], TableRefills3[patient_id], A2778)</f>
        <v>1</v>
      </c>
    </row>
    <row r="2779" spans="1:9" x14ac:dyDescent="0.25">
      <c r="A2779" t="s">
        <v>4419</v>
      </c>
      <c r="B2779" t="s">
        <v>4420</v>
      </c>
      <c r="C2779" s="3">
        <v>45829</v>
      </c>
      <c r="D2779">
        <v>14</v>
      </c>
      <c r="E2779" s="3">
        <f t="shared" si="43"/>
        <v>45814</v>
      </c>
      <c r="F2779" s="3">
        <f>IF(TableRefills3[[#This Row],[prev_refill_days]]="","",TableRefills3[[#This Row],[prev_refill_days]]+TableRefills3[[#This Row],[quantity_days]])</f>
        <v>45828</v>
      </c>
      <c r="G2779">
        <f>IF(TableRefills3[[#This Row],[prev_refill_end]]="","",TableRefills3[[#This Row],[refill_date]]-TableRefills3[[#This Row],[prev_refill_end]])</f>
        <v>1</v>
      </c>
      <c r="H2779" s="10">
        <f>IF(TableRefills3[[#This Row],[gap_days]]="",0,IF(TableRefills3[[#This Row],[gap_days]]&gt;2,1,0))</f>
        <v>0</v>
      </c>
      <c r="I2779">
        <f>_xlfn.MAXIFS(TableRefills3[discountinuation_flag], TableRefills3[patient_id], A2779)</f>
        <v>1</v>
      </c>
    </row>
    <row r="2780" spans="1:9" x14ac:dyDescent="0.25">
      <c r="A2780" t="s">
        <v>4419</v>
      </c>
      <c r="B2780" t="s">
        <v>4420</v>
      </c>
      <c r="C2780" s="3">
        <v>45843</v>
      </c>
      <c r="D2780">
        <v>14</v>
      </c>
      <c r="E2780" s="3">
        <f t="shared" si="43"/>
        <v>45829</v>
      </c>
      <c r="F2780" s="3">
        <f>IF(TableRefills3[[#This Row],[prev_refill_days]]="","",TableRefills3[[#This Row],[prev_refill_days]]+TableRefills3[[#This Row],[quantity_days]])</f>
        <v>45843</v>
      </c>
      <c r="G2780">
        <f>IF(TableRefills3[[#This Row],[prev_refill_end]]="","",TableRefills3[[#This Row],[refill_date]]-TableRefills3[[#This Row],[prev_refill_end]])</f>
        <v>0</v>
      </c>
      <c r="H2780" s="10">
        <f>IF(TableRefills3[[#This Row],[gap_days]]="",0,IF(TableRefills3[[#This Row],[gap_days]]&gt;2,1,0))</f>
        <v>0</v>
      </c>
      <c r="I2780">
        <f>_xlfn.MAXIFS(TableRefills3[discountinuation_flag], TableRefills3[patient_id], A2780)</f>
        <v>1</v>
      </c>
    </row>
    <row r="2781" spans="1:9" x14ac:dyDescent="0.25">
      <c r="A2781" t="s">
        <v>4419</v>
      </c>
      <c r="B2781" t="s">
        <v>4420</v>
      </c>
      <c r="C2781" s="3">
        <v>45860</v>
      </c>
      <c r="D2781">
        <v>14</v>
      </c>
      <c r="E2781" s="3">
        <f t="shared" si="43"/>
        <v>45843</v>
      </c>
      <c r="F2781" s="3">
        <f>IF(TableRefills3[[#This Row],[prev_refill_days]]="","",TableRefills3[[#This Row],[prev_refill_days]]+TableRefills3[[#This Row],[quantity_days]])</f>
        <v>45857</v>
      </c>
      <c r="G2781">
        <f>IF(TableRefills3[[#This Row],[prev_refill_end]]="","",TableRefills3[[#This Row],[refill_date]]-TableRefills3[[#This Row],[prev_refill_end]])</f>
        <v>3</v>
      </c>
      <c r="H2781" s="10">
        <f>IF(TableRefills3[[#This Row],[gap_days]]="",0,IF(TableRefills3[[#This Row],[gap_days]]&gt;2,1,0))</f>
        <v>1</v>
      </c>
      <c r="I2781">
        <f>_xlfn.MAXIFS(TableRefills3[discountinuation_flag], TableRefills3[patient_id], A2781)</f>
        <v>1</v>
      </c>
    </row>
    <row r="2782" spans="1:9" x14ac:dyDescent="0.25">
      <c r="A2782" t="s">
        <v>4419</v>
      </c>
      <c r="B2782" t="s">
        <v>4420</v>
      </c>
      <c r="C2782" s="3">
        <v>45877</v>
      </c>
      <c r="D2782">
        <v>14</v>
      </c>
      <c r="E2782" s="3">
        <f t="shared" si="43"/>
        <v>45860</v>
      </c>
      <c r="F2782" s="3">
        <f>IF(TableRefills3[[#This Row],[prev_refill_days]]="","",TableRefills3[[#This Row],[prev_refill_days]]+TableRefills3[[#This Row],[quantity_days]])</f>
        <v>45874</v>
      </c>
      <c r="G2782">
        <f>IF(TableRefills3[[#This Row],[prev_refill_end]]="","",TableRefills3[[#This Row],[refill_date]]-TableRefills3[[#This Row],[prev_refill_end]])</f>
        <v>3</v>
      </c>
      <c r="H2782" s="10">
        <f>IF(TableRefills3[[#This Row],[gap_days]]="",0,IF(TableRefills3[[#This Row],[gap_days]]&gt;2,1,0))</f>
        <v>1</v>
      </c>
      <c r="I2782">
        <f>_xlfn.MAXIFS(TableRefills3[discountinuation_flag], TableRefills3[patient_id], A2782)</f>
        <v>1</v>
      </c>
    </row>
    <row r="2783" spans="1:9" x14ac:dyDescent="0.25">
      <c r="A2783" t="s">
        <v>4419</v>
      </c>
      <c r="B2783" t="s">
        <v>4420</v>
      </c>
      <c r="C2783" s="3">
        <v>45891</v>
      </c>
      <c r="D2783">
        <v>14</v>
      </c>
      <c r="E2783" s="3">
        <f t="shared" si="43"/>
        <v>45877</v>
      </c>
      <c r="F2783" s="3">
        <f>IF(TableRefills3[[#This Row],[prev_refill_days]]="","",TableRefills3[[#This Row],[prev_refill_days]]+TableRefills3[[#This Row],[quantity_days]])</f>
        <v>45891</v>
      </c>
      <c r="G2783">
        <f>IF(TableRefills3[[#This Row],[prev_refill_end]]="","",TableRefills3[[#This Row],[refill_date]]-TableRefills3[[#This Row],[prev_refill_end]])</f>
        <v>0</v>
      </c>
      <c r="H2783" s="10">
        <f>IF(TableRefills3[[#This Row],[gap_days]]="",0,IF(TableRefills3[[#This Row],[gap_days]]&gt;2,1,0))</f>
        <v>0</v>
      </c>
      <c r="I2783">
        <f>_xlfn.MAXIFS(TableRefills3[discountinuation_flag], TableRefills3[patient_id], A2783)</f>
        <v>1</v>
      </c>
    </row>
    <row r="2784" spans="1:9" x14ac:dyDescent="0.25">
      <c r="A2784" t="s">
        <v>4419</v>
      </c>
      <c r="B2784" t="s">
        <v>4420</v>
      </c>
      <c r="C2784" s="3">
        <v>45908</v>
      </c>
      <c r="D2784">
        <v>14</v>
      </c>
      <c r="E2784" s="3">
        <f t="shared" si="43"/>
        <v>45891</v>
      </c>
      <c r="F2784" s="3">
        <f>IF(TableRefills3[[#This Row],[prev_refill_days]]="","",TableRefills3[[#This Row],[prev_refill_days]]+TableRefills3[[#This Row],[quantity_days]])</f>
        <v>45905</v>
      </c>
      <c r="G2784">
        <f>IF(TableRefills3[[#This Row],[prev_refill_end]]="","",TableRefills3[[#This Row],[refill_date]]-TableRefills3[[#This Row],[prev_refill_end]])</f>
        <v>3</v>
      </c>
      <c r="H2784" s="10">
        <f>IF(TableRefills3[[#This Row],[gap_days]]="",0,IF(TableRefills3[[#This Row],[gap_days]]&gt;2,1,0))</f>
        <v>1</v>
      </c>
      <c r="I2784">
        <f>_xlfn.MAXIFS(TableRefills3[discountinuation_flag], TableRefills3[patient_id], A2784)</f>
        <v>1</v>
      </c>
    </row>
    <row r="2785" spans="1:9" x14ac:dyDescent="0.25">
      <c r="A2785" t="s">
        <v>4419</v>
      </c>
      <c r="B2785" t="s">
        <v>4420</v>
      </c>
      <c r="C2785" s="3">
        <v>45921</v>
      </c>
      <c r="D2785">
        <v>14</v>
      </c>
      <c r="E2785" s="3">
        <f t="shared" si="43"/>
        <v>45908</v>
      </c>
      <c r="F2785" s="3">
        <f>IF(TableRefills3[[#This Row],[prev_refill_days]]="","",TableRefills3[[#This Row],[prev_refill_days]]+TableRefills3[[#This Row],[quantity_days]])</f>
        <v>45922</v>
      </c>
      <c r="G2785">
        <f>IF(TableRefills3[[#This Row],[prev_refill_end]]="","",TableRefills3[[#This Row],[refill_date]]-TableRefills3[[#This Row],[prev_refill_end]])</f>
        <v>-1</v>
      </c>
      <c r="H2785" s="10">
        <f>IF(TableRefills3[[#This Row],[gap_days]]="",0,IF(TableRefills3[[#This Row],[gap_days]]&gt;2,1,0))</f>
        <v>0</v>
      </c>
      <c r="I2785">
        <f>_xlfn.MAXIFS(TableRefills3[discountinuation_flag], TableRefills3[patient_id], A2785)</f>
        <v>1</v>
      </c>
    </row>
    <row r="2786" spans="1:9" x14ac:dyDescent="0.25">
      <c r="A2786" t="s">
        <v>4419</v>
      </c>
      <c r="B2786" t="s">
        <v>4420</v>
      </c>
      <c r="C2786" s="3">
        <v>45935</v>
      </c>
      <c r="D2786">
        <v>14</v>
      </c>
      <c r="E2786" s="3">
        <f t="shared" si="43"/>
        <v>45921</v>
      </c>
      <c r="F2786" s="3">
        <f>IF(TableRefills3[[#This Row],[prev_refill_days]]="","",TableRefills3[[#This Row],[prev_refill_days]]+TableRefills3[[#This Row],[quantity_days]])</f>
        <v>45935</v>
      </c>
      <c r="G2786">
        <f>IF(TableRefills3[[#This Row],[prev_refill_end]]="","",TableRefills3[[#This Row],[refill_date]]-TableRefills3[[#This Row],[prev_refill_end]])</f>
        <v>0</v>
      </c>
      <c r="H2786" s="10">
        <f>IF(TableRefills3[[#This Row],[gap_days]]="",0,IF(TableRefills3[[#This Row],[gap_days]]&gt;2,1,0))</f>
        <v>0</v>
      </c>
      <c r="I2786">
        <f>_xlfn.MAXIFS(TableRefills3[discountinuation_flag], TableRefills3[patient_id], A2786)</f>
        <v>1</v>
      </c>
    </row>
    <row r="2787" spans="1:9" x14ac:dyDescent="0.25">
      <c r="A2787" t="s">
        <v>4419</v>
      </c>
      <c r="B2787" t="s">
        <v>4420</v>
      </c>
      <c r="C2787" s="3">
        <v>45951</v>
      </c>
      <c r="D2787">
        <v>14</v>
      </c>
      <c r="E2787" s="3">
        <f t="shared" si="43"/>
        <v>45935</v>
      </c>
      <c r="F2787" s="3">
        <f>IF(TableRefills3[[#This Row],[prev_refill_days]]="","",TableRefills3[[#This Row],[prev_refill_days]]+TableRefills3[[#This Row],[quantity_days]])</f>
        <v>45949</v>
      </c>
      <c r="G2787">
        <f>IF(TableRefills3[[#This Row],[prev_refill_end]]="","",TableRefills3[[#This Row],[refill_date]]-TableRefills3[[#This Row],[prev_refill_end]])</f>
        <v>2</v>
      </c>
      <c r="H2787" s="10">
        <f>IF(TableRefills3[[#This Row],[gap_days]]="",0,IF(TableRefills3[[#This Row],[gap_days]]&gt;2,1,0))</f>
        <v>0</v>
      </c>
      <c r="I2787">
        <f>_xlfn.MAXIFS(TableRefills3[discountinuation_flag], TableRefills3[patient_id], A2787)</f>
        <v>1</v>
      </c>
    </row>
    <row r="2788" spans="1:9" x14ac:dyDescent="0.25">
      <c r="A2788" t="s">
        <v>4432</v>
      </c>
      <c r="B2788" t="s">
        <v>4433</v>
      </c>
      <c r="C2788" s="3">
        <v>45935</v>
      </c>
      <c r="D2788">
        <v>28</v>
      </c>
      <c r="E2788" s="3" t="str">
        <f t="shared" si="43"/>
        <v/>
      </c>
      <c r="F2788" s="3" t="str">
        <f>IF(TableRefills3[[#This Row],[prev_refill_days]]="","",TableRefills3[[#This Row],[prev_refill_days]]+TableRefills3[[#This Row],[quantity_days]])</f>
        <v/>
      </c>
      <c r="G2788" t="str">
        <f>IF(TableRefills3[[#This Row],[prev_refill_end]]="","",TableRefills3[[#This Row],[refill_date]]-TableRefills3[[#This Row],[prev_refill_end]])</f>
        <v/>
      </c>
      <c r="H2788" s="10">
        <f>IF(TableRefills3[[#This Row],[gap_days]]="",0,IF(TableRefills3[[#This Row],[gap_days]]&gt;2,1,0))</f>
        <v>0</v>
      </c>
      <c r="I2788">
        <f>_xlfn.MAXIFS(TableRefills3[discountinuation_flag], TableRefills3[patient_id], A2788)</f>
        <v>0</v>
      </c>
    </row>
    <row r="2789" spans="1:9" x14ac:dyDescent="0.25">
      <c r="A2789" t="s">
        <v>4432</v>
      </c>
      <c r="B2789" t="s">
        <v>4433</v>
      </c>
      <c r="C2789" s="3">
        <v>45960</v>
      </c>
      <c r="D2789">
        <v>28</v>
      </c>
      <c r="E2789" s="3">
        <f t="shared" si="43"/>
        <v>45935</v>
      </c>
      <c r="F2789" s="3">
        <f>IF(TableRefills3[[#This Row],[prev_refill_days]]="","",TableRefills3[[#This Row],[prev_refill_days]]+TableRefills3[[#This Row],[quantity_days]])</f>
        <v>45963</v>
      </c>
      <c r="G2789">
        <f>IF(TableRefills3[[#This Row],[prev_refill_end]]="","",TableRefills3[[#This Row],[refill_date]]-TableRefills3[[#This Row],[prev_refill_end]])</f>
        <v>-3</v>
      </c>
      <c r="H2789" s="10">
        <f>IF(TableRefills3[[#This Row],[gap_days]]="",0,IF(TableRefills3[[#This Row],[gap_days]]&gt;2,1,0))</f>
        <v>0</v>
      </c>
      <c r="I2789">
        <f>_xlfn.MAXIFS(TableRefills3[discountinuation_flag], TableRefills3[patient_id], A2789)</f>
        <v>0</v>
      </c>
    </row>
    <row r="2790" spans="1:9" x14ac:dyDescent="0.25">
      <c r="A2790" t="s">
        <v>4436</v>
      </c>
      <c r="B2790" t="s">
        <v>4437</v>
      </c>
      <c r="C2790" s="3">
        <v>45893</v>
      </c>
      <c r="D2790">
        <v>28</v>
      </c>
      <c r="E2790" s="3" t="str">
        <f t="shared" si="43"/>
        <v/>
      </c>
      <c r="F2790" s="3" t="str">
        <f>IF(TableRefills3[[#This Row],[prev_refill_days]]="","",TableRefills3[[#This Row],[prev_refill_days]]+TableRefills3[[#This Row],[quantity_days]])</f>
        <v/>
      </c>
      <c r="G2790" t="str">
        <f>IF(TableRefills3[[#This Row],[prev_refill_end]]="","",TableRefills3[[#This Row],[refill_date]]-TableRefills3[[#This Row],[prev_refill_end]])</f>
        <v/>
      </c>
      <c r="H2790" s="10">
        <f>IF(TableRefills3[[#This Row],[gap_days]]="",0,IF(TableRefills3[[#This Row],[gap_days]]&gt;2,1,0))</f>
        <v>0</v>
      </c>
      <c r="I2790">
        <f>_xlfn.MAXIFS(TableRefills3[discountinuation_flag], TableRefills3[patient_id], A2790)</f>
        <v>0</v>
      </c>
    </row>
    <row r="2791" spans="1:9" x14ac:dyDescent="0.25">
      <c r="A2791" t="s">
        <v>4436</v>
      </c>
      <c r="B2791" t="s">
        <v>4437</v>
      </c>
      <c r="C2791" s="3">
        <v>45922</v>
      </c>
      <c r="D2791">
        <v>28</v>
      </c>
      <c r="E2791" s="3">
        <f t="shared" si="43"/>
        <v>45893</v>
      </c>
      <c r="F2791" s="3">
        <f>IF(TableRefills3[[#This Row],[prev_refill_days]]="","",TableRefills3[[#This Row],[prev_refill_days]]+TableRefills3[[#This Row],[quantity_days]])</f>
        <v>45921</v>
      </c>
      <c r="G2791">
        <f>IF(TableRefills3[[#This Row],[prev_refill_end]]="","",TableRefills3[[#This Row],[refill_date]]-TableRefills3[[#This Row],[prev_refill_end]])</f>
        <v>1</v>
      </c>
      <c r="H2791" s="10">
        <f>IF(TableRefills3[[#This Row],[gap_days]]="",0,IF(TableRefills3[[#This Row],[gap_days]]&gt;2,1,0))</f>
        <v>0</v>
      </c>
      <c r="I2791">
        <f>_xlfn.MAXIFS(TableRefills3[discountinuation_flag], TableRefills3[patient_id], A2791)</f>
        <v>0</v>
      </c>
    </row>
    <row r="2792" spans="1:9" x14ac:dyDescent="0.25">
      <c r="A2792" t="s">
        <v>4436</v>
      </c>
      <c r="B2792" t="s">
        <v>4437</v>
      </c>
      <c r="C2792" s="3">
        <v>45949</v>
      </c>
      <c r="D2792">
        <v>28</v>
      </c>
      <c r="E2792" s="3">
        <f t="shared" si="43"/>
        <v>45922</v>
      </c>
      <c r="F2792" s="3">
        <f>IF(TableRefills3[[#This Row],[prev_refill_days]]="","",TableRefills3[[#This Row],[prev_refill_days]]+TableRefills3[[#This Row],[quantity_days]])</f>
        <v>45950</v>
      </c>
      <c r="G2792">
        <f>IF(TableRefills3[[#This Row],[prev_refill_end]]="","",TableRefills3[[#This Row],[refill_date]]-TableRefills3[[#This Row],[prev_refill_end]])</f>
        <v>-1</v>
      </c>
      <c r="H2792" s="10">
        <f>IF(TableRefills3[[#This Row],[gap_days]]="",0,IF(TableRefills3[[#This Row],[gap_days]]&gt;2,1,0))</f>
        <v>0</v>
      </c>
      <c r="I2792">
        <f>_xlfn.MAXIFS(TableRefills3[discountinuation_flag], TableRefills3[patient_id], A2792)</f>
        <v>0</v>
      </c>
    </row>
    <row r="2793" spans="1:9" x14ac:dyDescent="0.25">
      <c r="A2793" t="s">
        <v>4441</v>
      </c>
      <c r="B2793" t="s">
        <v>4442</v>
      </c>
      <c r="C2793" s="3">
        <v>45887</v>
      </c>
      <c r="D2793">
        <v>28</v>
      </c>
      <c r="E2793" s="3" t="str">
        <f t="shared" si="43"/>
        <v/>
      </c>
      <c r="F2793" s="3" t="str">
        <f>IF(TableRefills3[[#This Row],[prev_refill_days]]="","",TableRefills3[[#This Row],[prev_refill_days]]+TableRefills3[[#This Row],[quantity_days]])</f>
        <v/>
      </c>
      <c r="G2793" t="str">
        <f>IF(TableRefills3[[#This Row],[prev_refill_end]]="","",TableRefills3[[#This Row],[refill_date]]-TableRefills3[[#This Row],[prev_refill_end]])</f>
        <v/>
      </c>
      <c r="H2793" s="10">
        <f>IF(TableRefills3[[#This Row],[gap_days]]="",0,IF(TableRefills3[[#This Row],[gap_days]]&gt;2,1,0))</f>
        <v>0</v>
      </c>
      <c r="I2793">
        <f>_xlfn.MAXIFS(TableRefills3[discountinuation_flag], TableRefills3[patient_id], A2793)</f>
        <v>0</v>
      </c>
    </row>
    <row r="2794" spans="1:9" x14ac:dyDescent="0.25">
      <c r="A2794" t="s">
        <v>4441</v>
      </c>
      <c r="B2794" t="s">
        <v>4442</v>
      </c>
      <c r="C2794" s="3">
        <v>45917</v>
      </c>
      <c r="D2794">
        <v>28</v>
      </c>
      <c r="E2794" s="3">
        <f t="shared" si="43"/>
        <v>45887</v>
      </c>
      <c r="F2794" s="3">
        <f>IF(TableRefills3[[#This Row],[prev_refill_days]]="","",TableRefills3[[#This Row],[prev_refill_days]]+TableRefills3[[#This Row],[quantity_days]])</f>
        <v>45915</v>
      </c>
      <c r="G2794">
        <f>IF(TableRefills3[[#This Row],[prev_refill_end]]="","",TableRefills3[[#This Row],[refill_date]]-TableRefills3[[#This Row],[prev_refill_end]])</f>
        <v>2</v>
      </c>
      <c r="H2794" s="10">
        <f>IF(TableRefills3[[#This Row],[gap_days]]="",0,IF(TableRefills3[[#This Row],[gap_days]]&gt;2,1,0))</f>
        <v>0</v>
      </c>
      <c r="I2794">
        <f>_xlfn.MAXIFS(TableRefills3[discountinuation_flag], TableRefills3[patient_id], A2794)</f>
        <v>0</v>
      </c>
    </row>
    <row r="2795" spans="1:9" x14ac:dyDescent="0.25">
      <c r="A2795" t="s">
        <v>4441</v>
      </c>
      <c r="B2795" t="s">
        <v>4442</v>
      </c>
      <c r="C2795" s="3">
        <v>45946</v>
      </c>
      <c r="D2795">
        <v>28</v>
      </c>
      <c r="E2795" s="3">
        <f t="shared" si="43"/>
        <v>45917</v>
      </c>
      <c r="F2795" s="3">
        <f>IF(TableRefills3[[#This Row],[prev_refill_days]]="","",TableRefills3[[#This Row],[prev_refill_days]]+TableRefills3[[#This Row],[quantity_days]])</f>
        <v>45945</v>
      </c>
      <c r="G2795">
        <f>IF(TableRefills3[[#This Row],[prev_refill_end]]="","",TableRefills3[[#This Row],[refill_date]]-TableRefills3[[#This Row],[prev_refill_end]])</f>
        <v>1</v>
      </c>
      <c r="H2795" s="10">
        <f>IF(TableRefills3[[#This Row],[gap_days]]="",0,IF(TableRefills3[[#This Row],[gap_days]]&gt;2,1,0))</f>
        <v>0</v>
      </c>
      <c r="I2795">
        <f>_xlfn.MAXIFS(TableRefills3[discountinuation_flag], TableRefills3[patient_id], A2795)</f>
        <v>0</v>
      </c>
    </row>
    <row r="2796" spans="1:9" x14ac:dyDescent="0.25">
      <c r="A2796" t="s">
        <v>4446</v>
      </c>
      <c r="B2796" t="s">
        <v>4447</v>
      </c>
      <c r="C2796" s="3">
        <v>45779</v>
      </c>
      <c r="D2796">
        <v>30</v>
      </c>
      <c r="E2796" s="3" t="str">
        <f t="shared" si="43"/>
        <v/>
      </c>
      <c r="F2796" s="3" t="str">
        <f>IF(TableRefills3[[#This Row],[prev_refill_days]]="","",TableRefills3[[#This Row],[prev_refill_days]]+TableRefills3[[#This Row],[quantity_days]])</f>
        <v/>
      </c>
      <c r="G2796" t="str">
        <f>IF(TableRefills3[[#This Row],[prev_refill_end]]="","",TableRefills3[[#This Row],[refill_date]]-TableRefills3[[#This Row],[prev_refill_end]])</f>
        <v/>
      </c>
      <c r="H2796" s="10">
        <f>IF(TableRefills3[[#This Row],[gap_days]]="",0,IF(TableRefills3[[#This Row],[gap_days]]&gt;2,1,0))</f>
        <v>0</v>
      </c>
      <c r="I2796">
        <f>_xlfn.MAXIFS(TableRefills3[discountinuation_flag], TableRefills3[patient_id], A2796)</f>
        <v>0</v>
      </c>
    </row>
    <row r="2797" spans="1:9" x14ac:dyDescent="0.25">
      <c r="A2797" t="s">
        <v>4449</v>
      </c>
      <c r="B2797" t="s">
        <v>4450</v>
      </c>
      <c r="C2797" s="3">
        <v>45832</v>
      </c>
      <c r="D2797">
        <v>30</v>
      </c>
      <c r="E2797" s="3" t="str">
        <f t="shared" si="43"/>
        <v/>
      </c>
      <c r="F2797" s="3" t="str">
        <f>IF(TableRefills3[[#This Row],[prev_refill_days]]="","",TableRefills3[[#This Row],[prev_refill_days]]+TableRefills3[[#This Row],[quantity_days]])</f>
        <v/>
      </c>
      <c r="G2797" t="str">
        <f>IF(TableRefills3[[#This Row],[prev_refill_end]]="","",TableRefills3[[#This Row],[refill_date]]-TableRefills3[[#This Row],[prev_refill_end]])</f>
        <v/>
      </c>
      <c r="H2797" s="10">
        <f>IF(TableRefills3[[#This Row],[gap_days]]="",0,IF(TableRefills3[[#This Row],[gap_days]]&gt;2,1,0))</f>
        <v>0</v>
      </c>
      <c r="I2797">
        <f>_xlfn.MAXIFS(TableRefills3[discountinuation_flag], TableRefills3[patient_id], A2797)</f>
        <v>0</v>
      </c>
    </row>
    <row r="2798" spans="1:9" x14ac:dyDescent="0.25">
      <c r="A2798" t="s">
        <v>4449</v>
      </c>
      <c r="B2798" t="s">
        <v>4450</v>
      </c>
      <c r="C2798" s="3">
        <v>45864</v>
      </c>
      <c r="D2798">
        <v>30</v>
      </c>
      <c r="E2798" s="3">
        <f t="shared" si="43"/>
        <v>45832</v>
      </c>
      <c r="F2798" s="3">
        <f>IF(TableRefills3[[#This Row],[prev_refill_days]]="","",TableRefills3[[#This Row],[prev_refill_days]]+TableRefills3[[#This Row],[quantity_days]])</f>
        <v>45862</v>
      </c>
      <c r="G2798">
        <f>IF(TableRefills3[[#This Row],[prev_refill_end]]="","",TableRefills3[[#This Row],[refill_date]]-TableRefills3[[#This Row],[prev_refill_end]])</f>
        <v>2</v>
      </c>
      <c r="H2798" s="10">
        <f>IF(TableRefills3[[#This Row],[gap_days]]="",0,IF(TableRefills3[[#This Row],[gap_days]]&gt;2,1,0))</f>
        <v>0</v>
      </c>
      <c r="I2798">
        <f>_xlfn.MAXIFS(TableRefills3[discountinuation_flag], TableRefills3[patient_id], A2798)</f>
        <v>0</v>
      </c>
    </row>
    <row r="2799" spans="1:9" x14ac:dyDescent="0.25">
      <c r="A2799" t="s">
        <v>4449</v>
      </c>
      <c r="B2799" t="s">
        <v>4450</v>
      </c>
      <c r="C2799" s="3">
        <v>45895</v>
      </c>
      <c r="D2799">
        <v>30</v>
      </c>
      <c r="E2799" s="3">
        <f t="shared" si="43"/>
        <v>45864</v>
      </c>
      <c r="F2799" s="3">
        <f>IF(TableRefills3[[#This Row],[prev_refill_days]]="","",TableRefills3[[#This Row],[prev_refill_days]]+TableRefills3[[#This Row],[quantity_days]])</f>
        <v>45894</v>
      </c>
      <c r="G2799">
        <f>IF(TableRefills3[[#This Row],[prev_refill_end]]="","",TableRefills3[[#This Row],[refill_date]]-TableRefills3[[#This Row],[prev_refill_end]])</f>
        <v>1</v>
      </c>
      <c r="H2799" s="10">
        <f>IF(TableRefills3[[#This Row],[gap_days]]="",0,IF(TableRefills3[[#This Row],[gap_days]]&gt;2,1,0))</f>
        <v>0</v>
      </c>
      <c r="I2799">
        <f>_xlfn.MAXIFS(TableRefills3[discountinuation_flag], TableRefills3[patient_id], A2799)</f>
        <v>0</v>
      </c>
    </row>
    <row r="2800" spans="1:9" x14ac:dyDescent="0.25">
      <c r="A2800" t="s">
        <v>4449</v>
      </c>
      <c r="B2800" t="s">
        <v>4450</v>
      </c>
      <c r="C2800" s="3">
        <v>45924</v>
      </c>
      <c r="D2800">
        <v>30</v>
      </c>
      <c r="E2800" s="3">
        <f t="shared" si="43"/>
        <v>45895</v>
      </c>
      <c r="F2800" s="3">
        <f>IF(TableRefills3[[#This Row],[prev_refill_days]]="","",TableRefills3[[#This Row],[prev_refill_days]]+TableRefills3[[#This Row],[quantity_days]])</f>
        <v>45925</v>
      </c>
      <c r="G2800">
        <f>IF(TableRefills3[[#This Row],[prev_refill_end]]="","",TableRefills3[[#This Row],[refill_date]]-TableRefills3[[#This Row],[prev_refill_end]])</f>
        <v>-1</v>
      </c>
      <c r="H2800" s="10">
        <f>IF(TableRefills3[[#This Row],[gap_days]]="",0,IF(TableRefills3[[#This Row],[gap_days]]&gt;2,1,0))</f>
        <v>0</v>
      </c>
      <c r="I2800">
        <f>_xlfn.MAXIFS(TableRefills3[discountinuation_flag], TableRefills3[patient_id], A2800)</f>
        <v>0</v>
      </c>
    </row>
    <row r="2801" spans="1:9" x14ac:dyDescent="0.25">
      <c r="A2801" t="s">
        <v>4449</v>
      </c>
      <c r="B2801" t="s">
        <v>4450</v>
      </c>
      <c r="C2801" s="3">
        <v>45951</v>
      </c>
      <c r="D2801">
        <v>30</v>
      </c>
      <c r="E2801" s="3">
        <f t="shared" si="43"/>
        <v>45924</v>
      </c>
      <c r="F2801" s="3">
        <f>IF(TableRefills3[[#This Row],[prev_refill_days]]="","",TableRefills3[[#This Row],[prev_refill_days]]+TableRefills3[[#This Row],[quantity_days]])</f>
        <v>45954</v>
      </c>
      <c r="G2801">
        <f>IF(TableRefills3[[#This Row],[prev_refill_end]]="","",TableRefills3[[#This Row],[refill_date]]-TableRefills3[[#This Row],[prev_refill_end]])</f>
        <v>-3</v>
      </c>
      <c r="H2801" s="10">
        <f>IF(TableRefills3[[#This Row],[gap_days]]="",0,IF(TableRefills3[[#This Row],[gap_days]]&gt;2,1,0))</f>
        <v>0</v>
      </c>
      <c r="I2801">
        <f>_xlfn.MAXIFS(TableRefills3[discountinuation_flag], TableRefills3[patient_id], A2801)</f>
        <v>0</v>
      </c>
    </row>
    <row r="2802" spans="1:9" x14ac:dyDescent="0.25">
      <c r="A2802" t="s">
        <v>4456</v>
      </c>
      <c r="B2802" t="s">
        <v>4457</v>
      </c>
      <c r="C2802" s="3">
        <v>45849</v>
      </c>
      <c r="D2802">
        <v>28</v>
      </c>
      <c r="E2802" s="3" t="str">
        <f t="shared" si="43"/>
        <v/>
      </c>
      <c r="F2802" s="3" t="str">
        <f>IF(TableRefills3[[#This Row],[prev_refill_days]]="","",TableRefills3[[#This Row],[prev_refill_days]]+TableRefills3[[#This Row],[quantity_days]])</f>
        <v/>
      </c>
      <c r="G2802" t="str">
        <f>IF(TableRefills3[[#This Row],[prev_refill_end]]="","",TableRefills3[[#This Row],[refill_date]]-TableRefills3[[#This Row],[prev_refill_end]])</f>
        <v/>
      </c>
      <c r="H2802" s="10">
        <f>IF(TableRefills3[[#This Row],[gap_days]]="",0,IF(TableRefills3[[#This Row],[gap_days]]&gt;2,1,0))</f>
        <v>0</v>
      </c>
      <c r="I2802">
        <f>_xlfn.MAXIFS(TableRefills3[discountinuation_flag], TableRefills3[patient_id], A2802)</f>
        <v>0</v>
      </c>
    </row>
    <row r="2803" spans="1:9" x14ac:dyDescent="0.25">
      <c r="A2803" t="s">
        <v>4456</v>
      </c>
      <c r="B2803" t="s">
        <v>4457</v>
      </c>
      <c r="C2803" s="3">
        <v>45874</v>
      </c>
      <c r="D2803">
        <v>28</v>
      </c>
      <c r="E2803" s="3">
        <f t="shared" si="43"/>
        <v>45849</v>
      </c>
      <c r="F2803" s="3">
        <f>IF(TableRefills3[[#This Row],[prev_refill_days]]="","",TableRefills3[[#This Row],[prev_refill_days]]+TableRefills3[[#This Row],[quantity_days]])</f>
        <v>45877</v>
      </c>
      <c r="G2803">
        <f>IF(TableRefills3[[#This Row],[prev_refill_end]]="","",TableRefills3[[#This Row],[refill_date]]-TableRefills3[[#This Row],[prev_refill_end]])</f>
        <v>-3</v>
      </c>
      <c r="H2803" s="10">
        <f>IF(TableRefills3[[#This Row],[gap_days]]="",0,IF(TableRefills3[[#This Row],[gap_days]]&gt;2,1,0))</f>
        <v>0</v>
      </c>
      <c r="I2803">
        <f>_xlfn.MAXIFS(TableRefills3[discountinuation_flag], TableRefills3[patient_id], A2803)</f>
        <v>0</v>
      </c>
    </row>
    <row r="2804" spans="1:9" x14ac:dyDescent="0.25">
      <c r="A2804" t="s">
        <v>4456</v>
      </c>
      <c r="B2804" t="s">
        <v>4457</v>
      </c>
      <c r="C2804" s="3">
        <v>45902</v>
      </c>
      <c r="D2804">
        <v>28</v>
      </c>
      <c r="E2804" s="3">
        <f t="shared" si="43"/>
        <v>45874</v>
      </c>
      <c r="F2804" s="3">
        <f>IF(TableRefills3[[#This Row],[prev_refill_days]]="","",TableRefills3[[#This Row],[prev_refill_days]]+TableRefills3[[#This Row],[quantity_days]])</f>
        <v>45902</v>
      </c>
      <c r="G2804">
        <f>IF(TableRefills3[[#This Row],[prev_refill_end]]="","",TableRefills3[[#This Row],[refill_date]]-TableRefills3[[#This Row],[prev_refill_end]])</f>
        <v>0</v>
      </c>
      <c r="H2804" s="10">
        <f>IF(TableRefills3[[#This Row],[gap_days]]="",0,IF(TableRefills3[[#This Row],[gap_days]]&gt;2,1,0))</f>
        <v>0</v>
      </c>
      <c r="I2804">
        <f>_xlfn.MAXIFS(TableRefills3[discountinuation_flag], TableRefills3[patient_id], A2804)</f>
        <v>0</v>
      </c>
    </row>
    <row r="2805" spans="1:9" x14ac:dyDescent="0.25">
      <c r="A2805" t="s">
        <v>4456</v>
      </c>
      <c r="B2805" t="s">
        <v>4457</v>
      </c>
      <c r="C2805" s="3">
        <v>45930</v>
      </c>
      <c r="D2805">
        <v>28</v>
      </c>
      <c r="E2805" s="3">
        <f t="shared" si="43"/>
        <v>45902</v>
      </c>
      <c r="F2805" s="3">
        <f>IF(TableRefills3[[#This Row],[prev_refill_days]]="","",TableRefills3[[#This Row],[prev_refill_days]]+TableRefills3[[#This Row],[quantity_days]])</f>
        <v>45930</v>
      </c>
      <c r="G2805">
        <f>IF(TableRefills3[[#This Row],[prev_refill_end]]="","",TableRefills3[[#This Row],[refill_date]]-TableRefills3[[#This Row],[prev_refill_end]])</f>
        <v>0</v>
      </c>
      <c r="H2805" s="10">
        <f>IF(TableRefills3[[#This Row],[gap_days]]="",0,IF(TableRefills3[[#This Row],[gap_days]]&gt;2,1,0))</f>
        <v>0</v>
      </c>
      <c r="I2805">
        <f>_xlfn.MAXIFS(TableRefills3[discountinuation_flag], TableRefills3[patient_id], A2805)</f>
        <v>0</v>
      </c>
    </row>
    <row r="2806" spans="1:9" x14ac:dyDescent="0.25">
      <c r="A2806" t="s">
        <v>4456</v>
      </c>
      <c r="B2806" t="s">
        <v>4457</v>
      </c>
      <c r="C2806" s="3">
        <v>45955</v>
      </c>
      <c r="D2806">
        <v>28</v>
      </c>
      <c r="E2806" s="3">
        <f t="shared" si="43"/>
        <v>45930</v>
      </c>
      <c r="F2806" s="3">
        <f>IF(TableRefills3[[#This Row],[prev_refill_days]]="","",TableRefills3[[#This Row],[prev_refill_days]]+TableRefills3[[#This Row],[quantity_days]])</f>
        <v>45958</v>
      </c>
      <c r="G2806">
        <f>IF(TableRefills3[[#This Row],[prev_refill_end]]="","",TableRefills3[[#This Row],[refill_date]]-TableRefills3[[#This Row],[prev_refill_end]])</f>
        <v>-3</v>
      </c>
      <c r="H2806" s="10">
        <f>IF(TableRefills3[[#This Row],[gap_days]]="",0,IF(TableRefills3[[#This Row],[gap_days]]&gt;2,1,0))</f>
        <v>0</v>
      </c>
      <c r="I2806">
        <f>_xlfn.MAXIFS(TableRefills3[discountinuation_flag], TableRefills3[patient_id], A2806)</f>
        <v>0</v>
      </c>
    </row>
    <row r="2807" spans="1:9" x14ac:dyDescent="0.25">
      <c r="A2807" t="s">
        <v>4463</v>
      </c>
      <c r="B2807" t="s">
        <v>4464</v>
      </c>
      <c r="C2807" s="3">
        <v>45958</v>
      </c>
      <c r="D2807">
        <v>28</v>
      </c>
      <c r="E2807" s="3" t="str">
        <f t="shared" si="43"/>
        <v/>
      </c>
      <c r="F2807" s="3" t="str">
        <f>IF(TableRefills3[[#This Row],[prev_refill_days]]="","",TableRefills3[[#This Row],[prev_refill_days]]+TableRefills3[[#This Row],[quantity_days]])</f>
        <v/>
      </c>
      <c r="G2807" t="str">
        <f>IF(TableRefills3[[#This Row],[prev_refill_end]]="","",TableRefills3[[#This Row],[refill_date]]-TableRefills3[[#This Row],[prev_refill_end]])</f>
        <v/>
      </c>
      <c r="H2807" s="10">
        <f>IF(TableRefills3[[#This Row],[gap_days]]="",0,IF(TableRefills3[[#This Row],[gap_days]]&gt;2,1,0))</f>
        <v>0</v>
      </c>
      <c r="I2807">
        <f>_xlfn.MAXIFS(TableRefills3[discountinuation_flag], TableRefills3[patient_id], A2807)</f>
        <v>0</v>
      </c>
    </row>
    <row r="2808" spans="1:9" x14ac:dyDescent="0.25">
      <c r="A2808" t="s">
        <v>4466</v>
      </c>
      <c r="B2808" t="s">
        <v>4467</v>
      </c>
      <c r="C2808" s="3">
        <v>45794</v>
      </c>
      <c r="D2808">
        <v>28</v>
      </c>
      <c r="E2808" s="3" t="str">
        <f t="shared" si="43"/>
        <v/>
      </c>
      <c r="F2808" s="3" t="str">
        <f>IF(TableRefills3[[#This Row],[prev_refill_days]]="","",TableRefills3[[#This Row],[prev_refill_days]]+TableRefills3[[#This Row],[quantity_days]])</f>
        <v/>
      </c>
      <c r="G2808" t="str">
        <f>IF(TableRefills3[[#This Row],[prev_refill_end]]="","",TableRefills3[[#This Row],[refill_date]]-TableRefills3[[#This Row],[prev_refill_end]])</f>
        <v/>
      </c>
      <c r="H2808" s="10">
        <f>IF(TableRefills3[[#This Row],[gap_days]]="",0,IF(TableRefills3[[#This Row],[gap_days]]&gt;2,1,0))</f>
        <v>0</v>
      </c>
      <c r="I2808">
        <f>_xlfn.MAXIFS(TableRefills3[discountinuation_flag], TableRefills3[patient_id], A2808)</f>
        <v>1</v>
      </c>
    </row>
    <row r="2809" spans="1:9" x14ac:dyDescent="0.25">
      <c r="A2809" t="s">
        <v>4466</v>
      </c>
      <c r="B2809" t="s">
        <v>4467</v>
      </c>
      <c r="C2809" s="3">
        <v>45824</v>
      </c>
      <c r="D2809">
        <v>28</v>
      </c>
      <c r="E2809" s="3">
        <f t="shared" si="43"/>
        <v>45794</v>
      </c>
      <c r="F2809" s="3">
        <f>IF(TableRefills3[[#This Row],[prev_refill_days]]="","",TableRefills3[[#This Row],[prev_refill_days]]+TableRefills3[[#This Row],[quantity_days]])</f>
        <v>45822</v>
      </c>
      <c r="G2809">
        <f>IF(TableRefills3[[#This Row],[prev_refill_end]]="","",TableRefills3[[#This Row],[refill_date]]-TableRefills3[[#This Row],[prev_refill_end]])</f>
        <v>2</v>
      </c>
      <c r="H2809" s="10">
        <f>IF(TableRefills3[[#This Row],[gap_days]]="",0,IF(TableRefills3[[#This Row],[gap_days]]&gt;2,1,0))</f>
        <v>0</v>
      </c>
      <c r="I2809">
        <f>_xlfn.MAXIFS(TableRefills3[discountinuation_flag], TableRefills3[patient_id], A2809)</f>
        <v>1</v>
      </c>
    </row>
    <row r="2810" spans="1:9" x14ac:dyDescent="0.25">
      <c r="A2810" t="s">
        <v>4466</v>
      </c>
      <c r="B2810" t="s">
        <v>4467</v>
      </c>
      <c r="C2810" s="3">
        <v>45853</v>
      </c>
      <c r="D2810">
        <v>28</v>
      </c>
      <c r="E2810" s="3">
        <f t="shared" si="43"/>
        <v>45824</v>
      </c>
      <c r="F2810" s="3">
        <f>IF(TableRefills3[[#This Row],[prev_refill_days]]="","",TableRefills3[[#This Row],[prev_refill_days]]+TableRefills3[[#This Row],[quantity_days]])</f>
        <v>45852</v>
      </c>
      <c r="G2810">
        <f>IF(TableRefills3[[#This Row],[prev_refill_end]]="","",TableRefills3[[#This Row],[refill_date]]-TableRefills3[[#This Row],[prev_refill_end]])</f>
        <v>1</v>
      </c>
      <c r="H2810" s="10">
        <f>IF(TableRefills3[[#This Row],[gap_days]]="",0,IF(TableRefills3[[#This Row],[gap_days]]&gt;2,1,0))</f>
        <v>0</v>
      </c>
      <c r="I2810">
        <f>_xlfn.MAXIFS(TableRefills3[discountinuation_flag], TableRefills3[patient_id], A2810)</f>
        <v>1</v>
      </c>
    </row>
    <row r="2811" spans="1:9" x14ac:dyDescent="0.25">
      <c r="A2811" t="s">
        <v>4466</v>
      </c>
      <c r="B2811" t="s">
        <v>4467</v>
      </c>
      <c r="C2811" s="3">
        <v>45884</v>
      </c>
      <c r="D2811">
        <v>28</v>
      </c>
      <c r="E2811" s="3">
        <f t="shared" si="43"/>
        <v>45853</v>
      </c>
      <c r="F2811" s="3">
        <f>IF(TableRefills3[[#This Row],[prev_refill_days]]="","",TableRefills3[[#This Row],[prev_refill_days]]+TableRefills3[[#This Row],[quantity_days]])</f>
        <v>45881</v>
      </c>
      <c r="G2811">
        <f>IF(TableRefills3[[#This Row],[prev_refill_end]]="","",TableRefills3[[#This Row],[refill_date]]-TableRefills3[[#This Row],[prev_refill_end]])</f>
        <v>3</v>
      </c>
      <c r="H2811" s="10">
        <f>IF(TableRefills3[[#This Row],[gap_days]]="",0,IF(TableRefills3[[#This Row],[gap_days]]&gt;2,1,0))</f>
        <v>1</v>
      </c>
      <c r="I2811">
        <f>_xlfn.MAXIFS(TableRefills3[discountinuation_flag], TableRefills3[patient_id], A2811)</f>
        <v>1</v>
      </c>
    </row>
    <row r="2812" spans="1:9" x14ac:dyDescent="0.25">
      <c r="A2812" t="s">
        <v>4466</v>
      </c>
      <c r="B2812" t="s">
        <v>4467</v>
      </c>
      <c r="C2812" s="3">
        <v>45910</v>
      </c>
      <c r="D2812">
        <v>28</v>
      </c>
      <c r="E2812" s="3">
        <f t="shared" si="43"/>
        <v>45884</v>
      </c>
      <c r="F2812" s="3">
        <f>IF(TableRefills3[[#This Row],[prev_refill_days]]="","",TableRefills3[[#This Row],[prev_refill_days]]+TableRefills3[[#This Row],[quantity_days]])</f>
        <v>45912</v>
      </c>
      <c r="G2812">
        <f>IF(TableRefills3[[#This Row],[prev_refill_end]]="","",TableRefills3[[#This Row],[refill_date]]-TableRefills3[[#This Row],[prev_refill_end]])</f>
        <v>-2</v>
      </c>
      <c r="H2812" s="10">
        <f>IF(TableRefills3[[#This Row],[gap_days]]="",0,IF(TableRefills3[[#This Row],[gap_days]]&gt;2,1,0))</f>
        <v>0</v>
      </c>
      <c r="I2812">
        <f>_xlfn.MAXIFS(TableRefills3[discountinuation_flag], TableRefills3[patient_id], A2812)</f>
        <v>1</v>
      </c>
    </row>
    <row r="2813" spans="1:9" x14ac:dyDescent="0.25">
      <c r="A2813" t="s">
        <v>4466</v>
      </c>
      <c r="B2813" t="s">
        <v>4467</v>
      </c>
      <c r="C2813" s="3">
        <v>45936</v>
      </c>
      <c r="D2813">
        <v>28</v>
      </c>
      <c r="E2813" s="3">
        <f t="shared" si="43"/>
        <v>45910</v>
      </c>
      <c r="F2813" s="3">
        <f>IF(TableRefills3[[#This Row],[prev_refill_days]]="","",TableRefills3[[#This Row],[prev_refill_days]]+TableRefills3[[#This Row],[quantity_days]])</f>
        <v>45938</v>
      </c>
      <c r="G2813">
        <f>IF(TableRefills3[[#This Row],[prev_refill_end]]="","",TableRefills3[[#This Row],[refill_date]]-TableRefills3[[#This Row],[prev_refill_end]])</f>
        <v>-2</v>
      </c>
      <c r="H2813" s="10">
        <f>IF(TableRefills3[[#This Row],[gap_days]]="",0,IF(TableRefills3[[#This Row],[gap_days]]&gt;2,1,0))</f>
        <v>0</v>
      </c>
      <c r="I2813">
        <f>_xlfn.MAXIFS(TableRefills3[discountinuation_flag], TableRefills3[patient_id], A2813)</f>
        <v>1</v>
      </c>
    </row>
    <row r="2814" spans="1:9" x14ac:dyDescent="0.25">
      <c r="A2814" t="s">
        <v>4466</v>
      </c>
      <c r="B2814" t="s">
        <v>4467</v>
      </c>
      <c r="C2814" s="3">
        <v>45961</v>
      </c>
      <c r="D2814">
        <v>28</v>
      </c>
      <c r="E2814" s="3">
        <f t="shared" si="43"/>
        <v>45936</v>
      </c>
      <c r="F2814" s="3">
        <f>IF(TableRefills3[[#This Row],[prev_refill_days]]="","",TableRefills3[[#This Row],[prev_refill_days]]+TableRefills3[[#This Row],[quantity_days]])</f>
        <v>45964</v>
      </c>
      <c r="G2814">
        <f>IF(TableRefills3[[#This Row],[prev_refill_end]]="","",TableRefills3[[#This Row],[refill_date]]-TableRefills3[[#This Row],[prev_refill_end]])</f>
        <v>-3</v>
      </c>
      <c r="H2814" s="10">
        <f>IF(TableRefills3[[#This Row],[gap_days]]="",0,IF(TableRefills3[[#This Row],[gap_days]]&gt;2,1,0))</f>
        <v>0</v>
      </c>
      <c r="I2814">
        <f>_xlfn.MAXIFS(TableRefills3[discountinuation_flag], TableRefills3[patient_id], A2814)</f>
        <v>1</v>
      </c>
    </row>
    <row r="2815" spans="1:9" x14ac:dyDescent="0.25">
      <c r="A2815" t="s">
        <v>4475</v>
      </c>
      <c r="B2815" t="s">
        <v>4476</v>
      </c>
      <c r="C2815" s="3">
        <v>45804</v>
      </c>
      <c r="D2815">
        <v>30</v>
      </c>
      <c r="E2815" s="3" t="str">
        <f t="shared" si="43"/>
        <v/>
      </c>
      <c r="F2815" s="3" t="str">
        <f>IF(TableRefills3[[#This Row],[prev_refill_days]]="","",TableRefills3[[#This Row],[prev_refill_days]]+TableRefills3[[#This Row],[quantity_days]])</f>
        <v/>
      </c>
      <c r="G2815" t="str">
        <f>IF(TableRefills3[[#This Row],[prev_refill_end]]="","",TableRefills3[[#This Row],[refill_date]]-TableRefills3[[#This Row],[prev_refill_end]])</f>
        <v/>
      </c>
      <c r="H2815" s="10">
        <f>IF(TableRefills3[[#This Row],[gap_days]]="",0,IF(TableRefills3[[#This Row],[gap_days]]&gt;2,1,0))</f>
        <v>0</v>
      </c>
      <c r="I2815">
        <f>_xlfn.MAXIFS(TableRefills3[discountinuation_flag], TableRefills3[patient_id], A2815)</f>
        <v>1</v>
      </c>
    </row>
    <row r="2816" spans="1:9" x14ac:dyDescent="0.25">
      <c r="A2816" t="s">
        <v>4475</v>
      </c>
      <c r="B2816" t="s">
        <v>4476</v>
      </c>
      <c r="C2816" s="3">
        <v>45837</v>
      </c>
      <c r="D2816">
        <v>30</v>
      </c>
      <c r="E2816" s="3">
        <f t="shared" si="43"/>
        <v>45804</v>
      </c>
      <c r="F2816" s="3">
        <f>IF(TableRefills3[[#This Row],[prev_refill_days]]="","",TableRefills3[[#This Row],[prev_refill_days]]+TableRefills3[[#This Row],[quantity_days]])</f>
        <v>45834</v>
      </c>
      <c r="G2816">
        <f>IF(TableRefills3[[#This Row],[prev_refill_end]]="","",TableRefills3[[#This Row],[refill_date]]-TableRefills3[[#This Row],[prev_refill_end]])</f>
        <v>3</v>
      </c>
      <c r="H2816" s="10">
        <f>IF(TableRefills3[[#This Row],[gap_days]]="",0,IF(TableRefills3[[#This Row],[gap_days]]&gt;2,1,0))</f>
        <v>1</v>
      </c>
      <c r="I2816">
        <f>_xlfn.MAXIFS(TableRefills3[discountinuation_flag], TableRefills3[patient_id], A2816)</f>
        <v>1</v>
      </c>
    </row>
    <row r="2817" spans="1:9" x14ac:dyDescent="0.25">
      <c r="A2817" t="s">
        <v>4475</v>
      </c>
      <c r="B2817" t="s">
        <v>4476</v>
      </c>
      <c r="C2817" s="3">
        <v>45870</v>
      </c>
      <c r="D2817">
        <v>30</v>
      </c>
      <c r="E2817" s="3">
        <f t="shared" si="43"/>
        <v>45837</v>
      </c>
      <c r="F2817" s="3">
        <f>IF(TableRefills3[[#This Row],[prev_refill_days]]="","",TableRefills3[[#This Row],[prev_refill_days]]+TableRefills3[[#This Row],[quantity_days]])</f>
        <v>45867</v>
      </c>
      <c r="G2817">
        <f>IF(TableRefills3[[#This Row],[prev_refill_end]]="","",TableRefills3[[#This Row],[refill_date]]-TableRefills3[[#This Row],[prev_refill_end]])</f>
        <v>3</v>
      </c>
      <c r="H2817" s="10">
        <f>IF(TableRefills3[[#This Row],[gap_days]]="",0,IF(TableRefills3[[#This Row],[gap_days]]&gt;2,1,0))</f>
        <v>1</v>
      </c>
      <c r="I2817">
        <f>_xlfn.MAXIFS(TableRefills3[discountinuation_flag], TableRefills3[patient_id], A2817)</f>
        <v>1</v>
      </c>
    </row>
    <row r="2818" spans="1:9" x14ac:dyDescent="0.25">
      <c r="A2818" t="s">
        <v>4475</v>
      </c>
      <c r="B2818" t="s">
        <v>4476</v>
      </c>
      <c r="C2818" s="3">
        <v>45898</v>
      </c>
      <c r="D2818">
        <v>30</v>
      </c>
      <c r="E2818" s="3">
        <f t="shared" ref="E2818:E2881" si="44">IF(A2817=A2818,C2817,"")</f>
        <v>45870</v>
      </c>
      <c r="F2818" s="3">
        <f>IF(TableRefills3[[#This Row],[prev_refill_days]]="","",TableRefills3[[#This Row],[prev_refill_days]]+TableRefills3[[#This Row],[quantity_days]])</f>
        <v>45900</v>
      </c>
      <c r="G2818">
        <f>IF(TableRefills3[[#This Row],[prev_refill_end]]="","",TableRefills3[[#This Row],[refill_date]]-TableRefills3[[#This Row],[prev_refill_end]])</f>
        <v>-2</v>
      </c>
      <c r="H2818" s="10">
        <f>IF(TableRefills3[[#This Row],[gap_days]]="",0,IF(TableRefills3[[#This Row],[gap_days]]&gt;2,1,0))</f>
        <v>0</v>
      </c>
      <c r="I2818">
        <f>_xlfn.MAXIFS(TableRefills3[discountinuation_flag], TableRefills3[patient_id], A2818)</f>
        <v>1</v>
      </c>
    </row>
    <row r="2819" spans="1:9" x14ac:dyDescent="0.25">
      <c r="A2819" t="s">
        <v>4475</v>
      </c>
      <c r="B2819" t="s">
        <v>4476</v>
      </c>
      <c r="C2819" s="3">
        <v>45930</v>
      </c>
      <c r="D2819">
        <v>30</v>
      </c>
      <c r="E2819" s="3">
        <f t="shared" si="44"/>
        <v>45898</v>
      </c>
      <c r="F2819" s="3">
        <f>IF(TableRefills3[[#This Row],[prev_refill_days]]="","",TableRefills3[[#This Row],[prev_refill_days]]+TableRefills3[[#This Row],[quantity_days]])</f>
        <v>45928</v>
      </c>
      <c r="G2819">
        <f>IF(TableRefills3[[#This Row],[prev_refill_end]]="","",TableRefills3[[#This Row],[refill_date]]-TableRefills3[[#This Row],[prev_refill_end]])</f>
        <v>2</v>
      </c>
      <c r="H2819" s="10">
        <f>IF(TableRefills3[[#This Row],[gap_days]]="",0,IF(TableRefills3[[#This Row],[gap_days]]&gt;2,1,0))</f>
        <v>0</v>
      </c>
      <c r="I2819">
        <f>_xlfn.MAXIFS(TableRefills3[discountinuation_flag], TableRefills3[patient_id], A2819)</f>
        <v>1</v>
      </c>
    </row>
    <row r="2820" spans="1:9" x14ac:dyDescent="0.25">
      <c r="A2820" t="s">
        <v>4475</v>
      </c>
      <c r="B2820" t="s">
        <v>4476</v>
      </c>
      <c r="C2820" s="3">
        <v>45958</v>
      </c>
      <c r="D2820">
        <v>30</v>
      </c>
      <c r="E2820" s="3">
        <f t="shared" si="44"/>
        <v>45930</v>
      </c>
      <c r="F2820" s="3">
        <f>IF(TableRefills3[[#This Row],[prev_refill_days]]="","",TableRefills3[[#This Row],[prev_refill_days]]+TableRefills3[[#This Row],[quantity_days]])</f>
        <v>45960</v>
      </c>
      <c r="G2820">
        <f>IF(TableRefills3[[#This Row],[prev_refill_end]]="","",TableRefills3[[#This Row],[refill_date]]-TableRefills3[[#This Row],[prev_refill_end]])</f>
        <v>-2</v>
      </c>
      <c r="H2820" s="10">
        <f>IF(TableRefills3[[#This Row],[gap_days]]="",0,IF(TableRefills3[[#This Row],[gap_days]]&gt;2,1,0))</f>
        <v>0</v>
      </c>
      <c r="I2820">
        <f>_xlfn.MAXIFS(TableRefills3[discountinuation_flag], TableRefills3[patient_id], A2820)</f>
        <v>1</v>
      </c>
    </row>
    <row r="2821" spans="1:9" x14ac:dyDescent="0.25">
      <c r="A2821" t="s">
        <v>4483</v>
      </c>
      <c r="B2821" t="s">
        <v>4484</v>
      </c>
      <c r="C2821" s="3">
        <v>45915</v>
      </c>
      <c r="D2821">
        <v>56</v>
      </c>
      <c r="E2821" s="3" t="str">
        <f t="shared" si="44"/>
        <v/>
      </c>
      <c r="F2821" s="3" t="str">
        <f>IF(TableRefills3[[#This Row],[prev_refill_days]]="","",TableRefills3[[#This Row],[prev_refill_days]]+TableRefills3[[#This Row],[quantity_days]])</f>
        <v/>
      </c>
      <c r="G2821" t="str">
        <f>IF(TableRefills3[[#This Row],[prev_refill_end]]="","",TableRefills3[[#This Row],[refill_date]]-TableRefills3[[#This Row],[prev_refill_end]])</f>
        <v/>
      </c>
      <c r="H2821" s="10">
        <f>IF(TableRefills3[[#This Row],[gap_days]]="",0,IF(TableRefills3[[#This Row],[gap_days]]&gt;2,1,0))</f>
        <v>0</v>
      </c>
      <c r="I2821">
        <f>_xlfn.MAXIFS(TableRefills3[discountinuation_flag], TableRefills3[patient_id], A2821)</f>
        <v>0</v>
      </c>
    </row>
    <row r="2822" spans="1:9" x14ac:dyDescent="0.25">
      <c r="A2822" t="s">
        <v>4486</v>
      </c>
      <c r="B2822" t="s">
        <v>4487</v>
      </c>
      <c r="C2822" s="3">
        <v>45871</v>
      </c>
      <c r="D2822">
        <v>28</v>
      </c>
      <c r="E2822" s="3" t="str">
        <f t="shared" si="44"/>
        <v/>
      </c>
      <c r="F2822" s="3" t="str">
        <f>IF(TableRefills3[[#This Row],[prev_refill_days]]="","",TableRefills3[[#This Row],[prev_refill_days]]+TableRefills3[[#This Row],[quantity_days]])</f>
        <v/>
      </c>
      <c r="G2822" t="str">
        <f>IF(TableRefills3[[#This Row],[prev_refill_end]]="","",TableRefills3[[#This Row],[refill_date]]-TableRefills3[[#This Row],[prev_refill_end]])</f>
        <v/>
      </c>
      <c r="H2822" s="10">
        <f>IF(TableRefills3[[#This Row],[gap_days]]="",0,IF(TableRefills3[[#This Row],[gap_days]]&gt;2,1,0))</f>
        <v>0</v>
      </c>
      <c r="I2822">
        <f>_xlfn.MAXIFS(TableRefills3[discountinuation_flag], TableRefills3[patient_id], A2822)</f>
        <v>0</v>
      </c>
    </row>
    <row r="2823" spans="1:9" x14ac:dyDescent="0.25">
      <c r="A2823" t="s">
        <v>4486</v>
      </c>
      <c r="B2823" t="s">
        <v>4487</v>
      </c>
      <c r="C2823" s="3">
        <v>45899</v>
      </c>
      <c r="D2823">
        <v>28</v>
      </c>
      <c r="E2823" s="3">
        <f t="shared" si="44"/>
        <v>45871</v>
      </c>
      <c r="F2823" s="3">
        <f>IF(TableRefills3[[#This Row],[prev_refill_days]]="","",TableRefills3[[#This Row],[prev_refill_days]]+TableRefills3[[#This Row],[quantity_days]])</f>
        <v>45899</v>
      </c>
      <c r="G2823">
        <f>IF(TableRefills3[[#This Row],[prev_refill_end]]="","",TableRefills3[[#This Row],[refill_date]]-TableRefills3[[#This Row],[prev_refill_end]])</f>
        <v>0</v>
      </c>
      <c r="H2823" s="10">
        <f>IF(TableRefills3[[#This Row],[gap_days]]="",0,IF(TableRefills3[[#This Row],[gap_days]]&gt;2,1,0))</f>
        <v>0</v>
      </c>
      <c r="I2823">
        <f>_xlfn.MAXIFS(TableRefills3[discountinuation_flag], TableRefills3[patient_id], A2823)</f>
        <v>0</v>
      </c>
    </row>
    <row r="2824" spans="1:9" x14ac:dyDescent="0.25">
      <c r="A2824" t="s">
        <v>4486</v>
      </c>
      <c r="B2824" t="s">
        <v>4487</v>
      </c>
      <c r="C2824" s="3">
        <v>45924</v>
      </c>
      <c r="D2824">
        <v>28</v>
      </c>
      <c r="E2824" s="3">
        <f t="shared" si="44"/>
        <v>45899</v>
      </c>
      <c r="F2824" s="3">
        <f>IF(TableRefills3[[#This Row],[prev_refill_days]]="","",TableRefills3[[#This Row],[prev_refill_days]]+TableRefills3[[#This Row],[quantity_days]])</f>
        <v>45927</v>
      </c>
      <c r="G2824">
        <f>IF(TableRefills3[[#This Row],[prev_refill_end]]="","",TableRefills3[[#This Row],[refill_date]]-TableRefills3[[#This Row],[prev_refill_end]])</f>
        <v>-3</v>
      </c>
      <c r="H2824" s="10">
        <f>IF(TableRefills3[[#This Row],[gap_days]]="",0,IF(TableRefills3[[#This Row],[gap_days]]&gt;2,1,0))</f>
        <v>0</v>
      </c>
      <c r="I2824">
        <f>_xlfn.MAXIFS(TableRefills3[discountinuation_flag], TableRefills3[patient_id], A2824)</f>
        <v>0</v>
      </c>
    </row>
    <row r="2825" spans="1:9" x14ac:dyDescent="0.25">
      <c r="A2825" t="s">
        <v>4486</v>
      </c>
      <c r="B2825" t="s">
        <v>4487</v>
      </c>
      <c r="C2825" s="3">
        <v>45951</v>
      </c>
      <c r="D2825">
        <v>28</v>
      </c>
      <c r="E2825" s="3">
        <f t="shared" si="44"/>
        <v>45924</v>
      </c>
      <c r="F2825" s="3">
        <f>IF(TableRefills3[[#This Row],[prev_refill_days]]="","",TableRefills3[[#This Row],[prev_refill_days]]+TableRefills3[[#This Row],[quantity_days]])</f>
        <v>45952</v>
      </c>
      <c r="G2825">
        <f>IF(TableRefills3[[#This Row],[prev_refill_end]]="","",TableRefills3[[#This Row],[refill_date]]-TableRefills3[[#This Row],[prev_refill_end]])</f>
        <v>-1</v>
      </c>
      <c r="H2825" s="10">
        <f>IF(TableRefills3[[#This Row],[gap_days]]="",0,IF(TableRefills3[[#This Row],[gap_days]]&gt;2,1,0))</f>
        <v>0</v>
      </c>
      <c r="I2825">
        <f>_xlfn.MAXIFS(TableRefills3[discountinuation_flag], TableRefills3[patient_id], A2825)</f>
        <v>0</v>
      </c>
    </row>
    <row r="2826" spans="1:9" x14ac:dyDescent="0.25">
      <c r="A2826" t="s">
        <v>4492</v>
      </c>
      <c r="B2826" t="s">
        <v>4493</v>
      </c>
      <c r="C2826" s="3">
        <v>45828</v>
      </c>
      <c r="D2826">
        <v>30</v>
      </c>
      <c r="E2826" s="3" t="str">
        <f t="shared" si="44"/>
        <v/>
      </c>
      <c r="F2826" s="3" t="str">
        <f>IF(TableRefills3[[#This Row],[prev_refill_days]]="","",TableRefills3[[#This Row],[prev_refill_days]]+TableRefills3[[#This Row],[quantity_days]])</f>
        <v/>
      </c>
      <c r="G2826" t="str">
        <f>IF(TableRefills3[[#This Row],[prev_refill_end]]="","",TableRefills3[[#This Row],[refill_date]]-TableRefills3[[#This Row],[prev_refill_end]])</f>
        <v/>
      </c>
      <c r="H2826" s="10">
        <f>IF(TableRefills3[[#This Row],[gap_days]]="",0,IF(TableRefills3[[#This Row],[gap_days]]&gt;2,1,0))</f>
        <v>0</v>
      </c>
      <c r="I2826">
        <f>_xlfn.MAXIFS(TableRefills3[discountinuation_flag], TableRefills3[patient_id], A2826)</f>
        <v>0</v>
      </c>
    </row>
    <row r="2827" spans="1:9" x14ac:dyDescent="0.25">
      <c r="A2827" t="s">
        <v>4492</v>
      </c>
      <c r="B2827" t="s">
        <v>4493</v>
      </c>
      <c r="C2827" s="3">
        <v>45859</v>
      </c>
      <c r="D2827">
        <v>30</v>
      </c>
      <c r="E2827" s="3">
        <f t="shared" si="44"/>
        <v>45828</v>
      </c>
      <c r="F2827" s="3">
        <f>IF(TableRefills3[[#This Row],[prev_refill_days]]="","",TableRefills3[[#This Row],[prev_refill_days]]+TableRefills3[[#This Row],[quantity_days]])</f>
        <v>45858</v>
      </c>
      <c r="G2827">
        <f>IF(TableRefills3[[#This Row],[prev_refill_end]]="","",TableRefills3[[#This Row],[refill_date]]-TableRefills3[[#This Row],[prev_refill_end]])</f>
        <v>1</v>
      </c>
      <c r="H2827" s="10">
        <f>IF(TableRefills3[[#This Row],[gap_days]]="",0,IF(TableRefills3[[#This Row],[gap_days]]&gt;2,1,0))</f>
        <v>0</v>
      </c>
      <c r="I2827">
        <f>_xlfn.MAXIFS(TableRefills3[discountinuation_flag], TableRefills3[patient_id], A2827)</f>
        <v>0</v>
      </c>
    </row>
    <row r="2828" spans="1:9" x14ac:dyDescent="0.25">
      <c r="A2828" t="s">
        <v>4496</v>
      </c>
      <c r="B2828" t="s">
        <v>4497</v>
      </c>
      <c r="C2828" s="3">
        <v>45807</v>
      </c>
      <c r="D2828">
        <v>28</v>
      </c>
      <c r="E2828" s="3" t="str">
        <f t="shared" si="44"/>
        <v/>
      </c>
      <c r="F2828" s="3" t="str">
        <f>IF(TableRefills3[[#This Row],[prev_refill_days]]="","",TableRefills3[[#This Row],[prev_refill_days]]+TableRefills3[[#This Row],[quantity_days]])</f>
        <v/>
      </c>
      <c r="G2828" t="str">
        <f>IF(TableRefills3[[#This Row],[prev_refill_end]]="","",TableRefills3[[#This Row],[refill_date]]-TableRefills3[[#This Row],[prev_refill_end]])</f>
        <v/>
      </c>
      <c r="H2828" s="10">
        <f>IF(TableRefills3[[#This Row],[gap_days]]="",0,IF(TableRefills3[[#This Row],[gap_days]]&gt;2,1,0))</f>
        <v>0</v>
      </c>
      <c r="I2828">
        <f>_xlfn.MAXIFS(TableRefills3[discountinuation_flag], TableRefills3[patient_id], A2828)</f>
        <v>0</v>
      </c>
    </row>
    <row r="2829" spans="1:9" x14ac:dyDescent="0.25">
      <c r="A2829" t="s">
        <v>4496</v>
      </c>
      <c r="B2829" t="s">
        <v>4497</v>
      </c>
      <c r="C2829" s="3">
        <v>45836</v>
      </c>
      <c r="D2829">
        <v>28</v>
      </c>
      <c r="E2829" s="3">
        <f t="shared" si="44"/>
        <v>45807</v>
      </c>
      <c r="F2829" s="3">
        <f>IF(TableRefills3[[#This Row],[prev_refill_days]]="","",TableRefills3[[#This Row],[prev_refill_days]]+TableRefills3[[#This Row],[quantity_days]])</f>
        <v>45835</v>
      </c>
      <c r="G2829">
        <f>IF(TableRefills3[[#This Row],[prev_refill_end]]="","",TableRefills3[[#This Row],[refill_date]]-TableRefills3[[#This Row],[prev_refill_end]])</f>
        <v>1</v>
      </c>
      <c r="H2829" s="10">
        <f>IF(TableRefills3[[#This Row],[gap_days]]="",0,IF(TableRefills3[[#This Row],[gap_days]]&gt;2,1,0))</f>
        <v>0</v>
      </c>
      <c r="I2829">
        <f>_xlfn.MAXIFS(TableRefills3[discountinuation_flag], TableRefills3[patient_id], A2829)</f>
        <v>0</v>
      </c>
    </row>
    <row r="2830" spans="1:9" x14ac:dyDescent="0.25">
      <c r="A2830" t="s">
        <v>4496</v>
      </c>
      <c r="B2830" t="s">
        <v>4497</v>
      </c>
      <c r="C2830" s="3">
        <v>45863</v>
      </c>
      <c r="D2830">
        <v>28</v>
      </c>
      <c r="E2830" s="3">
        <f t="shared" si="44"/>
        <v>45836</v>
      </c>
      <c r="F2830" s="3">
        <f>IF(TableRefills3[[#This Row],[prev_refill_days]]="","",TableRefills3[[#This Row],[prev_refill_days]]+TableRefills3[[#This Row],[quantity_days]])</f>
        <v>45864</v>
      </c>
      <c r="G2830">
        <f>IF(TableRefills3[[#This Row],[prev_refill_end]]="","",TableRefills3[[#This Row],[refill_date]]-TableRefills3[[#This Row],[prev_refill_end]])</f>
        <v>-1</v>
      </c>
      <c r="H2830" s="10">
        <f>IF(TableRefills3[[#This Row],[gap_days]]="",0,IF(TableRefills3[[#This Row],[gap_days]]&gt;2,1,0))</f>
        <v>0</v>
      </c>
      <c r="I2830">
        <f>_xlfn.MAXIFS(TableRefills3[discountinuation_flag], TableRefills3[patient_id], A2830)</f>
        <v>0</v>
      </c>
    </row>
    <row r="2831" spans="1:9" x14ac:dyDescent="0.25">
      <c r="A2831" t="s">
        <v>4501</v>
      </c>
      <c r="B2831" t="s">
        <v>4502</v>
      </c>
      <c r="C2831" s="3">
        <v>45949</v>
      </c>
      <c r="D2831">
        <v>56</v>
      </c>
      <c r="E2831" s="3" t="str">
        <f t="shared" si="44"/>
        <v/>
      </c>
      <c r="F2831" s="3" t="str">
        <f>IF(TableRefills3[[#This Row],[prev_refill_days]]="","",TableRefills3[[#This Row],[prev_refill_days]]+TableRefills3[[#This Row],[quantity_days]])</f>
        <v/>
      </c>
      <c r="G2831" t="str">
        <f>IF(TableRefills3[[#This Row],[prev_refill_end]]="","",TableRefills3[[#This Row],[refill_date]]-TableRefills3[[#This Row],[prev_refill_end]])</f>
        <v/>
      </c>
      <c r="H2831" s="10">
        <f>IF(TableRefills3[[#This Row],[gap_days]]="",0,IF(TableRefills3[[#This Row],[gap_days]]&gt;2,1,0))</f>
        <v>0</v>
      </c>
      <c r="I2831">
        <f>_xlfn.MAXIFS(TableRefills3[discountinuation_flag], TableRefills3[patient_id], A2831)</f>
        <v>0</v>
      </c>
    </row>
    <row r="2832" spans="1:9" x14ac:dyDescent="0.25">
      <c r="A2832" t="s">
        <v>4504</v>
      </c>
      <c r="B2832" t="s">
        <v>4505</v>
      </c>
      <c r="C2832" s="3">
        <v>45913</v>
      </c>
      <c r="D2832">
        <v>28</v>
      </c>
      <c r="E2832" s="3" t="str">
        <f t="shared" si="44"/>
        <v/>
      </c>
      <c r="F2832" s="3" t="str">
        <f>IF(TableRefills3[[#This Row],[prev_refill_days]]="","",TableRefills3[[#This Row],[prev_refill_days]]+TableRefills3[[#This Row],[quantity_days]])</f>
        <v/>
      </c>
      <c r="G2832" t="str">
        <f>IF(TableRefills3[[#This Row],[prev_refill_end]]="","",TableRefills3[[#This Row],[refill_date]]-TableRefills3[[#This Row],[prev_refill_end]])</f>
        <v/>
      </c>
      <c r="H2832" s="10">
        <f>IF(TableRefills3[[#This Row],[gap_days]]="",0,IF(TableRefills3[[#This Row],[gap_days]]&gt;2,1,0))</f>
        <v>0</v>
      </c>
      <c r="I2832">
        <f>_xlfn.MAXIFS(TableRefills3[discountinuation_flag], TableRefills3[patient_id], A2832)</f>
        <v>0</v>
      </c>
    </row>
    <row r="2833" spans="1:9" x14ac:dyDescent="0.25">
      <c r="A2833" t="s">
        <v>4504</v>
      </c>
      <c r="B2833" t="s">
        <v>4505</v>
      </c>
      <c r="C2833" s="3">
        <v>45943</v>
      </c>
      <c r="D2833">
        <v>28</v>
      </c>
      <c r="E2833" s="3">
        <f t="shared" si="44"/>
        <v>45913</v>
      </c>
      <c r="F2833" s="3">
        <f>IF(TableRefills3[[#This Row],[prev_refill_days]]="","",TableRefills3[[#This Row],[prev_refill_days]]+TableRefills3[[#This Row],[quantity_days]])</f>
        <v>45941</v>
      </c>
      <c r="G2833">
        <f>IF(TableRefills3[[#This Row],[prev_refill_end]]="","",TableRefills3[[#This Row],[refill_date]]-TableRefills3[[#This Row],[prev_refill_end]])</f>
        <v>2</v>
      </c>
      <c r="H2833" s="10">
        <f>IF(TableRefills3[[#This Row],[gap_days]]="",0,IF(TableRefills3[[#This Row],[gap_days]]&gt;2,1,0))</f>
        <v>0</v>
      </c>
      <c r="I2833">
        <f>_xlfn.MAXIFS(TableRefills3[discountinuation_flag], TableRefills3[patient_id], A2833)</f>
        <v>0</v>
      </c>
    </row>
    <row r="2834" spans="1:9" x14ac:dyDescent="0.25">
      <c r="A2834" t="s">
        <v>4508</v>
      </c>
      <c r="B2834" t="s">
        <v>4509</v>
      </c>
      <c r="C2834" s="3">
        <v>45858</v>
      </c>
      <c r="D2834">
        <v>30</v>
      </c>
      <c r="E2834" s="3" t="str">
        <f t="shared" si="44"/>
        <v/>
      </c>
      <c r="F2834" s="3" t="str">
        <f>IF(TableRefills3[[#This Row],[prev_refill_days]]="","",TableRefills3[[#This Row],[prev_refill_days]]+TableRefills3[[#This Row],[quantity_days]])</f>
        <v/>
      </c>
      <c r="G2834" t="str">
        <f>IF(TableRefills3[[#This Row],[prev_refill_end]]="","",TableRefills3[[#This Row],[refill_date]]-TableRefills3[[#This Row],[prev_refill_end]])</f>
        <v/>
      </c>
      <c r="H2834" s="10">
        <f>IF(TableRefills3[[#This Row],[gap_days]]="",0,IF(TableRefills3[[#This Row],[gap_days]]&gt;2,1,0))</f>
        <v>0</v>
      </c>
      <c r="I2834">
        <f>_xlfn.MAXIFS(TableRefills3[discountinuation_flag], TableRefills3[patient_id], A2834)</f>
        <v>0</v>
      </c>
    </row>
    <row r="2835" spans="1:9" x14ac:dyDescent="0.25">
      <c r="A2835" t="s">
        <v>4508</v>
      </c>
      <c r="B2835" t="s">
        <v>4509</v>
      </c>
      <c r="C2835" s="3">
        <v>45888</v>
      </c>
      <c r="D2835">
        <v>30</v>
      </c>
      <c r="E2835" s="3">
        <f t="shared" si="44"/>
        <v>45858</v>
      </c>
      <c r="F2835" s="3">
        <f>IF(TableRefills3[[#This Row],[prev_refill_days]]="","",TableRefills3[[#This Row],[prev_refill_days]]+TableRefills3[[#This Row],[quantity_days]])</f>
        <v>45888</v>
      </c>
      <c r="G2835">
        <f>IF(TableRefills3[[#This Row],[prev_refill_end]]="","",TableRefills3[[#This Row],[refill_date]]-TableRefills3[[#This Row],[prev_refill_end]])</f>
        <v>0</v>
      </c>
      <c r="H2835" s="10">
        <f>IF(TableRefills3[[#This Row],[gap_days]]="",0,IF(TableRefills3[[#This Row],[gap_days]]&gt;2,1,0))</f>
        <v>0</v>
      </c>
      <c r="I2835">
        <f>_xlfn.MAXIFS(TableRefills3[discountinuation_flag], TableRefills3[patient_id], A2835)</f>
        <v>0</v>
      </c>
    </row>
    <row r="2836" spans="1:9" x14ac:dyDescent="0.25">
      <c r="A2836" t="s">
        <v>4508</v>
      </c>
      <c r="B2836" t="s">
        <v>4509</v>
      </c>
      <c r="C2836" s="3">
        <v>45915</v>
      </c>
      <c r="D2836">
        <v>30</v>
      </c>
      <c r="E2836" s="3">
        <f t="shared" si="44"/>
        <v>45888</v>
      </c>
      <c r="F2836" s="3">
        <f>IF(TableRefills3[[#This Row],[prev_refill_days]]="","",TableRefills3[[#This Row],[prev_refill_days]]+TableRefills3[[#This Row],[quantity_days]])</f>
        <v>45918</v>
      </c>
      <c r="G2836">
        <f>IF(TableRefills3[[#This Row],[prev_refill_end]]="","",TableRefills3[[#This Row],[refill_date]]-TableRefills3[[#This Row],[prev_refill_end]])</f>
        <v>-3</v>
      </c>
      <c r="H2836" s="10">
        <f>IF(TableRefills3[[#This Row],[gap_days]]="",0,IF(TableRefills3[[#This Row],[gap_days]]&gt;2,1,0))</f>
        <v>0</v>
      </c>
      <c r="I2836">
        <f>_xlfn.MAXIFS(TableRefills3[discountinuation_flag], TableRefills3[patient_id], A2836)</f>
        <v>0</v>
      </c>
    </row>
    <row r="2837" spans="1:9" x14ac:dyDescent="0.25">
      <c r="A2837" t="s">
        <v>4508</v>
      </c>
      <c r="B2837" t="s">
        <v>4509</v>
      </c>
      <c r="C2837" s="3">
        <v>45943</v>
      </c>
      <c r="D2837">
        <v>30</v>
      </c>
      <c r="E2837" s="3">
        <f t="shared" si="44"/>
        <v>45915</v>
      </c>
      <c r="F2837" s="3">
        <f>IF(TableRefills3[[#This Row],[prev_refill_days]]="","",TableRefills3[[#This Row],[prev_refill_days]]+TableRefills3[[#This Row],[quantity_days]])</f>
        <v>45945</v>
      </c>
      <c r="G2837">
        <f>IF(TableRefills3[[#This Row],[prev_refill_end]]="","",TableRefills3[[#This Row],[refill_date]]-TableRefills3[[#This Row],[prev_refill_end]])</f>
        <v>-2</v>
      </c>
      <c r="H2837" s="10">
        <f>IF(TableRefills3[[#This Row],[gap_days]]="",0,IF(TableRefills3[[#This Row],[gap_days]]&gt;2,1,0))</f>
        <v>0</v>
      </c>
      <c r="I2837">
        <f>_xlfn.MAXIFS(TableRefills3[discountinuation_flag], TableRefills3[patient_id], A2837)</f>
        <v>0</v>
      </c>
    </row>
    <row r="2838" spans="1:9" x14ac:dyDescent="0.25">
      <c r="A2838" t="s">
        <v>4514</v>
      </c>
      <c r="B2838" t="s">
        <v>4515</v>
      </c>
      <c r="C2838" s="3">
        <v>45877</v>
      </c>
      <c r="D2838">
        <v>56</v>
      </c>
      <c r="E2838" s="3" t="str">
        <f t="shared" si="44"/>
        <v/>
      </c>
      <c r="F2838" s="3" t="str">
        <f>IF(TableRefills3[[#This Row],[prev_refill_days]]="","",TableRefills3[[#This Row],[prev_refill_days]]+TableRefills3[[#This Row],[quantity_days]])</f>
        <v/>
      </c>
      <c r="G2838" t="str">
        <f>IF(TableRefills3[[#This Row],[prev_refill_end]]="","",TableRefills3[[#This Row],[refill_date]]-TableRefills3[[#This Row],[prev_refill_end]])</f>
        <v/>
      </c>
      <c r="H2838" s="10">
        <f>IF(TableRefills3[[#This Row],[gap_days]]="",0,IF(TableRefills3[[#This Row],[gap_days]]&gt;2,1,0))</f>
        <v>0</v>
      </c>
      <c r="I2838">
        <f>_xlfn.MAXIFS(TableRefills3[discountinuation_flag], TableRefills3[patient_id], A2838)</f>
        <v>0</v>
      </c>
    </row>
    <row r="2839" spans="1:9" x14ac:dyDescent="0.25">
      <c r="A2839" t="s">
        <v>4517</v>
      </c>
      <c r="B2839" t="s">
        <v>4518</v>
      </c>
      <c r="C2839" s="3">
        <v>45878</v>
      </c>
      <c r="D2839">
        <v>28</v>
      </c>
      <c r="E2839" s="3" t="str">
        <f t="shared" si="44"/>
        <v/>
      </c>
      <c r="F2839" s="3" t="str">
        <f>IF(TableRefills3[[#This Row],[prev_refill_days]]="","",TableRefills3[[#This Row],[prev_refill_days]]+TableRefills3[[#This Row],[quantity_days]])</f>
        <v/>
      </c>
      <c r="G2839" t="str">
        <f>IF(TableRefills3[[#This Row],[prev_refill_end]]="","",TableRefills3[[#This Row],[refill_date]]-TableRefills3[[#This Row],[prev_refill_end]])</f>
        <v/>
      </c>
      <c r="H2839" s="10">
        <f>IF(TableRefills3[[#This Row],[gap_days]]="",0,IF(TableRefills3[[#This Row],[gap_days]]&gt;2,1,0))</f>
        <v>0</v>
      </c>
      <c r="I2839">
        <f>_xlfn.MAXIFS(TableRefills3[discountinuation_flag], TableRefills3[patient_id], A2839)</f>
        <v>0</v>
      </c>
    </row>
    <row r="2840" spans="1:9" x14ac:dyDescent="0.25">
      <c r="A2840" t="s">
        <v>4517</v>
      </c>
      <c r="B2840" t="s">
        <v>4518</v>
      </c>
      <c r="C2840" s="3">
        <v>45903</v>
      </c>
      <c r="D2840">
        <v>28</v>
      </c>
      <c r="E2840" s="3">
        <f t="shared" si="44"/>
        <v>45878</v>
      </c>
      <c r="F2840" s="3">
        <f>IF(TableRefills3[[#This Row],[prev_refill_days]]="","",TableRefills3[[#This Row],[prev_refill_days]]+TableRefills3[[#This Row],[quantity_days]])</f>
        <v>45906</v>
      </c>
      <c r="G2840">
        <f>IF(TableRefills3[[#This Row],[prev_refill_end]]="","",TableRefills3[[#This Row],[refill_date]]-TableRefills3[[#This Row],[prev_refill_end]])</f>
        <v>-3</v>
      </c>
      <c r="H2840" s="10">
        <f>IF(TableRefills3[[#This Row],[gap_days]]="",0,IF(TableRefills3[[#This Row],[gap_days]]&gt;2,1,0))</f>
        <v>0</v>
      </c>
      <c r="I2840">
        <f>_xlfn.MAXIFS(TableRefills3[discountinuation_flag], TableRefills3[patient_id], A2840)</f>
        <v>0</v>
      </c>
    </row>
    <row r="2841" spans="1:9" x14ac:dyDescent="0.25">
      <c r="A2841" t="s">
        <v>4517</v>
      </c>
      <c r="B2841" t="s">
        <v>4518</v>
      </c>
      <c r="C2841" s="3">
        <v>45929</v>
      </c>
      <c r="D2841">
        <v>28</v>
      </c>
      <c r="E2841" s="3">
        <f t="shared" si="44"/>
        <v>45903</v>
      </c>
      <c r="F2841" s="3">
        <f>IF(TableRefills3[[#This Row],[prev_refill_days]]="","",TableRefills3[[#This Row],[prev_refill_days]]+TableRefills3[[#This Row],[quantity_days]])</f>
        <v>45931</v>
      </c>
      <c r="G2841">
        <f>IF(TableRefills3[[#This Row],[prev_refill_end]]="","",TableRefills3[[#This Row],[refill_date]]-TableRefills3[[#This Row],[prev_refill_end]])</f>
        <v>-2</v>
      </c>
      <c r="H2841" s="10">
        <f>IF(TableRefills3[[#This Row],[gap_days]]="",0,IF(TableRefills3[[#This Row],[gap_days]]&gt;2,1,0))</f>
        <v>0</v>
      </c>
      <c r="I2841">
        <f>_xlfn.MAXIFS(TableRefills3[discountinuation_flag], TableRefills3[patient_id], A2841)</f>
        <v>0</v>
      </c>
    </row>
    <row r="2842" spans="1:9" x14ac:dyDescent="0.25">
      <c r="A2842" t="s">
        <v>4517</v>
      </c>
      <c r="B2842" t="s">
        <v>4518</v>
      </c>
      <c r="C2842" s="3">
        <v>45955</v>
      </c>
      <c r="D2842">
        <v>28</v>
      </c>
      <c r="E2842" s="3">
        <f t="shared" si="44"/>
        <v>45929</v>
      </c>
      <c r="F2842" s="3">
        <f>IF(TableRefills3[[#This Row],[prev_refill_days]]="","",TableRefills3[[#This Row],[prev_refill_days]]+TableRefills3[[#This Row],[quantity_days]])</f>
        <v>45957</v>
      </c>
      <c r="G2842">
        <f>IF(TableRefills3[[#This Row],[prev_refill_end]]="","",TableRefills3[[#This Row],[refill_date]]-TableRefills3[[#This Row],[prev_refill_end]])</f>
        <v>-2</v>
      </c>
      <c r="H2842" s="10">
        <f>IF(TableRefills3[[#This Row],[gap_days]]="",0,IF(TableRefills3[[#This Row],[gap_days]]&gt;2,1,0))</f>
        <v>0</v>
      </c>
      <c r="I2842">
        <f>_xlfn.MAXIFS(TableRefills3[discountinuation_flag], TableRefills3[patient_id], A2842)</f>
        <v>0</v>
      </c>
    </row>
    <row r="2843" spans="1:9" x14ac:dyDescent="0.25">
      <c r="A2843" t="s">
        <v>4523</v>
      </c>
      <c r="B2843" t="s">
        <v>4524</v>
      </c>
      <c r="C2843" s="3">
        <v>45807</v>
      </c>
      <c r="D2843">
        <v>21</v>
      </c>
      <c r="E2843" s="3" t="str">
        <f t="shared" si="44"/>
        <v/>
      </c>
      <c r="F2843" s="3" t="str">
        <f>IF(TableRefills3[[#This Row],[prev_refill_days]]="","",TableRefills3[[#This Row],[prev_refill_days]]+TableRefills3[[#This Row],[quantity_days]])</f>
        <v/>
      </c>
      <c r="G2843" t="str">
        <f>IF(TableRefills3[[#This Row],[prev_refill_end]]="","",TableRefills3[[#This Row],[refill_date]]-TableRefills3[[#This Row],[prev_refill_end]])</f>
        <v/>
      </c>
      <c r="H2843" s="10">
        <f>IF(TableRefills3[[#This Row],[gap_days]]="",0,IF(TableRefills3[[#This Row],[gap_days]]&gt;2,1,0))</f>
        <v>0</v>
      </c>
      <c r="I2843">
        <f>_xlfn.MAXIFS(TableRefills3[discountinuation_flag], TableRefills3[patient_id], A2843)</f>
        <v>0</v>
      </c>
    </row>
    <row r="2844" spans="1:9" x14ac:dyDescent="0.25">
      <c r="A2844" t="s">
        <v>4523</v>
      </c>
      <c r="B2844" t="s">
        <v>4524</v>
      </c>
      <c r="C2844" s="3">
        <v>45830</v>
      </c>
      <c r="D2844">
        <v>21</v>
      </c>
      <c r="E2844" s="3">
        <f t="shared" si="44"/>
        <v>45807</v>
      </c>
      <c r="F2844" s="3">
        <f>IF(TableRefills3[[#This Row],[prev_refill_days]]="","",TableRefills3[[#This Row],[prev_refill_days]]+TableRefills3[[#This Row],[quantity_days]])</f>
        <v>45828</v>
      </c>
      <c r="G2844">
        <f>IF(TableRefills3[[#This Row],[prev_refill_end]]="","",TableRefills3[[#This Row],[refill_date]]-TableRefills3[[#This Row],[prev_refill_end]])</f>
        <v>2</v>
      </c>
      <c r="H2844" s="10">
        <f>IF(TableRefills3[[#This Row],[gap_days]]="",0,IF(TableRefills3[[#This Row],[gap_days]]&gt;2,1,0))</f>
        <v>0</v>
      </c>
      <c r="I2844">
        <f>_xlfn.MAXIFS(TableRefills3[discountinuation_flag], TableRefills3[patient_id], A2844)</f>
        <v>0</v>
      </c>
    </row>
    <row r="2845" spans="1:9" x14ac:dyDescent="0.25">
      <c r="A2845" t="s">
        <v>4523</v>
      </c>
      <c r="B2845" t="s">
        <v>4524</v>
      </c>
      <c r="C2845" s="3">
        <v>45850</v>
      </c>
      <c r="D2845">
        <v>21</v>
      </c>
      <c r="E2845" s="3">
        <f t="shared" si="44"/>
        <v>45830</v>
      </c>
      <c r="F2845" s="3">
        <f>IF(TableRefills3[[#This Row],[prev_refill_days]]="","",TableRefills3[[#This Row],[prev_refill_days]]+TableRefills3[[#This Row],[quantity_days]])</f>
        <v>45851</v>
      </c>
      <c r="G2845">
        <f>IF(TableRefills3[[#This Row],[prev_refill_end]]="","",TableRefills3[[#This Row],[refill_date]]-TableRefills3[[#This Row],[prev_refill_end]])</f>
        <v>-1</v>
      </c>
      <c r="H2845" s="10">
        <f>IF(TableRefills3[[#This Row],[gap_days]]="",0,IF(TableRefills3[[#This Row],[gap_days]]&gt;2,1,0))</f>
        <v>0</v>
      </c>
      <c r="I2845">
        <f>_xlfn.MAXIFS(TableRefills3[discountinuation_flag], TableRefills3[patient_id], A2845)</f>
        <v>0</v>
      </c>
    </row>
    <row r="2846" spans="1:9" x14ac:dyDescent="0.25">
      <c r="A2846" t="s">
        <v>4523</v>
      </c>
      <c r="B2846" t="s">
        <v>4524</v>
      </c>
      <c r="C2846" s="3">
        <v>45873</v>
      </c>
      <c r="D2846">
        <v>21</v>
      </c>
      <c r="E2846" s="3">
        <f t="shared" si="44"/>
        <v>45850</v>
      </c>
      <c r="F2846" s="3">
        <f>IF(TableRefills3[[#This Row],[prev_refill_days]]="","",TableRefills3[[#This Row],[prev_refill_days]]+TableRefills3[[#This Row],[quantity_days]])</f>
        <v>45871</v>
      </c>
      <c r="G2846">
        <f>IF(TableRefills3[[#This Row],[prev_refill_end]]="","",TableRefills3[[#This Row],[refill_date]]-TableRefills3[[#This Row],[prev_refill_end]])</f>
        <v>2</v>
      </c>
      <c r="H2846" s="10">
        <f>IF(TableRefills3[[#This Row],[gap_days]]="",0,IF(TableRefills3[[#This Row],[gap_days]]&gt;2,1,0))</f>
        <v>0</v>
      </c>
      <c r="I2846">
        <f>_xlfn.MAXIFS(TableRefills3[discountinuation_flag], TableRefills3[patient_id], A2846)</f>
        <v>0</v>
      </c>
    </row>
    <row r="2847" spans="1:9" x14ac:dyDescent="0.25">
      <c r="A2847" t="s">
        <v>4523</v>
      </c>
      <c r="B2847" t="s">
        <v>4524</v>
      </c>
      <c r="C2847" s="3">
        <v>45892</v>
      </c>
      <c r="D2847">
        <v>21</v>
      </c>
      <c r="E2847" s="3">
        <f t="shared" si="44"/>
        <v>45873</v>
      </c>
      <c r="F2847" s="3">
        <f>IF(TableRefills3[[#This Row],[prev_refill_days]]="","",TableRefills3[[#This Row],[prev_refill_days]]+TableRefills3[[#This Row],[quantity_days]])</f>
        <v>45894</v>
      </c>
      <c r="G2847">
        <f>IF(TableRefills3[[#This Row],[prev_refill_end]]="","",TableRefills3[[#This Row],[refill_date]]-TableRefills3[[#This Row],[prev_refill_end]])</f>
        <v>-2</v>
      </c>
      <c r="H2847" s="10">
        <f>IF(TableRefills3[[#This Row],[gap_days]]="",0,IF(TableRefills3[[#This Row],[gap_days]]&gt;2,1,0))</f>
        <v>0</v>
      </c>
      <c r="I2847">
        <f>_xlfn.MAXIFS(TableRefills3[discountinuation_flag], TableRefills3[patient_id], A2847)</f>
        <v>0</v>
      </c>
    </row>
    <row r="2848" spans="1:9" x14ac:dyDescent="0.25">
      <c r="A2848" t="s">
        <v>4523</v>
      </c>
      <c r="B2848" t="s">
        <v>4524</v>
      </c>
      <c r="C2848" s="3">
        <v>45912</v>
      </c>
      <c r="D2848">
        <v>21</v>
      </c>
      <c r="E2848" s="3">
        <f t="shared" si="44"/>
        <v>45892</v>
      </c>
      <c r="F2848" s="3">
        <f>IF(TableRefills3[[#This Row],[prev_refill_days]]="","",TableRefills3[[#This Row],[prev_refill_days]]+TableRefills3[[#This Row],[quantity_days]])</f>
        <v>45913</v>
      </c>
      <c r="G2848">
        <f>IF(TableRefills3[[#This Row],[prev_refill_end]]="","",TableRefills3[[#This Row],[refill_date]]-TableRefills3[[#This Row],[prev_refill_end]])</f>
        <v>-1</v>
      </c>
      <c r="H2848" s="10">
        <f>IF(TableRefills3[[#This Row],[gap_days]]="",0,IF(TableRefills3[[#This Row],[gap_days]]&gt;2,1,0))</f>
        <v>0</v>
      </c>
      <c r="I2848">
        <f>_xlfn.MAXIFS(TableRefills3[discountinuation_flag], TableRefills3[patient_id], A2848)</f>
        <v>0</v>
      </c>
    </row>
    <row r="2849" spans="1:9" x14ac:dyDescent="0.25">
      <c r="A2849" t="s">
        <v>4523</v>
      </c>
      <c r="B2849" t="s">
        <v>4524</v>
      </c>
      <c r="C2849" s="3">
        <v>45933</v>
      </c>
      <c r="D2849">
        <v>21</v>
      </c>
      <c r="E2849" s="3">
        <f t="shared" si="44"/>
        <v>45912</v>
      </c>
      <c r="F2849" s="3">
        <f>IF(TableRefills3[[#This Row],[prev_refill_days]]="","",TableRefills3[[#This Row],[prev_refill_days]]+TableRefills3[[#This Row],[quantity_days]])</f>
        <v>45933</v>
      </c>
      <c r="G2849">
        <f>IF(TableRefills3[[#This Row],[prev_refill_end]]="","",TableRefills3[[#This Row],[refill_date]]-TableRefills3[[#This Row],[prev_refill_end]])</f>
        <v>0</v>
      </c>
      <c r="H2849" s="10">
        <f>IF(TableRefills3[[#This Row],[gap_days]]="",0,IF(TableRefills3[[#This Row],[gap_days]]&gt;2,1,0))</f>
        <v>0</v>
      </c>
      <c r="I2849">
        <f>_xlfn.MAXIFS(TableRefills3[discountinuation_flag], TableRefills3[patient_id], A2849)</f>
        <v>0</v>
      </c>
    </row>
    <row r="2850" spans="1:9" x14ac:dyDescent="0.25">
      <c r="A2850" t="s">
        <v>4523</v>
      </c>
      <c r="B2850" t="s">
        <v>4524</v>
      </c>
      <c r="C2850" s="3">
        <v>45956</v>
      </c>
      <c r="D2850">
        <v>21</v>
      </c>
      <c r="E2850" s="3">
        <f t="shared" si="44"/>
        <v>45933</v>
      </c>
      <c r="F2850" s="3">
        <f>IF(TableRefills3[[#This Row],[prev_refill_days]]="","",TableRefills3[[#This Row],[prev_refill_days]]+TableRefills3[[#This Row],[quantity_days]])</f>
        <v>45954</v>
      </c>
      <c r="G2850">
        <f>IF(TableRefills3[[#This Row],[prev_refill_end]]="","",TableRefills3[[#This Row],[refill_date]]-TableRefills3[[#This Row],[prev_refill_end]])</f>
        <v>2</v>
      </c>
      <c r="H2850" s="10">
        <f>IF(TableRefills3[[#This Row],[gap_days]]="",0,IF(TableRefills3[[#This Row],[gap_days]]&gt;2,1,0))</f>
        <v>0</v>
      </c>
      <c r="I2850">
        <f>_xlfn.MAXIFS(TableRefills3[discountinuation_flag], TableRefills3[patient_id], A2850)</f>
        <v>0</v>
      </c>
    </row>
    <row r="2851" spans="1:9" x14ac:dyDescent="0.25">
      <c r="A2851" t="s">
        <v>4533</v>
      </c>
      <c r="B2851" t="s">
        <v>4534</v>
      </c>
      <c r="C2851" s="3">
        <v>45868</v>
      </c>
      <c r="D2851">
        <v>30</v>
      </c>
      <c r="E2851" s="3" t="str">
        <f t="shared" si="44"/>
        <v/>
      </c>
      <c r="F2851" s="3" t="str">
        <f>IF(TableRefills3[[#This Row],[prev_refill_days]]="","",TableRefills3[[#This Row],[prev_refill_days]]+TableRefills3[[#This Row],[quantity_days]])</f>
        <v/>
      </c>
      <c r="G2851" t="str">
        <f>IF(TableRefills3[[#This Row],[prev_refill_end]]="","",TableRefills3[[#This Row],[refill_date]]-TableRefills3[[#This Row],[prev_refill_end]])</f>
        <v/>
      </c>
      <c r="H2851" s="10">
        <f>IF(TableRefills3[[#This Row],[gap_days]]="",0,IF(TableRefills3[[#This Row],[gap_days]]&gt;2,1,0))</f>
        <v>0</v>
      </c>
      <c r="I2851">
        <f>_xlfn.MAXIFS(TableRefills3[discountinuation_flag], TableRefills3[patient_id], A2851)</f>
        <v>1</v>
      </c>
    </row>
    <row r="2852" spans="1:9" x14ac:dyDescent="0.25">
      <c r="A2852" t="s">
        <v>4533</v>
      </c>
      <c r="B2852" t="s">
        <v>4534</v>
      </c>
      <c r="C2852" s="3">
        <v>45895</v>
      </c>
      <c r="D2852">
        <v>30</v>
      </c>
      <c r="E2852" s="3">
        <f t="shared" si="44"/>
        <v>45868</v>
      </c>
      <c r="F2852" s="3">
        <f>IF(TableRefills3[[#This Row],[prev_refill_days]]="","",TableRefills3[[#This Row],[prev_refill_days]]+TableRefills3[[#This Row],[quantity_days]])</f>
        <v>45898</v>
      </c>
      <c r="G2852">
        <f>IF(TableRefills3[[#This Row],[prev_refill_end]]="","",TableRefills3[[#This Row],[refill_date]]-TableRefills3[[#This Row],[prev_refill_end]])</f>
        <v>-3</v>
      </c>
      <c r="H2852" s="10">
        <f>IF(TableRefills3[[#This Row],[gap_days]]="",0,IF(TableRefills3[[#This Row],[gap_days]]&gt;2,1,0))</f>
        <v>0</v>
      </c>
      <c r="I2852">
        <f>_xlfn.MAXIFS(TableRefills3[discountinuation_flag], TableRefills3[patient_id], A2852)</f>
        <v>1</v>
      </c>
    </row>
    <row r="2853" spans="1:9" x14ac:dyDescent="0.25">
      <c r="A2853" t="s">
        <v>4533</v>
      </c>
      <c r="B2853" t="s">
        <v>4534</v>
      </c>
      <c r="C2853" s="3">
        <v>45928</v>
      </c>
      <c r="D2853">
        <v>30</v>
      </c>
      <c r="E2853" s="3">
        <f t="shared" si="44"/>
        <v>45895</v>
      </c>
      <c r="F2853" s="3">
        <f>IF(TableRefills3[[#This Row],[prev_refill_days]]="","",TableRefills3[[#This Row],[prev_refill_days]]+TableRefills3[[#This Row],[quantity_days]])</f>
        <v>45925</v>
      </c>
      <c r="G2853">
        <f>IF(TableRefills3[[#This Row],[prev_refill_end]]="","",TableRefills3[[#This Row],[refill_date]]-TableRefills3[[#This Row],[prev_refill_end]])</f>
        <v>3</v>
      </c>
      <c r="H2853" s="10">
        <f>IF(TableRefills3[[#This Row],[gap_days]]="",0,IF(TableRefills3[[#This Row],[gap_days]]&gt;2,1,0))</f>
        <v>1</v>
      </c>
      <c r="I2853">
        <f>_xlfn.MAXIFS(TableRefills3[discountinuation_flag], TableRefills3[patient_id], A2853)</f>
        <v>1</v>
      </c>
    </row>
    <row r="2854" spans="1:9" x14ac:dyDescent="0.25">
      <c r="A2854" t="s">
        <v>4533</v>
      </c>
      <c r="B2854" t="s">
        <v>4534</v>
      </c>
      <c r="C2854" s="3">
        <v>45956</v>
      </c>
      <c r="D2854">
        <v>30</v>
      </c>
      <c r="E2854" s="3">
        <f t="shared" si="44"/>
        <v>45928</v>
      </c>
      <c r="F2854" s="3">
        <f>IF(TableRefills3[[#This Row],[prev_refill_days]]="","",TableRefills3[[#This Row],[prev_refill_days]]+TableRefills3[[#This Row],[quantity_days]])</f>
        <v>45958</v>
      </c>
      <c r="G2854">
        <f>IF(TableRefills3[[#This Row],[prev_refill_end]]="","",TableRefills3[[#This Row],[refill_date]]-TableRefills3[[#This Row],[prev_refill_end]])</f>
        <v>-2</v>
      </c>
      <c r="H2854" s="10">
        <f>IF(TableRefills3[[#This Row],[gap_days]]="",0,IF(TableRefills3[[#This Row],[gap_days]]&gt;2,1,0))</f>
        <v>0</v>
      </c>
      <c r="I2854">
        <f>_xlfn.MAXIFS(TableRefills3[discountinuation_flag], TableRefills3[patient_id], A2854)</f>
        <v>1</v>
      </c>
    </row>
    <row r="2855" spans="1:9" x14ac:dyDescent="0.25">
      <c r="A2855" t="s">
        <v>4539</v>
      </c>
      <c r="B2855" t="s">
        <v>4540</v>
      </c>
      <c r="C2855" s="3">
        <v>45895</v>
      </c>
      <c r="D2855">
        <v>28</v>
      </c>
      <c r="E2855" s="3" t="str">
        <f t="shared" si="44"/>
        <v/>
      </c>
      <c r="F2855" s="3" t="str">
        <f>IF(TableRefills3[[#This Row],[prev_refill_days]]="","",TableRefills3[[#This Row],[prev_refill_days]]+TableRefills3[[#This Row],[quantity_days]])</f>
        <v/>
      </c>
      <c r="G2855" t="str">
        <f>IF(TableRefills3[[#This Row],[prev_refill_end]]="","",TableRefills3[[#This Row],[refill_date]]-TableRefills3[[#This Row],[prev_refill_end]])</f>
        <v/>
      </c>
      <c r="H2855" s="10">
        <f>IF(TableRefills3[[#This Row],[gap_days]]="",0,IF(TableRefills3[[#This Row],[gap_days]]&gt;2,1,0))</f>
        <v>0</v>
      </c>
      <c r="I2855">
        <f>_xlfn.MAXIFS(TableRefills3[discountinuation_flag], TableRefills3[patient_id], A2855)</f>
        <v>0</v>
      </c>
    </row>
    <row r="2856" spans="1:9" x14ac:dyDescent="0.25">
      <c r="A2856" t="s">
        <v>4539</v>
      </c>
      <c r="B2856" t="s">
        <v>4540</v>
      </c>
      <c r="C2856" s="3">
        <v>45923</v>
      </c>
      <c r="D2856">
        <v>28</v>
      </c>
      <c r="E2856" s="3">
        <f t="shared" si="44"/>
        <v>45895</v>
      </c>
      <c r="F2856" s="3">
        <f>IF(TableRefills3[[#This Row],[prev_refill_days]]="","",TableRefills3[[#This Row],[prev_refill_days]]+TableRefills3[[#This Row],[quantity_days]])</f>
        <v>45923</v>
      </c>
      <c r="G2856">
        <f>IF(TableRefills3[[#This Row],[prev_refill_end]]="","",TableRefills3[[#This Row],[refill_date]]-TableRefills3[[#This Row],[prev_refill_end]])</f>
        <v>0</v>
      </c>
      <c r="H2856" s="10">
        <f>IF(TableRefills3[[#This Row],[gap_days]]="",0,IF(TableRefills3[[#This Row],[gap_days]]&gt;2,1,0))</f>
        <v>0</v>
      </c>
      <c r="I2856">
        <f>_xlfn.MAXIFS(TableRefills3[discountinuation_flag], TableRefills3[patient_id], A2856)</f>
        <v>0</v>
      </c>
    </row>
    <row r="2857" spans="1:9" x14ac:dyDescent="0.25">
      <c r="A2857" t="s">
        <v>4543</v>
      </c>
      <c r="B2857" t="s">
        <v>4544</v>
      </c>
      <c r="C2857" s="3">
        <v>45822</v>
      </c>
      <c r="D2857">
        <v>30</v>
      </c>
      <c r="E2857" s="3" t="str">
        <f t="shared" si="44"/>
        <v/>
      </c>
      <c r="F2857" s="3" t="str">
        <f>IF(TableRefills3[[#This Row],[prev_refill_days]]="","",TableRefills3[[#This Row],[prev_refill_days]]+TableRefills3[[#This Row],[quantity_days]])</f>
        <v/>
      </c>
      <c r="G2857" t="str">
        <f>IF(TableRefills3[[#This Row],[prev_refill_end]]="","",TableRefills3[[#This Row],[refill_date]]-TableRefills3[[#This Row],[prev_refill_end]])</f>
        <v/>
      </c>
      <c r="H2857" s="10">
        <f>IF(TableRefills3[[#This Row],[gap_days]]="",0,IF(TableRefills3[[#This Row],[gap_days]]&gt;2,1,0))</f>
        <v>0</v>
      </c>
      <c r="I2857">
        <f>_xlfn.MAXIFS(TableRefills3[discountinuation_flag], TableRefills3[patient_id], A2857)</f>
        <v>1</v>
      </c>
    </row>
    <row r="2858" spans="1:9" x14ac:dyDescent="0.25">
      <c r="A2858" t="s">
        <v>4543</v>
      </c>
      <c r="B2858" t="s">
        <v>4544</v>
      </c>
      <c r="C2858" s="3">
        <v>45855</v>
      </c>
      <c r="D2858">
        <v>30</v>
      </c>
      <c r="E2858" s="3">
        <f t="shared" si="44"/>
        <v>45822</v>
      </c>
      <c r="F2858" s="3">
        <f>IF(TableRefills3[[#This Row],[prev_refill_days]]="","",TableRefills3[[#This Row],[prev_refill_days]]+TableRefills3[[#This Row],[quantity_days]])</f>
        <v>45852</v>
      </c>
      <c r="G2858">
        <f>IF(TableRefills3[[#This Row],[prev_refill_end]]="","",TableRefills3[[#This Row],[refill_date]]-TableRefills3[[#This Row],[prev_refill_end]])</f>
        <v>3</v>
      </c>
      <c r="H2858" s="10">
        <f>IF(TableRefills3[[#This Row],[gap_days]]="",0,IF(TableRefills3[[#This Row],[gap_days]]&gt;2,1,0))</f>
        <v>1</v>
      </c>
      <c r="I2858">
        <f>_xlfn.MAXIFS(TableRefills3[discountinuation_flag], TableRefills3[patient_id], A2858)</f>
        <v>1</v>
      </c>
    </row>
    <row r="2859" spans="1:9" x14ac:dyDescent="0.25">
      <c r="A2859" t="s">
        <v>4547</v>
      </c>
      <c r="B2859" t="s">
        <v>4548</v>
      </c>
      <c r="C2859" s="3">
        <v>45950</v>
      </c>
      <c r="D2859">
        <v>28</v>
      </c>
      <c r="E2859" s="3" t="str">
        <f t="shared" si="44"/>
        <v/>
      </c>
      <c r="F2859" s="3" t="str">
        <f>IF(TableRefills3[[#This Row],[prev_refill_days]]="","",TableRefills3[[#This Row],[prev_refill_days]]+TableRefills3[[#This Row],[quantity_days]])</f>
        <v/>
      </c>
      <c r="G2859" t="str">
        <f>IF(TableRefills3[[#This Row],[prev_refill_end]]="","",TableRefills3[[#This Row],[refill_date]]-TableRefills3[[#This Row],[prev_refill_end]])</f>
        <v/>
      </c>
      <c r="H2859" s="10">
        <f>IF(TableRefills3[[#This Row],[gap_days]]="",0,IF(TableRefills3[[#This Row],[gap_days]]&gt;2,1,0))</f>
        <v>0</v>
      </c>
      <c r="I2859">
        <f>_xlfn.MAXIFS(TableRefills3[discountinuation_flag], TableRefills3[patient_id], A2859)</f>
        <v>0</v>
      </c>
    </row>
    <row r="2860" spans="1:9" x14ac:dyDescent="0.25">
      <c r="A2860" t="s">
        <v>4550</v>
      </c>
      <c r="B2860" t="s">
        <v>4551</v>
      </c>
      <c r="C2860" s="3">
        <v>45854</v>
      </c>
      <c r="D2860">
        <v>28</v>
      </c>
      <c r="E2860" s="3" t="str">
        <f t="shared" si="44"/>
        <v/>
      </c>
      <c r="F2860" s="3" t="str">
        <f>IF(TableRefills3[[#This Row],[prev_refill_days]]="","",TableRefills3[[#This Row],[prev_refill_days]]+TableRefills3[[#This Row],[quantity_days]])</f>
        <v/>
      </c>
      <c r="G2860" t="str">
        <f>IF(TableRefills3[[#This Row],[prev_refill_end]]="","",TableRefills3[[#This Row],[refill_date]]-TableRefills3[[#This Row],[prev_refill_end]])</f>
        <v/>
      </c>
      <c r="H2860" s="10">
        <f>IF(TableRefills3[[#This Row],[gap_days]]="",0,IF(TableRefills3[[#This Row],[gap_days]]&gt;2,1,0))</f>
        <v>0</v>
      </c>
      <c r="I2860">
        <f>_xlfn.MAXIFS(TableRefills3[discountinuation_flag], TableRefills3[patient_id], A2860)</f>
        <v>0</v>
      </c>
    </row>
    <row r="2861" spans="1:9" x14ac:dyDescent="0.25">
      <c r="A2861" t="s">
        <v>4550</v>
      </c>
      <c r="B2861" t="s">
        <v>4551</v>
      </c>
      <c r="C2861" s="3">
        <v>45883</v>
      </c>
      <c r="D2861">
        <v>28</v>
      </c>
      <c r="E2861" s="3">
        <f t="shared" si="44"/>
        <v>45854</v>
      </c>
      <c r="F2861" s="3">
        <f>IF(TableRefills3[[#This Row],[prev_refill_days]]="","",TableRefills3[[#This Row],[prev_refill_days]]+TableRefills3[[#This Row],[quantity_days]])</f>
        <v>45882</v>
      </c>
      <c r="G2861">
        <f>IF(TableRefills3[[#This Row],[prev_refill_end]]="","",TableRefills3[[#This Row],[refill_date]]-TableRefills3[[#This Row],[prev_refill_end]])</f>
        <v>1</v>
      </c>
      <c r="H2861" s="10">
        <f>IF(TableRefills3[[#This Row],[gap_days]]="",0,IF(TableRefills3[[#This Row],[gap_days]]&gt;2,1,0))</f>
        <v>0</v>
      </c>
      <c r="I2861">
        <f>_xlfn.MAXIFS(TableRefills3[discountinuation_flag], TableRefills3[patient_id], A2861)</f>
        <v>0</v>
      </c>
    </row>
    <row r="2862" spans="1:9" x14ac:dyDescent="0.25">
      <c r="A2862" t="s">
        <v>4550</v>
      </c>
      <c r="B2862" t="s">
        <v>4551</v>
      </c>
      <c r="C2862" s="3">
        <v>45912</v>
      </c>
      <c r="D2862">
        <v>28</v>
      </c>
      <c r="E2862" s="3">
        <f t="shared" si="44"/>
        <v>45883</v>
      </c>
      <c r="F2862" s="3">
        <f>IF(TableRefills3[[#This Row],[prev_refill_days]]="","",TableRefills3[[#This Row],[prev_refill_days]]+TableRefills3[[#This Row],[quantity_days]])</f>
        <v>45911</v>
      </c>
      <c r="G2862">
        <f>IF(TableRefills3[[#This Row],[prev_refill_end]]="","",TableRefills3[[#This Row],[refill_date]]-TableRefills3[[#This Row],[prev_refill_end]])</f>
        <v>1</v>
      </c>
      <c r="H2862" s="10">
        <f>IF(TableRefills3[[#This Row],[gap_days]]="",0,IF(TableRefills3[[#This Row],[gap_days]]&gt;2,1,0))</f>
        <v>0</v>
      </c>
      <c r="I2862">
        <f>_xlfn.MAXIFS(TableRefills3[discountinuation_flag], TableRefills3[patient_id], A2862)</f>
        <v>0</v>
      </c>
    </row>
    <row r="2863" spans="1:9" x14ac:dyDescent="0.25">
      <c r="A2863" t="s">
        <v>4550</v>
      </c>
      <c r="B2863" t="s">
        <v>4551</v>
      </c>
      <c r="C2863" s="3">
        <v>45940</v>
      </c>
      <c r="D2863">
        <v>28</v>
      </c>
      <c r="E2863" s="3">
        <f t="shared" si="44"/>
        <v>45912</v>
      </c>
      <c r="F2863" s="3">
        <f>IF(TableRefills3[[#This Row],[prev_refill_days]]="","",TableRefills3[[#This Row],[prev_refill_days]]+TableRefills3[[#This Row],[quantity_days]])</f>
        <v>45940</v>
      </c>
      <c r="G2863">
        <f>IF(TableRefills3[[#This Row],[prev_refill_end]]="","",TableRefills3[[#This Row],[refill_date]]-TableRefills3[[#This Row],[prev_refill_end]])</f>
        <v>0</v>
      </c>
      <c r="H2863" s="10">
        <f>IF(TableRefills3[[#This Row],[gap_days]]="",0,IF(TableRefills3[[#This Row],[gap_days]]&gt;2,1,0))</f>
        <v>0</v>
      </c>
      <c r="I2863">
        <f>_xlfn.MAXIFS(TableRefills3[discountinuation_flag], TableRefills3[patient_id], A2863)</f>
        <v>0</v>
      </c>
    </row>
    <row r="2864" spans="1:9" x14ac:dyDescent="0.25">
      <c r="A2864" t="s">
        <v>4556</v>
      </c>
      <c r="B2864" t="s">
        <v>4557</v>
      </c>
      <c r="C2864" s="3">
        <v>45929</v>
      </c>
      <c r="D2864">
        <v>28</v>
      </c>
      <c r="E2864" s="3" t="str">
        <f t="shared" si="44"/>
        <v/>
      </c>
      <c r="F2864" s="3" t="str">
        <f>IF(TableRefills3[[#This Row],[prev_refill_days]]="","",TableRefills3[[#This Row],[prev_refill_days]]+TableRefills3[[#This Row],[quantity_days]])</f>
        <v/>
      </c>
      <c r="G2864" t="str">
        <f>IF(TableRefills3[[#This Row],[prev_refill_end]]="","",TableRefills3[[#This Row],[refill_date]]-TableRefills3[[#This Row],[prev_refill_end]])</f>
        <v/>
      </c>
      <c r="H2864" s="10">
        <f>IF(TableRefills3[[#This Row],[gap_days]]="",0,IF(TableRefills3[[#This Row],[gap_days]]&gt;2,1,0))</f>
        <v>0</v>
      </c>
      <c r="I2864">
        <f>_xlfn.MAXIFS(TableRefills3[discountinuation_flag], TableRefills3[patient_id], A2864)</f>
        <v>1</v>
      </c>
    </row>
    <row r="2865" spans="1:9" x14ac:dyDescent="0.25">
      <c r="A2865" t="s">
        <v>4556</v>
      </c>
      <c r="B2865" t="s">
        <v>4557</v>
      </c>
      <c r="C2865" s="3">
        <v>45960</v>
      </c>
      <c r="D2865">
        <v>28</v>
      </c>
      <c r="E2865" s="3">
        <f t="shared" si="44"/>
        <v>45929</v>
      </c>
      <c r="F2865" s="3">
        <f>IF(TableRefills3[[#This Row],[prev_refill_days]]="","",TableRefills3[[#This Row],[prev_refill_days]]+TableRefills3[[#This Row],[quantity_days]])</f>
        <v>45957</v>
      </c>
      <c r="G2865">
        <f>IF(TableRefills3[[#This Row],[prev_refill_end]]="","",TableRefills3[[#This Row],[refill_date]]-TableRefills3[[#This Row],[prev_refill_end]])</f>
        <v>3</v>
      </c>
      <c r="H2865" s="10">
        <f>IF(TableRefills3[[#This Row],[gap_days]]="",0,IF(TableRefills3[[#This Row],[gap_days]]&gt;2,1,0))</f>
        <v>1</v>
      </c>
      <c r="I2865">
        <f>_xlfn.MAXIFS(TableRefills3[discountinuation_flag], TableRefills3[patient_id], A2865)</f>
        <v>1</v>
      </c>
    </row>
    <row r="2866" spans="1:9" x14ac:dyDescent="0.25">
      <c r="A2866" t="s">
        <v>4560</v>
      </c>
      <c r="B2866" t="s">
        <v>4561</v>
      </c>
      <c r="C2866" s="3">
        <v>45950</v>
      </c>
      <c r="D2866">
        <v>28</v>
      </c>
      <c r="E2866" s="3" t="str">
        <f t="shared" si="44"/>
        <v/>
      </c>
      <c r="F2866" s="3" t="str">
        <f>IF(TableRefills3[[#This Row],[prev_refill_days]]="","",TableRefills3[[#This Row],[prev_refill_days]]+TableRefills3[[#This Row],[quantity_days]])</f>
        <v/>
      </c>
      <c r="G2866" t="str">
        <f>IF(TableRefills3[[#This Row],[prev_refill_end]]="","",TableRefills3[[#This Row],[refill_date]]-TableRefills3[[#This Row],[prev_refill_end]])</f>
        <v/>
      </c>
      <c r="H2866" s="10">
        <f>IF(TableRefills3[[#This Row],[gap_days]]="",0,IF(TableRefills3[[#This Row],[gap_days]]&gt;2,1,0))</f>
        <v>0</v>
      </c>
      <c r="I2866">
        <f>_xlfn.MAXIFS(TableRefills3[discountinuation_flag], TableRefills3[patient_id], A2866)</f>
        <v>0</v>
      </c>
    </row>
    <row r="2867" spans="1:9" x14ac:dyDescent="0.25">
      <c r="A2867" t="s">
        <v>4563</v>
      </c>
      <c r="B2867" t="s">
        <v>4564</v>
      </c>
      <c r="C2867" s="3">
        <v>45858</v>
      </c>
      <c r="D2867">
        <v>28</v>
      </c>
      <c r="E2867" s="3" t="str">
        <f t="shared" si="44"/>
        <v/>
      </c>
      <c r="F2867" s="3" t="str">
        <f>IF(TableRefills3[[#This Row],[prev_refill_days]]="","",TableRefills3[[#This Row],[prev_refill_days]]+TableRefills3[[#This Row],[quantity_days]])</f>
        <v/>
      </c>
      <c r="G2867" t="str">
        <f>IF(TableRefills3[[#This Row],[prev_refill_end]]="","",TableRefills3[[#This Row],[refill_date]]-TableRefills3[[#This Row],[prev_refill_end]])</f>
        <v/>
      </c>
      <c r="H2867" s="10">
        <f>IF(TableRefills3[[#This Row],[gap_days]]="",0,IF(TableRefills3[[#This Row],[gap_days]]&gt;2,1,0))</f>
        <v>0</v>
      </c>
      <c r="I2867">
        <f>_xlfn.MAXIFS(TableRefills3[discountinuation_flag], TableRefills3[patient_id], A2867)</f>
        <v>1</v>
      </c>
    </row>
    <row r="2868" spans="1:9" x14ac:dyDescent="0.25">
      <c r="A2868" t="s">
        <v>4563</v>
      </c>
      <c r="B2868" t="s">
        <v>4564</v>
      </c>
      <c r="C2868" s="3">
        <v>45886</v>
      </c>
      <c r="D2868">
        <v>28</v>
      </c>
      <c r="E2868" s="3">
        <f t="shared" si="44"/>
        <v>45858</v>
      </c>
      <c r="F2868" s="3">
        <f>IF(TableRefills3[[#This Row],[prev_refill_days]]="","",TableRefills3[[#This Row],[prev_refill_days]]+TableRefills3[[#This Row],[quantity_days]])</f>
        <v>45886</v>
      </c>
      <c r="G2868">
        <f>IF(TableRefills3[[#This Row],[prev_refill_end]]="","",TableRefills3[[#This Row],[refill_date]]-TableRefills3[[#This Row],[prev_refill_end]])</f>
        <v>0</v>
      </c>
      <c r="H2868" s="10">
        <f>IF(TableRefills3[[#This Row],[gap_days]]="",0,IF(TableRefills3[[#This Row],[gap_days]]&gt;2,1,0))</f>
        <v>0</v>
      </c>
      <c r="I2868">
        <f>_xlfn.MAXIFS(TableRefills3[discountinuation_flag], TableRefills3[patient_id], A2868)</f>
        <v>1</v>
      </c>
    </row>
    <row r="2869" spans="1:9" x14ac:dyDescent="0.25">
      <c r="A2869" t="s">
        <v>4563</v>
      </c>
      <c r="B2869" t="s">
        <v>4564</v>
      </c>
      <c r="C2869" s="3">
        <v>45913</v>
      </c>
      <c r="D2869">
        <v>28</v>
      </c>
      <c r="E2869" s="3">
        <f t="shared" si="44"/>
        <v>45886</v>
      </c>
      <c r="F2869" s="3">
        <f>IF(TableRefills3[[#This Row],[prev_refill_days]]="","",TableRefills3[[#This Row],[prev_refill_days]]+TableRefills3[[#This Row],[quantity_days]])</f>
        <v>45914</v>
      </c>
      <c r="G2869">
        <f>IF(TableRefills3[[#This Row],[prev_refill_end]]="","",TableRefills3[[#This Row],[refill_date]]-TableRefills3[[#This Row],[prev_refill_end]])</f>
        <v>-1</v>
      </c>
      <c r="H2869" s="10">
        <f>IF(TableRefills3[[#This Row],[gap_days]]="",0,IF(TableRefills3[[#This Row],[gap_days]]&gt;2,1,0))</f>
        <v>0</v>
      </c>
      <c r="I2869">
        <f>_xlfn.MAXIFS(TableRefills3[discountinuation_flag], TableRefills3[patient_id], A2869)</f>
        <v>1</v>
      </c>
    </row>
    <row r="2870" spans="1:9" x14ac:dyDescent="0.25">
      <c r="A2870" t="s">
        <v>4563</v>
      </c>
      <c r="B2870" t="s">
        <v>4564</v>
      </c>
      <c r="C2870" s="3">
        <v>45944</v>
      </c>
      <c r="D2870">
        <v>28</v>
      </c>
      <c r="E2870" s="3">
        <f t="shared" si="44"/>
        <v>45913</v>
      </c>
      <c r="F2870" s="3">
        <f>IF(TableRefills3[[#This Row],[prev_refill_days]]="","",TableRefills3[[#This Row],[prev_refill_days]]+TableRefills3[[#This Row],[quantity_days]])</f>
        <v>45941</v>
      </c>
      <c r="G2870">
        <f>IF(TableRefills3[[#This Row],[prev_refill_end]]="","",TableRefills3[[#This Row],[refill_date]]-TableRefills3[[#This Row],[prev_refill_end]])</f>
        <v>3</v>
      </c>
      <c r="H2870" s="10">
        <f>IF(TableRefills3[[#This Row],[gap_days]]="",0,IF(TableRefills3[[#This Row],[gap_days]]&gt;2,1,0))</f>
        <v>1</v>
      </c>
      <c r="I2870">
        <f>_xlfn.MAXIFS(TableRefills3[discountinuation_flag], TableRefills3[patient_id], A2870)</f>
        <v>1</v>
      </c>
    </row>
    <row r="2871" spans="1:9" x14ac:dyDescent="0.25">
      <c r="A2871" t="s">
        <v>4569</v>
      </c>
      <c r="B2871" t="s">
        <v>4570</v>
      </c>
      <c r="C2871" s="3">
        <v>45839</v>
      </c>
      <c r="D2871">
        <v>30</v>
      </c>
      <c r="E2871" s="3" t="str">
        <f t="shared" si="44"/>
        <v/>
      </c>
      <c r="F2871" s="3" t="str">
        <f>IF(TableRefills3[[#This Row],[prev_refill_days]]="","",TableRefills3[[#This Row],[prev_refill_days]]+TableRefills3[[#This Row],[quantity_days]])</f>
        <v/>
      </c>
      <c r="G2871" t="str">
        <f>IF(TableRefills3[[#This Row],[prev_refill_end]]="","",TableRefills3[[#This Row],[refill_date]]-TableRefills3[[#This Row],[prev_refill_end]])</f>
        <v/>
      </c>
      <c r="H2871" s="10">
        <f>IF(TableRefills3[[#This Row],[gap_days]]="",0,IF(TableRefills3[[#This Row],[gap_days]]&gt;2,1,0))</f>
        <v>0</v>
      </c>
      <c r="I2871">
        <f>_xlfn.MAXIFS(TableRefills3[discountinuation_flag], TableRefills3[patient_id], A2871)</f>
        <v>0</v>
      </c>
    </row>
    <row r="2872" spans="1:9" x14ac:dyDescent="0.25">
      <c r="A2872" t="s">
        <v>4569</v>
      </c>
      <c r="B2872" t="s">
        <v>4570</v>
      </c>
      <c r="C2872" s="3">
        <v>45868</v>
      </c>
      <c r="D2872">
        <v>30</v>
      </c>
      <c r="E2872" s="3">
        <f t="shared" si="44"/>
        <v>45839</v>
      </c>
      <c r="F2872" s="3">
        <f>IF(TableRefills3[[#This Row],[prev_refill_days]]="","",TableRefills3[[#This Row],[prev_refill_days]]+TableRefills3[[#This Row],[quantity_days]])</f>
        <v>45869</v>
      </c>
      <c r="G2872">
        <f>IF(TableRefills3[[#This Row],[prev_refill_end]]="","",TableRefills3[[#This Row],[refill_date]]-TableRefills3[[#This Row],[prev_refill_end]])</f>
        <v>-1</v>
      </c>
      <c r="H2872" s="10">
        <f>IF(TableRefills3[[#This Row],[gap_days]]="",0,IF(TableRefills3[[#This Row],[gap_days]]&gt;2,1,0))</f>
        <v>0</v>
      </c>
      <c r="I2872">
        <f>_xlfn.MAXIFS(TableRefills3[discountinuation_flag], TableRefills3[patient_id], A2872)</f>
        <v>0</v>
      </c>
    </row>
    <row r="2873" spans="1:9" x14ac:dyDescent="0.25">
      <c r="A2873" t="s">
        <v>4569</v>
      </c>
      <c r="B2873" t="s">
        <v>4570</v>
      </c>
      <c r="C2873" s="3">
        <v>45896</v>
      </c>
      <c r="D2873">
        <v>30</v>
      </c>
      <c r="E2873" s="3">
        <f t="shared" si="44"/>
        <v>45868</v>
      </c>
      <c r="F2873" s="3">
        <f>IF(TableRefills3[[#This Row],[prev_refill_days]]="","",TableRefills3[[#This Row],[prev_refill_days]]+TableRefills3[[#This Row],[quantity_days]])</f>
        <v>45898</v>
      </c>
      <c r="G2873">
        <f>IF(TableRefills3[[#This Row],[prev_refill_end]]="","",TableRefills3[[#This Row],[refill_date]]-TableRefills3[[#This Row],[prev_refill_end]])</f>
        <v>-2</v>
      </c>
      <c r="H2873" s="10">
        <f>IF(TableRefills3[[#This Row],[gap_days]]="",0,IF(TableRefills3[[#This Row],[gap_days]]&gt;2,1,0))</f>
        <v>0</v>
      </c>
      <c r="I2873">
        <f>_xlfn.MAXIFS(TableRefills3[discountinuation_flag], TableRefills3[patient_id], A2873)</f>
        <v>0</v>
      </c>
    </row>
    <row r="2874" spans="1:9" x14ac:dyDescent="0.25">
      <c r="A2874" t="s">
        <v>4569</v>
      </c>
      <c r="B2874" t="s">
        <v>4570</v>
      </c>
      <c r="C2874" s="3">
        <v>45924</v>
      </c>
      <c r="D2874">
        <v>30</v>
      </c>
      <c r="E2874" s="3">
        <f t="shared" si="44"/>
        <v>45896</v>
      </c>
      <c r="F2874" s="3">
        <f>IF(TableRefills3[[#This Row],[prev_refill_days]]="","",TableRefills3[[#This Row],[prev_refill_days]]+TableRefills3[[#This Row],[quantity_days]])</f>
        <v>45926</v>
      </c>
      <c r="G2874">
        <f>IF(TableRefills3[[#This Row],[prev_refill_end]]="","",TableRefills3[[#This Row],[refill_date]]-TableRefills3[[#This Row],[prev_refill_end]])</f>
        <v>-2</v>
      </c>
      <c r="H2874" s="10">
        <f>IF(TableRefills3[[#This Row],[gap_days]]="",0,IF(TableRefills3[[#This Row],[gap_days]]&gt;2,1,0))</f>
        <v>0</v>
      </c>
      <c r="I2874">
        <f>_xlfn.MAXIFS(TableRefills3[discountinuation_flag], TableRefills3[patient_id], A2874)</f>
        <v>0</v>
      </c>
    </row>
    <row r="2875" spans="1:9" x14ac:dyDescent="0.25">
      <c r="A2875" t="s">
        <v>4569</v>
      </c>
      <c r="B2875" t="s">
        <v>4570</v>
      </c>
      <c r="C2875" s="3">
        <v>45955</v>
      </c>
      <c r="D2875">
        <v>30</v>
      </c>
      <c r="E2875" s="3">
        <f t="shared" si="44"/>
        <v>45924</v>
      </c>
      <c r="F2875" s="3">
        <f>IF(TableRefills3[[#This Row],[prev_refill_days]]="","",TableRefills3[[#This Row],[prev_refill_days]]+TableRefills3[[#This Row],[quantity_days]])</f>
        <v>45954</v>
      </c>
      <c r="G2875">
        <f>IF(TableRefills3[[#This Row],[prev_refill_end]]="","",TableRefills3[[#This Row],[refill_date]]-TableRefills3[[#This Row],[prev_refill_end]])</f>
        <v>1</v>
      </c>
      <c r="H2875" s="10">
        <f>IF(TableRefills3[[#This Row],[gap_days]]="",0,IF(TableRefills3[[#This Row],[gap_days]]&gt;2,1,0))</f>
        <v>0</v>
      </c>
      <c r="I2875">
        <f>_xlfn.MAXIFS(TableRefills3[discountinuation_flag], TableRefills3[patient_id], A2875)</f>
        <v>0</v>
      </c>
    </row>
    <row r="2876" spans="1:9" x14ac:dyDescent="0.25">
      <c r="A2876" t="s">
        <v>4576</v>
      </c>
      <c r="B2876" t="s">
        <v>4577</v>
      </c>
      <c r="C2876" s="3">
        <v>45807</v>
      </c>
      <c r="D2876">
        <v>30</v>
      </c>
      <c r="E2876" s="3" t="str">
        <f t="shared" si="44"/>
        <v/>
      </c>
      <c r="F2876" s="3" t="str">
        <f>IF(TableRefills3[[#This Row],[prev_refill_days]]="","",TableRefills3[[#This Row],[prev_refill_days]]+TableRefills3[[#This Row],[quantity_days]])</f>
        <v/>
      </c>
      <c r="G2876" t="str">
        <f>IF(TableRefills3[[#This Row],[prev_refill_end]]="","",TableRefills3[[#This Row],[refill_date]]-TableRefills3[[#This Row],[prev_refill_end]])</f>
        <v/>
      </c>
      <c r="H2876" s="10">
        <f>IF(TableRefills3[[#This Row],[gap_days]]="",0,IF(TableRefills3[[#This Row],[gap_days]]&gt;2,1,0))</f>
        <v>0</v>
      </c>
      <c r="I2876">
        <f>_xlfn.MAXIFS(TableRefills3[discountinuation_flag], TableRefills3[patient_id], A2876)</f>
        <v>1</v>
      </c>
    </row>
    <row r="2877" spans="1:9" x14ac:dyDescent="0.25">
      <c r="A2877" t="s">
        <v>4576</v>
      </c>
      <c r="B2877" t="s">
        <v>4577</v>
      </c>
      <c r="C2877" s="3">
        <v>45840</v>
      </c>
      <c r="D2877">
        <v>30</v>
      </c>
      <c r="E2877" s="3">
        <f t="shared" si="44"/>
        <v>45807</v>
      </c>
      <c r="F2877" s="3">
        <f>IF(TableRefills3[[#This Row],[prev_refill_days]]="","",TableRefills3[[#This Row],[prev_refill_days]]+TableRefills3[[#This Row],[quantity_days]])</f>
        <v>45837</v>
      </c>
      <c r="G2877">
        <f>IF(TableRefills3[[#This Row],[prev_refill_end]]="","",TableRefills3[[#This Row],[refill_date]]-TableRefills3[[#This Row],[prev_refill_end]])</f>
        <v>3</v>
      </c>
      <c r="H2877" s="10">
        <f>IF(TableRefills3[[#This Row],[gap_days]]="",0,IF(TableRefills3[[#This Row],[gap_days]]&gt;2,1,0))</f>
        <v>1</v>
      </c>
      <c r="I2877">
        <f>_xlfn.MAXIFS(TableRefills3[discountinuation_flag], TableRefills3[patient_id], A2877)</f>
        <v>1</v>
      </c>
    </row>
    <row r="2878" spans="1:9" x14ac:dyDescent="0.25">
      <c r="A2878" t="s">
        <v>4576</v>
      </c>
      <c r="B2878" t="s">
        <v>4577</v>
      </c>
      <c r="C2878" s="3">
        <v>45872</v>
      </c>
      <c r="D2878">
        <v>30</v>
      </c>
      <c r="E2878" s="3">
        <f t="shared" si="44"/>
        <v>45840</v>
      </c>
      <c r="F2878" s="3">
        <f>IF(TableRefills3[[#This Row],[prev_refill_days]]="","",TableRefills3[[#This Row],[prev_refill_days]]+TableRefills3[[#This Row],[quantity_days]])</f>
        <v>45870</v>
      </c>
      <c r="G2878">
        <f>IF(TableRefills3[[#This Row],[prev_refill_end]]="","",TableRefills3[[#This Row],[refill_date]]-TableRefills3[[#This Row],[prev_refill_end]])</f>
        <v>2</v>
      </c>
      <c r="H2878" s="10">
        <f>IF(TableRefills3[[#This Row],[gap_days]]="",0,IF(TableRefills3[[#This Row],[gap_days]]&gt;2,1,0))</f>
        <v>0</v>
      </c>
      <c r="I2878">
        <f>_xlfn.MAXIFS(TableRefills3[discountinuation_flag], TableRefills3[patient_id], A2878)</f>
        <v>1</v>
      </c>
    </row>
    <row r="2879" spans="1:9" x14ac:dyDescent="0.25">
      <c r="A2879" t="s">
        <v>4576</v>
      </c>
      <c r="B2879" t="s">
        <v>4577</v>
      </c>
      <c r="C2879" s="3">
        <v>45904</v>
      </c>
      <c r="D2879">
        <v>30</v>
      </c>
      <c r="E2879" s="3">
        <f t="shared" si="44"/>
        <v>45872</v>
      </c>
      <c r="F2879" s="3">
        <f>IF(TableRefills3[[#This Row],[prev_refill_days]]="","",TableRefills3[[#This Row],[prev_refill_days]]+TableRefills3[[#This Row],[quantity_days]])</f>
        <v>45902</v>
      </c>
      <c r="G2879">
        <f>IF(TableRefills3[[#This Row],[prev_refill_end]]="","",TableRefills3[[#This Row],[refill_date]]-TableRefills3[[#This Row],[prev_refill_end]])</f>
        <v>2</v>
      </c>
      <c r="H2879" s="10">
        <f>IF(TableRefills3[[#This Row],[gap_days]]="",0,IF(TableRefills3[[#This Row],[gap_days]]&gt;2,1,0))</f>
        <v>0</v>
      </c>
      <c r="I2879">
        <f>_xlfn.MAXIFS(TableRefills3[discountinuation_flag], TableRefills3[patient_id], A2879)</f>
        <v>1</v>
      </c>
    </row>
    <row r="2880" spans="1:9" x14ac:dyDescent="0.25">
      <c r="A2880" t="s">
        <v>4576</v>
      </c>
      <c r="B2880" t="s">
        <v>4577</v>
      </c>
      <c r="C2880" s="3">
        <v>45932</v>
      </c>
      <c r="D2880">
        <v>30</v>
      </c>
      <c r="E2880" s="3">
        <f t="shared" si="44"/>
        <v>45904</v>
      </c>
      <c r="F2880" s="3">
        <f>IF(TableRefills3[[#This Row],[prev_refill_days]]="","",TableRefills3[[#This Row],[prev_refill_days]]+TableRefills3[[#This Row],[quantity_days]])</f>
        <v>45934</v>
      </c>
      <c r="G2880">
        <f>IF(TableRefills3[[#This Row],[prev_refill_end]]="","",TableRefills3[[#This Row],[refill_date]]-TableRefills3[[#This Row],[prev_refill_end]])</f>
        <v>-2</v>
      </c>
      <c r="H2880" s="10">
        <f>IF(TableRefills3[[#This Row],[gap_days]]="",0,IF(TableRefills3[[#This Row],[gap_days]]&gt;2,1,0))</f>
        <v>0</v>
      </c>
      <c r="I2880">
        <f>_xlfn.MAXIFS(TableRefills3[discountinuation_flag], TableRefills3[patient_id], A2880)</f>
        <v>1</v>
      </c>
    </row>
    <row r="2881" spans="1:9" x14ac:dyDescent="0.25">
      <c r="A2881" t="s">
        <v>4576</v>
      </c>
      <c r="B2881" t="s">
        <v>4577</v>
      </c>
      <c r="C2881" s="3">
        <v>45960</v>
      </c>
      <c r="D2881">
        <v>30</v>
      </c>
      <c r="E2881" s="3">
        <f t="shared" si="44"/>
        <v>45932</v>
      </c>
      <c r="F2881" s="3">
        <f>IF(TableRefills3[[#This Row],[prev_refill_days]]="","",TableRefills3[[#This Row],[prev_refill_days]]+TableRefills3[[#This Row],[quantity_days]])</f>
        <v>45962</v>
      </c>
      <c r="G2881">
        <f>IF(TableRefills3[[#This Row],[prev_refill_end]]="","",TableRefills3[[#This Row],[refill_date]]-TableRefills3[[#This Row],[prev_refill_end]])</f>
        <v>-2</v>
      </c>
      <c r="H2881" s="10">
        <f>IF(TableRefills3[[#This Row],[gap_days]]="",0,IF(TableRefills3[[#This Row],[gap_days]]&gt;2,1,0))</f>
        <v>0</v>
      </c>
      <c r="I2881">
        <f>_xlfn.MAXIFS(TableRefills3[discountinuation_flag], TableRefills3[patient_id], A2881)</f>
        <v>1</v>
      </c>
    </row>
    <row r="2882" spans="1:9" x14ac:dyDescent="0.25">
      <c r="A2882" t="s">
        <v>4584</v>
      </c>
      <c r="B2882" t="s">
        <v>4585</v>
      </c>
      <c r="C2882" s="3">
        <v>45873</v>
      </c>
      <c r="D2882">
        <v>56</v>
      </c>
      <c r="E2882" s="3" t="str">
        <f t="shared" ref="E2882:E2945" si="45">IF(A2881=A2882,C2881,"")</f>
        <v/>
      </c>
      <c r="F2882" s="3" t="str">
        <f>IF(TableRefills3[[#This Row],[prev_refill_days]]="","",TableRefills3[[#This Row],[prev_refill_days]]+TableRefills3[[#This Row],[quantity_days]])</f>
        <v/>
      </c>
      <c r="G2882" t="str">
        <f>IF(TableRefills3[[#This Row],[prev_refill_end]]="","",TableRefills3[[#This Row],[refill_date]]-TableRefills3[[#This Row],[prev_refill_end]])</f>
        <v/>
      </c>
      <c r="H2882" s="10">
        <f>IF(TableRefills3[[#This Row],[gap_days]]="",0,IF(TableRefills3[[#This Row],[gap_days]]&gt;2,1,0))</f>
        <v>0</v>
      </c>
      <c r="I2882">
        <f>_xlfn.MAXIFS(TableRefills3[discountinuation_flag], TableRefills3[patient_id], A2882)</f>
        <v>0</v>
      </c>
    </row>
    <row r="2883" spans="1:9" x14ac:dyDescent="0.25">
      <c r="A2883" t="s">
        <v>4584</v>
      </c>
      <c r="B2883" t="s">
        <v>4585</v>
      </c>
      <c r="C2883" s="3">
        <v>45930</v>
      </c>
      <c r="D2883">
        <v>56</v>
      </c>
      <c r="E2883" s="3">
        <f t="shared" si="45"/>
        <v>45873</v>
      </c>
      <c r="F2883" s="3">
        <f>IF(TableRefills3[[#This Row],[prev_refill_days]]="","",TableRefills3[[#This Row],[prev_refill_days]]+TableRefills3[[#This Row],[quantity_days]])</f>
        <v>45929</v>
      </c>
      <c r="G2883">
        <f>IF(TableRefills3[[#This Row],[prev_refill_end]]="","",TableRefills3[[#This Row],[refill_date]]-TableRefills3[[#This Row],[prev_refill_end]])</f>
        <v>1</v>
      </c>
      <c r="H2883" s="10">
        <f>IF(TableRefills3[[#This Row],[gap_days]]="",0,IF(TableRefills3[[#This Row],[gap_days]]&gt;2,1,0))</f>
        <v>0</v>
      </c>
      <c r="I2883">
        <f>_xlfn.MAXIFS(TableRefills3[discountinuation_flag], TableRefills3[patient_id], A2883)</f>
        <v>0</v>
      </c>
    </row>
    <row r="2884" spans="1:9" x14ac:dyDescent="0.25">
      <c r="A2884" t="s">
        <v>4588</v>
      </c>
      <c r="B2884" t="s">
        <v>4589</v>
      </c>
      <c r="C2884" s="3">
        <v>45814</v>
      </c>
      <c r="D2884">
        <v>28</v>
      </c>
      <c r="E2884" s="3" t="str">
        <f t="shared" si="45"/>
        <v/>
      </c>
      <c r="F2884" s="3" t="str">
        <f>IF(TableRefills3[[#This Row],[prev_refill_days]]="","",TableRefills3[[#This Row],[prev_refill_days]]+TableRefills3[[#This Row],[quantity_days]])</f>
        <v/>
      </c>
      <c r="G2884" t="str">
        <f>IF(TableRefills3[[#This Row],[prev_refill_end]]="","",TableRefills3[[#This Row],[refill_date]]-TableRefills3[[#This Row],[prev_refill_end]])</f>
        <v/>
      </c>
      <c r="H2884" s="10">
        <f>IF(TableRefills3[[#This Row],[gap_days]]="",0,IF(TableRefills3[[#This Row],[gap_days]]&gt;2,1,0))</f>
        <v>0</v>
      </c>
      <c r="I2884">
        <f>_xlfn.MAXIFS(TableRefills3[discountinuation_flag], TableRefills3[patient_id], A2884)</f>
        <v>0</v>
      </c>
    </row>
    <row r="2885" spans="1:9" x14ac:dyDescent="0.25">
      <c r="A2885" t="s">
        <v>4588</v>
      </c>
      <c r="B2885" t="s">
        <v>4589</v>
      </c>
      <c r="C2885" s="3">
        <v>45840</v>
      </c>
      <c r="D2885">
        <v>28</v>
      </c>
      <c r="E2885" s="3">
        <f t="shared" si="45"/>
        <v>45814</v>
      </c>
      <c r="F2885" s="3">
        <f>IF(TableRefills3[[#This Row],[prev_refill_days]]="","",TableRefills3[[#This Row],[prev_refill_days]]+TableRefills3[[#This Row],[quantity_days]])</f>
        <v>45842</v>
      </c>
      <c r="G2885">
        <f>IF(TableRefills3[[#This Row],[prev_refill_end]]="","",TableRefills3[[#This Row],[refill_date]]-TableRefills3[[#This Row],[prev_refill_end]])</f>
        <v>-2</v>
      </c>
      <c r="H2885" s="10">
        <f>IF(TableRefills3[[#This Row],[gap_days]]="",0,IF(TableRefills3[[#This Row],[gap_days]]&gt;2,1,0))</f>
        <v>0</v>
      </c>
      <c r="I2885">
        <f>_xlfn.MAXIFS(TableRefills3[discountinuation_flag], TableRefills3[patient_id], A2885)</f>
        <v>0</v>
      </c>
    </row>
    <row r="2886" spans="1:9" x14ac:dyDescent="0.25">
      <c r="A2886" t="s">
        <v>4588</v>
      </c>
      <c r="B2886" t="s">
        <v>4589</v>
      </c>
      <c r="C2886" s="3">
        <v>45870</v>
      </c>
      <c r="D2886">
        <v>28</v>
      </c>
      <c r="E2886" s="3">
        <f t="shared" si="45"/>
        <v>45840</v>
      </c>
      <c r="F2886" s="3">
        <f>IF(TableRefills3[[#This Row],[prev_refill_days]]="","",TableRefills3[[#This Row],[prev_refill_days]]+TableRefills3[[#This Row],[quantity_days]])</f>
        <v>45868</v>
      </c>
      <c r="G2886">
        <f>IF(TableRefills3[[#This Row],[prev_refill_end]]="","",TableRefills3[[#This Row],[refill_date]]-TableRefills3[[#This Row],[prev_refill_end]])</f>
        <v>2</v>
      </c>
      <c r="H2886" s="10">
        <f>IF(TableRefills3[[#This Row],[gap_days]]="",0,IF(TableRefills3[[#This Row],[gap_days]]&gt;2,1,0))</f>
        <v>0</v>
      </c>
      <c r="I2886">
        <f>_xlfn.MAXIFS(TableRefills3[discountinuation_flag], TableRefills3[patient_id], A2886)</f>
        <v>0</v>
      </c>
    </row>
    <row r="2887" spans="1:9" x14ac:dyDescent="0.25">
      <c r="A2887" t="s">
        <v>4593</v>
      </c>
      <c r="B2887" t="s">
        <v>4594</v>
      </c>
      <c r="C2887" s="3">
        <v>45877</v>
      </c>
      <c r="D2887">
        <v>28</v>
      </c>
      <c r="E2887" s="3" t="str">
        <f t="shared" si="45"/>
        <v/>
      </c>
      <c r="F2887" s="3" t="str">
        <f>IF(TableRefills3[[#This Row],[prev_refill_days]]="","",TableRefills3[[#This Row],[prev_refill_days]]+TableRefills3[[#This Row],[quantity_days]])</f>
        <v/>
      </c>
      <c r="G2887" t="str">
        <f>IF(TableRefills3[[#This Row],[prev_refill_end]]="","",TableRefills3[[#This Row],[refill_date]]-TableRefills3[[#This Row],[prev_refill_end]])</f>
        <v/>
      </c>
      <c r="H2887" s="10">
        <f>IF(TableRefills3[[#This Row],[gap_days]]="",0,IF(TableRefills3[[#This Row],[gap_days]]&gt;2,1,0))</f>
        <v>0</v>
      </c>
      <c r="I2887">
        <f>_xlfn.MAXIFS(TableRefills3[discountinuation_flag], TableRefills3[patient_id], A2887)</f>
        <v>0</v>
      </c>
    </row>
    <row r="2888" spans="1:9" x14ac:dyDescent="0.25">
      <c r="A2888" t="s">
        <v>4593</v>
      </c>
      <c r="B2888" t="s">
        <v>4594</v>
      </c>
      <c r="C2888" s="3">
        <v>45904</v>
      </c>
      <c r="D2888">
        <v>28</v>
      </c>
      <c r="E2888" s="3">
        <f t="shared" si="45"/>
        <v>45877</v>
      </c>
      <c r="F2888" s="3">
        <f>IF(TableRefills3[[#This Row],[prev_refill_days]]="","",TableRefills3[[#This Row],[prev_refill_days]]+TableRefills3[[#This Row],[quantity_days]])</f>
        <v>45905</v>
      </c>
      <c r="G2888">
        <f>IF(TableRefills3[[#This Row],[prev_refill_end]]="","",TableRefills3[[#This Row],[refill_date]]-TableRefills3[[#This Row],[prev_refill_end]])</f>
        <v>-1</v>
      </c>
      <c r="H2888" s="10">
        <f>IF(TableRefills3[[#This Row],[gap_days]]="",0,IF(TableRefills3[[#This Row],[gap_days]]&gt;2,1,0))</f>
        <v>0</v>
      </c>
      <c r="I2888">
        <f>_xlfn.MAXIFS(TableRefills3[discountinuation_flag], TableRefills3[patient_id], A2888)</f>
        <v>0</v>
      </c>
    </row>
    <row r="2889" spans="1:9" x14ac:dyDescent="0.25">
      <c r="A2889" t="s">
        <v>4593</v>
      </c>
      <c r="B2889" t="s">
        <v>4594</v>
      </c>
      <c r="C2889" s="3">
        <v>45931</v>
      </c>
      <c r="D2889">
        <v>28</v>
      </c>
      <c r="E2889" s="3">
        <f t="shared" si="45"/>
        <v>45904</v>
      </c>
      <c r="F2889" s="3">
        <f>IF(TableRefills3[[#This Row],[prev_refill_days]]="","",TableRefills3[[#This Row],[prev_refill_days]]+TableRefills3[[#This Row],[quantity_days]])</f>
        <v>45932</v>
      </c>
      <c r="G2889">
        <f>IF(TableRefills3[[#This Row],[prev_refill_end]]="","",TableRefills3[[#This Row],[refill_date]]-TableRefills3[[#This Row],[prev_refill_end]])</f>
        <v>-1</v>
      </c>
      <c r="H2889" s="10">
        <f>IF(TableRefills3[[#This Row],[gap_days]]="",0,IF(TableRefills3[[#This Row],[gap_days]]&gt;2,1,0))</f>
        <v>0</v>
      </c>
      <c r="I2889">
        <f>_xlfn.MAXIFS(TableRefills3[discountinuation_flag], TableRefills3[patient_id], A2889)</f>
        <v>0</v>
      </c>
    </row>
    <row r="2890" spans="1:9" x14ac:dyDescent="0.25">
      <c r="A2890" t="s">
        <v>4593</v>
      </c>
      <c r="B2890" t="s">
        <v>4594</v>
      </c>
      <c r="C2890" s="3">
        <v>45960</v>
      </c>
      <c r="D2890">
        <v>28</v>
      </c>
      <c r="E2890" s="3">
        <f t="shared" si="45"/>
        <v>45931</v>
      </c>
      <c r="F2890" s="3">
        <f>IF(TableRefills3[[#This Row],[prev_refill_days]]="","",TableRefills3[[#This Row],[prev_refill_days]]+TableRefills3[[#This Row],[quantity_days]])</f>
        <v>45959</v>
      </c>
      <c r="G2890">
        <f>IF(TableRefills3[[#This Row],[prev_refill_end]]="","",TableRefills3[[#This Row],[refill_date]]-TableRefills3[[#This Row],[prev_refill_end]])</f>
        <v>1</v>
      </c>
      <c r="H2890" s="10">
        <f>IF(TableRefills3[[#This Row],[gap_days]]="",0,IF(TableRefills3[[#This Row],[gap_days]]&gt;2,1,0))</f>
        <v>0</v>
      </c>
      <c r="I2890">
        <f>_xlfn.MAXIFS(TableRefills3[discountinuation_flag], TableRefills3[patient_id], A2890)</f>
        <v>0</v>
      </c>
    </row>
    <row r="2891" spans="1:9" x14ac:dyDescent="0.25">
      <c r="A2891" t="s">
        <v>4599</v>
      </c>
      <c r="B2891" t="s">
        <v>4600</v>
      </c>
      <c r="C2891" s="3">
        <v>45930</v>
      </c>
      <c r="D2891">
        <v>28</v>
      </c>
      <c r="E2891" s="3" t="str">
        <f t="shared" si="45"/>
        <v/>
      </c>
      <c r="F2891" s="3" t="str">
        <f>IF(TableRefills3[[#This Row],[prev_refill_days]]="","",TableRefills3[[#This Row],[prev_refill_days]]+TableRefills3[[#This Row],[quantity_days]])</f>
        <v/>
      </c>
      <c r="G2891" t="str">
        <f>IF(TableRefills3[[#This Row],[prev_refill_end]]="","",TableRefills3[[#This Row],[refill_date]]-TableRefills3[[#This Row],[prev_refill_end]])</f>
        <v/>
      </c>
      <c r="H2891" s="10">
        <f>IF(TableRefills3[[#This Row],[gap_days]]="",0,IF(TableRefills3[[#This Row],[gap_days]]&gt;2,1,0))</f>
        <v>0</v>
      </c>
      <c r="I2891">
        <f>_xlfn.MAXIFS(TableRefills3[discountinuation_flag], TableRefills3[patient_id], A2891)</f>
        <v>0</v>
      </c>
    </row>
    <row r="2892" spans="1:9" x14ac:dyDescent="0.25">
      <c r="A2892" t="s">
        <v>4602</v>
      </c>
      <c r="B2892" t="s">
        <v>4603</v>
      </c>
      <c r="C2892" s="3">
        <v>45925</v>
      </c>
      <c r="D2892">
        <v>56</v>
      </c>
      <c r="E2892" s="3" t="str">
        <f t="shared" si="45"/>
        <v/>
      </c>
      <c r="F2892" s="3" t="str">
        <f>IF(TableRefills3[[#This Row],[prev_refill_days]]="","",TableRefills3[[#This Row],[prev_refill_days]]+TableRefills3[[#This Row],[quantity_days]])</f>
        <v/>
      </c>
      <c r="G2892" t="str">
        <f>IF(TableRefills3[[#This Row],[prev_refill_end]]="","",TableRefills3[[#This Row],[refill_date]]-TableRefills3[[#This Row],[prev_refill_end]])</f>
        <v/>
      </c>
      <c r="H2892" s="10">
        <f>IF(TableRefills3[[#This Row],[gap_days]]="",0,IF(TableRefills3[[#This Row],[gap_days]]&gt;2,1,0))</f>
        <v>0</v>
      </c>
      <c r="I2892">
        <f>_xlfn.MAXIFS(TableRefills3[discountinuation_flag], TableRefills3[patient_id], A2892)</f>
        <v>0</v>
      </c>
    </row>
    <row r="2893" spans="1:9" x14ac:dyDescent="0.25">
      <c r="A2893" t="s">
        <v>4605</v>
      </c>
      <c r="B2893" t="s">
        <v>4606</v>
      </c>
      <c r="C2893" s="3">
        <v>45886</v>
      </c>
      <c r="D2893">
        <v>28</v>
      </c>
      <c r="E2893" s="3" t="str">
        <f t="shared" si="45"/>
        <v/>
      </c>
      <c r="F2893" s="3" t="str">
        <f>IF(TableRefills3[[#This Row],[prev_refill_days]]="","",TableRefills3[[#This Row],[prev_refill_days]]+TableRefills3[[#This Row],[quantity_days]])</f>
        <v/>
      </c>
      <c r="G2893" t="str">
        <f>IF(TableRefills3[[#This Row],[prev_refill_end]]="","",TableRefills3[[#This Row],[refill_date]]-TableRefills3[[#This Row],[prev_refill_end]])</f>
        <v/>
      </c>
      <c r="H2893" s="10">
        <f>IF(TableRefills3[[#This Row],[gap_days]]="",0,IF(TableRefills3[[#This Row],[gap_days]]&gt;2,1,0))</f>
        <v>0</v>
      </c>
      <c r="I2893">
        <f>_xlfn.MAXIFS(TableRefills3[discountinuation_flag], TableRefills3[patient_id], A2893)</f>
        <v>0</v>
      </c>
    </row>
    <row r="2894" spans="1:9" x14ac:dyDescent="0.25">
      <c r="A2894" t="s">
        <v>4605</v>
      </c>
      <c r="B2894" t="s">
        <v>4606</v>
      </c>
      <c r="C2894" s="3">
        <v>45914</v>
      </c>
      <c r="D2894">
        <v>28</v>
      </c>
      <c r="E2894" s="3">
        <f t="shared" si="45"/>
        <v>45886</v>
      </c>
      <c r="F2894" s="3">
        <f>IF(TableRefills3[[#This Row],[prev_refill_days]]="","",TableRefills3[[#This Row],[prev_refill_days]]+TableRefills3[[#This Row],[quantity_days]])</f>
        <v>45914</v>
      </c>
      <c r="G2894">
        <f>IF(TableRefills3[[#This Row],[prev_refill_end]]="","",TableRefills3[[#This Row],[refill_date]]-TableRefills3[[#This Row],[prev_refill_end]])</f>
        <v>0</v>
      </c>
      <c r="H2894" s="10">
        <f>IF(TableRefills3[[#This Row],[gap_days]]="",0,IF(TableRefills3[[#This Row],[gap_days]]&gt;2,1,0))</f>
        <v>0</v>
      </c>
      <c r="I2894">
        <f>_xlfn.MAXIFS(TableRefills3[discountinuation_flag], TableRefills3[patient_id], A2894)</f>
        <v>0</v>
      </c>
    </row>
    <row r="2895" spans="1:9" x14ac:dyDescent="0.25">
      <c r="A2895" t="s">
        <v>4605</v>
      </c>
      <c r="B2895" t="s">
        <v>4606</v>
      </c>
      <c r="C2895" s="3">
        <v>45940</v>
      </c>
      <c r="D2895">
        <v>28</v>
      </c>
      <c r="E2895" s="3">
        <f t="shared" si="45"/>
        <v>45914</v>
      </c>
      <c r="F2895" s="3">
        <f>IF(TableRefills3[[#This Row],[prev_refill_days]]="","",TableRefills3[[#This Row],[prev_refill_days]]+TableRefills3[[#This Row],[quantity_days]])</f>
        <v>45942</v>
      </c>
      <c r="G2895">
        <f>IF(TableRefills3[[#This Row],[prev_refill_end]]="","",TableRefills3[[#This Row],[refill_date]]-TableRefills3[[#This Row],[prev_refill_end]])</f>
        <v>-2</v>
      </c>
      <c r="H2895" s="10">
        <f>IF(TableRefills3[[#This Row],[gap_days]]="",0,IF(TableRefills3[[#This Row],[gap_days]]&gt;2,1,0))</f>
        <v>0</v>
      </c>
      <c r="I2895">
        <f>_xlfn.MAXIFS(TableRefills3[discountinuation_flag], TableRefills3[patient_id], A2895)</f>
        <v>0</v>
      </c>
    </row>
    <row r="2896" spans="1:9" x14ac:dyDescent="0.25">
      <c r="A2896" t="s">
        <v>4610</v>
      </c>
      <c r="B2896" t="s">
        <v>4611</v>
      </c>
      <c r="C2896" s="3">
        <v>45902</v>
      </c>
      <c r="D2896">
        <v>30</v>
      </c>
      <c r="E2896" s="3" t="str">
        <f t="shared" si="45"/>
        <v/>
      </c>
      <c r="F2896" s="3" t="str">
        <f>IF(TableRefills3[[#This Row],[prev_refill_days]]="","",TableRefills3[[#This Row],[prev_refill_days]]+TableRefills3[[#This Row],[quantity_days]])</f>
        <v/>
      </c>
      <c r="G2896" t="str">
        <f>IF(TableRefills3[[#This Row],[prev_refill_end]]="","",TableRefills3[[#This Row],[refill_date]]-TableRefills3[[#This Row],[prev_refill_end]])</f>
        <v/>
      </c>
      <c r="H2896" s="10">
        <f>IF(TableRefills3[[#This Row],[gap_days]]="",0,IF(TableRefills3[[#This Row],[gap_days]]&gt;2,1,0))</f>
        <v>0</v>
      </c>
      <c r="I2896">
        <f>_xlfn.MAXIFS(TableRefills3[discountinuation_flag], TableRefills3[patient_id], A2896)</f>
        <v>0</v>
      </c>
    </row>
    <row r="2897" spans="1:9" x14ac:dyDescent="0.25">
      <c r="A2897" t="s">
        <v>4610</v>
      </c>
      <c r="B2897" t="s">
        <v>4611</v>
      </c>
      <c r="C2897" s="3">
        <v>45930</v>
      </c>
      <c r="D2897">
        <v>30</v>
      </c>
      <c r="E2897" s="3">
        <f t="shared" si="45"/>
        <v>45902</v>
      </c>
      <c r="F2897" s="3">
        <f>IF(TableRefills3[[#This Row],[prev_refill_days]]="","",TableRefills3[[#This Row],[prev_refill_days]]+TableRefills3[[#This Row],[quantity_days]])</f>
        <v>45932</v>
      </c>
      <c r="G2897">
        <f>IF(TableRefills3[[#This Row],[prev_refill_end]]="","",TableRefills3[[#This Row],[refill_date]]-TableRefills3[[#This Row],[prev_refill_end]])</f>
        <v>-2</v>
      </c>
      <c r="H2897" s="10">
        <f>IF(TableRefills3[[#This Row],[gap_days]]="",0,IF(TableRefills3[[#This Row],[gap_days]]&gt;2,1,0))</f>
        <v>0</v>
      </c>
      <c r="I2897">
        <f>_xlfn.MAXIFS(TableRefills3[discountinuation_flag], TableRefills3[patient_id], A2897)</f>
        <v>0</v>
      </c>
    </row>
    <row r="2898" spans="1:9" x14ac:dyDescent="0.25">
      <c r="A2898" t="s">
        <v>4610</v>
      </c>
      <c r="B2898" t="s">
        <v>4611</v>
      </c>
      <c r="C2898" s="3">
        <v>45961</v>
      </c>
      <c r="D2898">
        <v>30</v>
      </c>
      <c r="E2898" s="3">
        <f t="shared" si="45"/>
        <v>45930</v>
      </c>
      <c r="F2898" s="3">
        <f>IF(TableRefills3[[#This Row],[prev_refill_days]]="","",TableRefills3[[#This Row],[prev_refill_days]]+TableRefills3[[#This Row],[quantity_days]])</f>
        <v>45960</v>
      </c>
      <c r="G2898">
        <f>IF(TableRefills3[[#This Row],[prev_refill_end]]="","",TableRefills3[[#This Row],[refill_date]]-TableRefills3[[#This Row],[prev_refill_end]])</f>
        <v>1</v>
      </c>
      <c r="H2898" s="10">
        <f>IF(TableRefills3[[#This Row],[gap_days]]="",0,IF(TableRefills3[[#This Row],[gap_days]]&gt;2,1,0))</f>
        <v>0</v>
      </c>
      <c r="I2898">
        <f>_xlfn.MAXIFS(TableRefills3[discountinuation_flag], TableRefills3[patient_id], A2898)</f>
        <v>0</v>
      </c>
    </row>
    <row r="2899" spans="1:9" x14ac:dyDescent="0.25">
      <c r="A2899" t="s">
        <v>4615</v>
      </c>
      <c r="B2899" t="s">
        <v>4616</v>
      </c>
      <c r="C2899" s="3">
        <v>45915</v>
      </c>
      <c r="D2899">
        <v>21</v>
      </c>
      <c r="E2899" s="3" t="str">
        <f t="shared" si="45"/>
        <v/>
      </c>
      <c r="F2899" s="3" t="str">
        <f>IF(TableRefills3[[#This Row],[prev_refill_days]]="","",TableRefills3[[#This Row],[prev_refill_days]]+TableRefills3[[#This Row],[quantity_days]])</f>
        <v/>
      </c>
      <c r="G2899" t="str">
        <f>IF(TableRefills3[[#This Row],[prev_refill_end]]="","",TableRefills3[[#This Row],[refill_date]]-TableRefills3[[#This Row],[prev_refill_end]])</f>
        <v/>
      </c>
      <c r="H2899" s="10">
        <f>IF(TableRefills3[[#This Row],[gap_days]]="",0,IF(TableRefills3[[#This Row],[gap_days]]&gt;2,1,0))</f>
        <v>0</v>
      </c>
      <c r="I2899">
        <f>_xlfn.MAXIFS(TableRefills3[discountinuation_flag], TableRefills3[patient_id], A2899)</f>
        <v>0</v>
      </c>
    </row>
    <row r="2900" spans="1:9" x14ac:dyDescent="0.25">
      <c r="A2900" t="s">
        <v>4615</v>
      </c>
      <c r="B2900" t="s">
        <v>4616</v>
      </c>
      <c r="C2900" s="3">
        <v>45938</v>
      </c>
      <c r="D2900">
        <v>21</v>
      </c>
      <c r="E2900" s="3">
        <f t="shared" si="45"/>
        <v>45915</v>
      </c>
      <c r="F2900" s="3">
        <f>IF(TableRefills3[[#This Row],[prev_refill_days]]="","",TableRefills3[[#This Row],[prev_refill_days]]+TableRefills3[[#This Row],[quantity_days]])</f>
        <v>45936</v>
      </c>
      <c r="G2900">
        <f>IF(TableRefills3[[#This Row],[prev_refill_end]]="","",TableRefills3[[#This Row],[refill_date]]-TableRefills3[[#This Row],[prev_refill_end]])</f>
        <v>2</v>
      </c>
      <c r="H2900" s="10">
        <f>IF(TableRefills3[[#This Row],[gap_days]]="",0,IF(TableRefills3[[#This Row],[gap_days]]&gt;2,1,0))</f>
        <v>0</v>
      </c>
      <c r="I2900">
        <f>_xlfn.MAXIFS(TableRefills3[discountinuation_flag], TableRefills3[patient_id], A2900)</f>
        <v>0</v>
      </c>
    </row>
    <row r="2901" spans="1:9" x14ac:dyDescent="0.25">
      <c r="A2901" t="s">
        <v>4615</v>
      </c>
      <c r="B2901" t="s">
        <v>4616</v>
      </c>
      <c r="C2901" s="3">
        <v>45959</v>
      </c>
      <c r="D2901">
        <v>21</v>
      </c>
      <c r="E2901" s="3">
        <f t="shared" si="45"/>
        <v>45938</v>
      </c>
      <c r="F2901" s="3">
        <f>IF(TableRefills3[[#This Row],[prev_refill_days]]="","",TableRefills3[[#This Row],[prev_refill_days]]+TableRefills3[[#This Row],[quantity_days]])</f>
        <v>45959</v>
      </c>
      <c r="G2901">
        <f>IF(TableRefills3[[#This Row],[prev_refill_end]]="","",TableRefills3[[#This Row],[refill_date]]-TableRefills3[[#This Row],[prev_refill_end]])</f>
        <v>0</v>
      </c>
      <c r="H2901" s="10">
        <f>IF(TableRefills3[[#This Row],[gap_days]]="",0,IF(TableRefills3[[#This Row],[gap_days]]&gt;2,1,0))</f>
        <v>0</v>
      </c>
      <c r="I2901">
        <f>_xlfn.MAXIFS(TableRefills3[discountinuation_flag], TableRefills3[patient_id], A2901)</f>
        <v>0</v>
      </c>
    </row>
    <row r="2902" spans="1:9" x14ac:dyDescent="0.25">
      <c r="A2902" t="s">
        <v>4620</v>
      </c>
      <c r="B2902" t="s">
        <v>4621</v>
      </c>
      <c r="C2902" s="3">
        <v>45943</v>
      </c>
      <c r="D2902">
        <v>21</v>
      </c>
      <c r="E2902" s="3" t="str">
        <f t="shared" si="45"/>
        <v/>
      </c>
      <c r="F2902" s="3" t="str">
        <f>IF(TableRefills3[[#This Row],[prev_refill_days]]="","",TableRefills3[[#This Row],[prev_refill_days]]+TableRefills3[[#This Row],[quantity_days]])</f>
        <v/>
      </c>
      <c r="G2902" t="str">
        <f>IF(TableRefills3[[#This Row],[prev_refill_end]]="","",TableRefills3[[#This Row],[refill_date]]-TableRefills3[[#This Row],[prev_refill_end]])</f>
        <v/>
      </c>
      <c r="H2902" s="10">
        <f>IF(TableRefills3[[#This Row],[gap_days]]="",0,IF(TableRefills3[[#This Row],[gap_days]]&gt;2,1,0))</f>
        <v>0</v>
      </c>
      <c r="I2902">
        <f>_xlfn.MAXIFS(TableRefills3[discountinuation_flag], TableRefills3[patient_id], A2902)</f>
        <v>0</v>
      </c>
    </row>
    <row r="2903" spans="1:9" x14ac:dyDescent="0.25">
      <c r="A2903" t="s">
        <v>4623</v>
      </c>
      <c r="B2903" t="s">
        <v>4624</v>
      </c>
      <c r="C2903" s="3">
        <v>45920</v>
      </c>
      <c r="D2903">
        <v>28</v>
      </c>
      <c r="E2903" s="3" t="str">
        <f t="shared" si="45"/>
        <v/>
      </c>
      <c r="F2903" s="3" t="str">
        <f>IF(TableRefills3[[#This Row],[prev_refill_days]]="","",TableRefills3[[#This Row],[prev_refill_days]]+TableRefills3[[#This Row],[quantity_days]])</f>
        <v/>
      </c>
      <c r="G2903" t="str">
        <f>IF(TableRefills3[[#This Row],[prev_refill_end]]="","",TableRefills3[[#This Row],[refill_date]]-TableRefills3[[#This Row],[prev_refill_end]])</f>
        <v/>
      </c>
      <c r="H2903" s="10">
        <f>IF(TableRefills3[[#This Row],[gap_days]]="",0,IF(TableRefills3[[#This Row],[gap_days]]&gt;2,1,0))</f>
        <v>0</v>
      </c>
      <c r="I2903">
        <f>_xlfn.MAXIFS(TableRefills3[discountinuation_flag], TableRefills3[patient_id], A2903)</f>
        <v>1</v>
      </c>
    </row>
    <row r="2904" spans="1:9" x14ac:dyDescent="0.25">
      <c r="A2904" t="s">
        <v>4623</v>
      </c>
      <c r="B2904" t="s">
        <v>4624</v>
      </c>
      <c r="C2904" s="3">
        <v>45951</v>
      </c>
      <c r="D2904">
        <v>28</v>
      </c>
      <c r="E2904" s="3">
        <f t="shared" si="45"/>
        <v>45920</v>
      </c>
      <c r="F2904" s="3">
        <f>IF(TableRefills3[[#This Row],[prev_refill_days]]="","",TableRefills3[[#This Row],[prev_refill_days]]+TableRefills3[[#This Row],[quantity_days]])</f>
        <v>45948</v>
      </c>
      <c r="G2904">
        <f>IF(TableRefills3[[#This Row],[prev_refill_end]]="","",TableRefills3[[#This Row],[refill_date]]-TableRefills3[[#This Row],[prev_refill_end]])</f>
        <v>3</v>
      </c>
      <c r="H2904" s="10">
        <f>IF(TableRefills3[[#This Row],[gap_days]]="",0,IF(TableRefills3[[#This Row],[gap_days]]&gt;2,1,0))</f>
        <v>1</v>
      </c>
      <c r="I2904">
        <f>_xlfn.MAXIFS(TableRefills3[discountinuation_flag], TableRefills3[patient_id], A2904)</f>
        <v>1</v>
      </c>
    </row>
    <row r="2905" spans="1:9" x14ac:dyDescent="0.25">
      <c r="A2905" t="s">
        <v>4627</v>
      </c>
      <c r="B2905" t="s">
        <v>4628</v>
      </c>
      <c r="C2905" s="3">
        <v>45903</v>
      </c>
      <c r="D2905">
        <v>28</v>
      </c>
      <c r="E2905" s="3" t="str">
        <f t="shared" si="45"/>
        <v/>
      </c>
      <c r="F2905" s="3" t="str">
        <f>IF(TableRefills3[[#This Row],[prev_refill_days]]="","",TableRefills3[[#This Row],[prev_refill_days]]+TableRefills3[[#This Row],[quantity_days]])</f>
        <v/>
      </c>
      <c r="G2905" t="str">
        <f>IF(TableRefills3[[#This Row],[prev_refill_end]]="","",TableRefills3[[#This Row],[refill_date]]-TableRefills3[[#This Row],[prev_refill_end]])</f>
        <v/>
      </c>
      <c r="H2905" s="10">
        <f>IF(TableRefills3[[#This Row],[gap_days]]="",0,IF(TableRefills3[[#This Row],[gap_days]]&gt;2,1,0))</f>
        <v>0</v>
      </c>
      <c r="I2905">
        <f>_xlfn.MAXIFS(TableRefills3[discountinuation_flag], TableRefills3[patient_id], A2905)</f>
        <v>0</v>
      </c>
    </row>
    <row r="2906" spans="1:9" x14ac:dyDescent="0.25">
      <c r="A2906" t="s">
        <v>4627</v>
      </c>
      <c r="B2906" t="s">
        <v>4628</v>
      </c>
      <c r="C2906" s="3">
        <v>45931</v>
      </c>
      <c r="D2906">
        <v>28</v>
      </c>
      <c r="E2906" s="3">
        <f t="shared" si="45"/>
        <v>45903</v>
      </c>
      <c r="F2906" s="3">
        <f>IF(TableRefills3[[#This Row],[prev_refill_days]]="","",TableRefills3[[#This Row],[prev_refill_days]]+TableRefills3[[#This Row],[quantity_days]])</f>
        <v>45931</v>
      </c>
      <c r="G2906">
        <f>IF(TableRefills3[[#This Row],[prev_refill_end]]="","",TableRefills3[[#This Row],[refill_date]]-TableRefills3[[#This Row],[prev_refill_end]])</f>
        <v>0</v>
      </c>
      <c r="H2906" s="10">
        <f>IF(TableRefills3[[#This Row],[gap_days]]="",0,IF(TableRefills3[[#This Row],[gap_days]]&gt;2,1,0))</f>
        <v>0</v>
      </c>
      <c r="I2906">
        <f>_xlfn.MAXIFS(TableRefills3[discountinuation_flag], TableRefills3[patient_id], A2906)</f>
        <v>0</v>
      </c>
    </row>
    <row r="2907" spans="1:9" x14ac:dyDescent="0.25">
      <c r="A2907" t="s">
        <v>4627</v>
      </c>
      <c r="B2907" t="s">
        <v>4628</v>
      </c>
      <c r="C2907" s="3">
        <v>45961</v>
      </c>
      <c r="D2907">
        <v>28</v>
      </c>
      <c r="E2907" s="3">
        <f t="shared" si="45"/>
        <v>45931</v>
      </c>
      <c r="F2907" s="3">
        <f>IF(TableRefills3[[#This Row],[prev_refill_days]]="","",TableRefills3[[#This Row],[prev_refill_days]]+TableRefills3[[#This Row],[quantity_days]])</f>
        <v>45959</v>
      </c>
      <c r="G2907">
        <f>IF(TableRefills3[[#This Row],[prev_refill_end]]="","",TableRefills3[[#This Row],[refill_date]]-TableRefills3[[#This Row],[prev_refill_end]])</f>
        <v>2</v>
      </c>
      <c r="H2907" s="10">
        <f>IF(TableRefills3[[#This Row],[gap_days]]="",0,IF(TableRefills3[[#This Row],[gap_days]]&gt;2,1,0))</f>
        <v>0</v>
      </c>
      <c r="I2907">
        <f>_xlfn.MAXIFS(TableRefills3[discountinuation_flag], TableRefills3[patient_id], A2907)</f>
        <v>0</v>
      </c>
    </row>
    <row r="2908" spans="1:9" x14ac:dyDescent="0.25">
      <c r="A2908" t="s">
        <v>4632</v>
      </c>
      <c r="B2908" t="s">
        <v>4633</v>
      </c>
      <c r="C2908" s="3">
        <v>45813</v>
      </c>
      <c r="D2908">
        <v>14</v>
      </c>
      <c r="E2908" s="3" t="str">
        <f t="shared" si="45"/>
        <v/>
      </c>
      <c r="F2908" s="3" t="str">
        <f>IF(TableRefills3[[#This Row],[prev_refill_days]]="","",TableRefills3[[#This Row],[prev_refill_days]]+TableRefills3[[#This Row],[quantity_days]])</f>
        <v/>
      </c>
      <c r="G2908" t="str">
        <f>IF(TableRefills3[[#This Row],[prev_refill_end]]="","",TableRefills3[[#This Row],[refill_date]]-TableRefills3[[#This Row],[prev_refill_end]])</f>
        <v/>
      </c>
      <c r="H2908" s="10">
        <f>IF(TableRefills3[[#This Row],[gap_days]]="",0,IF(TableRefills3[[#This Row],[gap_days]]&gt;2,1,0))</f>
        <v>0</v>
      </c>
      <c r="I2908">
        <f>_xlfn.MAXIFS(TableRefills3[discountinuation_flag], TableRefills3[patient_id], A2908)</f>
        <v>0</v>
      </c>
    </row>
    <row r="2909" spans="1:9" x14ac:dyDescent="0.25">
      <c r="A2909" t="s">
        <v>4632</v>
      </c>
      <c r="B2909" t="s">
        <v>4633</v>
      </c>
      <c r="C2909" s="3">
        <v>45824</v>
      </c>
      <c r="D2909">
        <v>14</v>
      </c>
      <c r="E2909" s="3">
        <f t="shared" si="45"/>
        <v>45813</v>
      </c>
      <c r="F2909" s="3">
        <f>IF(TableRefills3[[#This Row],[prev_refill_days]]="","",TableRefills3[[#This Row],[prev_refill_days]]+TableRefills3[[#This Row],[quantity_days]])</f>
        <v>45827</v>
      </c>
      <c r="G2909">
        <f>IF(TableRefills3[[#This Row],[prev_refill_end]]="","",TableRefills3[[#This Row],[refill_date]]-TableRefills3[[#This Row],[prev_refill_end]])</f>
        <v>-3</v>
      </c>
      <c r="H2909" s="10">
        <f>IF(TableRefills3[[#This Row],[gap_days]]="",0,IF(TableRefills3[[#This Row],[gap_days]]&gt;2,1,0))</f>
        <v>0</v>
      </c>
      <c r="I2909">
        <f>_xlfn.MAXIFS(TableRefills3[discountinuation_flag], TableRefills3[patient_id], A2909)</f>
        <v>0</v>
      </c>
    </row>
    <row r="2910" spans="1:9" x14ac:dyDescent="0.25">
      <c r="A2910" t="s">
        <v>4632</v>
      </c>
      <c r="B2910" t="s">
        <v>4633</v>
      </c>
      <c r="C2910" s="3">
        <v>45840</v>
      </c>
      <c r="D2910">
        <v>14</v>
      </c>
      <c r="E2910" s="3">
        <f t="shared" si="45"/>
        <v>45824</v>
      </c>
      <c r="F2910" s="3">
        <f>IF(TableRefills3[[#This Row],[prev_refill_days]]="","",TableRefills3[[#This Row],[prev_refill_days]]+TableRefills3[[#This Row],[quantity_days]])</f>
        <v>45838</v>
      </c>
      <c r="G2910">
        <f>IF(TableRefills3[[#This Row],[prev_refill_end]]="","",TableRefills3[[#This Row],[refill_date]]-TableRefills3[[#This Row],[prev_refill_end]])</f>
        <v>2</v>
      </c>
      <c r="H2910" s="10">
        <f>IF(TableRefills3[[#This Row],[gap_days]]="",0,IF(TableRefills3[[#This Row],[gap_days]]&gt;2,1,0))</f>
        <v>0</v>
      </c>
      <c r="I2910">
        <f>_xlfn.MAXIFS(TableRefills3[discountinuation_flag], TableRefills3[patient_id], A2910)</f>
        <v>0</v>
      </c>
    </row>
    <row r="2911" spans="1:9" x14ac:dyDescent="0.25">
      <c r="A2911" t="s">
        <v>4632</v>
      </c>
      <c r="B2911" t="s">
        <v>4633</v>
      </c>
      <c r="C2911" s="3">
        <v>45851</v>
      </c>
      <c r="D2911">
        <v>14</v>
      </c>
      <c r="E2911" s="3">
        <f t="shared" si="45"/>
        <v>45840</v>
      </c>
      <c r="F2911" s="3">
        <f>IF(TableRefills3[[#This Row],[prev_refill_days]]="","",TableRefills3[[#This Row],[prev_refill_days]]+TableRefills3[[#This Row],[quantity_days]])</f>
        <v>45854</v>
      </c>
      <c r="G2911">
        <f>IF(TableRefills3[[#This Row],[prev_refill_end]]="","",TableRefills3[[#This Row],[refill_date]]-TableRefills3[[#This Row],[prev_refill_end]])</f>
        <v>-3</v>
      </c>
      <c r="H2911" s="10">
        <f>IF(TableRefills3[[#This Row],[gap_days]]="",0,IF(TableRefills3[[#This Row],[gap_days]]&gt;2,1,0))</f>
        <v>0</v>
      </c>
      <c r="I2911">
        <f>_xlfn.MAXIFS(TableRefills3[discountinuation_flag], TableRefills3[patient_id], A2911)</f>
        <v>0</v>
      </c>
    </row>
    <row r="2912" spans="1:9" x14ac:dyDescent="0.25">
      <c r="A2912" t="s">
        <v>4632</v>
      </c>
      <c r="B2912" t="s">
        <v>4633</v>
      </c>
      <c r="C2912" s="3">
        <v>45862</v>
      </c>
      <c r="D2912">
        <v>14</v>
      </c>
      <c r="E2912" s="3">
        <f t="shared" si="45"/>
        <v>45851</v>
      </c>
      <c r="F2912" s="3">
        <f>IF(TableRefills3[[#This Row],[prev_refill_days]]="","",TableRefills3[[#This Row],[prev_refill_days]]+TableRefills3[[#This Row],[quantity_days]])</f>
        <v>45865</v>
      </c>
      <c r="G2912">
        <f>IF(TableRefills3[[#This Row],[prev_refill_end]]="","",TableRefills3[[#This Row],[refill_date]]-TableRefills3[[#This Row],[prev_refill_end]])</f>
        <v>-3</v>
      </c>
      <c r="H2912" s="10">
        <f>IF(TableRefills3[[#This Row],[gap_days]]="",0,IF(TableRefills3[[#This Row],[gap_days]]&gt;2,1,0))</f>
        <v>0</v>
      </c>
      <c r="I2912">
        <f>_xlfn.MAXIFS(TableRefills3[discountinuation_flag], TableRefills3[patient_id], A2912)</f>
        <v>0</v>
      </c>
    </row>
    <row r="2913" spans="1:9" x14ac:dyDescent="0.25">
      <c r="A2913" t="s">
        <v>4632</v>
      </c>
      <c r="B2913" t="s">
        <v>4633</v>
      </c>
      <c r="C2913" s="3">
        <v>45877</v>
      </c>
      <c r="D2913">
        <v>14</v>
      </c>
      <c r="E2913" s="3">
        <f t="shared" si="45"/>
        <v>45862</v>
      </c>
      <c r="F2913" s="3">
        <f>IF(TableRefills3[[#This Row],[prev_refill_days]]="","",TableRefills3[[#This Row],[prev_refill_days]]+TableRefills3[[#This Row],[quantity_days]])</f>
        <v>45876</v>
      </c>
      <c r="G2913">
        <f>IF(TableRefills3[[#This Row],[prev_refill_end]]="","",TableRefills3[[#This Row],[refill_date]]-TableRefills3[[#This Row],[prev_refill_end]])</f>
        <v>1</v>
      </c>
      <c r="H2913" s="10">
        <f>IF(TableRefills3[[#This Row],[gap_days]]="",0,IF(TableRefills3[[#This Row],[gap_days]]&gt;2,1,0))</f>
        <v>0</v>
      </c>
      <c r="I2913">
        <f>_xlfn.MAXIFS(TableRefills3[discountinuation_flag], TableRefills3[patient_id], A2913)</f>
        <v>0</v>
      </c>
    </row>
    <row r="2914" spans="1:9" x14ac:dyDescent="0.25">
      <c r="A2914" t="s">
        <v>4632</v>
      </c>
      <c r="B2914" t="s">
        <v>4633</v>
      </c>
      <c r="C2914" s="3">
        <v>45889</v>
      </c>
      <c r="D2914">
        <v>14</v>
      </c>
      <c r="E2914" s="3">
        <f t="shared" si="45"/>
        <v>45877</v>
      </c>
      <c r="F2914" s="3">
        <f>IF(TableRefills3[[#This Row],[prev_refill_days]]="","",TableRefills3[[#This Row],[prev_refill_days]]+TableRefills3[[#This Row],[quantity_days]])</f>
        <v>45891</v>
      </c>
      <c r="G2914">
        <f>IF(TableRefills3[[#This Row],[prev_refill_end]]="","",TableRefills3[[#This Row],[refill_date]]-TableRefills3[[#This Row],[prev_refill_end]])</f>
        <v>-2</v>
      </c>
      <c r="H2914" s="10">
        <f>IF(TableRefills3[[#This Row],[gap_days]]="",0,IF(TableRefills3[[#This Row],[gap_days]]&gt;2,1,0))</f>
        <v>0</v>
      </c>
      <c r="I2914">
        <f>_xlfn.MAXIFS(TableRefills3[discountinuation_flag], TableRefills3[patient_id], A2914)</f>
        <v>0</v>
      </c>
    </row>
    <row r="2915" spans="1:9" x14ac:dyDescent="0.25">
      <c r="A2915" t="s">
        <v>4632</v>
      </c>
      <c r="B2915" t="s">
        <v>4633</v>
      </c>
      <c r="C2915" s="3">
        <v>45902</v>
      </c>
      <c r="D2915">
        <v>14</v>
      </c>
      <c r="E2915" s="3">
        <f t="shared" si="45"/>
        <v>45889</v>
      </c>
      <c r="F2915" s="3">
        <f>IF(TableRefills3[[#This Row],[prev_refill_days]]="","",TableRefills3[[#This Row],[prev_refill_days]]+TableRefills3[[#This Row],[quantity_days]])</f>
        <v>45903</v>
      </c>
      <c r="G2915">
        <f>IF(TableRefills3[[#This Row],[prev_refill_end]]="","",TableRefills3[[#This Row],[refill_date]]-TableRefills3[[#This Row],[prev_refill_end]])</f>
        <v>-1</v>
      </c>
      <c r="H2915" s="10">
        <f>IF(TableRefills3[[#This Row],[gap_days]]="",0,IF(TableRefills3[[#This Row],[gap_days]]&gt;2,1,0))</f>
        <v>0</v>
      </c>
      <c r="I2915">
        <f>_xlfn.MAXIFS(TableRefills3[discountinuation_flag], TableRefills3[patient_id], A2915)</f>
        <v>0</v>
      </c>
    </row>
    <row r="2916" spans="1:9" x14ac:dyDescent="0.25">
      <c r="A2916" t="s">
        <v>4632</v>
      </c>
      <c r="B2916" t="s">
        <v>4633</v>
      </c>
      <c r="C2916" s="3">
        <v>45915</v>
      </c>
      <c r="D2916">
        <v>14</v>
      </c>
      <c r="E2916" s="3">
        <f t="shared" si="45"/>
        <v>45902</v>
      </c>
      <c r="F2916" s="3">
        <f>IF(TableRefills3[[#This Row],[prev_refill_days]]="","",TableRefills3[[#This Row],[prev_refill_days]]+TableRefills3[[#This Row],[quantity_days]])</f>
        <v>45916</v>
      </c>
      <c r="G2916">
        <f>IF(TableRefills3[[#This Row],[prev_refill_end]]="","",TableRefills3[[#This Row],[refill_date]]-TableRefills3[[#This Row],[prev_refill_end]])</f>
        <v>-1</v>
      </c>
      <c r="H2916" s="10">
        <f>IF(TableRefills3[[#This Row],[gap_days]]="",0,IF(TableRefills3[[#This Row],[gap_days]]&gt;2,1,0))</f>
        <v>0</v>
      </c>
      <c r="I2916">
        <f>_xlfn.MAXIFS(TableRefills3[discountinuation_flag], TableRefills3[patient_id], A2916)</f>
        <v>0</v>
      </c>
    </row>
    <row r="2917" spans="1:9" x14ac:dyDescent="0.25">
      <c r="A2917" t="s">
        <v>4632</v>
      </c>
      <c r="B2917" t="s">
        <v>4633</v>
      </c>
      <c r="C2917" s="3">
        <v>45930</v>
      </c>
      <c r="D2917">
        <v>14</v>
      </c>
      <c r="E2917" s="3">
        <f t="shared" si="45"/>
        <v>45915</v>
      </c>
      <c r="F2917" s="3">
        <f>IF(TableRefills3[[#This Row],[prev_refill_days]]="","",TableRefills3[[#This Row],[prev_refill_days]]+TableRefills3[[#This Row],[quantity_days]])</f>
        <v>45929</v>
      </c>
      <c r="G2917">
        <f>IF(TableRefills3[[#This Row],[prev_refill_end]]="","",TableRefills3[[#This Row],[refill_date]]-TableRefills3[[#This Row],[prev_refill_end]])</f>
        <v>1</v>
      </c>
      <c r="H2917" s="10">
        <f>IF(TableRefills3[[#This Row],[gap_days]]="",0,IF(TableRefills3[[#This Row],[gap_days]]&gt;2,1,0))</f>
        <v>0</v>
      </c>
      <c r="I2917">
        <f>_xlfn.MAXIFS(TableRefills3[discountinuation_flag], TableRefills3[patient_id], A2917)</f>
        <v>0</v>
      </c>
    </row>
    <row r="2918" spans="1:9" x14ac:dyDescent="0.25">
      <c r="A2918" t="s">
        <v>4632</v>
      </c>
      <c r="B2918" t="s">
        <v>4633</v>
      </c>
      <c r="C2918" s="3">
        <v>45942</v>
      </c>
      <c r="D2918">
        <v>14</v>
      </c>
      <c r="E2918" s="3">
        <f t="shared" si="45"/>
        <v>45930</v>
      </c>
      <c r="F2918" s="3">
        <f>IF(TableRefills3[[#This Row],[prev_refill_days]]="","",TableRefills3[[#This Row],[prev_refill_days]]+TableRefills3[[#This Row],[quantity_days]])</f>
        <v>45944</v>
      </c>
      <c r="G2918">
        <f>IF(TableRefills3[[#This Row],[prev_refill_end]]="","",TableRefills3[[#This Row],[refill_date]]-TableRefills3[[#This Row],[prev_refill_end]])</f>
        <v>-2</v>
      </c>
      <c r="H2918" s="10">
        <f>IF(TableRefills3[[#This Row],[gap_days]]="",0,IF(TableRefills3[[#This Row],[gap_days]]&gt;2,1,0))</f>
        <v>0</v>
      </c>
      <c r="I2918">
        <f>_xlfn.MAXIFS(TableRefills3[discountinuation_flag], TableRefills3[patient_id], A2918)</f>
        <v>0</v>
      </c>
    </row>
    <row r="2919" spans="1:9" x14ac:dyDescent="0.25">
      <c r="A2919" t="s">
        <v>4632</v>
      </c>
      <c r="B2919" t="s">
        <v>4633</v>
      </c>
      <c r="C2919" s="3">
        <v>45957</v>
      </c>
      <c r="D2919">
        <v>14</v>
      </c>
      <c r="E2919" s="3">
        <f t="shared" si="45"/>
        <v>45942</v>
      </c>
      <c r="F2919" s="3">
        <f>IF(TableRefills3[[#This Row],[prev_refill_days]]="","",TableRefills3[[#This Row],[prev_refill_days]]+TableRefills3[[#This Row],[quantity_days]])</f>
        <v>45956</v>
      </c>
      <c r="G2919">
        <f>IF(TableRefills3[[#This Row],[prev_refill_end]]="","",TableRefills3[[#This Row],[refill_date]]-TableRefills3[[#This Row],[prev_refill_end]])</f>
        <v>1</v>
      </c>
      <c r="H2919" s="10">
        <f>IF(TableRefills3[[#This Row],[gap_days]]="",0,IF(TableRefills3[[#This Row],[gap_days]]&gt;2,1,0))</f>
        <v>0</v>
      </c>
      <c r="I2919">
        <f>_xlfn.MAXIFS(TableRefills3[discountinuation_flag], TableRefills3[patient_id], A2919)</f>
        <v>0</v>
      </c>
    </row>
    <row r="2920" spans="1:9" x14ac:dyDescent="0.25">
      <c r="A2920" t="s">
        <v>4646</v>
      </c>
      <c r="B2920" t="s">
        <v>4647</v>
      </c>
      <c r="C2920" s="3">
        <v>45858</v>
      </c>
      <c r="D2920">
        <v>28</v>
      </c>
      <c r="E2920" s="3" t="str">
        <f t="shared" si="45"/>
        <v/>
      </c>
      <c r="F2920" s="3" t="str">
        <f>IF(TableRefills3[[#This Row],[prev_refill_days]]="","",TableRefills3[[#This Row],[prev_refill_days]]+TableRefills3[[#This Row],[quantity_days]])</f>
        <v/>
      </c>
      <c r="G2920" t="str">
        <f>IF(TableRefills3[[#This Row],[prev_refill_end]]="","",TableRefills3[[#This Row],[refill_date]]-TableRefills3[[#This Row],[prev_refill_end]])</f>
        <v/>
      </c>
      <c r="H2920" s="10">
        <f>IF(TableRefills3[[#This Row],[gap_days]]="",0,IF(TableRefills3[[#This Row],[gap_days]]&gt;2,1,0))</f>
        <v>0</v>
      </c>
      <c r="I2920">
        <f>_xlfn.MAXIFS(TableRefills3[discountinuation_flag], TableRefills3[patient_id], A2920)</f>
        <v>1</v>
      </c>
    </row>
    <row r="2921" spans="1:9" x14ac:dyDescent="0.25">
      <c r="A2921" t="s">
        <v>4646</v>
      </c>
      <c r="B2921" t="s">
        <v>4647</v>
      </c>
      <c r="C2921" s="3">
        <v>45889</v>
      </c>
      <c r="D2921">
        <v>28</v>
      </c>
      <c r="E2921" s="3">
        <f t="shared" si="45"/>
        <v>45858</v>
      </c>
      <c r="F2921" s="3">
        <f>IF(TableRefills3[[#This Row],[prev_refill_days]]="","",TableRefills3[[#This Row],[prev_refill_days]]+TableRefills3[[#This Row],[quantity_days]])</f>
        <v>45886</v>
      </c>
      <c r="G2921">
        <f>IF(TableRefills3[[#This Row],[prev_refill_end]]="","",TableRefills3[[#This Row],[refill_date]]-TableRefills3[[#This Row],[prev_refill_end]])</f>
        <v>3</v>
      </c>
      <c r="H2921" s="10">
        <f>IF(TableRefills3[[#This Row],[gap_days]]="",0,IF(TableRefills3[[#This Row],[gap_days]]&gt;2,1,0))</f>
        <v>1</v>
      </c>
      <c r="I2921">
        <f>_xlfn.MAXIFS(TableRefills3[discountinuation_flag], TableRefills3[patient_id], A2921)</f>
        <v>1</v>
      </c>
    </row>
    <row r="2922" spans="1:9" x14ac:dyDescent="0.25">
      <c r="A2922" t="s">
        <v>4646</v>
      </c>
      <c r="B2922" t="s">
        <v>4647</v>
      </c>
      <c r="C2922" s="3">
        <v>45915</v>
      </c>
      <c r="D2922">
        <v>28</v>
      </c>
      <c r="E2922" s="3">
        <f t="shared" si="45"/>
        <v>45889</v>
      </c>
      <c r="F2922" s="3">
        <f>IF(TableRefills3[[#This Row],[prev_refill_days]]="","",TableRefills3[[#This Row],[prev_refill_days]]+TableRefills3[[#This Row],[quantity_days]])</f>
        <v>45917</v>
      </c>
      <c r="G2922">
        <f>IF(TableRefills3[[#This Row],[prev_refill_end]]="","",TableRefills3[[#This Row],[refill_date]]-TableRefills3[[#This Row],[prev_refill_end]])</f>
        <v>-2</v>
      </c>
      <c r="H2922" s="10">
        <f>IF(TableRefills3[[#This Row],[gap_days]]="",0,IF(TableRefills3[[#This Row],[gap_days]]&gt;2,1,0))</f>
        <v>0</v>
      </c>
      <c r="I2922">
        <f>_xlfn.MAXIFS(TableRefills3[discountinuation_flag], TableRefills3[patient_id], A2922)</f>
        <v>1</v>
      </c>
    </row>
    <row r="2923" spans="1:9" x14ac:dyDescent="0.25">
      <c r="A2923" t="s">
        <v>4646</v>
      </c>
      <c r="B2923" t="s">
        <v>4647</v>
      </c>
      <c r="C2923" s="3">
        <v>45940</v>
      </c>
      <c r="D2923">
        <v>28</v>
      </c>
      <c r="E2923" s="3">
        <f t="shared" si="45"/>
        <v>45915</v>
      </c>
      <c r="F2923" s="3">
        <f>IF(TableRefills3[[#This Row],[prev_refill_days]]="","",TableRefills3[[#This Row],[prev_refill_days]]+TableRefills3[[#This Row],[quantity_days]])</f>
        <v>45943</v>
      </c>
      <c r="G2923">
        <f>IF(TableRefills3[[#This Row],[prev_refill_end]]="","",TableRefills3[[#This Row],[refill_date]]-TableRefills3[[#This Row],[prev_refill_end]])</f>
        <v>-3</v>
      </c>
      <c r="H2923" s="10">
        <f>IF(TableRefills3[[#This Row],[gap_days]]="",0,IF(TableRefills3[[#This Row],[gap_days]]&gt;2,1,0))</f>
        <v>0</v>
      </c>
      <c r="I2923">
        <f>_xlfn.MAXIFS(TableRefills3[discountinuation_flag], TableRefills3[patient_id], A2923)</f>
        <v>1</v>
      </c>
    </row>
    <row r="2924" spans="1:9" x14ac:dyDescent="0.25">
      <c r="A2924" t="s">
        <v>4652</v>
      </c>
      <c r="B2924" t="s">
        <v>4653</v>
      </c>
      <c r="C2924" s="3">
        <v>45893</v>
      </c>
      <c r="D2924">
        <v>28</v>
      </c>
      <c r="E2924" s="3" t="str">
        <f t="shared" si="45"/>
        <v/>
      </c>
      <c r="F2924" s="3" t="str">
        <f>IF(TableRefills3[[#This Row],[prev_refill_days]]="","",TableRefills3[[#This Row],[prev_refill_days]]+TableRefills3[[#This Row],[quantity_days]])</f>
        <v/>
      </c>
      <c r="G2924" t="str">
        <f>IF(TableRefills3[[#This Row],[prev_refill_end]]="","",TableRefills3[[#This Row],[refill_date]]-TableRefills3[[#This Row],[prev_refill_end]])</f>
        <v/>
      </c>
      <c r="H2924" s="10">
        <f>IF(TableRefills3[[#This Row],[gap_days]]="",0,IF(TableRefills3[[#This Row],[gap_days]]&gt;2,1,0))</f>
        <v>0</v>
      </c>
      <c r="I2924">
        <f>_xlfn.MAXIFS(TableRefills3[discountinuation_flag], TableRefills3[patient_id], A2924)</f>
        <v>0</v>
      </c>
    </row>
    <row r="2925" spans="1:9" x14ac:dyDescent="0.25">
      <c r="A2925" t="s">
        <v>4652</v>
      </c>
      <c r="B2925" t="s">
        <v>4653</v>
      </c>
      <c r="C2925" s="3">
        <v>45923</v>
      </c>
      <c r="D2925">
        <v>28</v>
      </c>
      <c r="E2925" s="3">
        <f t="shared" si="45"/>
        <v>45893</v>
      </c>
      <c r="F2925" s="3">
        <f>IF(TableRefills3[[#This Row],[prev_refill_days]]="","",TableRefills3[[#This Row],[prev_refill_days]]+TableRefills3[[#This Row],[quantity_days]])</f>
        <v>45921</v>
      </c>
      <c r="G2925">
        <f>IF(TableRefills3[[#This Row],[prev_refill_end]]="","",TableRefills3[[#This Row],[refill_date]]-TableRefills3[[#This Row],[prev_refill_end]])</f>
        <v>2</v>
      </c>
      <c r="H2925" s="10">
        <f>IF(TableRefills3[[#This Row],[gap_days]]="",0,IF(TableRefills3[[#This Row],[gap_days]]&gt;2,1,0))</f>
        <v>0</v>
      </c>
      <c r="I2925">
        <f>_xlfn.MAXIFS(TableRefills3[discountinuation_flag], TableRefills3[patient_id], A2925)</f>
        <v>0</v>
      </c>
    </row>
    <row r="2926" spans="1:9" x14ac:dyDescent="0.25">
      <c r="A2926" t="s">
        <v>4652</v>
      </c>
      <c r="B2926" t="s">
        <v>4653</v>
      </c>
      <c r="C2926" s="3">
        <v>45948</v>
      </c>
      <c r="D2926">
        <v>28</v>
      </c>
      <c r="E2926" s="3">
        <f t="shared" si="45"/>
        <v>45923</v>
      </c>
      <c r="F2926" s="3">
        <f>IF(TableRefills3[[#This Row],[prev_refill_days]]="","",TableRefills3[[#This Row],[prev_refill_days]]+TableRefills3[[#This Row],[quantity_days]])</f>
        <v>45951</v>
      </c>
      <c r="G2926">
        <f>IF(TableRefills3[[#This Row],[prev_refill_end]]="","",TableRefills3[[#This Row],[refill_date]]-TableRefills3[[#This Row],[prev_refill_end]])</f>
        <v>-3</v>
      </c>
      <c r="H2926" s="10">
        <f>IF(TableRefills3[[#This Row],[gap_days]]="",0,IF(TableRefills3[[#This Row],[gap_days]]&gt;2,1,0))</f>
        <v>0</v>
      </c>
      <c r="I2926">
        <f>_xlfn.MAXIFS(TableRefills3[discountinuation_flag], TableRefills3[patient_id], A2926)</f>
        <v>0</v>
      </c>
    </row>
    <row r="2927" spans="1:9" x14ac:dyDescent="0.25">
      <c r="A2927" t="s">
        <v>4657</v>
      </c>
      <c r="B2927" t="s">
        <v>4658</v>
      </c>
      <c r="C2927" s="3">
        <v>45791</v>
      </c>
      <c r="D2927">
        <v>28</v>
      </c>
      <c r="E2927" s="3" t="str">
        <f t="shared" si="45"/>
        <v/>
      </c>
      <c r="F2927" s="3" t="str">
        <f>IF(TableRefills3[[#This Row],[prev_refill_days]]="","",TableRefills3[[#This Row],[prev_refill_days]]+TableRefills3[[#This Row],[quantity_days]])</f>
        <v/>
      </c>
      <c r="G2927" t="str">
        <f>IF(TableRefills3[[#This Row],[prev_refill_end]]="","",TableRefills3[[#This Row],[refill_date]]-TableRefills3[[#This Row],[prev_refill_end]])</f>
        <v/>
      </c>
      <c r="H2927" s="10">
        <f>IF(TableRefills3[[#This Row],[gap_days]]="",0,IF(TableRefills3[[#This Row],[gap_days]]&gt;2,1,0))</f>
        <v>0</v>
      </c>
      <c r="I2927">
        <f>_xlfn.MAXIFS(TableRefills3[discountinuation_flag], TableRefills3[patient_id], A2927)</f>
        <v>0</v>
      </c>
    </row>
    <row r="2928" spans="1:9" x14ac:dyDescent="0.25">
      <c r="A2928" t="s">
        <v>4657</v>
      </c>
      <c r="B2928" t="s">
        <v>4658</v>
      </c>
      <c r="C2928" s="3">
        <v>45819</v>
      </c>
      <c r="D2928">
        <v>28</v>
      </c>
      <c r="E2928" s="3">
        <f t="shared" si="45"/>
        <v>45791</v>
      </c>
      <c r="F2928" s="3">
        <f>IF(TableRefills3[[#This Row],[prev_refill_days]]="","",TableRefills3[[#This Row],[prev_refill_days]]+TableRefills3[[#This Row],[quantity_days]])</f>
        <v>45819</v>
      </c>
      <c r="G2928">
        <f>IF(TableRefills3[[#This Row],[prev_refill_end]]="","",TableRefills3[[#This Row],[refill_date]]-TableRefills3[[#This Row],[prev_refill_end]])</f>
        <v>0</v>
      </c>
      <c r="H2928" s="10">
        <f>IF(TableRefills3[[#This Row],[gap_days]]="",0,IF(TableRefills3[[#This Row],[gap_days]]&gt;2,1,0))</f>
        <v>0</v>
      </c>
      <c r="I2928">
        <f>_xlfn.MAXIFS(TableRefills3[discountinuation_flag], TableRefills3[patient_id], A2928)</f>
        <v>0</v>
      </c>
    </row>
    <row r="2929" spans="1:9" x14ac:dyDescent="0.25">
      <c r="A2929" t="s">
        <v>4657</v>
      </c>
      <c r="B2929" t="s">
        <v>4658</v>
      </c>
      <c r="C2929" s="3">
        <v>45848</v>
      </c>
      <c r="D2929">
        <v>28</v>
      </c>
      <c r="E2929" s="3">
        <f t="shared" si="45"/>
        <v>45819</v>
      </c>
      <c r="F2929" s="3">
        <f>IF(TableRefills3[[#This Row],[prev_refill_days]]="","",TableRefills3[[#This Row],[prev_refill_days]]+TableRefills3[[#This Row],[quantity_days]])</f>
        <v>45847</v>
      </c>
      <c r="G2929">
        <f>IF(TableRefills3[[#This Row],[prev_refill_end]]="","",TableRefills3[[#This Row],[refill_date]]-TableRefills3[[#This Row],[prev_refill_end]])</f>
        <v>1</v>
      </c>
      <c r="H2929" s="10">
        <f>IF(TableRefills3[[#This Row],[gap_days]]="",0,IF(TableRefills3[[#This Row],[gap_days]]&gt;2,1,0))</f>
        <v>0</v>
      </c>
      <c r="I2929">
        <f>_xlfn.MAXIFS(TableRefills3[discountinuation_flag], TableRefills3[patient_id], A2929)</f>
        <v>0</v>
      </c>
    </row>
    <row r="2930" spans="1:9" x14ac:dyDescent="0.25">
      <c r="A2930" t="s">
        <v>4657</v>
      </c>
      <c r="B2930" t="s">
        <v>4658</v>
      </c>
      <c r="C2930" s="3">
        <v>45877</v>
      </c>
      <c r="D2930">
        <v>28</v>
      </c>
      <c r="E2930" s="3">
        <f t="shared" si="45"/>
        <v>45848</v>
      </c>
      <c r="F2930" s="3">
        <f>IF(TableRefills3[[#This Row],[prev_refill_days]]="","",TableRefills3[[#This Row],[prev_refill_days]]+TableRefills3[[#This Row],[quantity_days]])</f>
        <v>45876</v>
      </c>
      <c r="G2930">
        <f>IF(TableRefills3[[#This Row],[prev_refill_end]]="","",TableRefills3[[#This Row],[refill_date]]-TableRefills3[[#This Row],[prev_refill_end]])</f>
        <v>1</v>
      </c>
      <c r="H2930" s="10">
        <f>IF(TableRefills3[[#This Row],[gap_days]]="",0,IF(TableRefills3[[#This Row],[gap_days]]&gt;2,1,0))</f>
        <v>0</v>
      </c>
      <c r="I2930">
        <f>_xlfn.MAXIFS(TableRefills3[discountinuation_flag], TableRefills3[patient_id], A2930)</f>
        <v>0</v>
      </c>
    </row>
    <row r="2931" spans="1:9" x14ac:dyDescent="0.25">
      <c r="A2931" t="s">
        <v>4657</v>
      </c>
      <c r="B2931" t="s">
        <v>4658</v>
      </c>
      <c r="C2931" s="3">
        <v>45902</v>
      </c>
      <c r="D2931">
        <v>28</v>
      </c>
      <c r="E2931" s="3">
        <f t="shared" si="45"/>
        <v>45877</v>
      </c>
      <c r="F2931" s="3">
        <f>IF(TableRefills3[[#This Row],[prev_refill_days]]="","",TableRefills3[[#This Row],[prev_refill_days]]+TableRefills3[[#This Row],[quantity_days]])</f>
        <v>45905</v>
      </c>
      <c r="G2931">
        <f>IF(TableRefills3[[#This Row],[prev_refill_end]]="","",TableRefills3[[#This Row],[refill_date]]-TableRefills3[[#This Row],[prev_refill_end]])</f>
        <v>-3</v>
      </c>
      <c r="H2931" s="10">
        <f>IF(TableRefills3[[#This Row],[gap_days]]="",0,IF(TableRefills3[[#This Row],[gap_days]]&gt;2,1,0))</f>
        <v>0</v>
      </c>
      <c r="I2931">
        <f>_xlfn.MAXIFS(TableRefills3[discountinuation_flag], TableRefills3[patient_id], A2931)</f>
        <v>0</v>
      </c>
    </row>
    <row r="2932" spans="1:9" x14ac:dyDescent="0.25">
      <c r="A2932" t="s">
        <v>4657</v>
      </c>
      <c r="B2932" t="s">
        <v>4658</v>
      </c>
      <c r="C2932" s="3">
        <v>45932</v>
      </c>
      <c r="D2932">
        <v>28</v>
      </c>
      <c r="E2932" s="3">
        <f t="shared" si="45"/>
        <v>45902</v>
      </c>
      <c r="F2932" s="3">
        <f>IF(TableRefills3[[#This Row],[prev_refill_days]]="","",TableRefills3[[#This Row],[prev_refill_days]]+TableRefills3[[#This Row],[quantity_days]])</f>
        <v>45930</v>
      </c>
      <c r="G2932">
        <f>IF(TableRefills3[[#This Row],[prev_refill_end]]="","",TableRefills3[[#This Row],[refill_date]]-TableRefills3[[#This Row],[prev_refill_end]])</f>
        <v>2</v>
      </c>
      <c r="H2932" s="10">
        <f>IF(TableRefills3[[#This Row],[gap_days]]="",0,IF(TableRefills3[[#This Row],[gap_days]]&gt;2,1,0))</f>
        <v>0</v>
      </c>
      <c r="I2932">
        <f>_xlfn.MAXIFS(TableRefills3[discountinuation_flag], TableRefills3[patient_id], A2932)</f>
        <v>0</v>
      </c>
    </row>
    <row r="2933" spans="1:9" x14ac:dyDescent="0.25">
      <c r="A2933" t="s">
        <v>4657</v>
      </c>
      <c r="B2933" t="s">
        <v>4658</v>
      </c>
      <c r="C2933" s="3">
        <v>45960</v>
      </c>
      <c r="D2933">
        <v>28</v>
      </c>
      <c r="E2933" s="3">
        <f t="shared" si="45"/>
        <v>45932</v>
      </c>
      <c r="F2933" s="3">
        <f>IF(TableRefills3[[#This Row],[prev_refill_days]]="","",TableRefills3[[#This Row],[prev_refill_days]]+TableRefills3[[#This Row],[quantity_days]])</f>
        <v>45960</v>
      </c>
      <c r="G2933">
        <f>IF(TableRefills3[[#This Row],[prev_refill_end]]="","",TableRefills3[[#This Row],[refill_date]]-TableRefills3[[#This Row],[prev_refill_end]])</f>
        <v>0</v>
      </c>
      <c r="H2933" s="10">
        <f>IF(TableRefills3[[#This Row],[gap_days]]="",0,IF(TableRefills3[[#This Row],[gap_days]]&gt;2,1,0))</f>
        <v>0</v>
      </c>
      <c r="I2933">
        <f>_xlfn.MAXIFS(TableRefills3[discountinuation_flag], TableRefills3[patient_id], A2933)</f>
        <v>0</v>
      </c>
    </row>
    <row r="2934" spans="1:9" x14ac:dyDescent="0.25">
      <c r="A2934" t="s">
        <v>4666</v>
      </c>
      <c r="B2934" t="s">
        <v>4667</v>
      </c>
      <c r="C2934" s="3">
        <v>45780</v>
      </c>
      <c r="D2934">
        <v>28</v>
      </c>
      <c r="E2934" s="3" t="str">
        <f t="shared" si="45"/>
        <v/>
      </c>
      <c r="F2934" s="3" t="str">
        <f>IF(TableRefills3[[#This Row],[prev_refill_days]]="","",TableRefills3[[#This Row],[prev_refill_days]]+TableRefills3[[#This Row],[quantity_days]])</f>
        <v/>
      </c>
      <c r="G2934" t="str">
        <f>IF(TableRefills3[[#This Row],[prev_refill_end]]="","",TableRefills3[[#This Row],[refill_date]]-TableRefills3[[#This Row],[prev_refill_end]])</f>
        <v/>
      </c>
      <c r="H2934" s="10">
        <f>IF(TableRefills3[[#This Row],[gap_days]]="",0,IF(TableRefills3[[#This Row],[gap_days]]&gt;2,1,0))</f>
        <v>0</v>
      </c>
      <c r="I2934">
        <f>_xlfn.MAXIFS(TableRefills3[discountinuation_flag], TableRefills3[patient_id], A2934)</f>
        <v>1</v>
      </c>
    </row>
    <row r="2935" spans="1:9" x14ac:dyDescent="0.25">
      <c r="A2935" t="s">
        <v>4666</v>
      </c>
      <c r="B2935" t="s">
        <v>4667</v>
      </c>
      <c r="C2935" s="3">
        <v>45808</v>
      </c>
      <c r="D2935">
        <v>28</v>
      </c>
      <c r="E2935" s="3">
        <f t="shared" si="45"/>
        <v>45780</v>
      </c>
      <c r="F2935" s="3">
        <f>IF(TableRefills3[[#This Row],[prev_refill_days]]="","",TableRefills3[[#This Row],[prev_refill_days]]+TableRefills3[[#This Row],[quantity_days]])</f>
        <v>45808</v>
      </c>
      <c r="G2935">
        <f>IF(TableRefills3[[#This Row],[prev_refill_end]]="","",TableRefills3[[#This Row],[refill_date]]-TableRefills3[[#This Row],[prev_refill_end]])</f>
        <v>0</v>
      </c>
      <c r="H2935" s="10">
        <f>IF(TableRefills3[[#This Row],[gap_days]]="",0,IF(TableRefills3[[#This Row],[gap_days]]&gt;2,1,0))</f>
        <v>0</v>
      </c>
      <c r="I2935">
        <f>_xlfn.MAXIFS(TableRefills3[discountinuation_flag], TableRefills3[patient_id], A2935)</f>
        <v>1</v>
      </c>
    </row>
    <row r="2936" spans="1:9" x14ac:dyDescent="0.25">
      <c r="A2936" t="s">
        <v>4666</v>
      </c>
      <c r="B2936" t="s">
        <v>4667</v>
      </c>
      <c r="C2936" s="3">
        <v>45836</v>
      </c>
      <c r="D2936">
        <v>28</v>
      </c>
      <c r="E2936" s="3">
        <f t="shared" si="45"/>
        <v>45808</v>
      </c>
      <c r="F2936" s="3">
        <f>IF(TableRefills3[[#This Row],[prev_refill_days]]="","",TableRefills3[[#This Row],[prev_refill_days]]+TableRefills3[[#This Row],[quantity_days]])</f>
        <v>45836</v>
      </c>
      <c r="G2936">
        <f>IF(TableRefills3[[#This Row],[prev_refill_end]]="","",TableRefills3[[#This Row],[refill_date]]-TableRefills3[[#This Row],[prev_refill_end]])</f>
        <v>0</v>
      </c>
      <c r="H2936" s="10">
        <f>IF(TableRefills3[[#This Row],[gap_days]]="",0,IF(TableRefills3[[#This Row],[gap_days]]&gt;2,1,0))</f>
        <v>0</v>
      </c>
      <c r="I2936">
        <f>_xlfn.MAXIFS(TableRefills3[discountinuation_flag], TableRefills3[patient_id], A2936)</f>
        <v>1</v>
      </c>
    </row>
    <row r="2937" spans="1:9" x14ac:dyDescent="0.25">
      <c r="A2937" t="s">
        <v>4666</v>
      </c>
      <c r="B2937" t="s">
        <v>4667</v>
      </c>
      <c r="C2937" s="3">
        <v>45861</v>
      </c>
      <c r="D2937">
        <v>28</v>
      </c>
      <c r="E2937" s="3">
        <f t="shared" si="45"/>
        <v>45836</v>
      </c>
      <c r="F2937" s="3">
        <f>IF(TableRefills3[[#This Row],[prev_refill_days]]="","",TableRefills3[[#This Row],[prev_refill_days]]+TableRefills3[[#This Row],[quantity_days]])</f>
        <v>45864</v>
      </c>
      <c r="G2937">
        <f>IF(TableRefills3[[#This Row],[prev_refill_end]]="","",TableRefills3[[#This Row],[refill_date]]-TableRefills3[[#This Row],[prev_refill_end]])</f>
        <v>-3</v>
      </c>
      <c r="H2937" s="10">
        <f>IF(TableRefills3[[#This Row],[gap_days]]="",0,IF(TableRefills3[[#This Row],[gap_days]]&gt;2,1,0))</f>
        <v>0</v>
      </c>
      <c r="I2937">
        <f>_xlfn.MAXIFS(TableRefills3[discountinuation_flag], TableRefills3[patient_id], A2937)</f>
        <v>1</v>
      </c>
    </row>
    <row r="2938" spans="1:9" x14ac:dyDescent="0.25">
      <c r="A2938" t="s">
        <v>4666</v>
      </c>
      <c r="B2938" t="s">
        <v>4667</v>
      </c>
      <c r="C2938" s="3">
        <v>45888</v>
      </c>
      <c r="D2938">
        <v>28</v>
      </c>
      <c r="E2938" s="3">
        <f t="shared" si="45"/>
        <v>45861</v>
      </c>
      <c r="F2938" s="3">
        <f>IF(TableRefills3[[#This Row],[prev_refill_days]]="","",TableRefills3[[#This Row],[prev_refill_days]]+TableRefills3[[#This Row],[quantity_days]])</f>
        <v>45889</v>
      </c>
      <c r="G2938">
        <f>IF(TableRefills3[[#This Row],[prev_refill_end]]="","",TableRefills3[[#This Row],[refill_date]]-TableRefills3[[#This Row],[prev_refill_end]])</f>
        <v>-1</v>
      </c>
      <c r="H2938" s="10">
        <f>IF(TableRefills3[[#This Row],[gap_days]]="",0,IF(TableRefills3[[#This Row],[gap_days]]&gt;2,1,0))</f>
        <v>0</v>
      </c>
      <c r="I2938">
        <f>_xlfn.MAXIFS(TableRefills3[discountinuation_flag], TableRefills3[patient_id], A2938)</f>
        <v>1</v>
      </c>
    </row>
    <row r="2939" spans="1:9" x14ac:dyDescent="0.25">
      <c r="A2939" t="s">
        <v>4666</v>
      </c>
      <c r="B2939" t="s">
        <v>4667</v>
      </c>
      <c r="C2939" s="3">
        <v>45915</v>
      </c>
      <c r="D2939">
        <v>28</v>
      </c>
      <c r="E2939" s="3">
        <f t="shared" si="45"/>
        <v>45888</v>
      </c>
      <c r="F2939" s="3">
        <f>IF(TableRefills3[[#This Row],[prev_refill_days]]="","",TableRefills3[[#This Row],[prev_refill_days]]+TableRefills3[[#This Row],[quantity_days]])</f>
        <v>45916</v>
      </c>
      <c r="G2939">
        <f>IF(TableRefills3[[#This Row],[prev_refill_end]]="","",TableRefills3[[#This Row],[refill_date]]-TableRefills3[[#This Row],[prev_refill_end]])</f>
        <v>-1</v>
      </c>
      <c r="H2939" s="10">
        <f>IF(TableRefills3[[#This Row],[gap_days]]="",0,IF(TableRefills3[[#This Row],[gap_days]]&gt;2,1,0))</f>
        <v>0</v>
      </c>
      <c r="I2939">
        <f>_xlfn.MAXIFS(TableRefills3[discountinuation_flag], TableRefills3[patient_id], A2939)</f>
        <v>1</v>
      </c>
    </row>
    <row r="2940" spans="1:9" x14ac:dyDescent="0.25">
      <c r="A2940" t="s">
        <v>4666</v>
      </c>
      <c r="B2940" t="s">
        <v>4667</v>
      </c>
      <c r="C2940" s="3">
        <v>45946</v>
      </c>
      <c r="D2940">
        <v>28</v>
      </c>
      <c r="E2940" s="3">
        <f t="shared" si="45"/>
        <v>45915</v>
      </c>
      <c r="F2940" s="3">
        <f>IF(TableRefills3[[#This Row],[prev_refill_days]]="","",TableRefills3[[#This Row],[prev_refill_days]]+TableRefills3[[#This Row],[quantity_days]])</f>
        <v>45943</v>
      </c>
      <c r="G2940">
        <f>IF(TableRefills3[[#This Row],[prev_refill_end]]="","",TableRefills3[[#This Row],[refill_date]]-TableRefills3[[#This Row],[prev_refill_end]])</f>
        <v>3</v>
      </c>
      <c r="H2940" s="10">
        <f>IF(TableRefills3[[#This Row],[gap_days]]="",0,IF(TableRefills3[[#This Row],[gap_days]]&gt;2,1,0))</f>
        <v>1</v>
      </c>
      <c r="I2940">
        <f>_xlfn.MAXIFS(TableRefills3[discountinuation_flag], TableRefills3[patient_id], A2940)</f>
        <v>1</v>
      </c>
    </row>
    <row r="2941" spans="1:9" x14ac:dyDescent="0.25">
      <c r="A2941" t="s">
        <v>4675</v>
      </c>
      <c r="B2941" t="s">
        <v>4676</v>
      </c>
      <c r="C2941" s="3">
        <v>45812</v>
      </c>
      <c r="D2941">
        <v>21</v>
      </c>
      <c r="E2941" s="3" t="str">
        <f t="shared" si="45"/>
        <v/>
      </c>
      <c r="F2941" s="3" t="str">
        <f>IF(TableRefills3[[#This Row],[prev_refill_days]]="","",TableRefills3[[#This Row],[prev_refill_days]]+TableRefills3[[#This Row],[quantity_days]])</f>
        <v/>
      </c>
      <c r="G2941" t="str">
        <f>IF(TableRefills3[[#This Row],[prev_refill_end]]="","",TableRefills3[[#This Row],[refill_date]]-TableRefills3[[#This Row],[prev_refill_end]])</f>
        <v/>
      </c>
      <c r="H2941" s="10">
        <f>IF(TableRefills3[[#This Row],[gap_days]]="",0,IF(TableRefills3[[#This Row],[gap_days]]&gt;2,1,0))</f>
        <v>0</v>
      </c>
      <c r="I2941">
        <f>_xlfn.MAXIFS(TableRefills3[discountinuation_flag], TableRefills3[patient_id], A2941)</f>
        <v>0</v>
      </c>
    </row>
    <row r="2942" spans="1:9" x14ac:dyDescent="0.25">
      <c r="A2942" t="s">
        <v>4675</v>
      </c>
      <c r="B2942" t="s">
        <v>4676</v>
      </c>
      <c r="C2942" s="3">
        <v>45835</v>
      </c>
      <c r="D2942">
        <v>21</v>
      </c>
      <c r="E2942" s="3">
        <f t="shared" si="45"/>
        <v>45812</v>
      </c>
      <c r="F2942" s="3">
        <f>IF(TableRefills3[[#This Row],[prev_refill_days]]="","",TableRefills3[[#This Row],[prev_refill_days]]+TableRefills3[[#This Row],[quantity_days]])</f>
        <v>45833</v>
      </c>
      <c r="G2942">
        <f>IF(TableRefills3[[#This Row],[prev_refill_end]]="","",TableRefills3[[#This Row],[refill_date]]-TableRefills3[[#This Row],[prev_refill_end]])</f>
        <v>2</v>
      </c>
      <c r="H2942" s="10">
        <f>IF(TableRefills3[[#This Row],[gap_days]]="",0,IF(TableRefills3[[#This Row],[gap_days]]&gt;2,1,0))</f>
        <v>0</v>
      </c>
      <c r="I2942">
        <f>_xlfn.MAXIFS(TableRefills3[discountinuation_flag], TableRefills3[patient_id], A2942)</f>
        <v>0</v>
      </c>
    </row>
    <row r="2943" spans="1:9" x14ac:dyDescent="0.25">
      <c r="A2943" t="s">
        <v>4675</v>
      </c>
      <c r="B2943" t="s">
        <v>4676</v>
      </c>
      <c r="C2943" s="3">
        <v>45856</v>
      </c>
      <c r="D2943">
        <v>21</v>
      </c>
      <c r="E2943" s="3">
        <f t="shared" si="45"/>
        <v>45835</v>
      </c>
      <c r="F2943" s="3">
        <f>IF(TableRefills3[[#This Row],[prev_refill_days]]="","",TableRefills3[[#This Row],[prev_refill_days]]+TableRefills3[[#This Row],[quantity_days]])</f>
        <v>45856</v>
      </c>
      <c r="G2943">
        <f>IF(TableRefills3[[#This Row],[prev_refill_end]]="","",TableRefills3[[#This Row],[refill_date]]-TableRefills3[[#This Row],[prev_refill_end]])</f>
        <v>0</v>
      </c>
      <c r="H2943" s="10">
        <f>IF(TableRefills3[[#This Row],[gap_days]]="",0,IF(TableRefills3[[#This Row],[gap_days]]&gt;2,1,0))</f>
        <v>0</v>
      </c>
      <c r="I2943">
        <f>_xlfn.MAXIFS(TableRefills3[discountinuation_flag], TableRefills3[patient_id], A2943)</f>
        <v>0</v>
      </c>
    </row>
    <row r="2944" spans="1:9" x14ac:dyDescent="0.25">
      <c r="A2944" t="s">
        <v>4675</v>
      </c>
      <c r="B2944" t="s">
        <v>4676</v>
      </c>
      <c r="C2944" s="3">
        <v>45877</v>
      </c>
      <c r="D2944">
        <v>21</v>
      </c>
      <c r="E2944" s="3">
        <f t="shared" si="45"/>
        <v>45856</v>
      </c>
      <c r="F2944" s="3">
        <f>IF(TableRefills3[[#This Row],[prev_refill_days]]="","",TableRefills3[[#This Row],[prev_refill_days]]+TableRefills3[[#This Row],[quantity_days]])</f>
        <v>45877</v>
      </c>
      <c r="G2944">
        <f>IF(TableRefills3[[#This Row],[prev_refill_end]]="","",TableRefills3[[#This Row],[refill_date]]-TableRefills3[[#This Row],[prev_refill_end]])</f>
        <v>0</v>
      </c>
      <c r="H2944" s="10">
        <f>IF(TableRefills3[[#This Row],[gap_days]]="",0,IF(TableRefills3[[#This Row],[gap_days]]&gt;2,1,0))</f>
        <v>0</v>
      </c>
      <c r="I2944">
        <f>_xlfn.MAXIFS(TableRefills3[discountinuation_flag], TableRefills3[patient_id], A2944)</f>
        <v>0</v>
      </c>
    </row>
    <row r="2945" spans="1:9" x14ac:dyDescent="0.25">
      <c r="A2945" t="s">
        <v>4675</v>
      </c>
      <c r="B2945" t="s">
        <v>4676</v>
      </c>
      <c r="C2945" s="3">
        <v>45898</v>
      </c>
      <c r="D2945">
        <v>21</v>
      </c>
      <c r="E2945" s="3">
        <f t="shared" si="45"/>
        <v>45877</v>
      </c>
      <c r="F2945" s="3">
        <f>IF(TableRefills3[[#This Row],[prev_refill_days]]="","",TableRefills3[[#This Row],[prev_refill_days]]+TableRefills3[[#This Row],[quantity_days]])</f>
        <v>45898</v>
      </c>
      <c r="G2945">
        <f>IF(TableRefills3[[#This Row],[prev_refill_end]]="","",TableRefills3[[#This Row],[refill_date]]-TableRefills3[[#This Row],[prev_refill_end]])</f>
        <v>0</v>
      </c>
      <c r="H2945" s="10">
        <f>IF(TableRefills3[[#This Row],[gap_days]]="",0,IF(TableRefills3[[#This Row],[gap_days]]&gt;2,1,0))</f>
        <v>0</v>
      </c>
      <c r="I2945">
        <f>_xlfn.MAXIFS(TableRefills3[discountinuation_flag], TableRefills3[patient_id], A2945)</f>
        <v>0</v>
      </c>
    </row>
    <row r="2946" spans="1:9" x14ac:dyDescent="0.25">
      <c r="A2946" t="s">
        <v>4675</v>
      </c>
      <c r="B2946" t="s">
        <v>4676</v>
      </c>
      <c r="C2946" s="3">
        <v>45917</v>
      </c>
      <c r="D2946">
        <v>21</v>
      </c>
      <c r="E2946" s="3">
        <f t="shared" ref="E2946:E3009" si="46">IF(A2945=A2946,C2945,"")</f>
        <v>45898</v>
      </c>
      <c r="F2946" s="3">
        <f>IF(TableRefills3[[#This Row],[prev_refill_days]]="","",TableRefills3[[#This Row],[prev_refill_days]]+TableRefills3[[#This Row],[quantity_days]])</f>
        <v>45919</v>
      </c>
      <c r="G2946">
        <f>IF(TableRefills3[[#This Row],[prev_refill_end]]="","",TableRefills3[[#This Row],[refill_date]]-TableRefills3[[#This Row],[prev_refill_end]])</f>
        <v>-2</v>
      </c>
      <c r="H2946" s="10">
        <f>IF(TableRefills3[[#This Row],[gap_days]]="",0,IF(TableRefills3[[#This Row],[gap_days]]&gt;2,1,0))</f>
        <v>0</v>
      </c>
      <c r="I2946">
        <f>_xlfn.MAXIFS(TableRefills3[discountinuation_flag], TableRefills3[patient_id], A2946)</f>
        <v>0</v>
      </c>
    </row>
    <row r="2947" spans="1:9" x14ac:dyDescent="0.25">
      <c r="A2947" t="s">
        <v>4675</v>
      </c>
      <c r="B2947" t="s">
        <v>4676</v>
      </c>
      <c r="C2947" s="3">
        <v>45940</v>
      </c>
      <c r="D2947">
        <v>21</v>
      </c>
      <c r="E2947" s="3">
        <f t="shared" si="46"/>
        <v>45917</v>
      </c>
      <c r="F2947" s="3">
        <f>IF(TableRefills3[[#This Row],[prev_refill_days]]="","",TableRefills3[[#This Row],[prev_refill_days]]+TableRefills3[[#This Row],[quantity_days]])</f>
        <v>45938</v>
      </c>
      <c r="G2947">
        <f>IF(TableRefills3[[#This Row],[prev_refill_end]]="","",TableRefills3[[#This Row],[refill_date]]-TableRefills3[[#This Row],[prev_refill_end]])</f>
        <v>2</v>
      </c>
      <c r="H2947" s="10">
        <f>IF(TableRefills3[[#This Row],[gap_days]]="",0,IF(TableRefills3[[#This Row],[gap_days]]&gt;2,1,0))</f>
        <v>0</v>
      </c>
      <c r="I2947">
        <f>_xlfn.MAXIFS(TableRefills3[discountinuation_flag], TableRefills3[patient_id], A2947)</f>
        <v>0</v>
      </c>
    </row>
    <row r="2948" spans="1:9" x14ac:dyDescent="0.25">
      <c r="A2948" t="s">
        <v>4675</v>
      </c>
      <c r="B2948" t="s">
        <v>4676</v>
      </c>
      <c r="C2948" s="3">
        <v>45961</v>
      </c>
      <c r="D2948">
        <v>21</v>
      </c>
      <c r="E2948" s="3">
        <f t="shared" si="46"/>
        <v>45940</v>
      </c>
      <c r="F2948" s="3">
        <f>IF(TableRefills3[[#This Row],[prev_refill_days]]="","",TableRefills3[[#This Row],[prev_refill_days]]+TableRefills3[[#This Row],[quantity_days]])</f>
        <v>45961</v>
      </c>
      <c r="G2948">
        <f>IF(TableRefills3[[#This Row],[prev_refill_end]]="","",TableRefills3[[#This Row],[refill_date]]-TableRefills3[[#This Row],[prev_refill_end]])</f>
        <v>0</v>
      </c>
      <c r="H2948" s="10">
        <f>IF(TableRefills3[[#This Row],[gap_days]]="",0,IF(TableRefills3[[#This Row],[gap_days]]&gt;2,1,0))</f>
        <v>0</v>
      </c>
      <c r="I2948">
        <f>_xlfn.MAXIFS(TableRefills3[discountinuation_flag], TableRefills3[patient_id], A2948)</f>
        <v>0</v>
      </c>
    </row>
    <row r="2949" spans="1:9" x14ac:dyDescent="0.25">
      <c r="A2949" t="s">
        <v>4685</v>
      </c>
      <c r="B2949" t="s">
        <v>4686</v>
      </c>
      <c r="C2949" s="3">
        <v>45876</v>
      </c>
      <c r="D2949">
        <v>30</v>
      </c>
      <c r="E2949" s="3" t="str">
        <f t="shared" si="46"/>
        <v/>
      </c>
      <c r="F2949" s="3" t="str">
        <f>IF(TableRefills3[[#This Row],[prev_refill_days]]="","",TableRefills3[[#This Row],[prev_refill_days]]+TableRefills3[[#This Row],[quantity_days]])</f>
        <v/>
      </c>
      <c r="G2949" t="str">
        <f>IF(TableRefills3[[#This Row],[prev_refill_end]]="","",TableRefills3[[#This Row],[refill_date]]-TableRefills3[[#This Row],[prev_refill_end]])</f>
        <v/>
      </c>
      <c r="H2949" s="10">
        <f>IF(TableRefills3[[#This Row],[gap_days]]="",0,IF(TableRefills3[[#This Row],[gap_days]]&gt;2,1,0))</f>
        <v>0</v>
      </c>
      <c r="I2949">
        <f>_xlfn.MAXIFS(TableRefills3[discountinuation_flag], TableRefills3[patient_id], A2949)</f>
        <v>0</v>
      </c>
    </row>
    <row r="2950" spans="1:9" x14ac:dyDescent="0.25">
      <c r="A2950" t="s">
        <v>4685</v>
      </c>
      <c r="B2950" t="s">
        <v>4686</v>
      </c>
      <c r="C2950" s="3">
        <v>45907</v>
      </c>
      <c r="D2950">
        <v>30</v>
      </c>
      <c r="E2950" s="3">
        <f t="shared" si="46"/>
        <v>45876</v>
      </c>
      <c r="F2950" s="3">
        <f>IF(TableRefills3[[#This Row],[prev_refill_days]]="","",TableRefills3[[#This Row],[prev_refill_days]]+TableRefills3[[#This Row],[quantity_days]])</f>
        <v>45906</v>
      </c>
      <c r="G2950">
        <f>IF(TableRefills3[[#This Row],[prev_refill_end]]="","",TableRefills3[[#This Row],[refill_date]]-TableRefills3[[#This Row],[prev_refill_end]])</f>
        <v>1</v>
      </c>
      <c r="H2950" s="10">
        <f>IF(TableRefills3[[#This Row],[gap_days]]="",0,IF(TableRefills3[[#This Row],[gap_days]]&gt;2,1,0))</f>
        <v>0</v>
      </c>
      <c r="I2950">
        <f>_xlfn.MAXIFS(TableRefills3[discountinuation_flag], TableRefills3[patient_id], A2950)</f>
        <v>0</v>
      </c>
    </row>
    <row r="2951" spans="1:9" x14ac:dyDescent="0.25">
      <c r="A2951" t="s">
        <v>4689</v>
      </c>
      <c r="B2951" t="s">
        <v>4690</v>
      </c>
      <c r="C2951" s="3">
        <v>45907</v>
      </c>
      <c r="D2951">
        <v>30</v>
      </c>
      <c r="E2951" s="3" t="str">
        <f t="shared" si="46"/>
        <v/>
      </c>
      <c r="F2951" s="3" t="str">
        <f>IF(TableRefills3[[#This Row],[prev_refill_days]]="","",TableRefills3[[#This Row],[prev_refill_days]]+TableRefills3[[#This Row],[quantity_days]])</f>
        <v/>
      </c>
      <c r="G2951" t="str">
        <f>IF(TableRefills3[[#This Row],[prev_refill_end]]="","",TableRefills3[[#This Row],[refill_date]]-TableRefills3[[#This Row],[prev_refill_end]])</f>
        <v/>
      </c>
      <c r="H2951" s="10">
        <f>IF(TableRefills3[[#This Row],[gap_days]]="",0,IF(TableRefills3[[#This Row],[gap_days]]&gt;2,1,0))</f>
        <v>0</v>
      </c>
      <c r="I2951">
        <f>_xlfn.MAXIFS(TableRefills3[discountinuation_flag], TableRefills3[patient_id], A2951)</f>
        <v>0</v>
      </c>
    </row>
    <row r="2952" spans="1:9" x14ac:dyDescent="0.25">
      <c r="A2952" t="s">
        <v>4689</v>
      </c>
      <c r="B2952" t="s">
        <v>4690</v>
      </c>
      <c r="C2952" s="3">
        <v>45936</v>
      </c>
      <c r="D2952">
        <v>30</v>
      </c>
      <c r="E2952" s="3">
        <f t="shared" si="46"/>
        <v>45907</v>
      </c>
      <c r="F2952" s="3">
        <f>IF(TableRefills3[[#This Row],[prev_refill_days]]="","",TableRefills3[[#This Row],[prev_refill_days]]+TableRefills3[[#This Row],[quantity_days]])</f>
        <v>45937</v>
      </c>
      <c r="G2952">
        <f>IF(TableRefills3[[#This Row],[prev_refill_end]]="","",TableRefills3[[#This Row],[refill_date]]-TableRefills3[[#This Row],[prev_refill_end]])</f>
        <v>-1</v>
      </c>
      <c r="H2952" s="10">
        <f>IF(TableRefills3[[#This Row],[gap_days]]="",0,IF(TableRefills3[[#This Row],[gap_days]]&gt;2,1,0))</f>
        <v>0</v>
      </c>
      <c r="I2952">
        <f>_xlfn.MAXIFS(TableRefills3[discountinuation_flag], TableRefills3[patient_id], A2952)</f>
        <v>0</v>
      </c>
    </row>
    <row r="2953" spans="1:9" x14ac:dyDescent="0.25">
      <c r="A2953" t="s">
        <v>4693</v>
      </c>
      <c r="B2953" t="s">
        <v>4694</v>
      </c>
      <c r="C2953" s="3">
        <v>45904</v>
      </c>
      <c r="D2953">
        <v>30</v>
      </c>
      <c r="E2953" s="3" t="str">
        <f t="shared" si="46"/>
        <v/>
      </c>
      <c r="F2953" s="3" t="str">
        <f>IF(TableRefills3[[#This Row],[prev_refill_days]]="","",TableRefills3[[#This Row],[prev_refill_days]]+TableRefills3[[#This Row],[quantity_days]])</f>
        <v/>
      </c>
      <c r="G2953" t="str">
        <f>IF(TableRefills3[[#This Row],[prev_refill_end]]="","",TableRefills3[[#This Row],[refill_date]]-TableRefills3[[#This Row],[prev_refill_end]])</f>
        <v/>
      </c>
      <c r="H2953" s="10">
        <f>IF(TableRefills3[[#This Row],[gap_days]]="",0,IF(TableRefills3[[#This Row],[gap_days]]&gt;2,1,0))</f>
        <v>0</v>
      </c>
      <c r="I2953">
        <f>_xlfn.MAXIFS(TableRefills3[discountinuation_flag], TableRefills3[patient_id], A2953)</f>
        <v>0</v>
      </c>
    </row>
    <row r="2954" spans="1:9" x14ac:dyDescent="0.25">
      <c r="A2954" t="s">
        <v>4693</v>
      </c>
      <c r="B2954" t="s">
        <v>4694</v>
      </c>
      <c r="C2954" s="3">
        <v>45933</v>
      </c>
      <c r="D2954">
        <v>30</v>
      </c>
      <c r="E2954" s="3">
        <f t="shared" si="46"/>
        <v>45904</v>
      </c>
      <c r="F2954" s="3">
        <f>IF(TableRefills3[[#This Row],[prev_refill_days]]="","",TableRefills3[[#This Row],[prev_refill_days]]+TableRefills3[[#This Row],[quantity_days]])</f>
        <v>45934</v>
      </c>
      <c r="G2954">
        <f>IF(TableRefills3[[#This Row],[prev_refill_end]]="","",TableRefills3[[#This Row],[refill_date]]-TableRefills3[[#This Row],[prev_refill_end]])</f>
        <v>-1</v>
      </c>
      <c r="H2954" s="10">
        <f>IF(TableRefills3[[#This Row],[gap_days]]="",0,IF(TableRefills3[[#This Row],[gap_days]]&gt;2,1,0))</f>
        <v>0</v>
      </c>
      <c r="I2954">
        <f>_xlfn.MAXIFS(TableRefills3[discountinuation_flag], TableRefills3[patient_id], A2954)</f>
        <v>0</v>
      </c>
    </row>
    <row r="2955" spans="1:9" x14ac:dyDescent="0.25">
      <c r="A2955" t="s">
        <v>4697</v>
      </c>
      <c r="B2955" t="s">
        <v>4698</v>
      </c>
      <c r="C2955" s="3">
        <v>45953</v>
      </c>
      <c r="D2955">
        <v>21</v>
      </c>
      <c r="E2955" s="3" t="str">
        <f t="shared" si="46"/>
        <v/>
      </c>
      <c r="F2955" s="3" t="str">
        <f>IF(TableRefills3[[#This Row],[prev_refill_days]]="","",TableRefills3[[#This Row],[prev_refill_days]]+TableRefills3[[#This Row],[quantity_days]])</f>
        <v/>
      </c>
      <c r="G2955" t="str">
        <f>IF(TableRefills3[[#This Row],[prev_refill_end]]="","",TableRefills3[[#This Row],[refill_date]]-TableRefills3[[#This Row],[prev_refill_end]])</f>
        <v/>
      </c>
      <c r="H2955" s="10">
        <f>IF(TableRefills3[[#This Row],[gap_days]]="",0,IF(TableRefills3[[#This Row],[gap_days]]&gt;2,1,0))</f>
        <v>0</v>
      </c>
      <c r="I2955">
        <f>_xlfn.MAXIFS(TableRefills3[discountinuation_flag], TableRefills3[patient_id], A2955)</f>
        <v>0</v>
      </c>
    </row>
    <row r="2956" spans="1:9" x14ac:dyDescent="0.25">
      <c r="A2956" t="s">
        <v>4700</v>
      </c>
      <c r="B2956" t="s">
        <v>4701</v>
      </c>
      <c r="C2956" s="3">
        <v>45884</v>
      </c>
      <c r="D2956">
        <v>28</v>
      </c>
      <c r="E2956" s="3" t="str">
        <f t="shared" si="46"/>
        <v/>
      </c>
      <c r="F2956" s="3" t="str">
        <f>IF(TableRefills3[[#This Row],[prev_refill_days]]="","",TableRefills3[[#This Row],[prev_refill_days]]+TableRefills3[[#This Row],[quantity_days]])</f>
        <v/>
      </c>
      <c r="G2956" t="str">
        <f>IF(TableRefills3[[#This Row],[prev_refill_end]]="","",TableRefills3[[#This Row],[refill_date]]-TableRefills3[[#This Row],[prev_refill_end]])</f>
        <v/>
      </c>
      <c r="H2956" s="10">
        <f>IF(TableRefills3[[#This Row],[gap_days]]="",0,IF(TableRefills3[[#This Row],[gap_days]]&gt;2,1,0))</f>
        <v>0</v>
      </c>
      <c r="I2956">
        <f>_xlfn.MAXIFS(TableRefills3[discountinuation_flag], TableRefills3[patient_id], A2956)</f>
        <v>0</v>
      </c>
    </row>
    <row r="2957" spans="1:9" x14ac:dyDescent="0.25">
      <c r="A2957" t="s">
        <v>4700</v>
      </c>
      <c r="B2957" t="s">
        <v>4701</v>
      </c>
      <c r="C2957" s="3">
        <v>45914</v>
      </c>
      <c r="D2957">
        <v>28</v>
      </c>
      <c r="E2957" s="3">
        <f t="shared" si="46"/>
        <v>45884</v>
      </c>
      <c r="F2957" s="3">
        <f>IF(TableRefills3[[#This Row],[prev_refill_days]]="","",TableRefills3[[#This Row],[prev_refill_days]]+TableRefills3[[#This Row],[quantity_days]])</f>
        <v>45912</v>
      </c>
      <c r="G2957">
        <f>IF(TableRefills3[[#This Row],[prev_refill_end]]="","",TableRefills3[[#This Row],[refill_date]]-TableRefills3[[#This Row],[prev_refill_end]])</f>
        <v>2</v>
      </c>
      <c r="H2957" s="10">
        <f>IF(TableRefills3[[#This Row],[gap_days]]="",0,IF(TableRefills3[[#This Row],[gap_days]]&gt;2,1,0))</f>
        <v>0</v>
      </c>
      <c r="I2957">
        <f>_xlfn.MAXIFS(TableRefills3[discountinuation_flag], TableRefills3[patient_id], A2957)</f>
        <v>0</v>
      </c>
    </row>
    <row r="2958" spans="1:9" x14ac:dyDescent="0.25">
      <c r="A2958" t="s">
        <v>4704</v>
      </c>
      <c r="B2958" t="s">
        <v>4705</v>
      </c>
      <c r="C2958" s="3">
        <v>45891</v>
      </c>
      <c r="D2958">
        <v>28</v>
      </c>
      <c r="E2958" s="3" t="str">
        <f t="shared" si="46"/>
        <v/>
      </c>
      <c r="F2958" s="3" t="str">
        <f>IF(TableRefills3[[#This Row],[prev_refill_days]]="","",TableRefills3[[#This Row],[prev_refill_days]]+TableRefills3[[#This Row],[quantity_days]])</f>
        <v/>
      </c>
      <c r="G2958" t="str">
        <f>IF(TableRefills3[[#This Row],[prev_refill_end]]="","",TableRefills3[[#This Row],[refill_date]]-TableRefills3[[#This Row],[prev_refill_end]])</f>
        <v/>
      </c>
      <c r="H2958" s="10">
        <f>IF(TableRefills3[[#This Row],[gap_days]]="",0,IF(TableRefills3[[#This Row],[gap_days]]&gt;2,1,0))</f>
        <v>0</v>
      </c>
      <c r="I2958">
        <f>_xlfn.MAXIFS(TableRefills3[discountinuation_flag], TableRefills3[patient_id], A2958)</f>
        <v>0</v>
      </c>
    </row>
    <row r="2959" spans="1:9" x14ac:dyDescent="0.25">
      <c r="A2959" t="s">
        <v>4707</v>
      </c>
      <c r="B2959" t="s">
        <v>4708</v>
      </c>
      <c r="C2959" s="3">
        <v>45820</v>
      </c>
      <c r="D2959">
        <v>30</v>
      </c>
      <c r="E2959" s="3" t="str">
        <f t="shared" si="46"/>
        <v/>
      </c>
      <c r="F2959" s="3" t="str">
        <f>IF(TableRefills3[[#This Row],[prev_refill_days]]="","",TableRefills3[[#This Row],[prev_refill_days]]+TableRefills3[[#This Row],[quantity_days]])</f>
        <v/>
      </c>
      <c r="G2959" t="str">
        <f>IF(TableRefills3[[#This Row],[prev_refill_end]]="","",TableRefills3[[#This Row],[refill_date]]-TableRefills3[[#This Row],[prev_refill_end]])</f>
        <v/>
      </c>
      <c r="H2959" s="10">
        <f>IF(TableRefills3[[#This Row],[gap_days]]="",0,IF(TableRefills3[[#This Row],[gap_days]]&gt;2,1,0))</f>
        <v>0</v>
      </c>
      <c r="I2959">
        <f>_xlfn.MAXIFS(TableRefills3[discountinuation_flag], TableRefills3[patient_id], A2959)</f>
        <v>0</v>
      </c>
    </row>
    <row r="2960" spans="1:9" x14ac:dyDescent="0.25">
      <c r="A2960" t="s">
        <v>4707</v>
      </c>
      <c r="B2960" t="s">
        <v>4708</v>
      </c>
      <c r="C2960" s="3">
        <v>45852</v>
      </c>
      <c r="D2960">
        <v>30</v>
      </c>
      <c r="E2960" s="3">
        <f t="shared" si="46"/>
        <v>45820</v>
      </c>
      <c r="F2960" s="3">
        <f>IF(TableRefills3[[#This Row],[prev_refill_days]]="","",TableRefills3[[#This Row],[prev_refill_days]]+TableRefills3[[#This Row],[quantity_days]])</f>
        <v>45850</v>
      </c>
      <c r="G2960">
        <f>IF(TableRefills3[[#This Row],[prev_refill_end]]="","",TableRefills3[[#This Row],[refill_date]]-TableRefills3[[#This Row],[prev_refill_end]])</f>
        <v>2</v>
      </c>
      <c r="H2960" s="10">
        <f>IF(TableRefills3[[#This Row],[gap_days]]="",0,IF(TableRefills3[[#This Row],[gap_days]]&gt;2,1,0))</f>
        <v>0</v>
      </c>
      <c r="I2960">
        <f>_xlfn.MAXIFS(TableRefills3[discountinuation_flag], TableRefills3[patient_id], A2960)</f>
        <v>0</v>
      </c>
    </row>
    <row r="2961" spans="1:9" x14ac:dyDescent="0.25">
      <c r="A2961" t="s">
        <v>4711</v>
      </c>
      <c r="B2961" t="s">
        <v>4712</v>
      </c>
      <c r="C2961" s="3">
        <v>45922</v>
      </c>
      <c r="D2961">
        <v>28</v>
      </c>
      <c r="E2961" s="3" t="str">
        <f t="shared" si="46"/>
        <v/>
      </c>
      <c r="F2961" s="3" t="str">
        <f>IF(TableRefills3[[#This Row],[prev_refill_days]]="","",TableRefills3[[#This Row],[prev_refill_days]]+TableRefills3[[#This Row],[quantity_days]])</f>
        <v/>
      </c>
      <c r="G2961" t="str">
        <f>IF(TableRefills3[[#This Row],[prev_refill_end]]="","",TableRefills3[[#This Row],[refill_date]]-TableRefills3[[#This Row],[prev_refill_end]])</f>
        <v/>
      </c>
      <c r="H2961" s="10">
        <f>IF(TableRefills3[[#This Row],[gap_days]]="",0,IF(TableRefills3[[#This Row],[gap_days]]&gt;2,1,0))</f>
        <v>0</v>
      </c>
      <c r="I2961">
        <f>_xlfn.MAXIFS(TableRefills3[discountinuation_flag], TableRefills3[patient_id], A2961)</f>
        <v>0</v>
      </c>
    </row>
    <row r="2962" spans="1:9" x14ac:dyDescent="0.25">
      <c r="A2962" t="s">
        <v>4711</v>
      </c>
      <c r="B2962" t="s">
        <v>4712</v>
      </c>
      <c r="C2962" s="3">
        <v>45948</v>
      </c>
      <c r="D2962">
        <v>28</v>
      </c>
      <c r="E2962" s="3">
        <f t="shared" si="46"/>
        <v>45922</v>
      </c>
      <c r="F2962" s="3">
        <f>IF(TableRefills3[[#This Row],[prev_refill_days]]="","",TableRefills3[[#This Row],[prev_refill_days]]+TableRefills3[[#This Row],[quantity_days]])</f>
        <v>45950</v>
      </c>
      <c r="G2962">
        <f>IF(TableRefills3[[#This Row],[prev_refill_end]]="","",TableRefills3[[#This Row],[refill_date]]-TableRefills3[[#This Row],[prev_refill_end]])</f>
        <v>-2</v>
      </c>
      <c r="H2962" s="10">
        <f>IF(TableRefills3[[#This Row],[gap_days]]="",0,IF(TableRefills3[[#This Row],[gap_days]]&gt;2,1,0))</f>
        <v>0</v>
      </c>
      <c r="I2962">
        <f>_xlfn.MAXIFS(TableRefills3[discountinuation_flag], TableRefills3[patient_id], A2962)</f>
        <v>0</v>
      </c>
    </row>
    <row r="2963" spans="1:9" x14ac:dyDescent="0.25">
      <c r="A2963" t="s">
        <v>4715</v>
      </c>
      <c r="B2963" t="s">
        <v>4716</v>
      </c>
      <c r="C2963" s="3">
        <v>45834</v>
      </c>
      <c r="D2963">
        <v>28</v>
      </c>
      <c r="E2963" s="3" t="str">
        <f t="shared" si="46"/>
        <v/>
      </c>
      <c r="F2963" s="3" t="str">
        <f>IF(TableRefills3[[#This Row],[prev_refill_days]]="","",TableRefills3[[#This Row],[prev_refill_days]]+TableRefills3[[#This Row],[quantity_days]])</f>
        <v/>
      </c>
      <c r="G2963" t="str">
        <f>IF(TableRefills3[[#This Row],[prev_refill_end]]="","",TableRefills3[[#This Row],[refill_date]]-TableRefills3[[#This Row],[prev_refill_end]])</f>
        <v/>
      </c>
      <c r="H2963" s="10">
        <f>IF(TableRefills3[[#This Row],[gap_days]]="",0,IF(TableRefills3[[#This Row],[gap_days]]&gt;2,1,0))</f>
        <v>0</v>
      </c>
      <c r="I2963">
        <f>_xlfn.MAXIFS(TableRefills3[discountinuation_flag], TableRefills3[patient_id], A2963)</f>
        <v>0</v>
      </c>
    </row>
    <row r="2964" spans="1:9" x14ac:dyDescent="0.25">
      <c r="A2964" t="s">
        <v>4715</v>
      </c>
      <c r="B2964" t="s">
        <v>4716</v>
      </c>
      <c r="C2964" s="3">
        <v>45862</v>
      </c>
      <c r="D2964">
        <v>28</v>
      </c>
      <c r="E2964" s="3">
        <f t="shared" si="46"/>
        <v>45834</v>
      </c>
      <c r="F2964" s="3">
        <f>IF(TableRefills3[[#This Row],[prev_refill_days]]="","",TableRefills3[[#This Row],[prev_refill_days]]+TableRefills3[[#This Row],[quantity_days]])</f>
        <v>45862</v>
      </c>
      <c r="G2964">
        <f>IF(TableRefills3[[#This Row],[prev_refill_end]]="","",TableRefills3[[#This Row],[refill_date]]-TableRefills3[[#This Row],[prev_refill_end]])</f>
        <v>0</v>
      </c>
      <c r="H2964" s="10">
        <f>IF(TableRefills3[[#This Row],[gap_days]]="",0,IF(TableRefills3[[#This Row],[gap_days]]&gt;2,1,0))</f>
        <v>0</v>
      </c>
      <c r="I2964">
        <f>_xlfn.MAXIFS(TableRefills3[discountinuation_flag], TableRefills3[patient_id], A2964)</f>
        <v>0</v>
      </c>
    </row>
    <row r="2965" spans="1:9" x14ac:dyDescent="0.25">
      <c r="A2965" t="s">
        <v>4719</v>
      </c>
      <c r="B2965" t="s">
        <v>4720</v>
      </c>
      <c r="C2965" s="3">
        <v>45786</v>
      </c>
      <c r="D2965">
        <v>28</v>
      </c>
      <c r="E2965" s="3" t="str">
        <f t="shared" si="46"/>
        <v/>
      </c>
      <c r="F2965" s="3" t="str">
        <f>IF(TableRefills3[[#This Row],[prev_refill_days]]="","",TableRefills3[[#This Row],[prev_refill_days]]+TableRefills3[[#This Row],[quantity_days]])</f>
        <v/>
      </c>
      <c r="G2965" t="str">
        <f>IF(TableRefills3[[#This Row],[prev_refill_end]]="","",TableRefills3[[#This Row],[refill_date]]-TableRefills3[[#This Row],[prev_refill_end]])</f>
        <v/>
      </c>
      <c r="H2965" s="10">
        <f>IF(TableRefills3[[#This Row],[gap_days]]="",0,IF(TableRefills3[[#This Row],[gap_days]]&gt;2,1,0))</f>
        <v>0</v>
      </c>
      <c r="I2965">
        <f>_xlfn.MAXIFS(TableRefills3[discountinuation_flag], TableRefills3[patient_id], A2965)</f>
        <v>1</v>
      </c>
    </row>
    <row r="2966" spans="1:9" x14ac:dyDescent="0.25">
      <c r="A2966" t="s">
        <v>4719</v>
      </c>
      <c r="B2966" t="s">
        <v>4720</v>
      </c>
      <c r="C2966" s="3">
        <v>45815</v>
      </c>
      <c r="D2966">
        <v>28</v>
      </c>
      <c r="E2966" s="3">
        <f t="shared" si="46"/>
        <v>45786</v>
      </c>
      <c r="F2966" s="3">
        <f>IF(TableRefills3[[#This Row],[prev_refill_days]]="","",TableRefills3[[#This Row],[prev_refill_days]]+TableRefills3[[#This Row],[quantity_days]])</f>
        <v>45814</v>
      </c>
      <c r="G2966">
        <f>IF(TableRefills3[[#This Row],[prev_refill_end]]="","",TableRefills3[[#This Row],[refill_date]]-TableRefills3[[#This Row],[prev_refill_end]])</f>
        <v>1</v>
      </c>
      <c r="H2966" s="10">
        <f>IF(TableRefills3[[#This Row],[gap_days]]="",0,IF(TableRefills3[[#This Row],[gap_days]]&gt;2,1,0))</f>
        <v>0</v>
      </c>
      <c r="I2966">
        <f>_xlfn.MAXIFS(TableRefills3[discountinuation_flag], TableRefills3[patient_id], A2966)</f>
        <v>1</v>
      </c>
    </row>
    <row r="2967" spans="1:9" x14ac:dyDescent="0.25">
      <c r="A2967" t="s">
        <v>4719</v>
      </c>
      <c r="B2967" t="s">
        <v>4720</v>
      </c>
      <c r="C2967" s="3">
        <v>45843</v>
      </c>
      <c r="D2967">
        <v>28</v>
      </c>
      <c r="E2967" s="3">
        <f t="shared" si="46"/>
        <v>45815</v>
      </c>
      <c r="F2967" s="3">
        <f>IF(TableRefills3[[#This Row],[prev_refill_days]]="","",TableRefills3[[#This Row],[prev_refill_days]]+TableRefills3[[#This Row],[quantity_days]])</f>
        <v>45843</v>
      </c>
      <c r="G2967">
        <f>IF(TableRefills3[[#This Row],[prev_refill_end]]="","",TableRefills3[[#This Row],[refill_date]]-TableRefills3[[#This Row],[prev_refill_end]])</f>
        <v>0</v>
      </c>
      <c r="H2967" s="10">
        <f>IF(TableRefills3[[#This Row],[gap_days]]="",0,IF(TableRefills3[[#This Row],[gap_days]]&gt;2,1,0))</f>
        <v>0</v>
      </c>
      <c r="I2967">
        <f>_xlfn.MAXIFS(TableRefills3[discountinuation_flag], TableRefills3[patient_id], A2967)</f>
        <v>1</v>
      </c>
    </row>
    <row r="2968" spans="1:9" x14ac:dyDescent="0.25">
      <c r="A2968" t="s">
        <v>4719</v>
      </c>
      <c r="B2968" t="s">
        <v>4720</v>
      </c>
      <c r="C2968" s="3">
        <v>45873</v>
      </c>
      <c r="D2968">
        <v>28</v>
      </c>
      <c r="E2968" s="3">
        <f t="shared" si="46"/>
        <v>45843</v>
      </c>
      <c r="F2968" s="3">
        <f>IF(TableRefills3[[#This Row],[prev_refill_days]]="","",TableRefills3[[#This Row],[prev_refill_days]]+TableRefills3[[#This Row],[quantity_days]])</f>
        <v>45871</v>
      </c>
      <c r="G2968">
        <f>IF(TableRefills3[[#This Row],[prev_refill_end]]="","",TableRefills3[[#This Row],[refill_date]]-TableRefills3[[#This Row],[prev_refill_end]])</f>
        <v>2</v>
      </c>
      <c r="H2968" s="10">
        <f>IF(TableRefills3[[#This Row],[gap_days]]="",0,IF(TableRefills3[[#This Row],[gap_days]]&gt;2,1,0))</f>
        <v>0</v>
      </c>
      <c r="I2968">
        <f>_xlfn.MAXIFS(TableRefills3[discountinuation_flag], TableRefills3[patient_id], A2968)</f>
        <v>1</v>
      </c>
    </row>
    <row r="2969" spans="1:9" x14ac:dyDescent="0.25">
      <c r="A2969" t="s">
        <v>4719</v>
      </c>
      <c r="B2969" t="s">
        <v>4720</v>
      </c>
      <c r="C2969" s="3">
        <v>45899</v>
      </c>
      <c r="D2969">
        <v>28</v>
      </c>
      <c r="E2969" s="3">
        <f t="shared" si="46"/>
        <v>45873</v>
      </c>
      <c r="F2969" s="3">
        <f>IF(TableRefills3[[#This Row],[prev_refill_days]]="","",TableRefills3[[#This Row],[prev_refill_days]]+TableRefills3[[#This Row],[quantity_days]])</f>
        <v>45901</v>
      </c>
      <c r="G2969">
        <f>IF(TableRefills3[[#This Row],[prev_refill_end]]="","",TableRefills3[[#This Row],[refill_date]]-TableRefills3[[#This Row],[prev_refill_end]])</f>
        <v>-2</v>
      </c>
      <c r="H2969" s="10">
        <f>IF(TableRefills3[[#This Row],[gap_days]]="",0,IF(TableRefills3[[#This Row],[gap_days]]&gt;2,1,0))</f>
        <v>0</v>
      </c>
      <c r="I2969">
        <f>_xlfn.MAXIFS(TableRefills3[discountinuation_flag], TableRefills3[patient_id], A2969)</f>
        <v>1</v>
      </c>
    </row>
    <row r="2970" spans="1:9" x14ac:dyDescent="0.25">
      <c r="A2970" t="s">
        <v>4719</v>
      </c>
      <c r="B2970" t="s">
        <v>4720</v>
      </c>
      <c r="C2970" s="3">
        <v>45930</v>
      </c>
      <c r="D2970">
        <v>28</v>
      </c>
      <c r="E2970" s="3">
        <f t="shared" si="46"/>
        <v>45899</v>
      </c>
      <c r="F2970" s="3">
        <f>IF(TableRefills3[[#This Row],[prev_refill_days]]="","",TableRefills3[[#This Row],[prev_refill_days]]+TableRefills3[[#This Row],[quantity_days]])</f>
        <v>45927</v>
      </c>
      <c r="G2970">
        <f>IF(TableRefills3[[#This Row],[prev_refill_end]]="","",TableRefills3[[#This Row],[refill_date]]-TableRefills3[[#This Row],[prev_refill_end]])</f>
        <v>3</v>
      </c>
      <c r="H2970" s="10">
        <f>IF(TableRefills3[[#This Row],[gap_days]]="",0,IF(TableRefills3[[#This Row],[gap_days]]&gt;2,1,0))</f>
        <v>1</v>
      </c>
      <c r="I2970">
        <f>_xlfn.MAXIFS(TableRefills3[discountinuation_flag], TableRefills3[patient_id], A2970)</f>
        <v>1</v>
      </c>
    </row>
    <row r="2971" spans="1:9" x14ac:dyDescent="0.25">
      <c r="A2971" t="s">
        <v>4719</v>
      </c>
      <c r="B2971" t="s">
        <v>4720</v>
      </c>
      <c r="C2971" s="3">
        <v>45956</v>
      </c>
      <c r="D2971">
        <v>28</v>
      </c>
      <c r="E2971" s="3">
        <f t="shared" si="46"/>
        <v>45930</v>
      </c>
      <c r="F2971" s="3">
        <f>IF(TableRefills3[[#This Row],[prev_refill_days]]="","",TableRefills3[[#This Row],[prev_refill_days]]+TableRefills3[[#This Row],[quantity_days]])</f>
        <v>45958</v>
      </c>
      <c r="G2971">
        <f>IF(TableRefills3[[#This Row],[prev_refill_end]]="","",TableRefills3[[#This Row],[refill_date]]-TableRefills3[[#This Row],[prev_refill_end]])</f>
        <v>-2</v>
      </c>
      <c r="H2971" s="10">
        <f>IF(TableRefills3[[#This Row],[gap_days]]="",0,IF(TableRefills3[[#This Row],[gap_days]]&gt;2,1,0))</f>
        <v>0</v>
      </c>
      <c r="I2971">
        <f>_xlfn.MAXIFS(TableRefills3[discountinuation_flag], TableRefills3[patient_id], A2971)</f>
        <v>1</v>
      </c>
    </row>
    <row r="2972" spans="1:9" x14ac:dyDescent="0.25">
      <c r="A2972" t="s">
        <v>4728</v>
      </c>
      <c r="B2972" t="s">
        <v>4729</v>
      </c>
      <c r="C2972" s="3">
        <v>45835</v>
      </c>
      <c r="D2972">
        <v>28</v>
      </c>
      <c r="E2972" s="3" t="str">
        <f t="shared" si="46"/>
        <v/>
      </c>
      <c r="F2972" s="3" t="str">
        <f>IF(TableRefills3[[#This Row],[prev_refill_days]]="","",TableRefills3[[#This Row],[prev_refill_days]]+TableRefills3[[#This Row],[quantity_days]])</f>
        <v/>
      </c>
      <c r="G2972" t="str">
        <f>IF(TableRefills3[[#This Row],[prev_refill_end]]="","",TableRefills3[[#This Row],[refill_date]]-TableRefills3[[#This Row],[prev_refill_end]])</f>
        <v/>
      </c>
      <c r="H2972" s="10">
        <f>IF(TableRefills3[[#This Row],[gap_days]]="",0,IF(TableRefills3[[#This Row],[gap_days]]&gt;2,1,0))</f>
        <v>0</v>
      </c>
      <c r="I2972">
        <f>_xlfn.MAXIFS(TableRefills3[discountinuation_flag], TableRefills3[patient_id], A2972)</f>
        <v>0</v>
      </c>
    </row>
    <row r="2973" spans="1:9" x14ac:dyDescent="0.25">
      <c r="A2973" t="s">
        <v>4728</v>
      </c>
      <c r="B2973" t="s">
        <v>4729</v>
      </c>
      <c r="C2973" s="3">
        <v>45863</v>
      </c>
      <c r="D2973">
        <v>28</v>
      </c>
      <c r="E2973" s="3">
        <f t="shared" si="46"/>
        <v>45835</v>
      </c>
      <c r="F2973" s="3">
        <f>IF(TableRefills3[[#This Row],[prev_refill_days]]="","",TableRefills3[[#This Row],[prev_refill_days]]+TableRefills3[[#This Row],[quantity_days]])</f>
        <v>45863</v>
      </c>
      <c r="G2973">
        <f>IF(TableRefills3[[#This Row],[prev_refill_end]]="","",TableRefills3[[#This Row],[refill_date]]-TableRefills3[[#This Row],[prev_refill_end]])</f>
        <v>0</v>
      </c>
      <c r="H2973" s="10">
        <f>IF(TableRefills3[[#This Row],[gap_days]]="",0,IF(TableRefills3[[#This Row],[gap_days]]&gt;2,1,0))</f>
        <v>0</v>
      </c>
      <c r="I2973">
        <f>_xlfn.MAXIFS(TableRefills3[discountinuation_flag], TableRefills3[patient_id], A2973)</f>
        <v>0</v>
      </c>
    </row>
    <row r="2974" spans="1:9" x14ac:dyDescent="0.25">
      <c r="A2974" t="s">
        <v>4728</v>
      </c>
      <c r="B2974" t="s">
        <v>4729</v>
      </c>
      <c r="C2974" s="3">
        <v>45893</v>
      </c>
      <c r="D2974">
        <v>28</v>
      </c>
      <c r="E2974" s="3">
        <f t="shared" si="46"/>
        <v>45863</v>
      </c>
      <c r="F2974" s="3">
        <f>IF(TableRefills3[[#This Row],[prev_refill_days]]="","",TableRefills3[[#This Row],[prev_refill_days]]+TableRefills3[[#This Row],[quantity_days]])</f>
        <v>45891</v>
      </c>
      <c r="G2974">
        <f>IF(TableRefills3[[#This Row],[prev_refill_end]]="","",TableRefills3[[#This Row],[refill_date]]-TableRefills3[[#This Row],[prev_refill_end]])</f>
        <v>2</v>
      </c>
      <c r="H2974" s="10">
        <f>IF(TableRefills3[[#This Row],[gap_days]]="",0,IF(TableRefills3[[#This Row],[gap_days]]&gt;2,1,0))</f>
        <v>0</v>
      </c>
      <c r="I2974">
        <f>_xlfn.MAXIFS(TableRefills3[discountinuation_flag], TableRefills3[patient_id], A2974)</f>
        <v>0</v>
      </c>
    </row>
    <row r="2975" spans="1:9" x14ac:dyDescent="0.25">
      <c r="A2975" t="s">
        <v>4733</v>
      </c>
      <c r="B2975" t="s">
        <v>4734</v>
      </c>
      <c r="C2975" s="3">
        <v>45851</v>
      </c>
      <c r="D2975">
        <v>30</v>
      </c>
      <c r="E2975" s="3" t="str">
        <f t="shared" si="46"/>
        <v/>
      </c>
      <c r="F2975" s="3" t="str">
        <f>IF(TableRefills3[[#This Row],[prev_refill_days]]="","",TableRefills3[[#This Row],[prev_refill_days]]+TableRefills3[[#This Row],[quantity_days]])</f>
        <v/>
      </c>
      <c r="G2975" t="str">
        <f>IF(TableRefills3[[#This Row],[prev_refill_end]]="","",TableRefills3[[#This Row],[refill_date]]-TableRefills3[[#This Row],[prev_refill_end]])</f>
        <v/>
      </c>
      <c r="H2975" s="10">
        <f>IF(TableRefills3[[#This Row],[gap_days]]="",0,IF(TableRefills3[[#This Row],[gap_days]]&gt;2,1,0))</f>
        <v>0</v>
      </c>
      <c r="I2975">
        <f>_xlfn.MAXIFS(TableRefills3[discountinuation_flag], TableRefills3[patient_id], A2975)</f>
        <v>0</v>
      </c>
    </row>
    <row r="2976" spans="1:9" x14ac:dyDescent="0.25">
      <c r="A2976" t="s">
        <v>4736</v>
      </c>
      <c r="B2976" t="s">
        <v>4737</v>
      </c>
      <c r="C2976" s="3">
        <v>45895</v>
      </c>
      <c r="D2976">
        <v>28</v>
      </c>
      <c r="E2976" s="3" t="str">
        <f t="shared" si="46"/>
        <v/>
      </c>
      <c r="F2976" s="3" t="str">
        <f>IF(TableRefills3[[#This Row],[prev_refill_days]]="","",TableRefills3[[#This Row],[prev_refill_days]]+TableRefills3[[#This Row],[quantity_days]])</f>
        <v/>
      </c>
      <c r="G2976" t="str">
        <f>IF(TableRefills3[[#This Row],[prev_refill_end]]="","",TableRefills3[[#This Row],[refill_date]]-TableRefills3[[#This Row],[prev_refill_end]])</f>
        <v/>
      </c>
      <c r="H2976" s="10">
        <f>IF(TableRefills3[[#This Row],[gap_days]]="",0,IF(TableRefills3[[#This Row],[gap_days]]&gt;2,1,0))</f>
        <v>0</v>
      </c>
      <c r="I2976">
        <f>_xlfn.MAXIFS(TableRefills3[discountinuation_flag], TableRefills3[patient_id], A2976)</f>
        <v>0</v>
      </c>
    </row>
    <row r="2977" spans="1:9" x14ac:dyDescent="0.25">
      <c r="A2977" t="s">
        <v>4736</v>
      </c>
      <c r="B2977" t="s">
        <v>4737</v>
      </c>
      <c r="C2977" s="3">
        <v>45925</v>
      </c>
      <c r="D2977">
        <v>28</v>
      </c>
      <c r="E2977" s="3">
        <f t="shared" si="46"/>
        <v>45895</v>
      </c>
      <c r="F2977" s="3">
        <f>IF(TableRefills3[[#This Row],[prev_refill_days]]="","",TableRefills3[[#This Row],[prev_refill_days]]+TableRefills3[[#This Row],[quantity_days]])</f>
        <v>45923</v>
      </c>
      <c r="G2977">
        <f>IF(TableRefills3[[#This Row],[prev_refill_end]]="","",TableRefills3[[#This Row],[refill_date]]-TableRefills3[[#This Row],[prev_refill_end]])</f>
        <v>2</v>
      </c>
      <c r="H2977" s="10">
        <f>IF(TableRefills3[[#This Row],[gap_days]]="",0,IF(TableRefills3[[#This Row],[gap_days]]&gt;2,1,0))</f>
        <v>0</v>
      </c>
      <c r="I2977">
        <f>_xlfn.MAXIFS(TableRefills3[discountinuation_flag], TableRefills3[patient_id], A2977)</f>
        <v>0</v>
      </c>
    </row>
    <row r="2978" spans="1:9" x14ac:dyDescent="0.25">
      <c r="A2978" t="s">
        <v>4736</v>
      </c>
      <c r="B2978" t="s">
        <v>4737</v>
      </c>
      <c r="C2978" s="3">
        <v>45951</v>
      </c>
      <c r="D2978">
        <v>28</v>
      </c>
      <c r="E2978" s="3">
        <f t="shared" si="46"/>
        <v>45925</v>
      </c>
      <c r="F2978" s="3">
        <f>IF(TableRefills3[[#This Row],[prev_refill_days]]="","",TableRefills3[[#This Row],[prev_refill_days]]+TableRefills3[[#This Row],[quantity_days]])</f>
        <v>45953</v>
      </c>
      <c r="G2978">
        <f>IF(TableRefills3[[#This Row],[prev_refill_end]]="","",TableRefills3[[#This Row],[refill_date]]-TableRefills3[[#This Row],[prev_refill_end]])</f>
        <v>-2</v>
      </c>
      <c r="H2978" s="10">
        <f>IF(TableRefills3[[#This Row],[gap_days]]="",0,IF(TableRefills3[[#This Row],[gap_days]]&gt;2,1,0))</f>
        <v>0</v>
      </c>
      <c r="I2978">
        <f>_xlfn.MAXIFS(TableRefills3[discountinuation_flag], TableRefills3[patient_id], A2978)</f>
        <v>0</v>
      </c>
    </row>
    <row r="2979" spans="1:9" x14ac:dyDescent="0.25">
      <c r="A2979" t="s">
        <v>4741</v>
      </c>
      <c r="B2979" t="s">
        <v>4742</v>
      </c>
      <c r="C2979" s="3">
        <v>45904</v>
      </c>
      <c r="D2979">
        <v>30</v>
      </c>
      <c r="E2979" s="3" t="str">
        <f t="shared" si="46"/>
        <v/>
      </c>
      <c r="F2979" s="3" t="str">
        <f>IF(TableRefills3[[#This Row],[prev_refill_days]]="","",TableRefills3[[#This Row],[prev_refill_days]]+TableRefills3[[#This Row],[quantity_days]])</f>
        <v/>
      </c>
      <c r="G2979" t="str">
        <f>IF(TableRefills3[[#This Row],[prev_refill_end]]="","",TableRefills3[[#This Row],[refill_date]]-TableRefills3[[#This Row],[prev_refill_end]])</f>
        <v/>
      </c>
      <c r="H2979" s="10">
        <f>IF(TableRefills3[[#This Row],[gap_days]]="",0,IF(TableRefills3[[#This Row],[gap_days]]&gt;2,1,0))</f>
        <v>0</v>
      </c>
      <c r="I2979">
        <f>_xlfn.MAXIFS(TableRefills3[discountinuation_flag], TableRefills3[patient_id], A2979)</f>
        <v>0</v>
      </c>
    </row>
    <row r="2980" spans="1:9" x14ac:dyDescent="0.25">
      <c r="A2980" t="s">
        <v>4741</v>
      </c>
      <c r="B2980" t="s">
        <v>4742</v>
      </c>
      <c r="C2980" s="3">
        <v>45933</v>
      </c>
      <c r="D2980">
        <v>30</v>
      </c>
      <c r="E2980" s="3">
        <f t="shared" si="46"/>
        <v>45904</v>
      </c>
      <c r="F2980" s="3">
        <f>IF(TableRefills3[[#This Row],[prev_refill_days]]="","",TableRefills3[[#This Row],[prev_refill_days]]+TableRefills3[[#This Row],[quantity_days]])</f>
        <v>45934</v>
      </c>
      <c r="G2980">
        <f>IF(TableRefills3[[#This Row],[prev_refill_end]]="","",TableRefills3[[#This Row],[refill_date]]-TableRefills3[[#This Row],[prev_refill_end]])</f>
        <v>-1</v>
      </c>
      <c r="H2980" s="10">
        <f>IF(TableRefills3[[#This Row],[gap_days]]="",0,IF(TableRefills3[[#This Row],[gap_days]]&gt;2,1,0))</f>
        <v>0</v>
      </c>
      <c r="I2980">
        <f>_xlfn.MAXIFS(TableRefills3[discountinuation_flag], TableRefills3[patient_id], A2980)</f>
        <v>0</v>
      </c>
    </row>
    <row r="2981" spans="1:9" x14ac:dyDescent="0.25">
      <c r="A2981" t="s">
        <v>4741</v>
      </c>
      <c r="B2981" t="s">
        <v>4742</v>
      </c>
      <c r="C2981" s="3">
        <v>45960</v>
      </c>
      <c r="D2981">
        <v>30</v>
      </c>
      <c r="E2981" s="3">
        <f t="shared" si="46"/>
        <v>45933</v>
      </c>
      <c r="F2981" s="3">
        <f>IF(TableRefills3[[#This Row],[prev_refill_days]]="","",TableRefills3[[#This Row],[prev_refill_days]]+TableRefills3[[#This Row],[quantity_days]])</f>
        <v>45963</v>
      </c>
      <c r="G2981">
        <f>IF(TableRefills3[[#This Row],[prev_refill_end]]="","",TableRefills3[[#This Row],[refill_date]]-TableRefills3[[#This Row],[prev_refill_end]])</f>
        <v>-3</v>
      </c>
      <c r="H2981" s="10">
        <f>IF(TableRefills3[[#This Row],[gap_days]]="",0,IF(TableRefills3[[#This Row],[gap_days]]&gt;2,1,0))</f>
        <v>0</v>
      </c>
      <c r="I2981">
        <f>_xlfn.MAXIFS(TableRefills3[discountinuation_flag], TableRefills3[patient_id], A2981)</f>
        <v>0</v>
      </c>
    </row>
    <row r="2982" spans="1:9" x14ac:dyDescent="0.25">
      <c r="A2982" t="s">
        <v>4746</v>
      </c>
      <c r="B2982" t="s">
        <v>4747</v>
      </c>
      <c r="C2982" s="3">
        <v>45908</v>
      </c>
      <c r="D2982">
        <v>28</v>
      </c>
      <c r="E2982" s="3" t="str">
        <f t="shared" si="46"/>
        <v/>
      </c>
      <c r="F2982" s="3" t="str">
        <f>IF(TableRefills3[[#This Row],[prev_refill_days]]="","",TableRefills3[[#This Row],[prev_refill_days]]+TableRefills3[[#This Row],[quantity_days]])</f>
        <v/>
      </c>
      <c r="G2982" t="str">
        <f>IF(TableRefills3[[#This Row],[prev_refill_end]]="","",TableRefills3[[#This Row],[refill_date]]-TableRefills3[[#This Row],[prev_refill_end]])</f>
        <v/>
      </c>
      <c r="H2982" s="10">
        <f>IF(TableRefills3[[#This Row],[gap_days]]="",0,IF(TableRefills3[[#This Row],[gap_days]]&gt;2,1,0))</f>
        <v>0</v>
      </c>
      <c r="I2982">
        <f>_xlfn.MAXIFS(TableRefills3[discountinuation_flag], TableRefills3[patient_id], A2982)</f>
        <v>0</v>
      </c>
    </row>
    <row r="2983" spans="1:9" x14ac:dyDescent="0.25">
      <c r="A2983" t="s">
        <v>4746</v>
      </c>
      <c r="B2983" t="s">
        <v>4747</v>
      </c>
      <c r="C2983" s="3">
        <v>45937</v>
      </c>
      <c r="D2983">
        <v>28</v>
      </c>
      <c r="E2983" s="3">
        <f t="shared" si="46"/>
        <v>45908</v>
      </c>
      <c r="F2983" s="3">
        <f>IF(TableRefills3[[#This Row],[prev_refill_days]]="","",TableRefills3[[#This Row],[prev_refill_days]]+TableRefills3[[#This Row],[quantity_days]])</f>
        <v>45936</v>
      </c>
      <c r="G2983">
        <f>IF(TableRefills3[[#This Row],[prev_refill_end]]="","",TableRefills3[[#This Row],[refill_date]]-TableRefills3[[#This Row],[prev_refill_end]])</f>
        <v>1</v>
      </c>
      <c r="H2983" s="10">
        <f>IF(TableRefills3[[#This Row],[gap_days]]="",0,IF(TableRefills3[[#This Row],[gap_days]]&gt;2,1,0))</f>
        <v>0</v>
      </c>
      <c r="I2983">
        <f>_xlfn.MAXIFS(TableRefills3[discountinuation_flag], TableRefills3[patient_id], A2983)</f>
        <v>0</v>
      </c>
    </row>
    <row r="2984" spans="1:9" x14ac:dyDescent="0.25">
      <c r="A2984" t="s">
        <v>4750</v>
      </c>
      <c r="B2984" t="s">
        <v>4751</v>
      </c>
      <c r="C2984" s="3">
        <v>45924</v>
      </c>
      <c r="D2984">
        <v>28</v>
      </c>
      <c r="E2984" s="3" t="str">
        <f t="shared" si="46"/>
        <v/>
      </c>
      <c r="F2984" s="3" t="str">
        <f>IF(TableRefills3[[#This Row],[prev_refill_days]]="","",TableRefills3[[#This Row],[prev_refill_days]]+TableRefills3[[#This Row],[quantity_days]])</f>
        <v/>
      </c>
      <c r="G2984" t="str">
        <f>IF(TableRefills3[[#This Row],[prev_refill_end]]="","",TableRefills3[[#This Row],[refill_date]]-TableRefills3[[#This Row],[prev_refill_end]])</f>
        <v/>
      </c>
      <c r="H2984" s="10">
        <f>IF(TableRefills3[[#This Row],[gap_days]]="",0,IF(TableRefills3[[#This Row],[gap_days]]&gt;2,1,0))</f>
        <v>0</v>
      </c>
      <c r="I2984">
        <f>_xlfn.MAXIFS(TableRefills3[discountinuation_flag], TableRefills3[patient_id], A2984)</f>
        <v>1</v>
      </c>
    </row>
    <row r="2985" spans="1:9" x14ac:dyDescent="0.25">
      <c r="A2985" t="s">
        <v>4750</v>
      </c>
      <c r="B2985" t="s">
        <v>4751</v>
      </c>
      <c r="C2985" s="3">
        <v>45955</v>
      </c>
      <c r="D2985">
        <v>28</v>
      </c>
      <c r="E2985" s="3">
        <f t="shared" si="46"/>
        <v>45924</v>
      </c>
      <c r="F2985" s="3">
        <f>IF(TableRefills3[[#This Row],[prev_refill_days]]="","",TableRefills3[[#This Row],[prev_refill_days]]+TableRefills3[[#This Row],[quantity_days]])</f>
        <v>45952</v>
      </c>
      <c r="G2985">
        <f>IF(TableRefills3[[#This Row],[prev_refill_end]]="","",TableRefills3[[#This Row],[refill_date]]-TableRefills3[[#This Row],[prev_refill_end]])</f>
        <v>3</v>
      </c>
      <c r="H2985" s="10">
        <f>IF(TableRefills3[[#This Row],[gap_days]]="",0,IF(TableRefills3[[#This Row],[gap_days]]&gt;2,1,0))</f>
        <v>1</v>
      </c>
      <c r="I2985">
        <f>_xlfn.MAXIFS(TableRefills3[discountinuation_flag], TableRefills3[patient_id], A2985)</f>
        <v>1</v>
      </c>
    </row>
    <row r="2986" spans="1:9" x14ac:dyDescent="0.25">
      <c r="A2986" t="s">
        <v>4754</v>
      </c>
      <c r="B2986" t="s">
        <v>4755</v>
      </c>
      <c r="C2986" s="3">
        <v>45846</v>
      </c>
      <c r="D2986">
        <v>28</v>
      </c>
      <c r="E2986" s="3" t="str">
        <f t="shared" si="46"/>
        <v/>
      </c>
      <c r="F2986" s="3" t="str">
        <f>IF(TableRefills3[[#This Row],[prev_refill_days]]="","",TableRefills3[[#This Row],[prev_refill_days]]+TableRefills3[[#This Row],[quantity_days]])</f>
        <v/>
      </c>
      <c r="G2986" t="str">
        <f>IF(TableRefills3[[#This Row],[prev_refill_end]]="","",TableRefills3[[#This Row],[refill_date]]-TableRefills3[[#This Row],[prev_refill_end]])</f>
        <v/>
      </c>
      <c r="H2986" s="10">
        <f>IF(TableRefills3[[#This Row],[gap_days]]="",0,IF(TableRefills3[[#This Row],[gap_days]]&gt;2,1,0))</f>
        <v>0</v>
      </c>
      <c r="I2986">
        <f>_xlfn.MAXIFS(TableRefills3[discountinuation_flag], TableRefills3[patient_id], A2986)</f>
        <v>1</v>
      </c>
    </row>
    <row r="2987" spans="1:9" x14ac:dyDescent="0.25">
      <c r="A2987" t="s">
        <v>4754</v>
      </c>
      <c r="B2987" t="s">
        <v>4755</v>
      </c>
      <c r="C2987" s="3">
        <v>45874</v>
      </c>
      <c r="D2987">
        <v>28</v>
      </c>
      <c r="E2987" s="3">
        <f t="shared" si="46"/>
        <v>45846</v>
      </c>
      <c r="F2987" s="3">
        <f>IF(TableRefills3[[#This Row],[prev_refill_days]]="","",TableRefills3[[#This Row],[prev_refill_days]]+TableRefills3[[#This Row],[quantity_days]])</f>
        <v>45874</v>
      </c>
      <c r="G2987">
        <f>IF(TableRefills3[[#This Row],[prev_refill_end]]="","",TableRefills3[[#This Row],[refill_date]]-TableRefills3[[#This Row],[prev_refill_end]])</f>
        <v>0</v>
      </c>
      <c r="H2987" s="10">
        <f>IF(TableRefills3[[#This Row],[gap_days]]="",0,IF(TableRefills3[[#This Row],[gap_days]]&gt;2,1,0))</f>
        <v>0</v>
      </c>
      <c r="I2987">
        <f>_xlfn.MAXIFS(TableRefills3[discountinuation_flag], TableRefills3[patient_id], A2987)</f>
        <v>1</v>
      </c>
    </row>
    <row r="2988" spans="1:9" x14ac:dyDescent="0.25">
      <c r="A2988" t="s">
        <v>4754</v>
      </c>
      <c r="B2988" t="s">
        <v>4755</v>
      </c>
      <c r="C2988" s="3">
        <v>45905</v>
      </c>
      <c r="D2988">
        <v>28</v>
      </c>
      <c r="E2988" s="3">
        <f t="shared" si="46"/>
        <v>45874</v>
      </c>
      <c r="F2988" s="3">
        <f>IF(TableRefills3[[#This Row],[prev_refill_days]]="","",TableRefills3[[#This Row],[prev_refill_days]]+TableRefills3[[#This Row],[quantity_days]])</f>
        <v>45902</v>
      </c>
      <c r="G2988">
        <f>IF(TableRefills3[[#This Row],[prev_refill_end]]="","",TableRefills3[[#This Row],[refill_date]]-TableRefills3[[#This Row],[prev_refill_end]])</f>
        <v>3</v>
      </c>
      <c r="H2988" s="10">
        <f>IF(TableRefills3[[#This Row],[gap_days]]="",0,IF(TableRefills3[[#This Row],[gap_days]]&gt;2,1,0))</f>
        <v>1</v>
      </c>
      <c r="I2988">
        <f>_xlfn.MAXIFS(TableRefills3[discountinuation_flag], TableRefills3[patient_id], A2988)</f>
        <v>1</v>
      </c>
    </row>
    <row r="2989" spans="1:9" x14ac:dyDescent="0.25">
      <c r="A2989" t="s">
        <v>4754</v>
      </c>
      <c r="B2989" t="s">
        <v>4755</v>
      </c>
      <c r="C2989" s="3">
        <v>45932</v>
      </c>
      <c r="D2989">
        <v>28</v>
      </c>
      <c r="E2989" s="3">
        <f t="shared" si="46"/>
        <v>45905</v>
      </c>
      <c r="F2989" s="3">
        <f>IF(TableRefills3[[#This Row],[prev_refill_days]]="","",TableRefills3[[#This Row],[prev_refill_days]]+TableRefills3[[#This Row],[quantity_days]])</f>
        <v>45933</v>
      </c>
      <c r="G2989">
        <f>IF(TableRefills3[[#This Row],[prev_refill_end]]="","",TableRefills3[[#This Row],[refill_date]]-TableRefills3[[#This Row],[prev_refill_end]])</f>
        <v>-1</v>
      </c>
      <c r="H2989" s="10">
        <f>IF(TableRefills3[[#This Row],[gap_days]]="",0,IF(TableRefills3[[#This Row],[gap_days]]&gt;2,1,0))</f>
        <v>0</v>
      </c>
      <c r="I2989">
        <f>_xlfn.MAXIFS(TableRefills3[discountinuation_flag], TableRefills3[patient_id], A2989)</f>
        <v>1</v>
      </c>
    </row>
    <row r="2990" spans="1:9" x14ac:dyDescent="0.25">
      <c r="A2990" t="s">
        <v>4760</v>
      </c>
      <c r="B2990" t="s">
        <v>4761</v>
      </c>
      <c r="C2990" s="3">
        <v>45917</v>
      </c>
      <c r="D2990">
        <v>30</v>
      </c>
      <c r="E2990" s="3" t="str">
        <f t="shared" si="46"/>
        <v/>
      </c>
      <c r="F2990" s="3" t="str">
        <f>IF(TableRefills3[[#This Row],[prev_refill_days]]="","",TableRefills3[[#This Row],[prev_refill_days]]+TableRefills3[[#This Row],[quantity_days]])</f>
        <v/>
      </c>
      <c r="G2990" t="str">
        <f>IF(TableRefills3[[#This Row],[prev_refill_end]]="","",TableRefills3[[#This Row],[refill_date]]-TableRefills3[[#This Row],[prev_refill_end]])</f>
        <v/>
      </c>
      <c r="H2990" s="10">
        <f>IF(TableRefills3[[#This Row],[gap_days]]="",0,IF(TableRefills3[[#This Row],[gap_days]]&gt;2,1,0))</f>
        <v>0</v>
      </c>
      <c r="I2990">
        <f>_xlfn.MAXIFS(TableRefills3[discountinuation_flag], TableRefills3[patient_id], A2990)</f>
        <v>0</v>
      </c>
    </row>
    <row r="2991" spans="1:9" x14ac:dyDescent="0.25">
      <c r="A2991" t="s">
        <v>4760</v>
      </c>
      <c r="B2991" t="s">
        <v>4761</v>
      </c>
      <c r="C2991" s="3">
        <v>45944</v>
      </c>
      <c r="D2991">
        <v>30</v>
      </c>
      <c r="E2991" s="3">
        <f t="shared" si="46"/>
        <v>45917</v>
      </c>
      <c r="F2991" s="3">
        <f>IF(TableRefills3[[#This Row],[prev_refill_days]]="","",TableRefills3[[#This Row],[prev_refill_days]]+TableRefills3[[#This Row],[quantity_days]])</f>
        <v>45947</v>
      </c>
      <c r="G2991">
        <f>IF(TableRefills3[[#This Row],[prev_refill_end]]="","",TableRefills3[[#This Row],[refill_date]]-TableRefills3[[#This Row],[prev_refill_end]])</f>
        <v>-3</v>
      </c>
      <c r="H2991" s="10">
        <f>IF(TableRefills3[[#This Row],[gap_days]]="",0,IF(TableRefills3[[#This Row],[gap_days]]&gt;2,1,0))</f>
        <v>0</v>
      </c>
      <c r="I2991">
        <f>_xlfn.MAXIFS(TableRefills3[discountinuation_flag], TableRefills3[patient_id], A2991)</f>
        <v>0</v>
      </c>
    </row>
    <row r="2992" spans="1:9" x14ac:dyDescent="0.25">
      <c r="A2992" t="s">
        <v>4764</v>
      </c>
      <c r="B2992" t="s">
        <v>4765</v>
      </c>
      <c r="C2992" s="3">
        <v>45871</v>
      </c>
      <c r="D2992">
        <v>28</v>
      </c>
      <c r="E2992" s="3" t="str">
        <f t="shared" si="46"/>
        <v/>
      </c>
      <c r="F2992" s="3" t="str">
        <f>IF(TableRefills3[[#This Row],[prev_refill_days]]="","",TableRefills3[[#This Row],[prev_refill_days]]+TableRefills3[[#This Row],[quantity_days]])</f>
        <v/>
      </c>
      <c r="G2992" t="str">
        <f>IF(TableRefills3[[#This Row],[prev_refill_end]]="","",TableRefills3[[#This Row],[refill_date]]-TableRefills3[[#This Row],[prev_refill_end]])</f>
        <v/>
      </c>
      <c r="H2992" s="10">
        <f>IF(TableRefills3[[#This Row],[gap_days]]="",0,IF(TableRefills3[[#This Row],[gap_days]]&gt;2,1,0))</f>
        <v>0</v>
      </c>
      <c r="I2992">
        <f>_xlfn.MAXIFS(TableRefills3[discountinuation_flag], TableRefills3[patient_id], A2992)</f>
        <v>0</v>
      </c>
    </row>
    <row r="2993" spans="1:9" x14ac:dyDescent="0.25">
      <c r="A2993" t="s">
        <v>4764</v>
      </c>
      <c r="B2993" t="s">
        <v>4765</v>
      </c>
      <c r="C2993" s="3">
        <v>45900</v>
      </c>
      <c r="D2993">
        <v>28</v>
      </c>
      <c r="E2993" s="3">
        <f t="shared" si="46"/>
        <v>45871</v>
      </c>
      <c r="F2993" s="3">
        <f>IF(TableRefills3[[#This Row],[prev_refill_days]]="","",TableRefills3[[#This Row],[prev_refill_days]]+TableRefills3[[#This Row],[quantity_days]])</f>
        <v>45899</v>
      </c>
      <c r="G2993">
        <f>IF(TableRefills3[[#This Row],[prev_refill_end]]="","",TableRefills3[[#This Row],[refill_date]]-TableRefills3[[#This Row],[prev_refill_end]])</f>
        <v>1</v>
      </c>
      <c r="H2993" s="10">
        <f>IF(TableRefills3[[#This Row],[gap_days]]="",0,IF(TableRefills3[[#This Row],[gap_days]]&gt;2,1,0))</f>
        <v>0</v>
      </c>
      <c r="I2993">
        <f>_xlfn.MAXIFS(TableRefills3[discountinuation_flag], TableRefills3[patient_id], A2993)</f>
        <v>0</v>
      </c>
    </row>
    <row r="2994" spans="1:9" x14ac:dyDescent="0.25">
      <c r="A2994" t="s">
        <v>4764</v>
      </c>
      <c r="B2994" t="s">
        <v>4765</v>
      </c>
      <c r="C2994" s="3">
        <v>45926</v>
      </c>
      <c r="D2994">
        <v>28</v>
      </c>
      <c r="E2994" s="3">
        <f t="shared" si="46"/>
        <v>45900</v>
      </c>
      <c r="F2994" s="3">
        <f>IF(TableRefills3[[#This Row],[prev_refill_days]]="","",TableRefills3[[#This Row],[prev_refill_days]]+TableRefills3[[#This Row],[quantity_days]])</f>
        <v>45928</v>
      </c>
      <c r="G2994">
        <f>IF(TableRefills3[[#This Row],[prev_refill_end]]="","",TableRefills3[[#This Row],[refill_date]]-TableRefills3[[#This Row],[prev_refill_end]])</f>
        <v>-2</v>
      </c>
      <c r="H2994" s="10">
        <f>IF(TableRefills3[[#This Row],[gap_days]]="",0,IF(TableRefills3[[#This Row],[gap_days]]&gt;2,1,0))</f>
        <v>0</v>
      </c>
      <c r="I2994">
        <f>_xlfn.MAXIFS(TableRefills3[discountinuation_flag], TableRefills3[patient_id], A2994)</f>
        <v>0</v>
      </c>
    </row>
    <row r="2995" spans="1:9" x14ac:dyDescent="0.25">
      <c r="A2995" t="s">
        <v>4764</v>
      </c>
      <c r="B2995" t="s">
        <v>4765</v>
      </c>
      <c r="C2995" s="3">
        <v>45954</v>
      </c>
      <c r="D2995">
        <v>28</v>
      </c>
      <c r="E2995" s="3">
        <f t="shared" si="46"/>
        <v>45926</v>
      </c>
      <c r="F2995" s="3">
        <f>IF(TableRefills3[[#This Row],[prev_refill_days]]="","",TableRefills3[[#This Row],[prev_refill_days]]+TableRefills3[[#This Row],[quantity_days]])</f>
        <v>45954</v>
      </c>
      <c r="G2995">
        <f>IF(TableRefills3[[#This Row],[prev_refill_end]]="","",TableRefills3[[#This Row],[refill_date]]-TableRefills3[[#This Row],[prev_refill_end]])</f>
        <v>0</v>
      </c>
      <c r="H2995" s="10">
        <f>IF(TableRefills3[[#This Row],[gap_days]]="",0,IF(TableRefills3[[#This Row],[gap_days]]&gt;2,1,0))</f>
        <v>0</v>
      </c>
      <c r="I2995">
        <f>_xlfn.MAXIFS(TableRefills3[discountinuation_flag], TableRefills3[patient_id], A2995)</f>
        <v>0</v>
      </c>
    </row>
    <row r="2996" spans="1:9" x14ac:dyDescent="0.25">
      <c r="A2996" t="s">
        <v>4770</v>
      </c>
      <c r="B2996" t="s">
        <v>4771</v>
      </c>
      <c r="C2996" s="3">
        <v>45788</v>
      </c>
      <c r="D2996">
        <v>21</v>
      </c>
      <c r="E2996" s="3" t="str">
        <f t="shared" si="46"/>
        <v/>
      </c>
      <c r="F2996" s="3" t="str">
        <f>IF(TableRefills3[[#This Row],[prev_refill_days]]="","",TableRefills3[[#This Row],[prev_refill_days]]+TableRefills3[[#This Row],[quantity_days]])</f>
        <v/>
      </c>
      <c r="G2996" t="str">
        <f>IF(TableRefills3[[#This Row],[prev_refill_end]]="","",TableRefills3[[#This Row],[refill_date]]-TableRefills3[[#This Row],[prev_refill_end]])</f>
        <v/>
      </c>
      <c r="H2996" s="10">
        <f>IF(TableRefills3[[#This Row],[gap_days]]="",0,IF(TableRefills3[[#This Row],[gap_days]]&gt;2,1,0))</f>
        <v>0</v>
      </c>
      <c r="I2996">
        <f>_xlfn.MAXIFS(TableRefills3[discountinuation_flag], TableRefills3[patient_id], A2996)</f>
        <v>0</v>
      </c>
    </row>
    <row r="2997" spans="1:9" x14ac:dyDescent="0.25">
      <c r="A2997" t="s">
        <v>4770</v>
      </c>
      <c r="B2997" t="s">
        <v>4771</v>
      </c>
      <c r="C2997" s="3">
        <v>45807</v>
      </c>
      <c r="D2997">
        <v>21</v>
      </c>
      <c r="E2997" s="3">
        <f t="shared" si="46"/>
        <v>45788</v>
      </c>
      <c r="F2997" s="3">
        <f>IF(TableRefills3[[#This Row],[prev_refill_days]]="","",TableRefills3[[#This Row],[prev_refill_days]]+TableRefills3[[#This Row],[quantity_days]])</f>
        <v>45809</v>
      </c>
      <c r="G2997">
        <f>IF(TableRefills3[[#This Row],[prev_refill_end]]="","",TableRefills3[[#This Row],[refill_date]]-TableRefills3[[#This Row],[prev_refill_end]])</f>
        <v>-2</v>
      </c>
      <c r="H2997" s="10">
        <f>IF(TableRefills3[[#This Row],[gap_days]]="",0,IF(TableRefills3[[#This Row],[gap_days]]&gt;2,1,0))</f>
        <v>0</v>
      </c>
      <c r="I2997">
        <f>_xlfn.MAXIFS(TableRefills3[discountinuation_flag], TableRefills3[patient_id], A2997)</f>
        <v>0</v>
      </c>
    </row>
    <row r="2998" spans="1:9" x14ac:dyDescent="0.25">
      <c r="A2998" t="s">
        <v>4774</v>
      </c>
      <c r="B2998" t="s">
        <v>4775</v>
      </c>
      <c r="C2998" s="3">
        <v>45890</v>
      </c>
      <c r="D2998">
        <v>28</v>
      </c>
      <c r="E2998" s="3" t="str">
        <f t="shared" si="46"/>
        <v/>
      </c>
      <c r="F2998" s="3" t="str">
        <f>IF(TableRefills3[[#This Row],[prev_refill_days]]="","",TableRefills3[[#This Row],[prev_refill_days]]+TableRefills3[[#This Row],[quantity_days]])</f>
        <v/>
      </c>
      <c r="G2998" t="str">
        <f>IF(TableRefills3[[#This Row],[prev_refill_end]]="","",TableRefills3[[#This Row],[refill_date]]-TableRefills3[[#This Row],[prev_refill_end]])</f>
        <v/>
      </c>
      <c r="H2998" s="10">
        <f>IF(TableRefills3[[#This Row],[gap_days]]="",0,IF(TableRefills3[[#This Row],[gap_days]]&gt;2,1,0))</f>
        <v>0</v>
      </c>
      <c r="I2998">
        <f>_xlfn.MAXIFS(TableRefills3[discountinuation_flag], TableRefills3[patient_id], A2998)</f>
        <v>0</v>
      </c>
    </row>
    <row r="2999" spans="1:9" x14ac:dyDescent="0.25">
      <c r="A2999" t="s">
        <v>4774</v>
      </c>
      <c r="B2999" t="s">
        <v>4775</v>
      </c>
      <c r="C2999" s="3">
        <v>45918</v>
      </c>
      <c r="D2999">
        <v>28</v>
      </c>
      <c r="E2999" s="3">
        <f t="shared" si="46"/>
        <v>45890</v>
      </c>
      <c r="F2999" s="3">
        <f>IF(TableRefills3[[#This Row],[prev_refill_days]]="","",TableRefills3[[#This Row],[prev_refill_days]]+TableRefills3[[#This Row],[quantity_days]])</f>
        <v>45918</v>
      </c>
      <c r="G2999">
        <f>IF(TableRefills3[[#This Row],[prev_refill_end]]="","",TableRefills3[[#This Row],[refill_date]]-TableRefills3[[#This Row],[prev_refill_end]])</f>
        <v>0</v>
      </c>
      <c r="H2999" s="10">
        <f>IF(TableRefills3[[#This Row],[gap_days]]="",0,IF(TableRefills3[[#This Row],[gap_days]]&gt;2,1,0))</f>
        <v>0</v>
      </c>
      <c r="I2999">
        <f>_xlfn.MAXIFS(TableRefills3[discountinuation_flag], TableRefills3[patient_id], A2999)</f>
        <v>0</v>
      </c>
    </row>
    <row r="3000" spans="1:9" x14ac:dyDescent="0.25">
      <c r="A3000" t="s">
        <v>4774</v>
      </c>
      <c r="B3000" t="s">
        <v>4775</v>
      </c>
      <c r="C3000" s="3">
        <v>45945</v>
      </c>
      <c r="D3000">
        <v>28</v>
      </c>
      <c r="E3000" s="3">
        <f t="shared" si="46"/>
        <v>45918</v>
      </c>
      <c r="F3000" s="3">
        <f>IF(TableRefills3[[#This Row],[prev_refill_days]]="","",TableRefills3[[#This Row],[prev_refill_days]]+TableRefills3[[#This Row],[quantity_days]])</f>
        <v>45946</v>
      </c>
      <c r="G3000">
        <f>IF(TableRefills3[[#This Row],[prev_refill_end]]="","",TableRefills3[[#This Row],[refill_date]]-TableRefills3[[#This Row],[prev_refill_end]])</f>
        <v>-1</v>
      </c>
      <c r="H3000" s="10">
        <f>IF(TableRefills3[[#This Row],[gap_days]]="",0,IF(TableRefills3[[#This Row],[gap_days]]&gt;2,1,0))</f>
        <v>0</v>
      </c>
      <c r="I3000">
        <f>_xlfn.MAXIFS(TableRefills3[discountinuation_flag], TableRefills3[patient_id], A3000)</f>
        <v>0</v>
      </c>
    </row>
    <row r="3001" spans="1:9" x14ac:dyDescent="0.25">
      <c r="A3001" t="s">
        <v>4779</v>
      </c>
      <c r="B3001" t="s">
        <v>4780</v>
      </c>
      <c r="C3001" s="3">
        <v>45833</v>
      </c>
      <c r="D3001">
        <v>28</v>
      </c>
      <c r="E3001" s="3" t="str">
        <f t="shared" si="46"/>
        <v/>
      </c>
      <c r="F3001" s="3" t="str">
        <f>IF(TableRefills3[[#This Row],[prev_refill_days]]="","",TableRefills3[[#This Row],[prev_refill_days]]+TableRefills3[[#This Row],[quantity_days]])</f>
        <v/>
      </c>
      <c r="G3001" t="str">
        <f>IF(TableRefills3[[#This Row],[prev_refill_end]]="","",TableRefills3[[#This Row],[refill_date]]-TableRefills3[[#This Row],[prev_refill_end]])</f>
        <v/>
      </c>
      <c r="H3001" s="10">
        <f>IF(TableRefills3[[#This Row],[gap_days]]="",0,IF(TableRefills3[[#This Row],[gap_days]]&gt;2,1,0))</f>
        <v>0</v>
      </c>
      <c r="I3001">
        <f>_xlfn.MAXIFS(TableRefills3[discountinuation_flag], TableRefills3[patient_id], A3001)</f>
        <v>0</v>
      </c>
    </row>
    <row r="3002" spans="1:9" x14ac:dyDescent="0.25">
      <c r="A3002" t="s">
        <v>4779</v>
      </c>
      <c r="B3002" t="s">
        <v>4780</v>
      </c>
      <c r="C3002" s="3">
        <v>45863</v>
      </c>
      <c r="D3002">
        <v>28</v>
      </c>
      <c r="E3002" s="3">
        <f t="shared" si="46"/>
        <v>45833</v>
      </c>
      <c r="F3002" s="3">
        <f>IF(TableRefills3[[#This Row],[prev_refill_days]]="","",TableRefills3[[#This Row],[prev_refill_days]]+TableRefills3[[#This Row],[quantity_days]])</f>
        <v>45861</v>
      </c>
      <c r="G3002">
        <f>IF(TableRefills3[[#This Row],[prev_refill_end]]="","",TableRefills3[[#This Row],[refill_date]]-TableRefills3[[#This Row],[prev_refill_end]])</f>
        <v>2</v>
      </c>
      <c r="H3002" s="10">
        <f>IF(TableRefills3[[#This Row],[gap_days]]="",0,IF(TableRefills3[[#This Row],[gap_days]]&gt;2,1,0))</f>
        <v>0</v>
      </c>
      <c r="I3002">
        <f>_xlfn.MAXIFS(TableRefills3[discountinuation_flag], TableRefills3[patient_id], A3002)</f>
        <v>0</v>
      </c>
    </row>
    <row r="3003" spans="1:9" x14ac:dyDescent="0.25">
      <c r="A3003" t="s">
        <v>4783</v>
      </c>
      <c r="B3003" t="s">
        <v>4784</v>
      </c>
      <c r="C3003" s="3">
        <v>45804</v>
      </c>
      <c r="D3003">
        <v>14</v>
      </c>
      <c r="E3003" s="3" t="str">
        <f t="shared" si="46"/>
        <v/>
      </c>
      <c r="F3003" s="3" t="str">
        <f>IF(TableRefills3[[#This Row],[prev_refill_days]]="","",TableRefills3[[#This Row],[prev_refill_days]]+TableRefills3[[#This Row],[quantity_days]])</f>
        <v/>
      </c>
      <c r="G3003" t="str">
        <f>IF(TableRefills3[[#This Row],[prev_refill_end]]="","",TableRefills3[[#This Row],[refill_date]]-TableRefills3[[#This Row],[prev_refill_end]])</f>
        <v/>
      </c>
      <c r="H3003" s="10">
        <f>IF(TableRefills3[[#This Row],[gap_days]]="",0,IF(TableRefills3[[#This Row],[gap_days]]&gt;2,1,0))</f>
        <v>0</v>
      </c>
      <c r="I3003">
        <f>_xlfn.MAXIFS(TableRefills3[discountinuation_flag], TableRefills3[patient_id], A3003)</f>
        <v>1</v>
      </c>
    </row>
    <row r="3004" spans="1:9" x14ac:dyDescent="0.25">
      <c r="A3004" t="s">
        <v>4783</v>
      </c>
      <c r="B3004" t="s">
        <v>4784</v>
      </c>
      <c r="C3004" s="3">
        <v>45816</v>
      </c>
      <c r="D3004">
        <v>14</v>
      </c>
      <c r="E3004" s="3">
        <f t="shared" si="46"/>
        <v>45804</v>
      </c>
      <c r="F3004" s="3">
        <f>IF(TableRefills3[[#This Row],[prev_refill_days]]="","",TableRefills3[[#This Row],[prev_refill_days]]+TableRefills3[[#This Row],[quantity_days]])</f>
        <v>45818</v>
      </c>
      <c r="G3004">
        <f>IF(TableRefills3[[#This Row],[prev_refill_end]]="","",TableRefills3[[#This Row],[refill_date]]-TableRefills3[[#This Row],[prev_refill_end]])</f>
        <v>-2</v>
      </c>
      <c r="H3004" s="10">
        <f>IF(TableRefills3[[#This Row],[gap_days]]="",0,IF(TableRefills3[[#This Row],[gap_days]]&gt;2,1,0))</f>
        <v>0</v>
      </c>
      <c r="I3004">
        <f>_xlfn.MAXIFS(TableRefills3[discountinuation_flag], TableRefills3[patient_id], A3004)</f>
        <v>1</v>
      </c>
    </row>
    <row r="3005" spans="1:9" x14ac:dyDescent="0.25">
      <c r="A3005" t="s">
        <v>4783</v>
      </c>
      <c r="B3005" t="s">
        <v>4784</v>
      </c>
      <c r="C3005" s="3">
        <v>45832</v>
      </c>
      <c r="D3005">
        <v>14</v>
      </c>
      <c r="E3005" s="3">
        <f t="shared" si="46"/>
        <v>45816</v>
      </c>
      <c r="F3005" s="3">
        <f>IF(TableRefills3[[#This Row],[prev_refill_days]]="","",TableRefills3[[#This Row],[prev_refill_days]]+TableRefills3[[#This Row],[quantity_days]])</f>
        <v>45830</v>
      </c>
      <c r="G3005">
        <f>IF(TableRefills3[[#This Row],[prev_refill_end]]="","",TableRefills3[[#This Row],[refill_date]]-TableRefills3[[#This Row],[prev_refill_end]])</f>
        <v>2</v>
      </c>
      <c r="H3005" s="10">
        <f>IF(TableRefills3[[#This Row],[gap_days]]="",0,IF(TableRefills3[[#This Row],[gap_days]]&gt;2,1,0))</f>
        <v>0</v>
      </c>
      <c r="I3005">
        <f>_xlfn.MAXIFS(TableRefills3[discountinuation_flag], TableRefills3[patient_id], A3005)</f>
        <v>1</v>
      </c>
    </row>
    <row r="3006" spans="1:9" x14ac:dyDescent="0.25">
      <c r="A3006" t="s">
        <v>4783</v>
      </c>
      <c r="B3006" t="s">
        <v>4784</v>
      </c>
      <c r="C3006" s="3">
        <v>45849</v>
      </c>
      <c r="D3006">
        <v>14</v>
      </c>
      <c r="E3006" s="3">
        <f t="shared" si="46"/>
        <v>45832</v>
      </c>
      <c r="F3006" s="3">
        <f>IF(TableRefills3[[#This Row],[prev_refill_days]]="","",TableRefills3[[#This Row],[prev_refill_days]]+TableRefills3[[#This Row],[quantity_days]])</f>
        <v>45846</v>
      </c>
      <c r="G3006">
        <f>IF(TableRefills3[[#This Row],[prev_refill_end]]="","",TableRefills3[[#This Row],[refill_date]]-TableRefills3[[#This Row],[prev_refill_end]])</f>
        <v>3</v>
      </c>
      <c r="H3006" s="10">
        <f>IF(TableRefills3[[#This Row],[gap_days]]="",0,IF(TableRefills3[[#This Row],[gap_days]]&gt;2,1,0))</f>
        <v>1</v>
      </c>
      <c r="I3006">
        <f>_xlfn.MAXIFS(TableRefills3[discountinuation_flag], TableRefills3[patient_id], A3006)</f>
        <v>1</v>
      </c>
    </row>
    <row r="3007" spans="1:9" x14ac:dyDescent="0.25">
      <c r="A3007" t="s">
        <v>4783</v>
      </c>
      <c r="B3007" t="s">
        <v>4784</v>
      </c>
      <c r="C3007" s="3">
        <v>45864</v>
      </c>
      <c r="D3007">
        <v>14</v>
      </c>
      <c r="E3007" s="3">
        <f t="shared" si="46"/>
        <v>45849</v>
      </c>
      <c r="F3007" s="3">
        <f>IF(TableRefills3[[#This Row],[prev_refill_days]]="","",TableRefills3[[#This Row],[prev_refill_days]]+TableRefills3[[#This Row],[quantity_days]])</f>
        <v>45863</v>
      </c>
      <c r="G3007">
        <f>IF(TableRefills3[[#This Row],[prev_refill_end]]="","",TableRefills3[[#This Row],[refill_date]]-TableRefills3[[#This Row],[prev_refill_end]])</f>
        <v>1</v>
      </c>
      <c r="H3007" s="10">
        <f>IF(TableRefills3[[#This Row],[gap_days]]="",0,IF(TableRefills3[[#This Row],[gap_days]]&gt;2,1,0))</f>
        <v>0</v>
      </c>
      <c r="I3007">
        <f>_xlfn.MAXIFS(TableRefills3[discountinuation_flag], TableRefills3[patient_id], A3007)</f>
        <v>1</v>
      </c>
    </row>
    <row r="3008" spans="1:9" x14ac:dyDescent="0.25">
      <c r="A3008" t="s">
        <v>4783</v>
      </c>
      <c r="B3008" t="s">
        <v>4784</v>
      </c>
      <c r="C3008" s="3">
        <v>45876</v>
      </c>
      <c r="D3008">
        <v>14</v>
      </c>
      <c r="E3008" s="3">
        <f t="shared" si="46"/>
        <v>45864</v>
      </c>
      <c r="F3008" s="3">
        <f>IF(TableRefills3[[#This Row],[prev_refill_days]]="","",TableRefills3[[#This Row],[prev_refill_days]]+TableRefills3[[#This Row],[quantity_days]])</f>
        <v>45878</v>
      </c>
      <c r="G3008">
        <f>IF(TableRefills3[[#This Row],[prev_refill_end]]="","",TableRefills3[[#This Row],[refill_date]]-TableRefills3[[#This Row],[prev_refill_end]])</f>
        <v>-2</v>
      </c>
      <c r="H3008" s="10">
        <f>IF(TableRefills3[[#This Row],[gap_days]]="",0,IF(TableRefills3[[#This Row],[gap_days]]&gt;2,1,0))</f>
        <v>0</v>
      </c>
      <c r="I3008">
        <f>_xlfn.MAXIFS(TableRefills3[discountinuation_flag], TableRefills3[patient_id], A3008)</f>
        <v>1</v>
      </c>
    </row>
    <row r="3009" spans="1:9" x14ac:dyDescent="0.25">
      <c r="A3009" t="s">
        <v>4783</v>
      </c>
      <c r="B3009" t="s">
        <v>4784</v>
      </c>
      <c r="C3009" s="3">
        <v>45889</v>
      </c>
      <c r="D3009">
        <v>14</v>
      </c>
      <c r="E3009" s="3">
        <f t="shared" si="46"/>
        <v>45876</v>
      </c>
      <c r="F3009" s="3">
        <f>IF(TableRefills3[[#This Row],[prev_refill_days]]="","",TableRefills3[[#This Row],[prev_refill_days]]+TableRefills3[[#This Row],[quantity_days]])</f>
        <v>45890</v>
      </c>
      <c r="G3009">
        <f>IF(TableRefills3[[#This Row],[prev_refill_end]]="","",TableRefills3[[#This Row],[refill_date]]-TableRefills3[[#This Row],[prev_refill_end]])</f>
        <v>-1</v>
      </c>
      <c r="H3009" s="10">
        <f>IF(TableRefills3[[#This Row],[gap_days]]="",0,IF(TableRefills3[[#This Row],[gap_days]]&gt;2,1,0))</f>
        <v>0</v>
      </c>
      <c r="I3009">
        <f>_xlfn.MAXIFS(TableRefills3[discountinuation_flag], TableRefills3[patient_id], A3009)</f>
        <v>1</v>
      </c>
    </row>
    <row r="3010" spans="1:9" x14ac:dyDescent="0.25">
      <c r="A3010" t="s">
        <v>4783</v>
      </c>
      <c r="B3010" t="s">
        <v>4784</v>
      </c>
      <c r="C3010" s="3">
        <v>45902</v>
      </c>
      <c r="D3010">
        <v>14</v>
      </c>
      <c r="E3010" s="3">
        <f t="shared" ref="E3010:E3073" si="47">IF(A3009=A3010,C3009,"")</f>
        <v>45889</v>
      </c>
      <c r="F3010" s="3">
        <f>IF(TableRefills3[[#This Row],[prev_refill_days]]="","",TableRefills3[[#This Row],[prev_refill_days]]+TableRefills3[[#This Row],[quantity_days]])</f>
        <v>45903</v>
      </c>
      <c r="G3010">
        <f>IF(TableRefills3[[#This Row],[prev_refill_end]]="","",TableRefills3[[#This Row],[refill_date]]-TableRefills3[[#This Row],[prev_refill_end]])</f>
        <v>-1</v>
      </c>
      <c r="H3010" s="10">
        <f>IF(TableRefills3[[#This Row],[gap_days]]="",0,IF(TableRefills3[[#This Row],[gap_days]]&gt;2,1,0))</f>
        <v>0</v>
      </c>
      <c r="I3010">
        <f>_xlfn.MAXIFS(TableRefills3[discountinuation_flag], TableRefills3[patient_id], A3010)</f>
        <v>1</v>
      </c>
    </row>
    <row r="3011" spans="1:9" x14ac:dyDescent="0.25">
      <c r="A3011" t="s">
        <v>4783</v>
      </c>
      <c r="B3011" t="s">
        <v>4784</v>
      </c>
      <c r="C3011" s="3">
        <v>45919</v>
      </c>
      <c r="D3011">
        <v>14</v>
      </c>
      <c r="E3011" s="3">
        <f t="shared" si="47"/>
        <v>45902</v>
      </c>
      <c r="F3011" s="3">
        <f>IF(TableRefills3[[#This Row],[prev_refill_days]]="","",TableRefills3[[#This Row],[prev_refill_days]]+TableRefills3[[#This Row],[quantity_days]])</f>
        <v>45916</v>
      </c>
      <c r="G3011">
        <f>IF(TableRefills3[[#This Row],[prev_refill_end]]="","",TableRefills3[[#This Row],[refill_date]]-TableRefills3[[#This Row],[prev_refill_end]])</f>
        <v>3</v>
      </c>
      <c r="H3011" s="10">
        <f>IF(TableRefills3[[#This Row],[gap_days]]="",0,IF(TableRefills3[[#This Row],[gap_days]]&gt;2,1,0))</f>
        <v>1</v>
      </c>
      <c r="I3011">
        <f>_xlfn.MAXIFS(TableRefills3[discountinuation_flag], TableRefills3[patient_id], A3011)</f>
        <v>1</v>
      </c>
    </row>
    <row r="3012" spans="1:9" x14ac:dyDescent="0.25">
      <c r="A3012" t="s">
        <v>4783</v>
      </c>
      <c r="B3012" t="s">
        <v>4784</v>
      </c>
      <c r="C3012" s="3">
        <v>45936</v>
      </c>
      <c r="D3012">
        <v>14</v>
      </c>
      <c r="E3012" s="3">
        <f t="shared" si="47"/>
        <v>45919</v>
      </c>
      <c r="F3012" s="3">
        <f>IF(TableRefills3[[#This Row],[prev_refill_days]]="","",TableRefills3[[#This Row],[prev_refill_days]]+TableRefills3[[#This Row],[quantity_days]])</f>
        <v>45933</v>
      </c>
      <c r="G3012">
        <f>IF(TableRefills3[[#This Row],[prev_refill_end]]="","",TableRefills3[[#This Row],[refill_date]]-TableRefills3[[#This Row],[prev_refill_end]])</f>
        <v>3</v>
      </c>
      <c r="H3012" s="10">
        <f>IF(TableRefills3[[#This Row],[gap_days]]="",0,IF(TableRefills3[[#This Row],[gap_days]]&gt;2,1,0))</f>
        <v>1</v>
      </c>
      <c r="I3012">
        <f>_xlfn.MAXIFS(TableRefills3[discountinuation_flag], TableRefills3[patient_id], A3012)</f>
        <v>1</v>
      </c>
    </row>
    <row r="3013" spans="1:9" x14ac:dyDescent="0.25">
      <c r="A3013" t="s">
        <v>4783</v>
      </c>
      <c r="B3013" t="s">
        <v>4784</v>
      </c>
      <c r="C3013" s="3">
        <v>45949</v>
      </c>
      <c r="D3013">
        <v>14</v>
      </c>
      <c r="E3013" s="3">
        <f t="shared" si="47"/>
        <v>45936</v>
      </c>
      <c r="F3013" s="3">
        <f>IF(TableRefills3[[#This Row],[prev_refill_days]]="","",TableRefills3[[#This Row],[prev_refill_days]]+TableRefills3[[#This Row],[quantity_days]])</f>
        <v>45950</v>
      </c>
      <c r="G3013">
        <f>IF(TableRefills3[[#This Row],[prev_refill_end]]="","",TableRefills3[[#This Row],[refill_date]]-TableRefills3[[#This Row],[prev_refill_end]])</f>
        <v>-1</v>
      </c>
      <c r="H3013" s="10">
        <f>IF(TableRefills3[[#This Row],[gap_days]]="",0,IF(TableRefills3[[#This Row],[gap_days]]&gt;2,1,0))</f>
        <v>0</v>
      </c>
      <c r="I3013">
        <f>_xlfn.MAXIFS(TableRefills3[discountinuation_flag], TableRefills3[patient_id], A3013)</f>
        <v>1</v>
      </c>
    </row>
    <row r="3014" spans="1:9" x14ac:dyDescent="0.25">
      <c r="A3014" t="s">
        <v>4796</v>
      </c>
      <c r="B3014" t="s">
        <v>4797</v>
      </c>
      <c r="C3014" s="3">
        <v>45945</v>
      </c>
      <c r="D3014">
        <v>28</v>
      </c>
      <c r="E3014" s="3" t="str">
        <f t="shared" si="47"/>
        <v/>
      </c>
      <c r="F3014" s="3" t="str">
        <f>IF(TableRefills3[[#This Row],[prev_refill_days]]="","",TableRefills3[[#This Row],[prev_refill_days]]+TableRefills3[[#This Row],[quantity_days]])</f>
        <v/>
      </c>
      <c r="G3014" t="str">
        <f>IF(TableRefills3[[#This Row],[prev_refill_end]]="","",TableRefills3[[#This Row],[refill_date]]-TableRefills3[[#This Row],[prev_refill_end]])</f>
        <v/>
      </c>
      <c r="H3014" s="10">
        <f>IF(TableRefills3[[#This Row],[gap_days]]="",0,IF(TableRefills3[[#This Row],[gap_days]]&gt;2,1,0))</f>
        <v>0</v>
      </c>
      <c r="I3014">
        <f>_xlfn.MAXIFS(TableRefills3[discountinuation_flag], TableRefills3[patient_id], A3014)</f>
        <v>0</v>
      </c>
    </row>
    <row r="3015" spans="1:9" x14ac:dyDescent="0.25">
      <c r="A3015" t="s">
        <v>4799</v>
      </c>
      <c r="B3015" t="s">
        <v>4800</v>
      </c>
      <c r="C3015" s="3">
        <v>45841</v>
      </c>
      <c r="D3015">
        <v>30</v>
      </c>
      <c r="E3015" s="3" t="str">
        <f t="shared" si="47"/>
        <v/>
      </c>
      <c r="F3015" s="3" t="str">
        <f>IF(TableRefills3[[#This Row],[prev_refill_days]]="","",TableRefills3[[#This Row],[prev_refill_days]]+TableRefills3[[#This Row],[quantity_days]])</f>
        <v/>
      </c>
      <c r="G3015" t="str">
        <f>IF(TableRefills3[[#This Row],[prev_refill_end]]="","",TableRefills3[[#This Row],[refill_date]]-TableRefills3[[#This Row],[prev_refill_end]])</f>
        <v/>
      </c>
      <c r="H3015" s="10">
        <f>IF(TableRefills3[[#This Row],[gap_days]]="",0,IF(TableRefills3[[#This Row],[gap_days]]&gt;2,1,0))</f>
        <v>0</v>
      </c>
      <c r="I3015">
        <f>_xlfn.MAXIFS(TableRefills3[discountinuation_flag], TableRefills3[patient_id], A3015)</f>
        <v>0</v>
      </c>
    </row>
    <row r="3016" spans="1:9" x14ac:dyDescent="0.25">
      <c r="A3016" t="s">
        <v>4799</v>
      </c>
      <c r="B3016" t="s">
        <v>4800</v>
      </c>
      <c r="C3016" s="3">
        <v>45872</v>
      </c>
      <c r="D3016">
        <v>30</v>
      </c>
      <c r="E3016" s="3">
        <f t="shared" si="47"/>
        <v>45841</v>
      </c>
      <c r="F3016" s="3">
        <f>IF(TableRefills3[[#This Row],[prev_refill_days]]="","",TableRefills3[[#This Row],[prev_refill_days]]+TableRefills3[[#This Row],[quantity_days]])</f>
        <v>45871</v>
      </c>
      <c r="G3016">
        <f>IF(TableRefills3[[#This Row],[prev_refill_end]]="","",TableRefills3[[#This Row],[refill_date]]-TableRefills3[[#This Row],[prev_refill_end]])</f>
        <v>1</v>
      </c>
      <c r="H3016" s="10">
        <f>IF(TableRefills3[[#This Row],[gap_days]]="",0,IF(TableRefills3[[#This Row],[gap_days]]&gt;2,1,0))</f>
        <v>0</v>
      </c>
      <c r="I3016">
        <f>_xlfn.MAXIFS(TableRefills3[discountinuation_flag], TableRefills3[patient_id], A3016)</f>
        <v>0</v>
      </c>
    </row>
    <row r="3017" spans="1:9" x14ac:dyDescent="0.25">
      <c r="A3017" t="s">
        <v>4799</v>
      </c>
      <c r="B3017" t="s">
        <v>4800</v>
      </c>
      <c r="C3017" s="3">
        <v>45901</v>
      </c>
      <c r="D3017">
        <v>30</v>
      </c>
      <c r="E3017" s="3">
        <f t="shared" si="47"/>
        <v>45872</v>
      </c>
      <c r="F3017" s="3">
        <f>IF(TableRefills3[[#This Row],[prev_refill_days]]="","",TableRefills3[[#This Row],[prev_refill_days]]+TableRefills3[[#This Row],[quantity_days]])</f>
        <v>45902</v>
      </c>
      <c r="G3017">
        <f>IF(TableRefills3[[#This Row],[prev_refill_end]]="","",TableRefills3[[#This Row],[refill_date]]-TableRefills3[[#This Row],[prev_refill_end]])</f>
        <v>-1</v>
      </c>
      <c r="H3017" s="10">
        <f>IF(TableRefills3[[#This Row],[gap_days]]="",0,IF(TableRefills3[[#This Row],[gap_days]]&gt;2,1,0))</f>
        <v>0</v>
      </c>
      <c r="I3017">
        <f>_xlfn.MAXIFS(TableRefills3[discountinuation_flag], TableRefills3[patient_id], A3017)</f>
        <v>0</v>
      </c>
    </row>
    <row r="3018" spans="1:9" x14ac:dyDescent="0.25">
      <c r="A3018" t="s">
        <v>4799</v>
      </c>
      <c r="B3018" t="s">
        <v>4800</v>
      </c>
      <c r="C3018" s="3">
        <v>45929</v>
      </c>
      <c r="D3018">
        <v>30</v>
      </c>
      <c r="E3018" s="3">
        <f t="shared" si="47"/>
        <v>45901</v>
      </c>
      <c r="F3018" s="3">
        <f>IF(TableRefills3[[#This Row],[prev_refill_days]]="","",TableRefills3[[#This Row],[prev_refill_days]]+TableRefills3[[#This Row],[quantity_days]])</f>
        <v>45931</v>
      </c>
      <c r="G3018">
        <f>IF(TableRefills3[[#This Row],[prev_refill_end]]="","",TableRefills3[[#This Row],[refill_date]]-TableRefills3[[#This Row],[prev_refill_end]])</f>
        <v>-2</v>
      </c>
      <c r="H3018" s="10">
        <f>IF(TableRefills3[[#This Row],[gap_days]]="",0,IF(TableRefills3[[#This Row],[gap_days]]&gt;2,1,0))</f>
        <v>0</v>
      </c>
      <c r="I3018">
        <f>_xlfn.MAXIFS(TableRefills3[discountinuation_flag], TableRefills3[patient_id], A3018)</f>
        <v>0</v>
      </c>
    </row>
    <row r="3019" spans="1:9" x14ac:dyDescent="0.25">
      <c r="A3019" t="s">
        <v>4799</v>
      </c>
      <c r="B3019" t="s">
        <v>4800</v>
      </c>
      <c r="C3019" s="3">
        <v>45957</v>
      </c>
      <c r="D3019">
        <v>30</v>
      </c>
      <c r="E3019" s="3">
        <f t="shared" si="47"/>
        <v>45929</v>
      </c>
      <c r="F3019" s="3">
        <f>IF(TableRefills3[[#This Row],[prev_refill_days]]="","",TableRefills3[[#This Row],[prev_refill_days]]+TableRefills3[[#This Row],[quantity_days]])</f>
        <v>45959</v>
      </c>
      <c r="G3019">
        <f>IF(TableRefills3[[#This Row],[prev_refill_end]]="","",TableRefills3[[#This Row],[refill_date]]-TableRefills3[[#This Row],[prev_refill_end]])</f>
        <v>-2</v>
      </c>
      <c r="H3019" s="10">
        <f>IF(TableRefills3[[#This Row],[gap_days]]="",0,IF(TableRefills3[[#This Row],[gap_days]]&gt;2,1,0))</f>
        <v>0</v>
      </c>
      <c r="I3019">
        <f>_xlfn.MAXIFS(TableRefills3[discountinuation_flag], TableRefills3[patient_id], A3019)</f>
        <v>0</v>
      </c>
    </row>
    <row r="3020" spans="1:9" x14ac:dyDescent="0.25">
      <c r="A3020" t="s">
        <v>4806</v>
      </c>
      <c r="B3020" t="s">
        <v>4807</v>
      </c>
      <c r="C3020" s="3">
        <v>45786</v>
      </c>
      <c r="D3020">
        <v>30</v>
      </c>
      <c r="E3020" s="3" t="str">
        <f t="shared" si="47"/>
        <v/>
      </c>
      <c r="F3020" s="3" t="str">
        <f>IF(TableRefills3[[#This Row],[prev_refill_days]]="","",TableRefills3[[#This Row],[prev_refill_days]]+TableRefills3[[#This Row],[quantity_days]])</f>
        <v/>
      </c>
      <c r="G3020" t="str">
        <f>IF(TableRefills3[[#This Row],[prev_refill_end]]="","",TableRefills3[[#This Row],[refill_date]]-TableRefills3[[#This Row],[prev_refill_end]])</f>
        <v/>
      </c>
      <c r="H3020" s="10">
        <f>IF(TableRefills3[[#This Row],[gap_days]]="",0,IF(TableRefills3[[#This Row],[gap_days]]&gt;2,1,0))</f>
        <v>0</v>
      </c>
      <c r="I3020">
        <f>_xlfn.MAXIFS(TableRefills3[discountinuation_flag], TableRefills3[patient_id], A3020)</f>
        <v>1</v>
      </c>
    </row>
    <row r="3021" spans="1:9" x14ac:dyDescent="0.25">
      <c r="A3021" t="s">
        <v>4806</v>
      </c>
      <c r="B3021" t="s">
        <v>4807</v>
      </c>
      <c r="C3021" s="3">
        <v>45819</v>
      </c>
      <c r="D3021">
        <v>30</v>
      </c>
      <c r="E3021" s="3">
        <f t="shared" si="47"/>
        <v>45786</v>
      </c>
      <c r="F3021" s="3">
        <f>IF(TableRefills3[[#This Row],[prev_refill_days]]="","",TableRefills3[[#This Row],[prev_refill_days]]+TableRefills3[[#This Row],[quantity_days]])</f>
        <v>45816</v>
      </c>
      <c r="G3021">
        <f>IF(TableRefills3[[#This Row],[prev_refill_end]]="","",TableRefills3[[#This Row],[refill_date]]-TableRefills3[[#This Row],[prev_refill_end]])</f>
        <v>3</v>
      </c>
      <c r="H3021" s="10">
        <f>IF(TableRefills3[[#This Row],[gap_days]]="",0,IF(TableRefills3[[#This Row],[gap_days]]&gt;2,1,0))</f>
        <v>1</v>
      </c>
      <c r="I3021">
        <f>_xlfn.MAXIFS(TableRefills3[discountinuation_flag], TableRefills3[patient_id], A3021)</f>
        <v>1</v>
      </c>
    </row>
    <row r="3022" spans="1:9" x14ac:dyDescent="0.25">
      <c r="A3022" t="s">
        <v>4806</v>
      </c>
      <c r="B3022" t="s">
        <v>4807</v>
      </c>
      <c r="C3022" s="3">
        <v>45849</v>
      </c>
      <c r="D3022">
        <v>30</v>
      </c>
      <c r="E3022" s="3">
        <f t="shared" si="47"/>
        <v>45819</v>
      </c>
      <c r="F3022" s="3">
        <f>IF(TableRefills3[[#This Row],[prev_refill_days]]="","",TableRefills3[[#This Row],[prev_refill_days]]+TableRefills3[[#This Row],[quantity_days]])</f>
        <v>45849</v>
      </c>
      <c r="G3022">
        <f>IF(TableRefills3[[#This Row],[prev_refill_end]]="","",TableRefills3[[#This Row],[refill_date]]-TableRefills3[[#This Row],[prev_refill_end]])</f>
        <v>0</v>
      </c>
      <c r="H3022" s="10">
        <f>IF(TableRefills3[[#This Row],[gap_days]]="",0,IF(TableRefills3[[#This Row],[gap_days]]&gt;2,1,0))</f>
        <v>0</v>
      </c>
      <c r="I3022">
        <f>_xlfn.MAXIFS(TableRefills3[discountinuation_flag], TableRefills3[patient_id], A3022)</f>
        <v>1</v>
      </c>
    </row>
    <row r="3023" spans="1:9" x14ac:dyDescent="0.25">
      <c r="A3023" t="s">
        <v>4806</v>
      </c>
      <c r="B3023" t="s">
        <v>4807</v>
      </c>
      <c r="C3023" s="3">
        <v>45877</v>
      </c>
      <c r="D3023">
        <v>30</v>
      </c>
      <c r="E3023" s="3">
        <f t="shared" si="47"/>
        <v>45849</v>
      </c>
      <c r="F3023" s="3">
        <f>IF(TableRefills3[[#This Row],[prev_refill_days]]="","",TableRefills3[[#This Row],[prev_refill_days]]+TableRefills3[[#This Row],[quantity_days]])</f>
        <v>45879</v>
      </c>
      <c r="G3023">
        <f>IF(TableRefills3[[#This Row],[prev_refill_end]]="","",TableRefills3[[#This Row],[refill_date]]-TableRefills3[[#This Row],[prev_refill_end]])</f>
        <v>-2</v>
      </c>
      <c r="H3023" s="10">
        <f>IF(TableRefills3[[#This Row],[gap_days]]="",0,IF(TableRefills3[[#This Row],[gap_days]]&gt;2,1,0))</f>
        <v>0</v>
      </c>
      <c r="I3023">
        <f>_xlfn.MAXIFS(TableRefills3[discountinuation_flag], TableRefills3[patient_id], A3023)</f>
        <v>1</v>
      </c>
    </row>
    <row r="3024" spans="1:9" x14ac:dyDescent="0.25">
      <c r="A3024" t="s">
        <v>4806</v>
      </c>
      <c r="B3024" t="s">
        <v>4807</v>
      </c>
      <c r="C3024" s="3">
        <v>45905</v>
      </c>
      <c r="D3024">
        <v>30</v>
      </c>
      <c r="E3024" s="3">
        <f t="shared" si="47"/>
        <v>45877</v>
      </c>
      <c r="F3024" s="3">
        <f>IF(TableRefills3[[#This Row],[prev_refill_days]]="","",TableRefills3[[#This Row],[prev_refill_days]]+TableRefills3[[#This Row],[quantity_days]])</f>
        <v>45907</v>
      </c>
      <c r="G3024">
        <f>IF(TableRefills3[[#This Row],[prev_refill_end]]="","",TableRefills3[[#This Row],[refill_date]]-TableRefills3[[#This Row],[prev_refill_end]])</f>
        <v>-2</v>
      </c>
      <c r="H3024" s="10">
        <f>IF(TableRefills3[[#This Row],[gap_days]]="",0,IF(TableRefills3[[#This Row],[gap_days]]&gt;2,1,0))</f>
        <v>0</v>
      </c>
      <c r="I3024">
        <f>_xlfn.MAXIFS(TableRefills3[discountinuation_flag], TableRefills3[patient_id], A3024)</f>
        <v>1</v>
      </c>
    </row>
    <row r="3025" spans="1:9" x14ac:dyDescent="0.25">
      <c r="A3025" t="s">
        <v>4806</v>
      </c>
      <c r="B3025" t="s">
        <v>4807</v>
      </c>
      <c r="C3025" s="3">
        <v>45936</v>
      </c>
      <c r="D3025">
        <v>30</v>
      </c>
      <c r="E3025" s="3">
        <f t="shared" si="47"/>
        <v>45905</v>
      </c>
      <c r="F3025" s="3">
        <f>IF(TableRefills3[[#This Row],[prev_refill_days]]="","",TableRefills3[[#This Row],[prev_refill_days]]+TableRefills3[[#This Row],[quantity_days]])</f>
        <v>45935</v>
      </c>
      <c r="G3025">
        <f>IF(TableRefills3[[#This Row],[prev_refill_end]]="","",TableRefills3[[#This Row],[refill_date]]-TableRefills3[[#This Row],[prev_refill_end]])</f>
        <v>1</v>
      </c>
      <c r="H3025" s="10">
        <f>IF(TableRefills3[[#This Row],[gap_days]]="",0,IF(TableRefills3[[#This Row],[gap_days]]&gt;2,1,0))</f>
        <v>0</v>
      </c>
      <c r="I3025">
        <f>_xlfn.MAXIFS(TableRefills3[discountinuation_flag], TableRefills3[patient_id], A3025)</f>
        <v>1</v>
      </c>
    </row>
    <row r="3026" spans="1:9" x14ac:dyDescent="0.25">
      <c r="A3026" t="s">
        <v>4814</v>
      </c>
      <c r="B3026" t="s">
        <v>4815</v>
      </c>
      <c r="C3026" s="3">
        <v>45845</v>
      </c>
      <c r="D3026">
        <v>30</v>
      </c>
      <c r="E3026" s="3" t="str">
        <f t="shared" si="47"/>
        <v/>
      </c>
      <c r="F3026" s="3" t="str">
        <f>IF(TableRefills3[[#This Row],[prev_refill_days]]="","",TableRefills3[[#This Row],[prev_refill_days]]+TableRefills3[[#This Row],[quantity_days]])</f>
        <v/>
      </c>
      <c r="G3026" t="str">
        <f>IF(TableRefills3[[#This Row],[prev_refill_end]]="","",TableRefills3[[#This Row],[refill_date]]-TableRefills3[[#This Row],[prev_refill_end]])</f>
        <v/>
      </c>
      <c r="H3026" s="10">
        <f>IF(TableRefills3[[#This Row],[gap_days]]="",0,IF(TableRefills3[[#This Row],[gap_days]]&gt;2,1,0))</f>
        <v>0</v>
      </c>
      <c r="I3026">
        <f>_xlfn.MAXIFS(TableRefills3[discountinuation_flag], TableRefills3[patient_id], A3026)</f>
        <v>1</v>
      </c>
    </row>
    <row r="3027" spans="1:9" x14ac:dyDescent="0.25">
      <c r="A3027" t="s">
        <v>4814</v>
      </c>
      <c r="B3027" t="s">
        <v>4815</v>
      </c>
      <c r="C3027" s="3">
        <v>45876</v>
      </c>
      <c r="D3027">
        <v>30</v>
      </c>
      <c r="E3027" s="3">
        <f t="shared" si="47"/>
        <v>45845</v>
      </c>
      <c r="F3027" s="3">
        <f>IF(TableRefills3[[#This Row],[prev_refill_days]]="","",TableRefills3[[#This Row],[prev_refill_days]]+TableRefills3[[#This Row],[quantity_days]])</f>
        <v>45875</v>
      </c>
      <c r="G3027">
        <f>IF(TableRefills3[[#This Row],[prev_refill_end]]="","",TableRefills3[[#This Row],[refill_date]]-TableRefills3[[#This Row],[prev_refill_end]])</f>
        <v>1</v>
      </c>
      <c r="H3027" s="10">
        <f>IF(TableRefills3[[#This Row],[gap_days]]="",0,IF(TableRefills3[[#This Row],[gap_days]]&gt;2,1,0))</f>
        <v>0</v>
      </c>
      <c r="I3027">
        <f>_xlfn.MAXIFS(TableRefills3[discountinuation_flag], TableRefills3[patient_id], A3027)</f>
        <v>1</v>
      </c>
    </row>
    <row r="3028" spans="1:9" x14ac:dyDescent="0.25">
      <c r="A3028" t="s">
        <v>4814</v>
      </c>
      <c r="B3028" t="s">
        <v>4815</v>
      </c>
      <c r="C3028" s="3">
        <v>45909</v>
      </c>
      <c r="D3028">
        <v>30</v>
      </c>
      <c r="E3028" s="3">
        <f t="shared" si="47"/>
        <v>45876</v>
      </c>
      <c r="F3028" s="3">
        <f>IF(TableRefills3[[#This Row],[prev_refill_days]]="","",TableRefills3[[#This Row],[prev_refill_days]]+TableRefills3[[#This Row],[quantity_days]])</f>
        <v>45906</v>
      </c>
      <c r="G3028">
        <f>IF(TableRefills3[[#This Row],[prev_refill_end]]="","",TableRefills3[[#This Row],[refill_date]]-TableRefills3[[#This Row],[prev_refill_end]])</f>
        <v>3</v>
      </c>
      <c r="H3028" s="10">
        <f>IF(TableRefills3[[#This Row],[gap_days]]="",0,IF(TableRefills3[[#This Row],[gap_days]]&gt;2,1,0))</f>
        <v>1</v>
      </c>
      <c r="I3028">
        <f>_xlfn.MAXIFS(TableRefills3[discountinuation_flag], TableRefills3[patient_id], A3028)</f>
        <v>1</v>
      </c>
    </row>
    <row r="3029" spans="1:9" x14ac:dyDescent="0.25">
      <c r="A3029" t="s">
        <v>4819</v>
      </c>
      <c r="B3029" t="s">
        <v>4820</v>
      </c>
      <c r="C3029" s="3">
        <v>45800</v>
      </c>
      <c r="D3029">
        <v>14</v>
      </c>
      <c r="E3029" s="3" t="str">
        <f t="shared" si="47"/>
        <v/>
      </c>
      <c r="F3029" s="3" t="str">
        <f>IF(TableRefills3[[#This Row],[prev_refill_days]]="","",TableRefills3[[#This Row],[prev_refill_days]]+TableRefills3[[#This Row],[quantity_days]])</f>
        <v/>
      </c>
      <c r="G3029" t="str">
        <f>IF(TableRefills3[[#This Row],[prev_refill_end]]="","",TableRefills3[[#This Row],[refill_date]]-TableRefills3[[#This Row],[prev_refill_end]])</f>
        <v/>
      </c>
      <c r="H3029" s="10">
        <f>IF(TableRefills3[[#This Row],[gap_days]]="",0,IF(TableRefills3[[#This Row],[gap_days]]&gt;2,1,0))</f>
        <v>0</v>
      </c>
      <c r="I3029">
        <f>_xlfn.MAXIFS(TableRefills3[discountinuation_flag], TableRefills3[patient_id], A3029)</f>
        <v>1</v>
      </c>
    </row>
    <row r="3030" spans="1:9" x14ac:dyDescent="0.25">
      <c r="A3030" t="s">
        <v>4819</v>
      </c>
      <c r="B3030" t="s">
        <v>4820</v>
      </c>
      <c r="C3030" s="3">
        <v>45816</v>
      </c>
      <c r="D3030">
        <v>14</v>
      </c>
      <c r="E3030" s="3">
        <f t="shared" si="47"/>
        <v>45800</v>
      </c>
      <c r="F3030" s="3">
        <f>IF(TableRefills3[[#This Row],[prev_refill_days]]="","",TableRefills3[[#This Row],[prev_refill_days]]+TableRefills3[[#This Row],[quantity_days]])</f>
        <v>45814</v>
      </c>
      <c r="G3030">
        <f>IF(TableRefills3[[#This Row],[prev_refill_end]]="","",TableRefills3[[#This Row],[refill_date]]-TableRefills3[[#This Row],[prev_refill_end]])</f>
        <v>2</v>
      </c>
      <c r="H3030" s="10">
        <f>IF(TableRefills3[[#This Row],[gap_days]]="",0,IF(TableRefills3[[#This Row],[gap_days]]&gt;2,1,0))</f>
        <v>0</v>
      </c>
      <c r="I3030">
        <f>_xlfn.MAXIFS(TableRefills3[discountinuation_flag], TableRefills3[patient_id], A3030)</f>
        <v>1</v>
      </c>
    </row>
    <row r="3031" spans="1:9" x14ac:dyDescent="0.25">
      <c r="A3031" t="s">
        <v>4819</v>
      </c>
      <c r="B3031" t="s">
        <v>4820</v>
      </c>
      <c r="C3031" s="3">
        <v>45833</v>
      </c>
      <c r="D3031">
        <v>14</v>
      </c>
      <c r="E3031" s="3">
        <f t="shared" si="47"/>
        <v>45816</v>
      </c>
      <c r="F3031" s="3">
        <f>IF(TableRefills3[[#This Row],[prev_refill_days]]="","",TableRefills3[[#This Row],[prev_refill_days]]+TableRefills3[[#This Row],[quantity_days]])</f>
        <v>45830</v>
      </c>
      <c r="G3031">
        <f>IF(TableRefills3[[#This Row],[prev_refill_end]]="","",TableRefills3[[#This Row],[refill_date]]-TableRefills3[[#This Row],[prev_refill_end]])</f>
        <v>3</v>
      </c>
      <c r="H3031" s="10">
        <f>IF(TableRefills3[[#This Row],[gap_days]]="",0,IF(TableRefills3[[#This Row],[gap_days]]&gt;2,1,0))</f>
        <v>1</v>
      </c>
      <c r="I3031">
        <f>_xlfn.MAXIFS(TableRefills3[discountinuation_flag], TableRefills3[patient_id], A3031)</f>
        <v>1</v>
      </c>
    </row>
    <row r="3032" spans="1:9" x14ac:dyDescent="0.25">
      <c r="A3032" t="s">
        <v>4819</v>
      </c>
      <c r="B3032" t="s">
        <v>4820</v>
      </c>
      <c r="C3032" s="3">
        <v>45847</v>
      </c>
      <c r="D3032">
        <v>14</v>
      </c>
      <c r="E3032" s="3">
        <f t="shared" si="47"/>
        <v>45833</v>
      </c>
      <c r="F3032" s="3">
        <f>IF(TableRefills3[[#This Row],[prev_refill_days]]="","",TableRefills3[[#This Row],[prev_refill_days]]+TableRefills3[[#This Row],[quantity_days]])</f>
        <v>45847</v>
      </c>
      <c r="G3032">
        <f>IF(TableRefills3[[#This Row],[prev_refill_end]]="","",TableRefills3[[#This Row],[refill_date]]-TableRefills3[[#This Row],[prev_refill_end]])</f>
        <v>0</v>
      </c>
      <c r="H3032" s="10">
        <f>IF(TableRefills3[[#This Row],[gap_days]]="",0,IF(TableRefills3[[#This Row],[gap_days]]&gt;2,1,0))</f>
        <v>0</v>
      </c>
      <c r="I3032">
        <f>_xlfn.MAXIFS(TableRefills3[discountinuation_flag], TableRefills3[patient_id], A3032)</f>
        <v>1</v>
      </c>
    </row>
    <row r="3033" spans="1:9" x14ac:dyDescent="0.25">
      <c r="A3033" t="s">
        <v>4819</v>
      </c>
      <c r="B3033" t="s">
        <v>4820</v>
      </c>
      <c r="C3033" s="3">
        <v>45858</v>
      </c>
      <c r="D3033">
        <v>14</v>
      </c>
      <c r="E3033" s="3">
        <f t="shared" si="47"/>
        <v>45847</v>
      </c>
      <c r="F3033" s="3">
        <f>IF(TableRefills3[[#This Row],[prev_refill_days]]="","",TableRefills3[[#This Row],[prev_refill_days]]+TableRefills3[[#This Row],[quantity_days]])</f>
        <v>45861</v>
      </c>
      <c r="G3033">
        <f>IF(TableRefills3[[#This Row],[prev_refill_end]]="","",TableRefills3[[#This Row],[refill_date]]-TableRefills3[[#This Row],[prev_refill_end]])</f>
        <v>-3</v>
      </c>
      <c r="H3033" s="10">
        <f>IF(TableRefills3[[#This Row],[gap_days]]="",0,IF(TableRefills3[[#This Row],[gap_days]]&gt;2,1,0))</f>
        <v>0</v>
      </c>
      <c r="I3033">
        <f>_xlfn.MAXIFS(TableRefills3[discountinuation_flag], TableRefills3[patient_id], A3033)</f>
        <v>1</v>
      </c>
    </row>
    <row r="3034" spans="1:9" x14ac:dyDescent="0.25">
      <c r="A3034" t="s">
        <v>4819</v>
      </c>
      <c r="B3034" t="s">
        <v>4820</v>
      </c>
      <c r="C3034" s="3">
        <v>45875</v>
      </c>
      <c r="D3034">
        <v>14</v>
      </c>
      <c r="E3034" s="3">
        <f t="shared" si="47"/>
        <v>45858</v>
      </c>
      <c r="F3034" s="3">
        <f>IF(TableRefills3[[#This Row],[prev_refill_days]]="","",TableRefills3[[#This Row],[prev_refill_days]]+TableRefills3[[#This Row],[quantity_days]])</f>
        <v>45872</v>
      </c>
      <c r="G3034">
        <f>IF(TableRefills3[[#This Row],[prev_refill_end]]="","",TableRefills3[[#This Row],[refill_date]]-TableRefills3[[#This Row],[prev_refill_end]])</f>
        <v>3</v>
      </c>
      <c r="H3034" s="10">
        <f>IF(TableRefills3[[#This Row],[gap_days]]="",0,IF(TableRefills3[[#This Row],[gap_days]]&gt;2,1,0))</f>
        <v>1</v>
      </c>
      <c r="I3034">
        <f>_xlfn.MAXIFS(TableRefills3[discountinuation_flag], TableRefills3[patient_id], A3034)</f>
        <v>1</v>
      </c>
    </row>
    <row r="3035" spans="1:9" x14ac:dyDescent="0.25">
      <c r="A3035" t="s">
        <v>4819</v>
      </c>
      <c r="B3035" t="s">
        <v>4820</v>
      </c>
      <c r="C3035" s="3">
        <v>45886</v>
      </c>
      <c r="D3035">
        <v>14</v>
      </c>
      <c r="E3035" s="3">
        <f t="shared" si="47"/>
        <v>45875</v>
      </c>
      <c r="F3035" s="3">
        <f>IF(TableRefills3[[#This Row],[prev_refill_days]]="","",TableRefills3[[#This Row],[prev_refill_days]]+TableRefills3[[#This Row],[quantity_days]])</f>
        <v>45889</v>
      </c>
      <c r="G3035">
        <f>IF(TableRefills3[[#This Row],[prev_refill_end]]="","",TableRefills3[[#This Row],[refill_date]]-TableRefills3[[#This Row],[prev_refill_end]])</f>
        <v>-3</v>
      </c>
      <c r="H3035" s="10">
        <f>IF(TableRefills3[[#This Row],[gap_days]]="",0,IF(TableRefills3[[#This Row],[gap_days]]&gt;2,1,0))</f>
        <v>0</v>
      </c>
      <c r="I3035">
        <f>_xlfn.MAXIFS(TableRefills3[discountinuation_flag], TableRefills3[patient_id], A3035)</f>
        <v>1</v>
      </c>
    </row>
    <row r="3036" spans="1:9" x14ac:dyDescent="0.25">
      <c r="A3036" t="s">
        <v>4819</v>
      </c>
      <c r="B3036" t="s">
        <v>4820</v>
      </c>
      <c r="C3036" s="3">
        <v>45899</v>
      </c>
      <c r="D3036">
        <v>14</v>
      </c>
      <c r="E3036" s="3">
        <f t="shared" si="47"/>
        <v>45886</v>
      </c>
      <c r="F3036" s="3">
        <f>IF(TableRefills3[[#This Row],[prev_refill_days]]="","",TableRefills3[[#This Row],[prev_refill_days]]+TableRefills3[[#This Row],[quantity_days]])</f>
        <v>45900</v>
      </c>
      <c r="G3036">
        <f>IF(TableRefills3[[#This Row],[prev_refill_end]]="","",TableRefills3[[#This Row],[refill_date]]-TableRefills3[[#This Row],[prev_refill_end]])</f>
        <v>-1</v>
      </c>
      <c r="H3036" s="10">
        <f>IF(TableRefills3[[#This Row],[gap_days]]="",0,IF(TableRefills3[[#This Row],[gap_days]]&gt;2,1,0))</f>
        <v>0</v>
      </c>
      <c r="I3036">
        <f>_xlfn.MAXIFS(TableRefills3[discountinuation_flag], TableRefills3[patient_id], A3036)</f>
        <v>1</v>
      </c>
    </row>
    <row r="3037" spans="1:9" x14ac:dyDescent="0.25">
      <c r="A3037" t="s">
        <v>4819</v>
      </c>
      <c r="B3037" t="s">
        <v>4820</v>
      </c>
      <c r="C3037" s="3">
        <v>45915</v>
      </c>
      <c r="D3037">
        <v>14</v>
      </c>
      <c r="E3037" s="3">
        <f t="shared" si="47"/>
        <v>45899</v>
      </c>
      <c r="F3037" s="3">
        <f>IF(TableRefills3[[#This Row],[prev_refill_days]]="","",TableRefills3[[#This Row],[prev_refill_days]]+TableRefills3[[#This Row],[quantity_days]])</f>
        <v>45913</v>
      </c>
      <c r="G3037">
        <f>IF(TableRefills3[[#This Row],[prev_refill_end]]="","",TableRefills3[[#This Row],[refill_date]]-TableRefills3[[#This Row],[prev_refill_end]])</f>
        <v>2</v>
      </c>
      <c r="H3037" s="10">
        <f>IF(TableRefills3[[#This Row],[gap_days]]="",0,IF(TableRefills3[[#This Row],[gap_days]]&gt;2,1,0))</f>
        <v>0</v>
      </c>
      <c r="I3037">
        <f>_xlfn.MAXIFS(TableRefills3[discountinuation_flag], TableRefills3[patient_id], A3037)</f>
        <v>1</v>
      </c>
    </row>
    <row r="3038" spans="1:9" x14ac:dyDescent="0.25">
      <c r="A3038" t="s">
        <v>4819</v>
      </c>
      <c r="B3038" t="s">
        <v>4820</v>
      </c>
      <c r="C3038" s="3">
        <v>45927</v>
      </c>
      <c r="D3038">
        <v>14</v>
      </c>
      <c r="E3038" s="3">
        <f t="shared" si="47"/>
        <v>45915</v>
      </c>
      <c r="F3038" s="3">
        <f>IF(TableRefills3[[#This Row],[prev_refill_days]]="","",TableRefills3[[#This Row],[prev_refill_days]]+TableRefills3[[#This Row],[quantity_days]])</f>
        <v>45929</v>
      </c>
      <c r="G3038">
        <f>IF(TableRefills3[[#This Row],[prev_refill_end]]="","",TableRefills3[[#This Row],[refill_date]]-TableRefills3[[#This Row],[prev_refill_end]])</f>
        <v>-2</v>
      </c>
      <c r="H3038" s="10">
        <f>IF(TableRefills3[[#This Row],[gap_days]]="",0,IF(TableRefills3[[#This Row],[gap_days]]&gt;2,1,0))</f>
        <v>0</v>
      </c>
      <c r="I3038">
        <f>_xlfn.MAXIFS(TableRefills3[discountinuation_flag], TableRefills3[patient_id], A3038)</f>
        <v>1</v>
      </c>
    </row>
    <row r="3039" spans="1:9" x14ac:dyDescent="0.25">
      <c r="A3039" t="s">
        <v>4819</v>
      </c>
      <c r="B3039" t="s">
        <v>4820</v>
      </c>
      <c r="C3039" s="3">
        <v>45941</v>
      </c>
      <c r="D3039">
        <v>14</v>
      </c>
      <c r="E3039" s="3">
        <f t="shared" si="47"/>
        <v>45927</v>
      </c>
      <c r="F3039" s="3">
        <f>IF(TableRefills3[[#This Row],[prev_refill_days]]="","",TableRefills3[[#This Row],[prev_refill_days]]+TableRefills3[[#This Row],[quantity_days]])</f>
        <v>45941</v>
      </c>
      <c r="G3039">
        <f>IF(TableRefills3[[#This Row],[prev_refill_end]]="","",TableRefills3[[#This Row],[refill_date]]-TableRefills3[[#This Row],[prev_refill_end]])</f>
        <v>0</v>
      </c>
      <c r="H3039" s="10">
        <f>IF(TableRefills3[[#This Row],[gap_days]]="",0,IF(TableRefills3[[#This Row],[gap_days]]&gt;2,1,0))</f>
        <v>0</v>
      </c>
      <c r="I3039">
        <f>_xlfn.MAXIFS(TableRefills3[discountinuation_flag], TableRefills3[patient_id], A3039)</f>
        <v>1</v>
      </c>
    </row>
    <row r="3040" spans="1:9" x14ac:dyDescent="0.25">
      <c r="A3040" t="s">
        <v>4819</v>
      </c>
      <c r="B3040" t="s">
        <v>4820</v>
      </c>
      <c r="C3040" s="3">
        <v>45956</v>
      </c>
      <c r="D3040">
        <v>14</v>
      </c>
      <c r="E3040" s="3">
        <f t="shared" si="47"/>
        <v>45941</v>
      </c>
      <c r="F3040" s="3">
        <f>IF(TableRefills3[[#This Row],[prev_refill_days]]="","",TableRefills3[[#This Row],[prev_refill_days]]+TableRefills3[[#This Row],[quantity_days]])</f>
        <v>45955</v>
      </c>
      <c r="G3040">
        <f>IF(TableRefills3[[#This Row],[prev_refill_end]]="","",TableRefills3[[#This Row],[refill_date]]-TableRefills3[[#This Row],[prev_refill_end]])</f>
        <v>1</v>
      </c>
      <c r="H3040" s="10">
        <f>IF(TableRefills3[[#This Row],[gap_days]]="",0,IF(TableRefills3[[#This Row],[gap_days]]&gt;2,1,0))</f>
        <v>0</v>
      </c>
      <c r="I3040">
        <f>_xlfn.MAXIFS(TableRefills3[discountinuation_flag], TableRefills3[patient_id], A3040)</f>
        <v>1</v>
      </c>
    </row>
    <row r="3041" spans="1:9" x14ac:dyDescent="0.25">
      <c r="A3041" t="s">
        <v>4833</v>
      </c>
      <c r="B3041" t="s">
        <v>4834</v>
      </c>
      <c r="C3041" s="3">
        <v>45808</v>
      </c>
      <c r="D3041">
        <v>28</v>
      </c>
      <c r="E3041" s="3" t="str">
        <f t="shared" si="47"/>
        <v/>
      </c>
      <c r="F3041" s="3" t="str">
        <f>IF(TableRefills3[[#This Row],[prev_refill_days]]="","",TableRefills3[[#This Row],[prev_refill_days]]+TableRefills3[[#This Row],[quantity_days]])</f>
        <v/>
      </c>
      <c r="G3041" t="str">
        <f>IF(TableRefills3[[#This Row],[prev_refill_end]]="","",TableRefills3[[#This Row],[refill_date]]-TableRefills3[[#This Row],[prev_refill_end]])</f>
        <v/>
      </c>
      <c r="H3041" s="10">
        <f>IF(TableRefills3[[#This Row],[gap_days]]="",0,IF(TableRefills3[[#This Row],[gap_days]]&gt;2,1,0))</f>
        <v>0</v>
      </c>
      <c r="I3041">
        <f>_xlfn.MAXIFS(TableRefills3[discountinuation_flag], TableRefills3[patient_id], A3041)</f>
        <v>0</v>
      </c>
    </row>
    <row r="3042" spans="1:9" x14ac:dyDescent="0.25">
      <c r="A3042" t="s">
        <v>4833</v>
      </c>
      <c r="B3042" t="s">
        <v>4834</v>
      </c>
      <c r="C3042" s="3">
        <v>45834</v>
      </c>
      <c r="D3042">
        <v>28</v>
      </c>
      <c r="E3042" s="3">
        <f t="shared" si="47"/>
        <v>45808</v>
      </c>
      <c r="F3042" s="3">
        <f>IF(TableRefills3[[#This Row],[prev_refill_days]]="","",TableRefills3[[#This Row],[prev_refill_days]]+TableRefills3[[#This Row],[quantity_days]])</f>
        <v>45836</v>
      </c>
      <c r="G3042">
        <f>IF(TableRefills3[[#This Row],[prev_refill_end]]="","",TableRefills3[[#This Row],[refill_date]]-TableRefills3[[#This Row],[prev_refill_end]])</f>
        <v>-2</v>
      </c>
      <c r="H3042" s="10">
        <f>IF(TableRefills3[[#This Row],[gap_days]]="",0,IF(TableRefills3[[#This Row],[gap_days]]&gt;2,1,0))</f>
        <v>0</v>
      </c>
      <c r="I3042">
        <f>_xlfn.MAXIFS(TableRefills3[discountinuation_flag], TableRefills3[patient_id], A3042)</f>
        <v>0</v>
      </c>
    </row>
    <row r="3043" spans="1:9" x14ac:dyDescent="0.25">
      <c r="A3043" t="s">
        <v>4833</v>
      </c>
      <c r="B3043" t="s">
        <v>4834</v>
      </c>
      <c r="C3043" s="3">
        <v>45861</v>
      </c>
      <c r="D3043">
        <v>28</v>
      </c>
      <c r="E3043" s="3">
        <f t="shared" si="47"/>
        <v>45834</v>
      </c>
      <c r="F3043" s="3">
        <f>IF(TableRefills3[[#This Row],[prev_refill_days]]="","",TableRefills3[[#This Row],[prev_refill_days]]+TableRefills3[[#This Row],[quantity_days]])</f>
        <v>45862</v>
      </c>
      <c r="G3043">
        <f>IF(TableRefills3[[#This Row],[prev_refill_end]]="","",TableRefills3[[#This Row],[refill_date]]-TableRefills3[[#This Row],[prev_refill_end]])</f>
        <v>-1</v>
      </c>
      <c r="H3043" s="10">
        <f>IF(TableRefills3[[#This Row],[gap_days]]="",0,IF(TableRefills3[[#This Row],[gap_days]]&gt;2,1,0))</f>
        <v>0</v>
      </c>
      <c r="I3043">
        <f>_xlfn.MAXIFS(TableRefills3[discountinuation_flag], TableRefills3[patient_id], A3043)</f>
        <v>0</v>
      </c>
    </row>
    <row r="3044" spans="1:9" x14ac:dyDescent="0.25">
      <c r="A3044" t="s">
        <v>4833</v>
      </c>
      <c r="B3044" t="s">
        <v>4834</v>
      </c>
      <c r="C3044" s="3">
        <v>45891</v>
      </c>
      <c r="D3044">
        <v>28</v>
      </c>
      <c r="E3044" s="3">
        <f t="shared" si="47"/>
        <v>45861</v>
      </c>
      <c r="F3044" s="3">
        <f>IF(TableRefills3[[#This Row],[prev_refill_days]]="","",TableRefills3[[#This Row],[prev_refill_days]]+TableRefills3[[#This Row],[quantity_days]])</f>
        <v>45889</v>
      </c>
      <c r="G3044">
        <f>IF(TableRefills3[[#This Row],[prev_refill_end]]="","",TableRefills3[[#This Row],[refill_date]]-TableRefills3[[#This Row],[prev_refill_end]])</f>
        <v>2</v>
      </c>
      <c r="H3044" s="10">
        <f>IF(TableRefills3[[#This Row],[gap_days]]="",0,IF(TableRefills3[[#This Row],[gap_days]]&gt;2,1,0))</f>
        <v>0</v>
      </c>
      <c r="I3044">
        <f>_xlfn.MAXIFS(TableRefills3[discountinuation_flag], TableRefills3[patient_id], A3044)</f>
        <v>0</v>
      </c>
    </row>
    <row r="3045" spans="1:9" x14ac:dyDescent="0.25">
      <c r="A3045" t="s">
        <v>4833</v>
      </c>
      <c r="B3045" t="s">
        <v>4834</v>
      </c>
      <c r="C3045" s="3">
        <v>45916</v>
      </c>
      <c r="D3045">
        <v>28</v>
      </c>
      <c r="E3045" s="3">
        <f t="shared" si="47"/>
        <v>45891</v>
      </c>
      <c r="F3045" s="3">
        <f>IF(TableRefills3[[#This Row],[prev_refill_days]]="","",TableRefills3[[#This Row],[prev_refill_days]]+TableRefills3[[#This Row],[quantity_days]])</f>
        <v>45919</v>
      </c>
      <c r="G3045">
        <f>IF(TableRefills3[[#This Row],[prev_refill_end]]="","",TableRefills3[[#This Row],[refill_date]]-TableRefills3[[#This Row],[prev_refill_end]])</f>
        <v>-3</v>
      </c>
      <c r="H3045" s="10">
        <f>IF(TableRefills3[[#This Row],[gap_days]]="",0,IF(TableRefills3[[#This Row],[gap_days]]&gt;2,1,0))</f>
        <v>0</v>
      </c>
      <c r="I3045">
        <f>_xlfn.MAXIFS(TableRefills3[discountinuation_flag], TableRefills3[patient_id], A3045)</f>
        <v>0</v>
      </c>
    </row>
    <row r="3046" spans="1:9" x14ac:dyDescent="0.25">
      <c r="A3046" t="s">
        <v>4833</v>
      </c>
      <c r="B3046" t="s">
        <v>4834</v>
      </c>
      <c r="C3046" s="3">
        <v>45942</v>
      </c>
      <c r="D3046">
        <v>28</v>
      </c>
      <c r="E3046" s="3">
        <f t="shared" si="47"/>
        <v>45916</v>
      </c>
      <c r="F3046" s="3">
        <f>IF(TableRefills3[[#This Row],[prev_refill_days]]="","",TableRefills3[[#This Row],[prev_refill_days]]+TableRefills3[[#This Row],[quantity_days]])</f>
        <v>45944</v>
      </c>
      <c r="G3046">
        <f>IF(TableRefills3[[#This Row],[prev_refill_end]]="","",TableRefills3[[#This Row],[refill_date]]-TableRefills3[[#This Row],[prev_refill_end]])</f>
        <v>-2</v>
      </c>
      <c r="H3046" s="10">
        <f>IF(TableRefills3[[#This Row],[gap_days]]="",0,IF(TableRefills3[[#This Row],[gap_days]]&gt;2,1,0))</f>
        <v>0</v>
      </c>
      <c r="I3046">
        <f>_xlfn.MAXIFS(TableRefills3[discountinuation_flag], TableRefills3[patient_id], A3046)</f>
        <v>0</v>
      </c>
    </row>
    <row r="3047" spans="1:9" x14ac:dyDescent="0.25">
      <c r="A3047" t="s">
        <v>4841</v>
      </c>
      <c r="B3047" t="s">
        <v>4842</v>
      </c>
      <c r="C3047" s="3">
        <v>45838</v>
      </c>
      <c r="D3047">
        <v>28</v>
      </c>
      <c r="E3047" s="3" t="str">
        <f t="shared" si="47"/>
        <v/>
      </c>
      <c r="F3047" s="3" t="str">
        <f>IF(TableRefills3[[#This Row],[prev_refill_days]]="","",TableRefills3[[#This Row],[prev_refill_days]]+TableRefills3[[#This Row],[quantity_days]])</f>
        <v/>
      </c>
      <c r="G3047" t="str">
        <f>IF(TableRefills3[[#This Row],[prev_refill_end]]="","",TableRefills3[[#This Row],[refill_date]]-TableRefills3[[#This Row],[prev_refill_end]])</f>
        <v/>
      </c>
      <c r="H3047" s="10">
        <f>IF(TableRefills3[[#This Row],[gap_days]]="",0,IF(TableRefills3[[#This Row],[gap_days]]&gt;2,1,0))</f>
        <v>0</v>
      </c>
      <c r="I3047">
        <f>_xlfn.MAXIFS(TableRefills3[discountinuation_flag], TableRefills3[patient_id], A3047)</f>
        <v>0</v>
      </c>
    </row>
    <row r="3048" spans="1:9" x14ac:dyDescent="0.25">
      <c r="A3048" t="s">
        <v>4841</v>
      </c>
      <c r="B3048" t="s">
        <v>4842</v>
      </c>
      <c r="C3048" s="3">
        <v>45868</v>
      </c>
      <c r="D3048">
        <v>28</v>
      </c>
      <c r="E3048" s="3">
        <f t="shared" si="47"/>
        <v>45838</v>
      </c>
      <c r="F3048" s="3">
        <f>IF(TableRefills3[[#This Row],[prev_refill_days]]="","",TableRefills3[[#This Row],[prev_refill_days]]+TableRefills3[[#This Row],[quantity_days]])</f>
        <v>45866</v>
      </c>
      <c r="G3048">
        <f>IF(TableRefills3[[#This Row],[prev_refill_end]]="","",TableRefills3[[#This Row],[refill_date]]-TableRefills3[[#This Row],[prev_refill_end]])</f>
        <v>2</v>
      </c>
      <c r="H3048" s="10">
        <f>IF(TableRefills3[[#This Row],[gap_days]]="",0,IF(TableRefills3[[#This Row],[gap_days]]&gt;2,1,0))</f>
        <v>0</v>
      </c>
      <c r="I3048">
        <f>_xlfn.MAXIFS(TableRefills3[discountinuation_flag], TableRefills3[patient_id], A3048)</f>
        <v>0</v>
      </c>
    </row>
    <row r="3049" spans="1:9" x14ac:dyDescent="0.25">
      <c r="A3049" t="s">
        <v>4841</v>
      </c>
      <c r="B3049" t="s">
        <v>4842</v>
      </c>
      <c r="C3049" s="3">
        <v>45895</v>
      </c>
      <c r="D3049">
        <v>28</v>
      </c>
      <c r="E3049" s="3">
        <f t="shared" si="47"/>
        <v>45868</v>
      </c>
      <c r="F3049" s="3">
        <f>IF(TableRefills3[[#This Row],[prev_refill_days]]="","",TableRefills3[[#This Row],[prev_refill_days]]+TableRefills3[[#This Row],[quantity_days]])</f>
        <v>45896</v>
      </c>
      <c r="G3049">
        <f>IF(TableRefills3[[#This Row],[prev_refill_end]]="","",TableRefills3[[#This Row],[refill_date]]-TableRefills3[[#This Row],[prev_refill_end]])</f>
        <v>-1</v>
      </c>
      <c r="H3049" s="10">
        <f>IF(TableRefills3[[#This Row],[gap_days]]="",0,IF(TableRefills3[[#This Row],[gap_days]]&gt;2,1,0))</f>
        <v>0</v>
      </c>
      <c r="I3049">
        <f>_xlfn.MAXIFS(TableRefills3[discountinuation_flag], TableRefills3[patient_id], A3049)</f>
        <v>0</v>
      </c>
    </row>
    <row r="3050" spans="1:9" x14ac:dyDescent="0.25">
      <c r="A3050" t="s">
        <v>4841</v>
      </c>
      <c r="B3050" t="s">
        <v>4842</v>
      </c>
      <c r="C3050" s="3">
        <v>45921</v>
      </c>
      <c r="D3050">
        <v>28</v>
      </c>
      <c r="E3050" s="3">
        <f t="shared" si="47"/>
        <v>45895</v>
      </c>
      <c r="F3050" s="3">
        <f>IF(TableRefills3[[#This Row],[prev_refill_days]]="","",TableRefills3[[#This Row],[prev_refill_days]]+TableRefills3[[#This Row],[quantity_days]])</f>
        <v>45923</v>
      </c>
      <c r="G3050">
        <f>IF(TableRefills3[[#This Row],[prev_refill_end]]="","",TableRefills3[[#This Row],[refill_date]]-TableRefills3[[#This Row],[prev_refill_end]])</f>
        <v>-2</v>
      </c>
      <c r="H3050" s="10">
        <f>IF(TableRefills3[[#This Row],[gap_days]]="",0,IF(TableRefills3[[#This Row],[gap_days]]&gt;2,1,0))</f>
        <v>0</v>
      </c>
      <c r="I3050">
        <f>_xlfn.MAXIFS(TableRefills3[discountinuation_flag], TableRefills3[patient_id], A3050)</f>
        <v>0</v>
      </c>
    </row>
    <row r="3051" spans="1:9" x14ac:dyDescent="0.25">
      <c r="A3051" t="s">
        <v>4841</v>
      </c>
      <c r="B3051" t="s">
        <v>4842</v>
      </c>
      <c r="C3051" s="3">
        <v>45946</v>
      </c>
      <c r="D3051">
        <v>28</v>
      </c>
      <c r="E3051" s="3">
        <f t="shared" si="47"/>
        <v>45921</v>
      </c>
      <c r="F3051" s="3">
        <f>IF(TableRefills3[[#This Row],[prev_refill_days]]="","",TableRefills3[[#This Row],[prev_refill_days]]+TableRefills3[[#This Row],[quantity_days]])</f>
        <v>45949</v>
      </c>
      <c r="G3051">
        <f>IF(TableRefills3[[#This Row],[prev_refill_end]]="","",TableRefills3[[#This Row],[refill_date]]-TableRefills3[[#This Row],[prev_refill_end]])</f>
        <v>-3</v>
      </c>
      <c r="H3051" s="10">
        <f>IF(TableRefills3[[#This Row],[gap_days]]="",0,IF(TableRefills3[[#This Row],[gap_days]]&gt;2,1,0))</f>
        <v>0</v>
      </c>
      <c r="I3051">
        <f>_xlfn.MAXIFS(TableRefills3[discountinuation_flag], TableRefills3[patient_id], A3051)</f>
        <v>0</v>
      </c>
    </row>
    <row r="3052" spans="1:9" x14ac:dyDescent="0.25">
      <c r="A3052" t="s">
        <v>4848</v>
      </c>
      <c r="B3052" t="s">
        <v>4849</v>
      </c>
      <c r="C3052" s="3">
        <v>45928</v>
      </c>
      <c r="D3052">
        <v>28</v>
      </c>
      <c r="E3052" s="3" t="str">
        <f t="shared" si="47"/>
        <v/>
      </c>
      <c r="F3052" s="3" t="str">
        <f>IF(TableRefills3[[#This Row],[prev_refill_days]]="","",TableRefills3[[#This Row],[prev_refill_days]]+TableRefills3[[#This Row],[quantity_days]])</f>
        <v/>
      </c>
      <c r="G3052" t="str">
        <f>IF(TableRefills3[[#This Row],[prev_refill_end]]="","",TableRefills3[[#This Row],[refill_date]]-TableRefills3[[#This Row],[prev_refill_end]])</f>
        <v/>
      </c>
      <c r="H3052" s="10">
        <f>IF(TableRefills3[[#This Row],[gap_days]]="",0,IF(TableRefills3[[#This Row],[gap_days]]&gt;2,1,0))</f>
        <v>0</v>
      </c>
      <c r="I3052">
        <f>_xlfn.MAXIFS(TableRefills3[discountinuation_flag], TableRefills3[patient_id], A3052)</f>
        <v>0</v>
      </c>
    </row>
    <row r="3053" spans="1:9" x14ac:dyDescent="0.25">
      <c r="A3053" t="s">
        <v>4851</v>
      </c>
      <c r="B3053" t="s">
        <v>4852</v>
      </c>
      <c r="C3053" s="3">
        <v>45867</v>
      </c>
      <c r="D3053">
        <v>30</v>
      </c>
      <c r="E3053" s="3" t="str">
        <f t="shared" si="47"/>
        <v/>
      </c>
      <c r="F3053" s="3" t="str">
        <f>IF(TableRefills3[[#This Row],[prev_refill_days]]="","",TableRefills3[[#This Row],[prev_refill_days]]+TableRefills3[[#This Row],[quantity_days]])</f>
        <v/>
      </c>
      <c r="G3053" t="str">
        <f>IF(TableRefills3[[#This Row],[prev_refill_end]]="","",TableRefills3[[#This Row],[refill_date]]-TableRefills3[[#This Row],[prev_refill_end]])</f>
        <v/>
      </c>
      <c r="H3053" s="10">
        <f>IF(TableRefills3[[#This Row],[gap_days]]="",0,IF(TableRefills3[[#This Row],[gap_days]]&gt;2,1,0))</f>
        <v>0</v>
      </c>
      <c r="I3053">
        <f>_xlfn.MAXIFS(TableRefills3[discountinuation_flag], TableRefills3[patient_id], A3053)</f>
        <v>0</v>
      </c>
    </row>
    <row r="3054" spans="1:9" x14ac:dyDescent="0.25">
      <c r="A3054" t="s">
        <v>4851</v>
      </c>
      <c r="B3054" t="s">
        <v>4852</v>
      </c>
      <c r="C3054" s="3">
        <v>45894</v>
      </c>
      <c r="D3054">
        <v>30</v>
      </c>
      <c r="E3054" s="3">
        <f t="shared" si="47"/>
        <v>45867</v>
      </c>
      <c r="F3054" s="3">
        <f>IF(TableRefills3[[#This Row],[prev_refill_days]]="","",TableRefills3[[#This Row],[prev_refill_days]]+TableRefills3[[#This Row],[quantity_days]])</f>
        <v>45897</v>
      </c>
      <c r="G3054">
        <f>IF(TableRefills3[[#This Row],[prev_refill_end]]="","",TableRefills3[[#This Row],[refill_date]]-TableRefills3[[#This Row],[prev_refill_end]])</f>
        <v>-3</v>
      </c>
      <c r="H3054" s="10">
        <f>IF(TableRefills3[[#This Row],[gap_days]]="",0,IF(TableRefills3[[#This Row],[gap_days]]&gt;2,1,0))</f>
        <v>0</v>
      </c>
      <c r="I3054">
        <f>_xlfn.MAXIFS(TableRefills3[discountinuation_flag], TableRefills3[patient_id], A3054)</f>
        <v>0</v>
      </c>
    </row>
    <row r="3055" spans="1:9" x14ac:dyDescent="0.25">
      <c r="A3055" t="s">
        <v>4851</v>
      </c>
      <c r="B3055" t="s">
        <v>4852</v>
      </c>
      <c r="C3055" s="3">
        <v>45924</v>
      </c>
      <c r="D3055">
        <v>30</v>
      </c>
      <c r="E3055" s="3">
        <f t="shared" si="47"/>
        <v>45894</v>
      </c>
      <c r="F3055" s="3">
        <f>IF(TableRefills3[[#This Row],[prev_refill_days]]="","",TableRefills3[[#This Row],[prev_refill_days]]+TableRefills3[[#This Row],[quantity_days]])</f>
        <v>45924</v>
      </c>
      <c r="G3055">
        <f>IF(TableRefills3[[#This Row],[prev_refill_end]]="","",TableRefills3[[#This Row],[refill_date]]-TableRefills3[[#This Row],[prev_refill_end]])</f>
        <v>0</v>
      </c>
      <c r="H3055" s="10">
        <f>IF(TableRefills3[[#This Row],[gap_days]]="",0,IF(TableRefills3[[#This Row],[gap_days]]&gt;2,1,0))</f>
        <v>0</v>
      </c>
      <c r="I3055">
        <f>_xlfn.MAXIFS(TableRefills3[discountinuation_flag], TableRefills3[patient_id], A3055)</f>
        <v>0</v>
      </c>
    </row>
    <row r="3056" spans="1:9" x14ac:dyDescent="0.25">
      <c r="A3056" t="s">
        <v>4851</v>
      </c>
      <c r="B3056" t="s">
        <v>4852</v>
      </c>
      <c r="C3056" s="3">
        <v>45954</v>
      </c>
      <c r="D3056">
        <v>30</v>
      </c>
      <c r="E3056" s="3">
        <f t="shared" si="47"/>
        <v>45924</v>
      </c>
      <c r="F3056" s="3">
        <f>IF(TableRefills3[[#This Row],[prev_refill_days]]="","",TableRefills3[[#This Row],[prev_refill_days]]+TableRefills3[[#This Row],[quantity_days]])</f>
        <v>45954</v>
      </c>
      <c r="G3056">
        <f>IF(TableRefills3[[#This Row],[prev_refill_end]]="","",TableRefills3[[#This Row],[refill_date]]-TableRefills3[[#This Row],[prev_refill_end]])</f>
        <v>0</v>
      </c>
      <c r="H3056" s="10">
        <f>IF(TableRefills3[[#This Row],[gap_days]]="",0,IF(TableRefills3[[#This Row],[gap_days]]&gt;2,1,0))</f>
        <v>0</v>
      </c>
      <c r="I3056">
        <f>_xlfn.MAXIFS(TableRefills3[discountinuation_flag], TableRefills3[patient_id], A3056)</f>
        <v>0</v>
      </c>
    </row>
    <row r="3057" spans="1:9" x14ac:dyDescent="0.25">
      <c r="A3057" t="s">
        <v>4857</v>
      </c>
      <c r="B3057" t="s">
        <v>4858</v>
      </c>
      <c r="C3057" s="3">
        <v>45934</v>
      </c>
      <c r="D3057">
        <v>28</v>
      </c>
      <c r="E3057" s="3" t="str">
        <f t="shared" si="47"/>
        <v/>
      </c>
      <c r="F3057" s="3" t="str">
        <f>IF(TableRefills3[[#This Row],[prev_refill_days]]="","",TableRefills3[[#This Row],[prev_refill_days]]+TableRefills3[[#This Row],[quantity_days]])</f>
        <v/>
      </c>
      <c r="G3057" t="str">
        <f>IF(TableRefills3[[#This Row],[prev_refill_end]]="","",TableRefills3[[#This Row],[refill_date]]-TableRefills3[[#This Row],[prev_refill_end]])</f>
        <v/>
      </c>
      <c r="H3057" s="10">
        <f>IF(TableRefills3[[#This Row],[gap_days]]="",0,IF(TableRefills3[[#This Row],[gap_days]]&gt;2,1,0))</f>
        <v>0</v>
      </c>
      <c r="I3057">
        <f>_xlfn.MAXIFS(TableRefills3[discountinuation_flag], TableRefills3[patient_id], A3057)</f>
        <v>0</v>
      </c>
    </row>
    <row r="3058" spans="1:9" x14ac:dyDescent="0.25">
      <c r="A3058" t="s">
        <v>4857</v>
      </c>
      <c r="B3058" t="s">
        <v>4858</v>
      </c>
      <c r="C3058" s="3">
        <v>45959</v>
      </c>
      <c r="D3058">
        <v>28</v>
      </c>
      <c r="E3058" s="3">
        <f t="shared" si="47"/>
        <v>45934</v>
      </c>
      <c r="F3058" s="3">
        <f>IF(TableRefills3[[#This Row],[prev_refill_days]]="","",TableRefills3[[#This Row],[prev_refill_days]]+TableRefills3[[#This Row],[quantity_days]])</f>
        <v>45962</v>
      </c>
      <c r="G3058">
        <f>IF(TableRefills3[[#This Row],[prev_refill_end]]="","",TableRefills3[[#This Row],[refill_date]]-TableRefills3[[#This Row],[prev_refill_end]])</f>
        <v>-3</v>
      </c>
      <c r="H3058" s="10">
        <f>IF(TableRefills3[[#This Row],[gap_days]]="",0,IF(TableRefills3[[#This Row],[gap_days]]&gt;2,1,0))</f>
        <v>0</v>
      </c>
      <c r="I3058">
        <f>_xlfn.MAXIFS(TableRefills3[discountinuation_flag], TableRefills3[patient_id], A3058)</f>
        <v>0</v>
      </c>
    </row>
    <row r="3059" spans="1:9" x14ac:dyDescent="0.25">
      <c r="A3059" t="s">
        <v>4861</v>
      </c>
      <c r="B3059" t="s">
        <v>4862</v>
      </c>
      <c r="C3059" s="3">
        <v>45887</v>
      </c>
      <c r="D3059">
        <v>28</v>
      </c>
      <c r="E3059" s="3" t="str">
        <f t="shared" si="47"/>
        <v/>
      </c>
      <c r="F3059" s="3" t="str">
        <f>IF(TableRefills3[[#This Row],[prev_refill_days]]="","",TableRefills3[[#This Row],[prev_refill_days]]+TableRefills3[[#This Row],[quantity_days]])</f>
        <v/>
      </c>
      <c r="G3059" t="str">
        <f>IF(TableRefills3[[#This Row],[prev_refill_end]]="","",TableRefills3[[#This Row],[refill_date]]-TableRefills3[[#This Row],[prev_refill_end]])</f>
        <v/>
      </c>
      <c r="H3059" s="10">
        <f>IF(TableRefills3[[#This Row],[gap_days]]="",0,IF(TableRefills3[[#This Row],[gap_days]]&gt;2,1,0))</f>
        <v>0</v>
      </c>
      <c r="I3059">
        <f>_xlfn.MAXIFS(TableRefills3[discountinuation_flag], TableRefills3[patient_id], A3059)</f>
        <v>0</v>
      </c>
    </row>
    <row r="3060" spans="1:9" x14ac:dyDescent="0.25">
      <c r="A3060" t="s">
        <v>4861</v>
      </c>
      <c r="B3060" t="s">
        <v>4862</v>
      </c>
      <c r="C3060" s="3">
        <v>45916</v>
      </c>
      <c r="D3060">
        <v>28</v>
      </c>
      <c r="E3060" s="3">
        <f t="shared" si="47"/>
        <v>45887</v>
      </c>
      <c r="F3060" s="3">
        <f>IF(TableRefills3[[#This Row],[prev_refill_days]]="","",TableRefills3[[#This Row],[prev_refill_days]]+TableRefills3[[#This Row],[quantity_days]])</f>
        <v>45915</v>
      </c>
      <c r="G3060">
        <f>IF(TableRefills3[[#This Row],[prev_refill_end]]="","",TableRefills3[[#This Row],[refill_date]]-TableRefills3[[#This Row],[prev_refill_end]])</f>
        <v>1</v>
      </c>
      <c r="H3060" s="10">
        <f>IF(TableRefills3[[#This Row],[gap_days]]="",0,IF(TableRefills3[[#This Row],[gap_days]]&gt;2,1,0))</f>
        <v>0</v>
      </c>
      <c r="I3060">
        <f>_xlfn.MAXIFS(TableRefills3[discountinuation_flag], TableRefills3[patient_id], A3060)</f>
        <v>0</v>
      </c>
    </row>
    <row r="3061" spans="1:9" x14ac:dyDescent="0.25">
      <c r="A3061" t="s">
        <v>4861</v>
      </c>
      <c r="B3061" t="s">
        <v>4862</v>
      </c>
      <c r="C3061" s="3">
        <v>45944</v>
      </c>
      <c r="D3061">
        <v>28</v>
      </c>
      <c r="E3061" s="3">
        <f t="shared" si="47"/>
        <v>45916</v>
      </c>
      <c r="F3061" s="3">
        <f>IF(TableRefills3[[#This Row],[prev_refill_days]]="","",TableRefills3[[#This Row],[prev_refill_days]]+TableRefills3[[#This Row],[quantity_days]])</f>
        <v>45944</v>
      </c>
      <c r="G3061">
        <f>IF(TableRefills3[[#This Row],[prev_refill_end]]="","",TableRefills3[[#This Row],[refill_date]]-TableRefills3[[#This Row],[prev_refill_end]])</f>
        <v>0</v>
      </c>
      <c r="H3061" s="10">
        <f>IF(TableRefills3[[#This Row],[gap_days]]="",0,IF(TableRefills3[[#This Row],[gap_days]]&gt;2,1,0))</f>
        <v>0</v>
      </c>
      <c r="I3061">
        <f>_xlfn.MAXIFS(TableRefills3[discountinuation_flag], TableRefills3[patient_id], A3061)</f>
        <v>0</v>
      </c>
    </row>
    <row r="3062" spans="1:9" x14ac:dyDescent="0.25">
      <c r="A3062" t="s">
        <v>4866</v>
      </c>
      <c r="B3062" t="s">
        <v>4867</v>
      </c>
      <c r="C3062" s="3">
        <v>45935</v>
      </c>
      <c r="D3062">
        <v>28</v>
      </c>
      <c r="E3062" s="3" t="str">
        <f t="shared" si="47"/>
        <v/>
      </c>
      <c r="F3062" s="3" t="str">
        <f>IF(TableRefills3[[#This Row],[prev_refill_days]]="","",TableRefills3[[#This Row],[prev_refill_days]]+TableRefills3[[#This Row],[quantity_days]])</f>
        <v/>
      </c>
      <c r="G3062" t="str">
        <f>IF(TableRefills3[[#This Row],[prev_refill_end]]="","",TableRefills3[[#This Row],[refill_date]]-TableRefills3[[#This Row],[prev_refill_end]])</f>
        <v/>
      </c>
      <c r="H3062" s="10">
        <f>IF(TableRefills3[[#This Row],[gap_days]]="",0,IF(TableRefills3[[#This Row],[gap_days]]&gt;2,1,0))</f>
        <v>0</v>
      </c>
      <c r="I3062">
        <f>_xlfn.MAXIFS(TableRefills3[discountinuation_flag], TableRefills3[patient_id], A3062)</f>
        <v>0</v>
      </c>
    </row>
    <row r="3063" spans="1:9" x14ac:dyDescent="0.25">
      <c r="A3063" t="s">
        <v>4866</v>
      </c>
      <c r="B3063" t="s">
        <v>4867</v>
      </c>
      <c r="C3063" s="3">
        <v>45960</v>
      </c>
      <c r="D3063">
        <v>28</v>
      </c>
      <c r="E3063" s="3">
        <f t="shared" si="47"/>
        <v>45935</v>
      </c>
      <c r="F3063" s="3">
        <f>IF(TableRefills3[[#This Row],[prev_refill_days]]="","",TableRefills3[[#This Row],[prev_refill_days]]+TableRefills3[[#This Row],[quantity_days]])</f>
        <v>45963</v>
      </c>
      <c r="G3063">
        <f>IF(TableRefills3[[#This Row],[prev_refill_end]]="","",TableRefills3[[#This Row],[refill_date]]-TableRefills3[[#This Row],[prev_refill_end]])</f>
        <v>-3</v>
      </c>
      <c r="H3063" s="10">
        <f>IF(TableRefills3[[#This Row],[gap_days]]="",0,IF(TableRefills3[[#This Row],[gap_days]]&gt;2,1,0))</f>
        <v>0</v>
      </c>
      <c r="I3063">
        <f>_xlfn.MAXIFS(TableRefills3[discountinuation_flag], TableRefills3[patient_id], A3063)</f>
        <v>0</v>
      </c>
    </row>
    <row r="3064" spans="1:9" x14ac:dyDescent="0.25">
      <c r="A3064" t="s">
        <v>4870</v>
      </c>
      <c r="B3064" t="s">
        <v>4871</v>
      </c>
      <c r="C3064" s="3">
        <v>45830</v>
      </c>
      <c r="D3064">
        <v>28</v>
      </c>
      <c r="E3064" s="3" t="str">
        <f t="shared" si="47"/>
        <v/>
      </c>
      <c r="F3064" s="3" t="str">
        <f>IF(TableRefills3[[#This Row],[prev_refill_days]]="","",TableRefills3[[#This Row],[prev_refill_days]]+TableRefills3[[#This Row],[quantity_days]])</f>
        <v/>
      </c>
      <c r="G3064" t="str">
        <f>IF(TableRefills3[[#This Row],[prev_refill_end]]="","",TableRefills3[[#This Row],[refill_date]]-TableRefills3[[#This Row],[prev_refill_end]])</f>
        <v/>
      </c>
      <c r="H3064" s="10">
        <f>IF(TableRefills3[[#This Row],[gap_days]]="",0,IF(TableRefills3[[#This Row],[gap_days]]&gt;2,1,0))</f>
        <v>0</v>
      </c>
      <c r="I3064">
        <f>_xlfn.MAXIFS(TableRefills3[discountinuation_flag], TableRefills3[patient_id], A3064)</f>
        <v>1</v>
      </c>
    </row>
    <row r="3065" spans="1:9" x14ac:dyDescent="0.25">
      <c r="A3065" t="s">
        <v>4870</v>
      </c>
      <c r="B3065" t="s">
        <v>4871</v>
      </c>
      <c r="C3065" s="3">
        <v>45861</v>
      </c>
      <c r="D3065">
        <v>28</v>
      </c>
      <c r="E3065" s="3">
        <f t="shared" si="47"/>
        <v>45830</v>
      </c>
      <c r="F3065" s="3">
        <f>IF(TableRefills3[[#This Row],[prev_refill_days]]="","",TableRefills3[[#This Row],[prev_refill_days]]+TableRefills3[[#This Row],[quantity_days]])</f>
        <v>45858</v>
      </c>
      <c r="G3065">
        <f>IF(TableRefills3[[#This Row],[prev_refill_end]]="","",TableRefills3[[#This Row],[refill_date]]-TableRefills3[[#This Row],[prev_refill_end]])</f>
        <v>3</v>
      </c>
      <c r="H3065" s="10">
        <f>IF(TableRefills3[[#This Row],[gap_days]]="",0,IF(TableRefills3[[#This Row],[gap_days]]&gt;2,1,0))</f>
        <v>1</v>
      </c>
      <c r="I3065">
        <f>_xlfn.MAXIFS(TableRefills3[discountinuation_flag], TableRefills3[patient_id], A3065)</f>
        <v>1</v>
      </c>
    </row>
    <row r="3066" spans="1:9" x14ac:dyDescent="0.25">
      <c r="A3066" t="s">
        <v>4870</v>
      </c>
      <c r="B3066" t="s">
        <v>4871</v>
      </c>
      <c r="C3066" s="3">
        <v>45892</v>
      </c>
      <c r="D3066">
        <v>28</v>
      </c>
      <c r="E3066" s="3">
        <f t="shared" si="47"/>
        <v>45861</v>
      </c>
      <c r="F3066" s="3">
        <f>IF(TableRefills3[[#This Row],[prev_refill_days]]="","",TableRefills3[[#This Row],[prev_refill_days]]+TableRefills3[[#This Row],[quantity_days]])</f>
        <v>45889</v>
      </c>
      <c r="G3066">
        <f>IF(TableRefills3[[#This Row],[prev_refill_end]]="","",TableRefills3[[#This Row],[refill_date]]-TableRefills3[[#This Row],[prev_refill_end]])</f>
        <v>3</v>
      </c>
      <c r="H3066" s="10">
        <f>IF(TableRefills3[[#This Row],[gap_days]]="",0,IF(TableRefills3[[#This Row],[gap_days]]&gt;2,1,0))</f>
        <v>1</v>
      </c>
      <c r="I3066">
        <f>_xlfn.MAXIFS(TableRefills3[discountinuation_flag], TableRefills3[patient_id], A3066)</f>
        <v>1</v>
      </c>
    </row>
    <row r="3067" spans="1:9" x14ac:dyDescent="0.25">
      <c r="A3067" t="s">
        <v>4870</v>
      </c>
      <c r="B3067" t="s">
        <v>4871</v>
      </c>
      <c r="C3067" s="3">
        <v>45921</v>
      </c>
      <c r="D3067">
        <v>28</v>
      </c>
      <c r="E3067" s="3">
        <f t="shared" si="47"/>
        <v>45892</v>
      </c>
      <c r="F3067" s="3">
        <f>IF(TableRefills3[[#This Row],[prev_refill_days]]="","",TableRefills3[[#This Row],[prev_refill_days]]+TableRefills3[[#This Row],[quantity_days]])</f>
        <v>45920</v>
      </c>
      <c r="G3067">
        <f>IF(TableRefills3[[#This Row],[prev_refill_end]]="","",TableRefills3[[#This Row],[refill_date]]-TableRefills3[[#This Row],[prev_refill_end]])</f>
        <v>1</v>
      </c>
      <c r="H3067" s="10">
        <f>IF(TableRefills3[[#This Row],[gap_days]]="",0,IF(TableRefills3[[#This Row],[gap_days]]&gt;2,1,0))</f>
        <v>0</v>
      </c>
      <c r="I3067">
        <f>_xlfn.MAXIFS(TableRefills3[discountinuation_flag], TableRefills3[patient_id], A3067)</f>
        <v>1</v>
      </c>
    </row>
    <row r="3068" spans="1:9" x14ac:dyDescent="0.25">
      <c r="A3068" t="s">
        <v>4870</v>
      </c>
      <c r="B3068" t="s">
        <v>4871</v>
      </c>
      <c r="C3068" s="3">
        <v>45950</v>
      </c>
      <c r="D3068">
        <v>28</v>
      </c>
      <c r="E3068" s="3">
        <f t="shared" si="47"/>
        <v>45921</v>
      </c>
      <c r="F3068" s="3">
        <f>IF(TableRefills3[[#This Row],[prev_refill_days]]="","",TableRefills3[[#This Row],[prev_refill_days]]+TableRefills3[[#This Row],[quantity_days]])</f>
        <v>45949</v>
      </c>
      <c r="G3068">
        <f>IF(TableRefills3[[#This Row],[prev_refill_end]]="","",TableRefills3[[#This Row],[refill_date]]-TableRefills3[[#This Row],[prev_refill_end]])</f>
        <v>1</v>
      </c>
      <c r="H3068" s="10">
        <f>IF(TableRefills3[[#This Row],[gap_days]]="",0,IF(TableRefills3[[#This Row],[gap_days]]&gt;2,1,0))</f>
        <v>0</v>
      </c>
      <c r="I3068">
        <f>_xlfn.MAXIFS(TableRefills3[discountinuation_flag], TableRefills3[patient_id], A3068)</f>
        <v>1</v>
      </c>
    </row>
    <row r="3069" spans="1:9" x14ac:dyDescent="0.25">
      <c r="A3069" t="s">
        <v>4877</v>
      </c>
      <c r="B3069" t="s">
        <v>4878</v>
      </c>
      <c r="C3069" s="3">
        <v>45830</v>
      </c>
      <c r="D3069">
        <v>28</v>
      </c>
      <c r="E3069" s="3" t="str">
        <f t="shared" si="47"/>
        <v/>
      </c>
      <c r="F3069" s="3" t="str">
        <f>IF(TableRefills3[[#This Row],[prev_refill_days]]="","",TableRefills3[[#This Row],[prev_refill_days]]+TableRefills3[[#This Row],[quantity_days]])</f>
        <v/>
      </c>
      <c r="G3069" t="str">
        <f>IF(TableRefills3[[#This Row],[prev_refill_end]]="","",TableRefills3[[#This Row],[refill_date]]-TableRefills3[[#This Row],[prev_refill_end]])</f>
        <v/>
      </c>
      <c r="H3069" s="10">
        <f>IF(TableRefills3[[#This Row],[gap_days]]="",0,IF(TableRefills3[[#This Row],[gap_days]]&gt;2,1,0))</f>
        <v>0</v>
      </c>
      <c r="I3069">
        <f>_xlfn.MAXIFS(TableRefills3[discountinuation_flag], TableRefills3[patient_id], A3069)</f>
        <v>0</v>
      </c>
    </row>
    <row r="3070" spans="1:9" x14ac:dyDescent="0.25">
      <c r="A3070" t="s">
        <v>4877</v>
      </c>
      <c r="B3070" t="s">
        <v>4878</v>
      </c>
      <c r="C3070" s="3">
        <v>45857</v>
      </c>
      <c r="D3070">
        <v>28</v>
      </c>
      <c r="E3070" s="3">
        <f t="shared" si="47"/>
        <v>45830</v>
      </c>
      <c r="F3070" s="3">
        <f>IF(TableRefills3[[#This Row],[prev_refill_days]]="","",TableRefills3[[#This Row],[prev_refill_days]]+TableRefills3[[#This Row],[quantity_days]])</f>
        <v>45858</v>
      </c>
      <c r="G3070">
        <f>IF(TableRefills3[[#This Row],[prev_refill_end]]="","",TableRefills3[[#This Row],[refill_date]]-TableRefills3[[#This Row],[prev_refill_end]])</f>
        <v>-1</v>
      </c>
      <c r="H3070" s="10">
        <f>IF(TableRefills3[[#This Row],[gap_days]]="",0,IF(TableRefills3[[#This Row],[gap_days]]&gt;2,1,0))</f>
        <v>0</v>
      </c>
      <c r="I3070">
        <f>_xlfn.MAXIFS(TableRefills3[discountinuation_flag], TableRefills3[patient_id], A3070)</f>
        <v>0</v>
      </c>
    </row>
    <row r="3071" spans="1:9" x14ac:dyDescent="0.25">
      <c r="A3071" t="s">
        <v>4881</v>
      </c>
      <c r="B3071" t="s">
        <v>4882</v>
      </c>
      <c r="C3071" s="3">
        <v>45793</v>
      </c>
      <c r="D3071">
        <v>30</v>
      </c>
      <c r="E3071" s="3" t="str">
        <f t="shared" si="47"/>
        <v/>
      </c>
      <c r="F3071" s="3" t="str">
        <f>IF(TableRefills3[[#This Row],[prev_refill_days]]="","",TableRefills3[[#This Row],[prev_refill_days]]+TableRefills3[[#This Row],[quantity_days]])</f>
        <v/>
      </c>
      <c r="G3071" t="str">
        <f>IF(TableRefills3[[#This Row],[prev_refill_end]]="","",TableRefills3[[#This Row],[refill_date]]-TableRefills3[[#This Row],[prev_refill_end]])</f>
        <v/>
      </c>
      <c r="H3071" s="10">
        <f>IF(TableRefills3[[#This Row],[gap_days]]="",0,IF(TableRefills3[[#This Row],[gap_days]]&gt;2,1,0))</f>
        <v>0</v>
      </c>
      <c r="I3071">
        <f>_xlfn.MAXIFS(TableRefills3[discountinuation_flag], TableRefills3[patient_id], A3071)</f>
        <v>1</v>
      </c>
    </row>
    <row r="3072" spans="1:9" x14ac:dyDescent="0.25">
      <c r="A3072" t="s">
        <v>4881</v>
      </c>
      <c r="B3072" t="s">
        <v>4882</v>
      </c>
      <c r="C3072" s="3">
        <v>45826</v>
      </c>
      <c r="D3072">
        <v>30</v>
      </c>
      <c r="E3072" s="3">
        <f t="shared" si="47"/>
        <v>45793</v>
      </c>
      <c r="F3072" s="3">
        <f>IF(TableRefills3[[#This Row],[prev_refill_days]]="","",TableRefills3[[#This Row],[prev_refill_days]]+TableRefills3[[#This Row],[quantity_days]])</f>
        <v>45823</v>
      </c>
      <c r="G3072">
        <f>IF(TableRefills3[[#This Row],[prev_refill_end]]="","",TableRefills3[[#This Row],[refill_date]]-TableRefills3[[#This Row],[prev_refill_end]])</f>
        <v>3</v>
      </c>
      <c r="H3072" s="10">
        <f>IF(TableRefills3[[#This Row],[gap_days]]="",0,IF(TableRefills3[[#This Row],[gap_days]]&gt;2,1,0))</f>
        <v>1</v>
      </c>
      <c r="I3072">
        <f>_xlfn.MAXIFS(TableRefills3[discountinuation_flag], TableRefills3[patient_id], A3072)</f>
        <v>1</v>
      </c>
    </row>
    <row r="3073" spans="1:9" x14ac:dyDescent="0.25">
      <c r="A3073" t="s">
        <v>4881</v>
      </c>
      <c r="B3073" t="s">
        <v>4882</v>
      </c>
      <c r="C3073" s="3">
        <v>45855</v>
      </c>
      <c r="D3073">
        <v>30</v>
      </c>
      <c r="E3073" s="3">
        <f t="shared" si="47"/>
        <v>45826</v>
      </c>
      <c r="F3073" s="3">
        <f>IF(TableRefills3[[#This Row],[prev_refill_days]]="","",TableRefills3[[#This Row],[prev_refill_days]]+TableRefills3[[#This Row],[quantity_days]])</f>
        <v>45856</v>
      </c>
      <c r="G3073">
        <f>IF(TableRefills3[[#This Row],[prev_refill_end]]="","",TableRefills3[[#This Row],[refill_date]]-TableRefills3[[#This Row],[prev_refill_end]])</f>
        <v>-1</v>
      </c>
      <c r="H3073" s="10">
        <f>IF(TableRefills3[[#This Row],[gap_days]]="",0,IF(TableRefills3[[#This Row],[gap_days]]&gt;2,1,0))</f>
        <v>0</v>
      </c>
      <c r="I3073">
        <f>_xlfn.MAXIFS(TableRefills3[discountinuation_flag], TableRefills3[patient_id], A3073)</f>
        <v>1</v>
      </c>
    </row>
    <row r="3074" spans="1:9" x14ac:dyDescent="0.25">
      <c r="A3074" t="s">
        <v>4881</v>
      </c>
      <c r="B3074" t="s">
        <v>4882</v>
      </c>
      <c r="C3074" s="3">
        <v>45886</v>
      </c>
      <c r="D3074">
        <v>30</v>
      </c>
      <c r="E3074" s="3">
        <f t="shared" ref="E3074:E3137" si="48">IF(A3073=A3074,C3073,"")</f>
        <v>45855</v>
      </c>
      <c r="F3074" s="3">
        <f>IF(TableRefills3[[#This Row],[prev_refill_days]]="","",TableRefills3[[#This Row],[prev_refill_days]]+TableRefills3[[#This Row],[quantity_days]])</f>
        <v>45885</v>
      </c>
      <c r="G3074">
        <f>IF(TableRefills3[[#This Row],[prev_refill_end]]="","",TableRefills3[[#This Row],[refill_date]]-TableRefills3[[#This Row],[prev_refill_end]])</f>
        <v>1</v>
      </c>
      <c r="H3074" s="10">
        <f>IF(TableRefills3[[#This Row],[gap_days]]="",0,IF(TableRefills3[[#This Row],[gap_days]]&gt;2,1,0))</f>
        <v>0</v>
      </c>
      <c r="I3074">
        <f>_xlfn.MAXIFS(TableRefills3[discountinuation_flag], TableRefills3[patient_id], A3074)</f>
        <v>1</v>
      </c>
    </row>
    <row r="3075" spans="1:9" x14ac:dyDescent="0.25">
      <c r="A3075" t="s">
        <v>4881</v>
      </c>
      <c r="B3075" t="s">
        <v>4882</v>
      </c>
      <c r="C3075" s="3">
        <v>45915</v>
      </c>
      <c r="D3075">
        <v>30</v>
      </c>
      <c r="E3075" s="3">
        <f t="shared" si="48"/>
        <v>45886</v>
      </c>
      <c r="F3075" s="3">
        <f>IF(TableRefills3[[#This Row],[prev_refill_days]]="","",TableRefills3[[#This Row],[prev_refill_days]]+TableRefills3[[#This Row],[quantity_days]])</f>
        <v>45916</v>
      </c>
      <c r="G3075">
        <f>IF(TableRefills3[[#This Row],[prev_refill_end]]="","",TableRefills3[[#This Row],[refill_date]]-TableRefills3[[#This Row],[prev_refill_end]])</f>
        <v>-1</v>
      </c>
      <c r="H3075" s="10">
        <f>IF(TableRefills3[[#This Row],[gap_days]]="",0,IF(TableRefills3[[#This Row],[gap_days]]&gt;2,1,0))</f>
        <v>0</v>
      </c>
      <c r="I3075">
        <f>_xlfn.MAXIFS(TableRefills3[discountinuation_flag], TableRefills3[patient_id], A3075)</f>
        <v>1</v>
      </c>
    </row>
    <row r="3076" spans="1:9" x14ac:dyDescent="0.25">
      <c r="A3076" t="s">
        <v>4881</v>
      </c>
      <c r="B3076" t="s">
        <v>4882</v>
      </c>
      <c r="C3076" s="3">
        <v>45948</v>
      </c>
      <c r="D3076">
        <v>30</v>
      </c>
      <c r="E3076" s="3">
        <f t="shared" si="48"/>
        <v>45915</v>
      </c>
      <c r="F3076" s="3">
        <f>IF(TableRefills3[[#This Row],[prev_refill_days]]="","",TableRefills3[[#This Row],[prev_refill_days]]+TableRefills3[[#This Row],[quantity_days]])</f>
        <v>45945</v>
      </c>
      <c r="G3076">
        <f>IF(TableRefills3[[#This Row],[prev_refill_end]]="","",TableRefills3[[#This Row],[refill_date]]-TableRefills3[[#This Row],[prev_refill_end]])</f>
        <v>3</v>
      </c>
      <c r="H3076" s="10">
        <f>IF(TableRefills3[[#This Row],[gap_days]]="",0,IF(TableRefills3[[#This Row],[gap_days]]&gt;2,1,0))</f>
        <v>1</v>
      </c>
      <c r="I3076">
        <f>_xlfn.MAXIFS(TableRefills3[discountinuation_flag], TableRefills3[patient_id], A3076)</f>
        <v>1</v>
      </c>
    </row>
    <row r="3077" spans="1:9" x14ac:dyDescent="0.25">
      <c r="A3077" t="s">
        <v>4889</v>
      </c>
      <c r="B3077" t="s">
        <v>4890</v>
      </c>
      <c r="C3077" s="3">
        <v>45867</v>
      </c>
      <c r="D3077">
        <v>28</v>
      </c>
      <c r="E3077" s="3" t="str">
        <f t="shared" si="48"/>
        <v/>
      </c>
      <c r="F3077" s="3" t="str">
        <f>IF(TableRefills3[[#This Row],[prev_refill_days]]="","",TableRefills3[[#This Row],[prev_refill_days]]+TableRefills3[[#This Row],[quantity_days]])</f>
        <v/>
      </c>
      <c r="G3077" t="str">
        <f>IF(TableRefills3[[#This Row],[prev_refill_end]]="","",TableRefills3[[#This Row],[refill_date]]-TableRefills3[[#This Row],[prev_refill_end]])</f>
        <v/>
      </c>
      <c r="H3077" s="10">
        <f>IF(TableRefills3[[#This Row],[gap_days]]="",0,IF(TableRefills3[[#This Row],[gap_days]]&gt;2,1,0))</f>
        <v>0</v>
      </c>
      <c r="I3077">
        <f>_xlfn.MAXIFS(TableRefills3[discountinuation_flag], TableRefills3[patient_id], A3077)</f>
        <v>0</v>
      </c>
    </row>
    <row r="3078" spans="1:9" x14ac:dyDescent="0.25">
      <c r="A3078" t="s">
        <v>4889</v>
      </c>
      <c r="B3078" t="s">
        <v>4890</v>
      </c>
      <c r="C3078" s="3">
        <v>45896</v>
      </c>
      <c r="D3078">
        <v>28</v>
      </c>
      <c r="E3078" s="3">
        <f t="shared" si="48"/>
        <v>45867</v>
      </c>
      <c r="F3078" s="3">
        <f>IF(TableRefills3[[#This Row],[prev_refill_days]]="","",TableRefills3[[#This Row],[prev_refill_days]]+TableRefills3[[#This Row],[quantity_days]])</f>
        <v>45895</v>
      </c>
      <c r="G3078">
        <f>IF(TableRefills3[[#This Row],[prev_refill_end]]="","",TableRefills3[[#This Row],[refill_date]]-TableRefills3[[#This Row],[prev_refill_end]])</f>
        <v>1</v>
      </c>
      <c r="H3078" s="10">
        <f>IF(TableRefills3[[#This Row],[gap_days]]="",0,IF(TableRefills3[[#This Row],[gap_days]]&gt;2,1,0))</f>
        <v>0</v>
      </c>
      <c r="I3078">
        <f>_xlfn.MAXIFS(TableRefills3[discountinuation_flag], TableRefills3[patient_id], A3078)</f>
        <v>0</v>
      </c>
    </row>
    <row r="3079" spans="1:9" x14ac:dyDescent="0.25">
      <c r="A3079" t="s">
        <v>4889</v>
      </c>
      <c r="B3079" t="s">
        <v>4890</v>
      </c>
      <c r="C3079" s="3">
        <v>45925</v>
      </c>
      <c r="D3079">
        <v>28</v>
      </c>
      <c r="E3079" s="3">
        <f t="shared" si="48"/>
        <v>45896</v>
      </c>
      <c r="F3079" s="3">
        <f>IF(TableRefills3[[#This Row],[prev_refill_days]]="","",TableRefills3[[#This Row],[prev_refill_days]]+TableRefills3[[#This Row],[quantity_days]])</f>
        <v>45924</v>
      </c>
      <c r="G3079">
        <f>IF(TableRefills3[[#This Row],[prev_refill_end]]="","",TableRefills3[[#This Row],[refill_date]]-TableRefills3[[#This Row],[prev_refill_end]])</f>
        <v>1</v>
      </c>
      <c r="H3079" s="10">
        <f>IF(TableRefills3[[#This Row],[gap_days]]="",0,IF(TableRefills3[[#This Row],[gap_days]]&gt;2,1,0))</f>
        <v>0</v>
      </c>
      <c r="I3079">
        <f>_xlfn.MAXIFS(TableRefills3[discountinuation_flag], TableRefills3[patient_id], A3079)</f>
        <v>0</v>
      </c>
    </row>
    <row r="3080" spans="1:9" x14ac:dyDescent="0.25">
      <c r="A3080" t="s">
        <v>4889</v>
      </c>
      <c r="B3080" t="s">
        <v>4890</v>
      </c>
      <c r="C3080" s="3">
        <v>45950</v>
      </c>
      <c r="D3080">
        <v>28</v>
      </c>
      <c r="E3080" s="3">
        <f t="shared" si="48"/>
        <v>45925</v>
      </c>
      <c r="F3080" s="3">
        <f>IF(TableRefills3[[#This Row],[prev_refill_days]]="","",TableRefills3[[#This Row],[prev_refill_days]]+TableRefills3[[#This Row],[quantity_days]])</f>
        <v>45953</v>
      </c>
      <c r="G3080">
        <f>IF(TableRefills3[[#This Row],[prev_refill_end]]="","",TableRefills3[[#This Row],[refill_date]]-TableRefills3[[#This Row],[prev_refill_end]])</f>
        <v>-3</v>
      </c>
      <c r="H3080" s="10">
        <f>IF(TableRefills3[[#This Row],[gap_days]]="",0,IF(TableRefills3[[#This Row],[gap_days]]&gt;2,1,0))</f>
        <v>0</v>
      </c>
      <c r="I3080">
        <f>_xlfn.MAXIFS(TableRefills3[discountinuation_flag], TableRefills3[patient_id], A3080)</f>
        <v>0</v>
      </c>
    </row>
    <row r="3081" spans="1:9" x14ac:dyDescent="0.25">
      <c r="A3081" t="s">
        <v>4895</v>
      </c>
      <c r="B3081" t="s">
        <v>4896</v>
      </c>
      <c r="C3081" s="3">
        <v>45849</v>
      </c>
      <c r="D3081">
        <v>28</v>
      </c>
      <c r="E3081" s="3" t="str">
        <f t="shared" si="48"/>
        <v/>
      </c>
      <c r="F3081" s="3" t="str">
        <f>IF(TableRefills3[[#This Row],[prev_refill_days]]="","",TableRefills3[[#This Row],[prev_refill_days]]+TableRefills3[[#This Row],[quantity_days]])</f>
        <v/>
      </c>
      <c r="G3081" t="str">
        <f>IF(TableRefills3[[#This Row],[prev_refill_end]]="","",TableRefills3[[#This Row],[refill_date]]-TableRefills3[[#This Row],[prev_refill_end]])</f>
        <v/>
      </c>
      <c r="H3081" s="10">
        <f>IF(TableRefills3[[#This Row],[gap_days]]="",0,IF(TableRefills3[[#This Row],[gap_days]]&gt;2,1,0))</f>
        <v>0</v>
      </c>
      <c r="I3081">
        <f>_xlfn.MAXIFS(TableRefills3[discountinuation_flag], TableRefills3[patient_id], A3081)</f>
        <v>0</v>
      </c>
    </row>
    <row r="3082" spans="1:9" x14ac:dyDescent="0.25">
      <c r="A3082" t="s">
        <v>4898</v>
      </c>
      <c r="B3082" t="s">
        <v>4899</v>
      </c>
      <c r="C3082" s="3">
        <v>45915</v>
      </c>
      <c r="D3082">
        <v>28</v>
      </c>
      <c r="E3082" s="3" t="str">
        <f t="shared" si="48"/>
        <v/>
      </c>
      <c r="F3082" s="3" t="str">
        <f>IF(TableRefills3[[#This Row],[prev_refill_days]]="","",TableRefills3[[#This Row],[prev_refill_days]]+TableRefills3[[#This Row],[quantity_days]])</f>
        <v/>
      </c>
      <c r="G3082" t="str">
        <f>IF(TableRefills3[[#This Row],[prev_refill_end]]="","",TableRefills3[[#This Row],[refill_date]]-TableRefills3[[#This Row],[prev_refill_end]])</f>
        <v/>
      </c>
      <c r="H3082" s="10">
        <f>IF(TableRefills3[[#This Row],[gap_days]]="",0,IF(TableRefills3[[#This Row],[gap_days]]&gt;2,1,0))</f>
        <v>0</v>
      </c>
      <c r="I3082">
        <f>_xlfn.MAXIFS(TableRefills3[discountinuation_flag], TableRefills3[patient_id], A3082)</f>
        <v>0</v>
      </c>
    </row>
    <row r="3083" spans="1:9" x14ac:dyDescent="0.25">
      <c r="A3083" t="s">
        <v>4898</v>
      </c>
      <c r="B3083" t="s">
        <v>4899</v>
      </c>
      <c r="C3083" s="3">
        <v>45941</v>
      </c>
      <c r="D3083">
        <v>28</v>
      </c>
      <c r="E3083" s="3">
        <f t="shared" si="48"/>
        <v>45915</v>
      </c>
      <c r="F3083" s="3">
        <f>IF(TableRefills3[[#This Row],[prev_refill_days]]="","",TableRefills3[[#This Row],[prev_refill_days]]+TableRefills3[[#This Row],[quantity_days]])</f>
        <v>45943</v>
      </c>
      <c r="G3083">
        <f>IF(TableRefills3[[#This Row],[prev_refill_end]]="","",TableRefills3[[#This Row],[refill_date]]-TableRefills3[[#This Row],[prev_refill_end]])</f>
        <v>-2</v>
      </c>
      <c r="H3083" s="10">
        <f>IF(TableRefills3[[#This Row],[gap_days]]="",0,IF(TableRefills3[[#This Row],[gap_days]]&gt;2,1,0))</f>
        <v>0</v>
      </c>
      <c r="I3083">
        <f>_xlfn.MAXIFS(TableRefills3[discountinuation_flag], TableRefills3[patient_id], A3083)</f>
        <v>0</v>
      </c>
    </row>
    <row r="3084" spans="1:9" x14ac:dyDescent="0.25">
      <c r="A3084" t="s">
        <v>4902</v>
      </c>
      <c r="B3084" t="s">
        <v>4903</v>
      </c>
      <c r="C3084" s="3">
        <v>45860</v>
      </c>
      <c r="D3084">
        <v>28</v>
      </c>
      <c r="E3084" s="3" t="str">
        <f t="shared" si="48"/>
        <v/>
      </c>
      <c r="F3084" s="3" t="str">
        <f>IF(TableRefills3[[#This Row],[prev_refill_days]]="","",TableRefills3[[#This Row],[prev_refill_days]]+TableRefills3[[#This Row],[quantity_days]])</f>
        <v/>
      </c>
      <c r="G3084" t="str">
        <f>IF(TableRefills3[[#This Row],[prev_refill_end]]="","",TableRefills3[[#This Row],[refill_date]]-TableRefills3[[#This Row],[prev_refill_end]])</f>
        <v/>
      </c>
      <c r="H3084" s="10">
        <f>IF(TableRefills3[[#This Row],[gap_days]]="",0,IF(TableRefills3[[#This Row],[gap_days]]&gt;2,1,0))</f>
        <v>0</v>
      </c>
      <c r="I3084">
        <f>_xlfn.MAXIFS(TableRefills3[discountinuation_flag], TableRefills3[patient_id], A3084)</f>
        <v>1</v>
      </c>
    </row>
    <row r="3085" spans="1:9" x14ac:dyDescent="0.25">
      <c r="A3085" t="s">
        <v>4902</v>
      </c>
      <c r="B3085" t="s">
        <v>4903</v>
      </c>
      <c r="C3085" s="3">
        <v>45886</v>
      </c>
      <c r="D3085">
        <v>28</v>
      </c>
      <c r="E3085" s="3">
        <f t="shared" si="48"/>
        <v>45860</v>
      </c>
      <c r="F3085" s="3">
        <f>IF(TableRefills3[[#This Row],[prev_refill_days]]="","",TableRefills3[[#This Row],[prev_refill_days]]+TableRefills3[[#This Row],[quantity_days]])</f>
        <v>45888</v>
      </c>
      <c r="G3085">
        <f>IF(TableRefills3[[#This Row],[prev_refill_end]]="","",TableRefills3[[#This Row],[refill_date]]-TableRefills3[[#This Row],[prev_refill_end]])</f>
        <v>-2</v>
      </c>
      <c r="H3085" s="10">
        <f>IF(TableRefills3[[#This Row],[gap_days]]="",0,IF(TableRefills3[[#This Row],[gap_days]]&gt;2,1,0))</f>
        <v>0</v>
      </c>
      <c r="I3085">
        <f>_xlfn.MAXIFS(TableRefills3[discountinuation_flag], TableRefills3[patient_id], A3085)</f>
        <v>1</v>
      </c>
    </row>
    <row r="3086" spans="1:9" x14ac:dyDescent="0.25">
      <c r="A3086" t="s">
        <v>4902</v>
      </c>
      <c r="B3086" t="s">
        <v>4903</v>
      </c>
      <c r="C3086" s="3">
        <v>45917</v>
      </c>
      <c r="D3086">
        <v>28</v>
      </c>
      <c r="E3086" s="3">
        <f t="shared" si="48"/>
        <v>45886</v>
      </c>
      <c r="F3086" s="3">
        <f>IF(TableRefills3[[#This Row],[prev_refill_days]]="","",TableRefills3[[#This Row],[prev_refill_days]]+TableRefills3[[#This Row],[quantity_days]])</f>
        <v>45914</v>
      </c>
      <c r="G3086">
        <f>IF(TableRefills3[[#This Row],[prev_refill_end]]="","",TableRefills3[[#This Row],[refill_date]]-TableRefills3[[#This Row],[prev_refill_end]])</f>
        <v>3</v>
      </c>
      <c r="H3086" s="10">
        <f>IF(TableRefills3[[#This Row],[gap_days]]="",0,IF(TableRefills3[[#This Row],[gap_days]]&gt;2,1,0))</f>
        <v>1</v>
      </c>
      <c r="I3086">
        <f>_xlfn.MAXIFS(TableRefills3[discountinuation_flag], TableRefills3[patient_id], A3086)</f>
        <v>1</v>
      </c>
    </row>
    <row r="3087" spans="1:9" x14ac:dyDescent="0.25">
      <c r="A3087" t="s">
        <v>4902</v>
      </c>
      <c r="B3087" t="s">
        <v>4903</v>
      </c>
      <c r="C3087" s="3">
        <v>45942</v>
      </c>
      <c r="D3087">
        <v>28</v>
      </c>
      <c r="E3087" s="3">
        <f t="shared" si="48"/>
        <v>45917</v>
      </c>
      <c r="F3087" s="3">
        <f>IF(TableRefills3[[#This Row],[prev_refill_days]]="","",TableRefills3[[#This Row],[prev_refill_days]]+TableRefills3[[#This Row],[quantity_days]])</f>
        <v>45945</v>
      </c>
      <c r="G3087">
        <f>IF(TableRefills3[[#This Row],[prev_refill_end]]="","",TableRefills3[[#This Row],[refill_date]]-TableRefills3[[#This Row],[prev_refill_end]])</f>
        <v>-3</v>
      </c>
      <c r="H3087" s="10">
        <f>IF(TableRefills3[[#This Row],[gap_days]]="",0,IF(TableRefills3[[#This Row],[gap_days]]&gt;2,1,0))</f>
        <v>0</v>
      </c>
      <c r="I3087">
        <f>_xlfn.MAXIFS(TableRefills3[discountinuation_flag], TableRefills3[patient_id], A3087)</f>
        <v>1</v>
      </c>
    </row>
    <row r="3088" spans="1:9" x14ac:dyDescent="0.25">
      <c r="A3088" t="s">
        <v>4908</v>
      </c>
      <c r="B3088" t="s">
        <v>4909</v>
      </c>
      <c r="C3088" s="3">
        <v>45852</v>
      </c>
      <c r="D3088">
        <v>28</v>
      </c>
      <c r="E3088" s="3" t="str">
        <f t="shared" si="48"/>
        <v/>
      </c>
      <c r="F3088" s="3" t="str">
        <f>IF(TableRefills3[[#This Row],[prev_refill_days]]="","",TableRefills3[[#This Row],[prev_refill_days]]+TableRefills3[[#This Row],[quantity_days]])</f>
        <v/>
      </c>
      <c r="G3088" t="str">
        <f>IF(TableRefills3[[#This Row],[prev_refill_end]]="","",TableRefills3[[#This Row],[refill_date]]-TableRefills3[[#This Row],[prev_refill_end]])</f>
        <v/>
      </c>
      <c r="H3088" s="10">
        <f>IF(TableRefills3[[#This Row],[gap_days]]="",0,IF(TableRefills3[[#This Row],[gap_days]]&gt;2,1,0))</f>
        <v>0</v>
      </c>
      <c r="I3088">
        <f>_xlfn.MAXIFS(TableRefills3[discountinuation_flag], TableRefills3[patient_id], A3088)</f>
        <v>0</v>
      </c>
    </row>
    <row r="3089" spans="1:9" x14ac:dyDescent="0.25">
      <c r="A3089" t="s">
        <v>4908</v>
      </c>
      <c r="B3089" t="s">
        <v>4909</v>
      </c>
      <c r="C3089" s="3">
        <v>45878</v>
      </c>
      <c r="D3089">
        <v>28</v>
      </c>
      <c r="E3089" s="3">
        <f t="shared" si="48"/>
        <v>45852</v>
      </c>
      <c r="F3089" s="3">
        <f>IF(TableRefills3[[#This Row],[prev_refill_days]]="","",TableRefills3[[#This Row],[prev_refill_days]]+TableRefills3[[#This Row],[quantity_days]])</f>
        <v>45880</v>
      </c>
      <c r="G3089">
        <f>IF(TableRefills3[[#This Row],[prev_refill_end]]="","",TableRefills3[[#This Row],[refill_date]]-TableRefills3[[#This Row],[prev_refill_end]])</f>
        <v>-2</v>
      </c>
      <c r="H3089" s="10">
        <f>IF(TableRefills3[[#This Row],[gap_days]]="",0,IF(TableRefills3[[#This Row],[gap_days]]&gt;2,1,0))</f>
        <v>0</v>
      </c>
      <c r="I3089">
        <f>_xlfn.MAXIFS(TableRefills3[discountinuation_flag], TableRefills3[patient_id], A3089)</f>
        <v>0</v>
      </c>
    </row>
    <row r="3090" spans="1:9" x14ac:dyDescent="0.25">
      <c r="A3090" t="s">
        <v>4908</v>
      </c>
      <c r="B3090" t="s">
        <v>4909</v>
      </c>
      <c r="C3090" s="3">
        <v>45907</v>
      </c>
      <c r="D3090">
        <v>28</v>
      </c>
      <c r="E3090" s="3">
        <f t="shared" si="48"/>
        <v>45878</v>
      </c>
      <c r="F3090" s="3">
        <f>IF(TableRefills3[[#This Row],[prev_refill_days]]="","",TableRefills3[[#This Row],[prev_refill_days]]+TableRefills3[[#This Row],[quantity_days]])</f>
        <v>45906</v>
      </c>
      <c r="G3090">
        <f>IF(TableRefills3[[#This Row],[prev_refill_end]]="","",TableRefills3[[#This Row],[refill_date]]-TableRefills3[[#This Row],[prev_refill_end]])</f>
        <v>1</v>
      </c>
      <c r="H3090" s="10">
        <f>IF(TableRefills3[[#This Row],[gap_days]]="",0,IF(TableRefills3[[#This Row],[gap_days]]&gt;2,1,0))</f>
        <v>0</v>
      </c>
      <c r="I3090">
        <f>_xlfn.MAXIFS(TableRefills3[discountinuation_flag], TableRefills3[patient_id], A3090)</f>
        <v>0</v>
      </c>
    </row>
    <row r="3091" spans="1:9" x14ac:dyDescent="0.25">
      <c r="A3091" t="s">
        <v>4908</v>
      </c>
      <c r="B3091" t="s">
        <v>4909</v>
      </c>
      <c r="C3091" s="3">
        <v>45937</v>
      </c>
      <c r="D3091">
        <v>28</v>
      </c>
      <c r="E3091" s="3">
        <f t="shared" si="48"/>
        <v>45907</v>
      </c>
      <c r="F3091" s="3">
        <f>IF(TableRefills3[[#This Row],[prev_refill_days]]="","",TableRefills3[[#This Row],[prev_refill_days]]+TableRefills3[[#This Row],[quantity_days]])</f>
        <v>45935</v>
      </c>
      <c r="G3091">
        <f>IF(TableRefills3[[#This Row],[prev_refill_end]]="","",TableRefills3[[#This Row],[refill_date]]-TableRefills3[[#This Row],[prev_refill_end]])</f>
        <v>2</v>
      </c>
      <c r="H3091" s="10">
        <f>IF(TableRefills3[[#This Row],[gap_days]]="",0,IF(TableRefills3[[#This Row],[gap_days]]&gt;2,1,0))</f>
        <v>0</v>
      </c>
      <c r="I3091">
        <f>_xlfn.MAXIFS(TableRefills3[discountinuation_flag], TableRefills3[patient_id], A3091)</f>
        <v>0</v>
      </c>
    </row>
    <row r="3092" spans="1:9" x14ac:dyDescent="0.25">
      <c r="A3092" t="s">
        <v>4914</v>
      </c>
      <c r="B3092" t="s">
        <v>4915</v>
      </c>
      <c r="C3092" s="3">
        <v>45924</v>
      </c>
      <c r="D3092">
        <v>21</v>
      </c>
      <c r="E3092" s="3" t="str">
        <f t="shared" si="48"/>
        <v/>
      </c>
      <c r="F3092" s="3" t="str">
        <f>IF(TableRefills3[[#This Row],[prev_refill_days]]="","",TableRefills3[[#This Row],[prev_refill_days]]+TableRefills3[[#This Row],[quantity_days]])</f>
        <v/>
      </c>
      <c r="G3092" t="str">
        <f>IF(TableRefills3[[#This Row],[prev_refill_end]]="","",TableRefills3[[#This Row],[refill_date]]-TableRefills3[[#This Row],[prev_refill_end]])</f>
        <v/>
      </c>
      <c r="H3092" s="10">
        <f>IF(TableRefills3[[#This Row],[gap_days]]="",0,IF(TableRefills3[[#This Row],[gap_days]]&gt;2,1,0))</f>
        <v>0</v>
      </c>
      <c r="I3092">
        <f>_xlfn.MAXIFS(TableRefills3[discountinuation_flag], TableRefills3[patient_id], A3092)</f>
        <v>0</v>
      </c>
    </row>
    <row r="3093" spans="1:9" x14ac:dyDescent="0.25">
      <c r="A3093" t="s">
        <v>4914</v>
      </c>
      <c r="B3093" t="s">
        <v>4915</v>
      </c>
      <c r="C3093" s="3">
        <v>45943</v>
      </c>
      <c r="D3093">
        <v>21</v>
      </c>
      <c r="E3093" s="3">
        <f t="shared" si="48"/>
        <v>45924</v>
      </c>
      <c r="F3093" s="3">
        <f>IF(TableRefills3[[#This Row],[prev_refill_days]]="","",TableRefills3[[#This Row],[prev_refill_days]]+TableRefills3[[#This Row],[quantity_days]])</f>
        <v>45945</v>
      </c>
      <c r="G3093">
        <f>IF(TableRefills3[[#This Row],[prev_refill_end]]="","",TableRefills3[[#This Row],[refill_date]]-TableRefills3[[#This Row],[prev_refill_end]])</f>
        <v>-2</v>
      </c>
      <c r="H3093" s="10">
        <f>IF(TableRefills3[[#This Row],[gap_days]]="",0,IF(TableRefills3[[#This Row],[gap_days]]&gt;2,1,0))</f>
        <v>0</v>
      </c>
      <c r="I3093">
        <f>_xlfn.MAXIFS(TableRefills3[discountinuation_flag], TableRefills3[patient_id], A3093)</f>
        <v>0</v>
      </c>
    </row>
    <row r="3094" spans="1:9" x14ac:dyDescent="0.25">
      <c r="A3094" t="s">
        <v>4914</v>
      </c>
      <c r="B3094" t="s">
        <v>4915</v>
      </c>
      <c r="C3094" s="3">
        <v>45961</v>
      </c>
      <c r="D3094">
        <v>21</v>
      </c>
      <c r="E3094" s="3">
        <f t="shared" si="48"/>
        <v>45943</v>
      </c>
      <c r="F3094" s="3">
        <f>IF(TableRefills3[[#This Row],[prev_refill_days]]="","",TableRefills3[[#This Row],[prev_refill_days]]+TableRefills3[[#This Row],[quantity_days]])</f>
        <v>45964</v>
      </c>
      <c r="G3094">
        <f>IF(TableRefills3[[#This Row],[prev_refill_end]]="","",TableRefills3[[#This Row],[refill_date]]-TableRefills3[[#This Row],[prev_refill_end]])</f>
        <v>-3</v>
      </c>
      <c r="H3094" s="10">
        <f>IF(TableRefills3[[#This Row],[gap_days]]="",0,IF(TableRefills3[[#This Row],[gap_days]]&gt;2,1,0))</f>
        <v>0</v>
      </c>
      <c r="I3094">
        <f>_xlfn.MAXIFS(TableRefills3[discountinuation_flag], TableRefills3[patient_id], A3094)</f>
        <v>0</v>
      </c>
    </row>
    <row r="3095" spans="1:9" x14ac:dyDescent="0.25">
      <c r="A3095" t="s">
        <v>4919</v>
      </c>
      <c r="B3095" t="s">
        <v>4920</v>
      </c>
      <c r="C3095" s="3">
        <v>45909</v>
      </c>
      <c r="D3095">
        <v>28</v>
      </c>
      <c r="E3095" s="3" t="str">
        <f t="shared" si="48"/>
        <v/>
      </c>
      <c r="F3095" s="3" t="str">
        <f>IF(TableRefills3[[#This Row],[prev_refill_days]]="","",TableRefills3[[#This Row],[prev_refill_days]]+TableRefills3[[#This Row],[quantity_days]])</f>
        <v/>
      </c>
      <c r="G3095" t="str">
        <f>IF(TableRefills3[[#This Row],[prev_refill_end]]="","",TableRefills3[[#This Row],[refill_date]]-TableRefills3[[#This Row],[prev_refill_end]])</f>
        <v/>
      </c>
      <c r="H3095" s="10">
        <f>IF(TableRefills3[[#This Row],[gap_days]]="",0,IF(TableRefills3[[#This Row],[gap_days]]&gt;2,1,0))</f>
        <v>0</v>
      </c>
      <c r="I3095">
        <f>_xlfn.MAXIFS(TableRefills3[discountinuation_flag], TableRefills3[patient_id], A3095)</f>
        <v>0</v>
      </c>
    </row>
    <row r="3096" spans="1:9" x14ac:dyDescent="0.25">
      <c r="A3096" t="s">
        <v>4919</v>
      </c>
      <c r="B3096" t="s">
        <v>4920</v>
      </c>
      <c r="C3096" s="3">
        <v>45937</v>
      </c>
      <c r="D3096">
        <v>28</v>
      </c>
      <c r="E3096" s="3">
        <f t="shared" si="48"/>
        <v>45909</v>
      </c>
      <c r="F3096" s="3">
        <f>IF(TableRefills3[[#This Row],[prev_refill_days]]="","",TableRefills3[[#This Row],[prev_refill_days]]+TableRefills3[[#This Row],[quantity_days]])</f>
        <v>45937</v>
      </c>
      <c r="G3096">
        <f>IF(TableRefills3[[#This Row],[prev_refill_end]]="","",TableRefills3[[#This Row],[refill_date]]-TableRefills3[[#This Row],[prev_refill_end]])</f>
        <v>0</v>
      </c>
      <c r="H3096" s="10">
        <f>IF(TableRefills3[[#This Row],[gap_days]]="",0,IF(TableRefills3[[#This Row],[gap_days]]&gt;2,1,0))</f>
        <v>0</v>
      </c>
      <c r="I3096">
        <f>_xlfn.MAXIFS(TableRefills3[discountinuation_flag], TableRefills3[patient_id], A3096)</f>
        <v>0</v>
      </c>
    </row>
    <row r="3097" spans="1:9" x14ac:dyDescent="0.25">
      <c r="A3097" t="s">
        <v>4923</v>
      </c>
      <c r="B3097" t="s">
        <v>4924</v>
      </c>
      <c r="C3097" s="3">
        <v>45802</v>
      </c>
      <c r="D3097">
        <v>28</v>
      </c>
      <c r="E3097" s="3" t="str">
        <f t="shared" si="48"/>
        <v/>
      </c>
      <c r="F3097" s="3" t="str">
        <f>IF(TableRefills3[[#This Row],[prev_refill_days]]="","",TableRefills3[[#This Row],[prev_refill_days]]+TableRefills3[[#This Row],[quantity_days]])</f>
        <v/>
      </c>
      <c r="G3097" t="str">
        <f>IF(TableRefills3[[#This Row],[prev_refill_end]]="","",TableRefills3[[#This Row],[refill_date]]-TableRefills3[[#This Row],[prev_refill_end]])</f>
        <v/>
      </c>
      <c r="H3097" s="10">
        <f>IF(TableRefills3[[#This Row],[gap_days]]="",0,IF(TableRefills3[[#This Row],[gap_days]]&gt;2,1,0))</f>
        <v>0</v>
      </c>
      <c r="I3097">
        <f>_xlfn.MAXIFS(TableRefills3[discountinuation_flag], TableRefills3[patient_id], A3097)</f>
        <v>1</v>
      </c>
    </row>
    <row r="3098" spans="1:9" x14ac:dyDescent="0.25">
      <c r="A3098" t="s">
        <v>4923</v>
      </c>
      <c r="B3098" t="s">
        <v>4924</v>
      </c>
      <c r="C3098" s="3">
        <v>45830</v>
      </c>
      <c r="D3098">
        <v>28</v>
      </c>
      <c r="E3098" s="3">
        <f t="shared" si="48"/>
        <v>45802</v>
      </c>
      <c r="F3098" s="3">
        <f>IF(TableRefills3[[#This Row],[prev_refill_days]]="","",TableRefills3[[#This Row],[prev_refill_days]]+TableRefills3[[#This Row],[quantity_days]])</f>
        <v>45830</v>
      </c>
      <c r="G3098">
        <f>IF(TableRefills3[[#This Row],[prev_refill_end]]="","",TableRefills3[[#This Row],[refill_date]]-TableRefills3[[#This Row],[prev_refill_end]])</f>
        <v>0</v>
      </c>
      <c r="H3098" s="10">
        <f>IF(TableRefills3[[#This Row],[gap_days]]="",0,IF(TableRefills3[[#This Row],[gap_days]]&gt;2,1,0))</f>
        <v>0</v>
      </c>
      <c r="I3098">
        <f>_xlfn.MAXIFS(TableRefills3[discountinuation_flag], TableRefills3[patient_id], A3098)</f>
        <v>1</v>
      </c>
    </row>
    <row r="3099" spans="1:9" x14ac:dyDescent="0.25">
      <c r="A3099" t="s">
        <v>4923</v>
      </c>
      <c r="B3099" t="s">
        <v>4924</v>
      </c>
      <c r="C3099" s="3">
        <v>45861</v>
      </c>
      <c r="D3099">
        <v>28</v>
      </c>
      <c r="E3099" s="3">
        <f t="shared" si="48"/>
        <v>45830</v>
      </c>
      <c r="F3099" s="3">
        <f>IF(TableRefills3[[#This Row],[prev_refill_days]]="","",TableRefills3[[#This Row],[prev_refill_days]]+TableRefills3[[#This Row],[quantity_days]])</f>
        <v>45858</v>
      </c>
      <c r="G3099">
        <f>IF(TableRefills3[[#This Row],[prev_refill_end]]="","",TableRefills3[[#This Row],[refill_date]]-TableRefills3[[#This Row],[prev_refill_end]])</f>
        <v>3</v>
      </c>
      <c r="H3099" s="10">
        <f>IF(TableRefills3[[#This Row],[gap_days]]="",0,IF(TableRefills3[[#This Row],[gap_days]]&gt;2,1,0))</f>
        <v>1</v>
      </c>
      <c r="I3099">
        <f>_xlfn.MAXIFS(TableRefills3[discountinuation_flag], TableRefills3[patient_id], A3099)</f>
        <v>1</v>
      </c>
    </row>
    <row r="3100" spans="1:9" x14ac:dyDescent="0.25">
      <c r="A3100" t="s">
        <v>4923</v>
      </c>
      <c r="B3100" t="s">
        <v>4924</v>
      </c>
      <c r="C3100" s="3">
        <v>45886</v>
      </c>
      <c r="D3100">
        <v>28</v>
      </c>
      <c r="E3100" s="3">
        <f t="shared" si="48"/>
        <v>45861</v>
      </c>
      <c r="F3100" s="3">
        <f>IF(TableRefills3[[#This Row],[prev_refill_days]]="","",TableRefills3[[#This Row],[prev_refill_days]]+TableRefills3[[#This Row],[quantity_days]])</f>
        <v>45889</v>
      </c>
      <c r="G3100">
        <f>IF(TableRefills3[[#This Row],[prev_refill_end]]="","",TableRefills3[[#This Row],[refill_date]]-TableRefills3[[#This Row],[prev_refill_end]])</f>
        <v>-3</v>
      </c>
      <c r="H3100" s="10">
        <f>IF(TableRefills3[[#This Row],[gap_days]]="",0,IF(TableRefills3[[#This Row],[gap_days]]&gt;2,1,0))</f>
        <v>0</v>
      </c>
      <c r="I3100">
        <f>_xlfn.MAXIFS(TableRefills3[discountinuation_flag], TableRefills3[patient_id], A3100)</f>
        <v>1</v>
      </c>
    </row>
    <row r="3101" spans="1:9" x14ac:dyDescent="0.25">
      <c r="A3101" t="s">
        <v>4923</v>
      </c>
      <c r="B3101" t="s">
        <v>4924</v>
      </c>
      <c r="C3101" s="3">
        <v>45911</v>
      </c>
      <c r="D3101">
        <v>28</v>
      </c>
      <c r="E3101" s="3">
        <f t="shared" si="48"/>
        <v>45886</v>
      </c>
      <c r="F3101" s="3">
        <f>IF(TableRefills3[[#This Row],[prev_refill_days]]="","",TableRefills3[[#This Row],[prev_refill_days]]+TableRefills3[[#This Row],[quantity_days]])</f>
        <v>45914</v>
      </c>
      <c r="G3101">
        <f>IF(TableRefills3[[#This Row],[prev_refill_end]]="","",TableRefills3[[#This Row],[refill_date]]-TableRefills3[[#This Row],[prev_refill_end]])</f>
        <v>-3</v>
      </c>
      <c r="H3101" s="10">
        <f>IF(TableRefills3[[#This Row],[gap_days]]="",0,IF(TableRefills3[[#This Row],[gap_days]]&gt;2,1,0))</f>
        <v>0</v>
      </c>
      <c r="I3101">
        <f>_xlfn.MAXIFS(TableRefills3[discountinuation_flag], TableRefills3[patient_id], A3101)</f>
        <v>1</v>
      </c>
    </row>
    <row r="3102" spans="1:9" x14ac:dyDescent="0.25">
      <c r="A3102" t="s">
        <v>4923</v>
      </c>
      <c r="B3102" t="s">
        <v>4924</v>
      </c>
      <c r="C3102" s="3">
        <v>45937</v>
      </c>
      <c r="D3102">
        <v>28</v>
      </c>
      <c r="E3102" s="3">
        <f t="shared" si="48"/>
        <v>45911</v>
      </c>
      <c r="F3102" s="3">
        <f>IF(TableRefills3[[#This Row],[prev_refill_days]]="","",TableRefills3[[#This Row],[prev_refill_days]]+TableRefills3[[#This Row],[quantity_days]])</f>
        <v>45939</v>
      </c>
      <c r="G3102">
        <f>IF(TableRefills3[[#This Row],[prev_refill_end]]="","",TableRefills3[[#This Row],[refill_date]]-TableRefills3[[#This Row],[prev_refill_end]])</f>
        <v>-2</v>
      </c>
      <c r="H3102" s="10">
        <f>IF(TableRefills3[[#This Row],[gap_days]]="",0,IF(TableRefills3[[#This Row],[gap_days]]&gt;2,1,0))</f>
        <v>0</v>
      </c>
      <c r="I3102">
        <f>_xlfn.MAXIFS(TableRefills3[discountinuation_flag], TableRefills3[patient_id], A3102)</f>
        <v>1</v>
      </c>
    </row>
    <row r="3103" spans="1:9" x14ac:dyDescent="0.25">
      <c r="A3103" t="s">
        <v>4931</v>
      </c>
      <c r="B3103" t="s">
        <v>4932</v>
      </c>
      <c r="C3103" s="3">
        <v>45883</v>
      </c>
      <c r="D3103">
        <v>28</v>
      </c>
      <c r="E3103" s="3" t="str">
        <f t="shared" si="48"/>
        <v/>
      </c>
      <c r="F3103" s="3" t="str">
        <f>IF(TableRefills3[[#This Row],[prev_refill_days]]="","",TableRefills3[[#This Row],[prev_refill_days]]+TableRefills3[[#This Row],[quantity_days]])</f>
        <v/>
      </c>
      <c r="G3103" t="str">
        <f>IF(TableRefills3[[#This Row],[prev_refill_end]]="","",TableRefills3[[#This Row],[refill_date]]-TableRefills3[[#This Row],[prev_refill_end]])</f>
        <v/>
      </c>
      <c r="H3103" s="10">
        <f>IF(TableRefills3[[#This Row],[gap_days]]="",0,IF(TableRefills3[[#This Row],[gap_days]]&gt;2,1,0))</f>
        <v>0</v>
      </c>
      <c r="I3103">
        <f>_xlfn.MAXIFS(TableRefills3[discountinuation_flag], TableRefills3[patient_id], A3103)</f>
        <v>0</v>
      </c>
    </row>
    <row r="3104" spans="1:9" x14ac:dyDescent="0.25">
      <c r="A3104" t="s">
        <v>4931</v>
      </c>
      <c r="B3104" t="s">
        <v>4932</v>
      </c>
      <c r="C3104" s="3">
        <v>45913</v>
      </c>
      <c r="D3104">
        <v>28</v>
      </c>
      <c r="E3104" s="3">
        <f t="shared" si="48"/>
        <v>45883</v>
      </c>
      <c r="F3104" s="3">
        <f>IF(TableRefills3[[#This Row],[prev_refill_days]]="","",TableRefills3[[#This Row],[prev_refill_days]]+TableRefills3[[#This Row],[quantity_days]])</f>
        <v>45911</v>
      </c>
      <c r="G3104">
        <f>IF(TableRefills3[[#This Row],[prev_refill_end]]="","",TableRefills3[[#This Row],[refill_date]]-TableRefills3[[#This Row],[prev_refill_end]])</f>
        <v>2</v>
      </c>
      <c r="H3104" s="10">
        <f>IF(TableRefills3[[#This Row],[gap_days]]="",0,IF(TableRefills3[[#This Row],[gap_days]]&gt;2,1,0))</f>
        <v>0</v>
      </c>
      <c r="I3104">
        <f>_xlfn.MAXIFS(TableRefills3[discountinuation_flag], TableRefills3[patient_id], A3104)</f>
        <v>0</v>
      </c>
    </row>
    <row r="3105" spans="1:9" x14ac:dyDescent="0.25">
      <c r="A3105" t="s">
        <v>4931</v>
      </c>
      <c r="B3105" t="s">
        <v>4932</v>
      </c>
      <c r="C3105" s="3">
        <v>45942</v>
      </c>
      <c r="D3105">
        <v>28</v>
      </c>
      <c r="E3105" s="3">
        <f t="shared" si="48"/>
        <v>45913</v>
      </c>
      <c r="F3105" s="3">
        <f>IF(TableRefills3[[#This Row],[prev_refill_days]]="","",TableRefills3[[#This Row],[prev_refill_days]]+TableRefills3[[#This Row],[quantity_days]])</f>
        <v>45941</v>
      </c>
      <c r="G3105">
        <f>IF(TableRefills3[[#This Row],[prev_refill_end]]="","",TableRefills3[[#This Row],[refill_date]]-TableRefills3[[#This Row],[prev_refill_end]])</f>
        <v>1</v>
      </c>
      <c r="H3105" s="10">
        <f>IF(TableRefills3[[#This Row],[gap_days]]="",0,IF(TableRefills3[[#This Row],[gap_days]]&gt;2,1,0))</f>
        <v>0</v>
      </c>
      <c r="I3105">
        <f>_xlfn.MAXIFS(TableRefills3[discountinuation_flag], TableRefills3[patient_id], A3105)</f>
        <v>0</v>
      </c>
    </row>
    <row r="3106" spans="1:9" x14ac:dyDescent="0.25">
      <c r="A3106" t="s">
        <v>4936</v>
      </c>
      <c r="B3106" t="s">
        <v>4937</v>
      </c>
      <c r="C3106" s="3">
        <v>45848</v>
      </c>
      <c r="D3106">
        <v>30</v>
      </c>
      <c r="E3106" s="3" t="str">
        <f t="shared" si="48"/>
        <v/>
      </c>
      <c r="F3106" s="3" t="str">
        <f>IF(TableRefills3[[#This Row],[prev_refill_days]]="","",TableRefills3[[#This Row],[prev_refill_days]]+TableRefills3[[#This Row],[quantity_days]])</f>
        <v/>
      </c>
      <c r="G3106" t="str">
        <f>IF(TableRefills3[[#This Row],[prev_refill_end]]="","",TableRefills3[[#This Row],[refill_date]]-TableRefills3[[#This Row],[prev_refill_end]])</f>
        <v/>
      </c>
      <c r="H3106" s="10">
        <f>IF(TableRefills3[[#This Row],[gap_days]]="",0,IF(TableRefills3[[#This Row],[gap_days]]&gt;2,1,0))</f>
        <v>0</v>
      </c>
      <c r="I3106">
        <f>_xlfn.MAXIFS(TableRefills3[discountinuation_flag], TableRefills3[patient_id], A3106)</f>
        <v>0</v>
      </c>
    </row>
    <row r="3107" spans="1:9" x14ac:dyDescent="0.25">
      <c r="A3107" t="s">
        <v>4936</v>
      </c>
      <c r="B3107" t="s">
        <v>4937</v>
      </c>
      <c r="C3107" s="3">
        <v>45877</v>
      </c>
      <c r="D3107">
        <v>30</v>
      </c>
      <c r="E3107" s="3">
        <f t="shared" si="48"/>
        <v>45848</v>
      </c>
      <c r="F3107" s="3">
        <f>IF(TableRefills3[[#This Row],[prev_refill_days]]="","",TableRefills3[[#This Row],[prev_refill_days]]+TableRefills3[[#This Row],[quantity_days]])</f>
        <v>45878</v>
      </c>
      <c r="G3107">
        <f>IF(TableRefills3[[#This Row],[prev_refill_end]]="","",TableRefills3[[#This Row],[refill_date]]-TableRefills3[[#This Row],[prev_refill_end]])</f>
        <v>-1</v>
      </c>
      <c r="H3107" s="10">
        <f>IF(TableRefills3[[#This Row],[gap_days]]="",0,IF(TableRefills3[[#This Row],[gap_days]]&gt;2,1,0))</f>
        <v>0</v>
      </c>
      <c r="I3107">
        <f>_xlfn.MAXIFS(TableRefills3[discountinuation_flag], TableRefills3[patient_id], A3107)</f>
        <v>0</v>
      </c>
    </row>
    <row r="3108" spans="1:9" x14ac:dyDescent="0.25">
      <c r="A3108" t="s">
        <v>4936</v>
      </c>
      <c r="B3108" t="s">
        <v>4937</v>
      </c>
      <c r="C3108" s="3">
        <v>45904</v>
      </c>
      <c r="D3108">
        <v>30</v>
      </c>
      <c r="E3108" s="3">
        <f t="shared" si="48"/>
        <v>45877</v>
      </c>
      <c r="F3108" s="3">
        <f>IF(TableRefills3[[#This Row],[prev_refill_days]]="","",TableRefills3[[#This Row],[prev_refill_days]]+TableRefills3[[#This Row],[quantity_days]])</f>
        <v>45907</v>
      </c>
      <c r="G3108">
        <f>IF(TableRefills3[[#This Row],[prev_refill_end]]="","",TableRefills3[[#This Row],[refill_date]]-TableRefills3[[#This Row],[prev_refill_end]])</f>
        <v>-3</v>
      </c>
      <c r="H3108" s="10">
        <f>IF(TableRefills3[[#This Row],[gap_days]]="",0,IF(TableRefills3[[#This Row],[gap_days]]&gt;2,1,0))</f>
        <v>0</v>
      </c>
      <c r="I3108">
        <f>_xlfn.MAXIFS(TableRefills3[discountinuation_flag], TableRefills3[patient_id], A3108)</f>
        <v>0</v>
      </c>
    </row>
    <row r="3109" spans="1:9" x14ac:dyDescent="0.25">
      <c r="A3109" t="s">
        <v>4936</v>
      </c>
      <c r="B3109" t="s">
        <v>4937</v>
      </c>
      <c r="C3109" s="3">
        <v>45933</v>
      </c>
      <c r="D3109">
        <v>30</v>
      </c>
      <c r="E3109" s="3">
        <f t="shared" si="48"/>
        <v>45904</v>
      </c>
      <c r="F3109" s="3">
        <f>IF(TableRefills3[[#This Row],[prev_refill_days]]="","",TableRefills3[[#This Row],[prev_refill_days]]+TableRefills3[[#This Row],[quantity_days]])</f>
        <v>45934</v>
      </c>
      <c r="G3109">
        <f>IF(TableRefills3[[#This Row],[prev_refill_end]]="","",TableRefills3[[#This Row],[refill_date]]-TableRefills3[[#This Row],[prev_refill_end]])</f>
        <v>-1</v>
      </c>
      <c r="H3109" s="10">
        <f>IF(TableRefills3[[#This Row],[gap_days]]="",0,IF(TableRefills3[[#This Row],[gap_days]]&gt;2,1,0))</f>
        <v>0</v>
      </c>
      <c r="I3109">
        <f>_xlfn.MAXIFS(TableRefills3[discountinuation_flag], TableRefills3[patient_id], A3109)</f>
        <v>0</v>
      </c>
    </row>
    <row r="3110" spans="1:9" x14ac:dyDescent="0.25">
      <c r="A3110" t="s">
        <v>4942</v>
      </c>
      <c r="B3110" t="s">
        <v>4943</v>
      </c>
      <c r="C3110" s="3">
        <v>45810</v>
      </c>
      <c r="D3110">
        <v>28</v>
      </c>
      <c r="E3110" s="3" t="str">
        <f t="shared" si="48"/>
        <v/>
      </c>
      <c r="F3110" s="3" t="str">
        <f>IF(TableRefills3[[#This Row],[prev_refill_days]]="","",TableRefills3[[#This Row],[prev_refill_days]]+TableRefills3[[#This Row],[quantity_days]])</f>
        <v/>
      </c>
      <c r="G3110" t="str">
        <f>IF(TableRefills3[[#This Row],[prev_refill_end]]="","",TableRefills3[[#This Row],[refill_date]]-TableRefills3[[#This Row],[prev_refill_end]])</f>
        <v/>
      </c>
      <c r="H3110" s="10">
        <f>IF(TableRefills3[[#This Row],[gap_days]]="",0,IF(TableRefills3[[#This Row],[gap_days]]&gt;2,1,0))</f>
        <v>0</v>
      </c>
      <c r="I3110">
        <f>_xlfn.MAXIFS(TableRefills3[discountinuation_flag], TableRefills3[patient_id], A3110)</f>
        <v>0</v>
      </c>
    </row>
    <row r="3111" spans="1:9" x14ac:dyDescent="0.25">
      <c r="A3111" t="s">
        <v>4942</v>
      </c>
      <c r="B3111" t="s">
        <v>4943</v>
      </c>
      <c r="C3111" s="3">
        <v>45840</v>
      </c>
      <c r="D3111">
        <v>28</v>
      </c>
      <c r="E3111" s="3">
        <f t="shared" si="48"/>
        <v>45810</v>
      </c>
      <c r="F3111" s="3">
        <f>IF(TableRefills3[[#This Row],[prev_refill_days]]="","",TableRefills3[[#This Row],[prev_refill_days]]+TableRefills3[[#This Row],[quantity_days]])</f>
        <v>45838</v>
      </c>
      <c r="G3111">
        <f>IF(TableRefills3[[#This Row],[prev_refill_end]]="","",TableRefills3[[#This Row],[refill_date]]-TableRefills3[[#This Row],[prev_refill_end]])</f>
        <v>2</v>
      </c>
      <c r="H3111" s="10">
        <f>IF(TableRefills3[[#This Row],[gap_days]]="",0,IF(TableRefills3[[#This Row],[gap_days]]&gt;2,1,0))</f>
        <v>0</v>
      </c>
      <c r="I3111">
        <f>_xlfn.MAXIFS(TableRefills3[discountinuation_flag], TableRefills3[patient_id], A3111)</f>
        <v>0</v>
      </c>
    </row>
    <row r="3112" spans="1:9" x14ac:dyDescent="0.25">
      <c r="A3112" t="s">
        <v>4946</v>
      </c>
      <c r="B3112" t="s">
        <v>4947</v>
      </c>
      <c r="C3112" s="3">
        <v>45811</v>
      </c>
      <c r="D3112">
        <v>28</v>
      </c>
      <c r="E3112" s="3" t="str">
        <f t="shared" si="48"/>
        <v/>
      </c>
      <c r="F3112" s="3" t="str">
        <f>IF(TableRefills3[[#This Row],[prev_refill_days]]="","",TableRefills3[[#This Row],[prev_refill_days]]+TableRefills3[[#This Row],[quantity_days]])</f>
        <v/>
      </c>
      <c r="G3112" t="str">
        <f>IF(TableRefills3[[#This Row],[prev_refill_end]]="","",TableRefills3[[#This Row],[refill_date]]-TableRefills3[[#This Row],[prev_refill_end]])</f>
        <v/>
      </c>
      <c r="H3112" s="10">
        <f>IF(TableRefills3[[#This Row],[gap_days]]="",0,IF(TableRefills3[[#This Row],[gap_days]]&gt;2,1,0))</f>
        <v>0</v>
      </c>
      <c r="I3112">
        <f>_xlfn.MAXIFS(TableRefills3[discountinuation_flag], TableRefills3[patient_id], A3112)</f>
        <v>1</v>
      </c>
    </row>
    <row r="3113" spans="1:9" x14ac:dyDescent="0.25">
      <c r="A3113" t="s">
        <v>4946</v>
      </c>
      <c r="B3113" t="s">
        <v>4947</v>
      </c>
      <c r="C3113" s="3">
        <v>45840</v>
      </c>
      <c r="D3113">
        <v>28</v>
      </c>
      <c r="E3113" s="3">
        <f t="shared" si="48"/>
        <v>45811</v>
      </c>
      <c r="F3113" s="3">
        <f>IF(TableRefills3[[#This Row],[prev_refill_days]]="","",TableRefills3[[#This Row],[prev_refill_days]]+TableRefills3[[#This Row],[quantity_days]])</f>
        <v>45839</v>
      </c>
      <c r="G3113">
        <f>IF(TableRefills3[[#This Row],[prev_refill_end]]="","",TableRefills3[[#This Row],[refill_date]]-TableRefills3[[#This Row],[prev_refill_end]])</f>
        <v>1</v>
      </c>
      <c r="H3113" s="10">
        <f>IF(TableRefills3[[#This Row],[gap_days]]="",0,IF(TableRefills3[[#This Row],[gap_days]]&gt;2,1,0))</f>
        <v>0</v>
      </c>
      <c r="I3113">
        <f>_xlfn.MAXIFS(TableRefills3[discountinuation_flag], TableRefills3[patient_id], A3113)</f>
        <v>1</v>
      </c>
    </row>
    <row r="3114" spans="1:9" x14ac:dyDescent="0.25">
      <c r="A3114" t="s">
        <v>4946</v>
      </c>
      <c r="B3114" t="s">
        <v>4947</v>
      </c>
      <c r="C3114" s="3">
        <v>45867</v>
      </c>
      <c r="D3114">
        <v>28</v>
      </c>
      <c r="E3114" s="3">
        <f t="shared" si="48"/>
        <v>45840</v>
      </c>
      <c r="F3114" s="3">
        <f>IF(TableRefills3[[#This Row],[prev_refill_days]]="","",TableRefills3[[#This Row],[prev_refill_days]]+TableRefills3[[#This Row],[quantity_days]])</f>
        <v>45868</v>
      </c>
      <c r="G3114">
        <f>IF(TableRefills3[[#This Row],[prev_refill_end]]="","",TableRefills3[[#This Row],[refill_date]]-TableRefills3[[#This Row],[prev_refill_end]])</f>
        <v>-1</v>
      </c>
      <c r="H3114" s="10">
        <f>IF(TableRefills3[[#This Row],[gap_days]]="",0,IF(TableRefills3[[#This Row],[gap_days]]&gt;2,1,0))</f>
        <v>0</v>
      </c>
      <c r="I3114">
        <f>_xlfn.MAXIFS(TableRefills3[discountinuation_flag], TableRefills3[patient_id], A3114)</f>
        <v>1</v>
      </c>
    </row>
    <row r="3115" spans="1:9" x14ac:dyDescent="0.25">
      <c r="A3115" t="s">
        <v>4946</v>
      </c>
      <c r="B3115" t="s">
        <v>4947</v>
      </c>
      <c r="C3115" s="3">
        <v>45895</v>
      </c>
      <c r="D3115">
        <v>28</v>
      </c>
      <c r="E3115" s="3">
        <f t="shared" si="48"/>
        <v>45867</v>
      </c>
      <c r="F3115" s="3">
        <f>IF(TableRefills3[[#This Row],[prev_refill_days]]="","",TableRefills3[[#This Row],[prev_refill_days]]+TableRefills3[[#This Row],[quantity_days]])</f>
        <v>45895</v>
      </c>
      <c r="G3115">
        <f>IF(TableRefills3[[#This Row],[prev_refill_end]]="","",TableRefills3[[#This Row],[refill_date]]-TableRefills3[[#This Row],[prev_refill_end]])</f>
        <v>0</v>
      </c>
      <c r="H3115" s="10">
        <f>IF(TableRefills3[[#This Row],[gap_days]]="",0,IF(TableRefills3[[#This Row],[gap_days]]&gt;2,1,0))</f>
        <v>0</v>
      </c>
      <c r="I3115">
        <f>_xlfn.MAXIFS(TableRefills3[discountinuation_flag], TableRefills3[patient_id], A3115)</f>
        <v>1</v>
      </c>
    </row>
    <row r="3116" spans="1:9" x14ac:dyDescent="0.25">
      <c r="A3116" t="s">
        <v>4946</v>
      </c>
      <c r="B3116" t="s">
        <v>4947</v>
      </c>
      <c r="C3116" s="3">
        <v>45926</v>
      </c>
      <c r="D3116">
        <v>28</v>
      </c>
      <c r="E3116" s="3">
        <f t="shared" si="48"/>
        <v>45895</v>
      </c>
      <c r="F3116" s="3">
        <f>IF(TableRefills3[[#This Row],[prev_refill_days]]="","",TableRefills3[[#This Row],[prev_refill_days]]+TableRefills3[[#This Row],[quantity_days]])</f>
        <v>45923</v>
      </c>
      <c r="G3116">
        <f>IF(TableRefills3[[#This Row],[prev_refill_end]]="","",TableRefills3[[#This Row],[refill_date]]-TableRefills3[[#This Row],[prev_refill_end]])</f>
        <v>3</v>
      </c>
      <c r="H3116" s="10">
        <f>IF(TableRefills3[[#This Row],[gap_days]]="",0,IF(TableRefills3[[#This Row],[gap_days]]&gt;2,1,0))</f>
        <v>1</v>
      </c>
      <c r="I3116">
        <f>_xlfn.MAXIFS(TableRefills3[discountinuation_flag], TableRefills3[patient_id], A3116)</f>
        <v>1</v>
      </c>
    </row>
    <row r="3117" spans="1:9" x14ac:dyDescent="0.25">
      <c r="A3117" t="s">
        <v>4946</v>
      </c>
      <c r="B3117" t="s">
        <v>4947</v>
      </c>
      <c r="C3117" s="3">
        <v>45957</v>
      </c>
      <c r="D3117">
        <v>28</v>
      </c>
      <c r="E3117" s="3">
        <f t="shared" si="48"/>
        <v>45926</v>
      </c>
      <c r="F3117" s="3">
        <f>IF(TableRefills3[[#This Row],[prev_refill_days]]="","",TableRefills3[[#This Row],[prev_refill_days]]+TableRefills3[[#This Row],[quantity_days]])</f>
        <v>45954</v>
      </c>
      <c r="G3117">
        <f>IF(TableRefills3[[#This Row],[prev_refill_end]]="","",TableRefills3[[#This Row],[refill_date]]-TableRefills3[[#This Row],[prev_refill_end]])</f>
        <v>3</v>
      </c>
      <c r="H3117" s="10">
        <f>IF(TableRefills3[[#This Row],[gap_days]]="",0,IF(TableRefills3[[#This Row],[gap_days]]&gt;2,1,0))</f>
        <v>1</v>
      </c>
      <c r="I3117">
        <f>_xlfn.MAXIFS(TableRefills3[discountinuation_flag], TableRefills3[patient_id], A3117)</f>
        <v>1</v>
      </c>
    </row>
    <row r="3118" spans="1:9" x14ac:dyDescent="0.25">
      <c r="A3118" t="s">
        <v>4954</v>
      </c>
      <c r="B3118" t="s">
        <v>4955</v>
      </c>
      <c r="C3118" s="3">
        <v>45815</v>
      </c>
      <c r="D3118">
        <v>28</v>
      </c>
      <c r="E3118" s="3" t="str">
        <f t="shared" si="48"/>
        <v/>
      </c>
      <c r="F3118" s="3" t="str">
        <f>IF(TableRefills3[[#This Row],[prev_refill_days]]="","",TableRefills3[[#This Row],[prev_refill_days]]+TableRefills3[[#This Row],[quantity_days]])</f>
        <v/>
      </c>
      <c r="G3118" t="str">
        <f>IF(TableRefills3[[#This Row],[prev_refill_end]]="","",TableRefills3[[#This Row],[refill_date]]-TableRefills3[[#This Row],[prev_refill_end]])</f>
        <v/>
      </c>
      <c r="H3118" s="10">
        <f>IF(TableRefills3[[#This Row],[gap_days]]="",0,IF(TableRefills3[[#This Row],[gap_days]]&gt;2,1,0))</f>
        <v>0</v>
      </c>
      <c r="I3118">
        <f>_xlfn.MAXIFS(TableRefills3[discountinuation_flag], TableRefills3[patient_id], A3118)</f>
        <v>0</v>
      </c>
    </row>
    <row r="3119" spans="1:9" x14ac:dyDescent="0.25">
      <c r="A3119" t="s">
        <v>4954</v>
      </c>
      <c r="B3119" t="s">
        <v>4955</v>
      </c>
      <c r="C3119" s="3">
        <v>45845</v>
      </c>
      <c r="D3119">
        <v>28</v>
      </c>
      <c r="E3119" s="3">
        <f t="shared" si="48"/>
        <v>45815</v>
      </c>
      <c r="F3119" s="3">
        <f>IF(TableRefills3[[#This Row],[prev_refill_days]]="","",TableRefills3[[#This Row],[prev_refill_days]]+TableRefills3[[#This Row],[quantity_days]])</f>
        <v>45843</v>
      </c>
      <c r="G3119">
        <f>IF(TableRefills3[[#This Row],[prev_refill_end]]="","",TableRefills3[[#This Row],[refill_date]]-TableRefills3[[#This Row],[prev_refill_end]])</f>
        <v>2</v>
      </c>
      <c r="H3119" s="10">
        <f>IF(TableRefills3[[#This Row],[gap_days]]="",0,IF(TableRefills3[[#This Row],[gap_days]]&gt;2,1,0))</f>
        <v>0</v>
      </c>
      <c r="I3119">
        <f>_xlfn.MAXIFS(TableRefills3[discountinuation_flag], TableRefills3[patient_id], A3119)</f>
        <v>0</v>
      </c>
    </row>
    <row r="3120" spans="1:9" x14ac:dyDescent="0.25">
      <c r="A3120" t="s">
        <v>4954</v>
      </c>
      <c r="B3120" t="s">
        <v>4955</v>
      </c>
      <c r="C3120" s="3">
        <v>45871</v>
      </c>
      <c r="D3120">
        <v>28</v>
      </c>
      <c r="E3120" s="3">
        <f t="shared" si="48"/>
        <v>45845</v>
      </c>
      <c r="F3120" s="3">
        <f>IF(TableRefills3[[#This Row],[prev_refill_days]]="","",TableRefills3[[#This Row],[prev_refill_days]]+TableRefills3[[#This Row],[quantity_days]])</f>
        <v>45873</v>
      </c>
      <c r="G3120">
        <f>IF(TableRefills3[[#This Row],[prev_refill_end]]="","",TableRefills3[[#This Row],[refill_date]]-TableRefills3[[#This Row],[prev_refill_end]])</f>
        <v>-2</v>
      </c>
      <c r="H3120" s="10">
        <f>IF(TableRefills3[[#This Row],[gap_days]]="",0,IF(TableRefills3[[#This Row],[gap_days]]&gt;2,1,0))</f>
        <v>0</v>
      </c>
      <c r="I3120">
        <f>_xlfn.MAXIFS(TableRefills3[discountinuation_flag], TableRefills3[patient_id], A3120)</f>
        <v>0</v>
      </c>
    </row>
    <row r="3121" spans="1:9" x14ac:dyDescent="0.25">
      <c r="A3121" t="s">
        <v>4954</v>
      </c>
      <c r="B3121" t="s">
        <v>4955</v>
      </c>
      <c r="C3121" s="3">
        <v>45901</v>
      </c>
      <c r="D3121">
        <v>28</v>
      </c>
      <c r="E3121" s="3">
        <f t="shared" si="48"/>
        <v>45871</v>
      </c>
      <c r="F3121" s="3">
        <f>IF(TableRefills3[[#This Row],[prev_refill_days]]="","",TableRefills3[[#This Row],[prev_refill_days]]+TableRefills3[[#This Row],[quantity_days]])</f>
        <v>45899</v>
      </c>
      <c r="G3121">
        <f>IF(TableRefills3[[#This Row],[prev_refill_end]]="","",TableRefills3[[#This Row],[refill_date]]-TableRefills3[[#This Row],[prev_refill_end]])</f>
        <v>2</v>
      </c>
      <c r="H3121" s="10">
        <f>IF(TableRefills3[[#This Row],[gap_days]]="",0,IF(TableRefills3[[#This Row],[gap_days]]&gt;2,1,0))</f>
        <v>0</v>
      </c>
      <c r="I3121">
        <f>_xlfn.MAXIFS(TableRefills3[discountinuation_flag], TableRefills3[patient_id], A3121)</f>
        <v>0</v>
      </c>
    </row>
    <row r="3122" spans="1:9" x14ac:dyDescent="0.25">
      <c r="A3122" t="s">
        <v>4954</v>
      </c>
      <c r="B3122" t="s">
        <v>4955</v>
      </c>
      <c r="C3122" s="3">
        <v>45931</v>
      </c>
      <c r="D3122">
        <v>28</v>
      </c>
      <c r="E3122" s="3">
        <f t="shared" si="48"/>
        <v>45901</v>
      </c>
      <c r="F3122" s="3">
        <f>IF(TableRefills3[[#This Row],[prev_refill_days]]="","",TableRefills3[[#This Row],[prev_refill_days]]+TableRefills3[[#This Row],[quantity_days]])</f>
        <v>45929</v>
      </c>
      <c r="G3122">
        <f>IF(TableRefills3[[#This Row],[prev_refill_end]]="","",TableRefills3[[#This Row],[refill_date]]-TableRefills3[[#This Row],[prev_refill_end]])</f>
        <v>2</v>
      </c>
      <c r="H3122" s="10">
        <f>IF(TableRefills3[[#This Row],[gap_days]]="",0,IF(TableRefills3[[#This Row],[gap_days]]&gt;2,1,0))</f>
        <v>0</v>
      </c>
      <c r="I3122">
        <f>_xlfn.MAXIFS(TableRefills3[discountinuation_flag], TableRefills3[patient_id], A3122)</f>
        <v>0</v>
      </c>
    </row>
    <row r="3123" spans="1:9" x14ac:dyDescent="0.25">
      <c r="A3123" t="s">
        <v>4954</v>
      </c>
      <c r="B3123" t="s">
        <v>4955</v>
      </c>
      <c r="C3123" s="3">
        <v>45959</v>
      </c>
      <c r="D3123">
        <v>28</v>
      </c>
      <c r="E3123" s="3">
        <f t="shared" si="48"/>
        <v>45931</v>
      </c>
      <c r="F3123" s="3">
        <f>IF(TableRefills3[[#This Row],[prev_refill_days]]="","",TableRefills3[[#This Row],[prev_refill_days]]+TableRefills3[[#This Row],[quantity_days]])</f>
        <v>45959</v>
      </c>
      <c r="G3123">
        <f>IF(TableRefills3[[#This Row],[prev_refill_end]]="","",TableRefills3[[#This Row],[refill_date]]-TableRefills3[[#This Row],[prev_refill_end]])</f>
        <v>0</v>
      </c>
      <c r="H3123" s="10">
        <f>IF(TableRefills3[[#This Row],[gap_days]]="",0,IF(TableRefills3[[#This Row],[gap_days]]&gt;2,1,0))</f>
        <v>0</v>
      </c>
      <c r="I3123">
        <f>_xlfn.MAXIFS(TableRefills3[discountinuation_flag], TableRefills3[patient_id], A3123)</f>
        <v>0</v>
      </c>
    </row>
    <row r="3124" spans="1:9" x14ac:dyDescent="0.25">
      <c r="A3124" t="s">
        <v>4962</v>
      </c>
      <c r="B3124" t="s">
        <v>4963</v>
      </c>
      <c r="C3124" s="3">
        <v>45860</v>
      </c>
      <c r="D3124">
        <v>21</v>
      </c>
      <c r="E3124" s="3" t="str">
        <f t="shared" si="48"/>
        <v/>
      </c>
      <c r="F3124" s="3" t="str">
        <f>IF(TableRefills3[[#This Row],[prev_refill_days]]="","",TableRefills3[[#This Row],[prev_refill_days]]+TableRefills3[[#This Row],[quantity_days]])</f>
        <v/>
      </c>
      <c r="G3124" t="str">
        <f>IF(TableRefills3[[#This Row],[prev_refill_end]]="","",TableRefills3[[#This Row],[refill_date]]-TableRefills3[[#This Row],[prev_refill_end]])</f>
        <v/>
      </c>
      <c r="H3124" s="10">
        <f>IF(TableRefills3[[#This Row],[gap_days]]="",0,IF(TableRefills3[[#This Row],[gap_days]]&gt;2,1,0))</f>
        <v>0</v>
      </c>
      <c r="I3124">
        <f>_xlfn.MAXIFS(TableRefills3[discountinuation_flag], TableRefills3[patient_id], A3124)</f>
        <v>0</v>
      </c>
    </row>
    <row r="3125" spans="1:9" x14ac:dyDescent="0.25">
      <c r="A3125" t="s">
        <v>4962</v>
      </c>
      <c r="B3125" t="s">
        <v>4963</v>
      </c>
      <c r="C3125" s="3">
        <v>45883</v>
      </c>
      <c r="D3125">
        <v>21</v>
      </c>
      <c r="E3125" s="3">
        <f t="shared" si="48"/>
        <v>45860</v>
      </c>
      <c r="F3125" s="3">
        <f>IF(TableRefills3[[#This Row],[prev_refill_days]]="","",TableRefills3[[#This Row],[prev_refill_days]]+TableRefills3[[#This Row],[quantity_days]])</f>
        <v>45881</v>
      </c>
      <c r="G3125">
        <f>IF(TableRefills3[[#This Row],[prev_refill_end]]="","",TableRefills3[[#This Row],[refill_date]]-TableRefills3[[#This Row],[prev_refill_end]])</f>
        <v>2</v>
      </c>
      <c r="H3125" s="10">
        <f>IF(TableRefills3[[#This Row],[gap_days]]="",0,IF(TableRefills3[[#This Row],[gap_days]]&gt;2,1,0))</f>
        <v>0</v>
      </c>
      <c r="I3125">
        <f>_xlfn.MAXIFS(TableRefills3[discountinuation_flag], TableRefills3[patient_id], A3125)</f>
        <v>0</v>
      </c>
    </row>
    <row r="3126" spans="1:9" x14ac:dyDescent="0.25">
      <c r="A3126" t="s">
        <v>4962</v>
      </c>
      <c r="B3126" t="s">
        <v>4963</v>
      </c>
      <c r="C3126" s="3">
        <v>45901</v>
      </c>
      <c r="D3126">
        <v>21</v>
      </c>
      <c r="E3126" s="3">
        <f t="shared" si="48"/>
        <v>45883</v>
      </c>
      <c r="F3126" s="3">
        <f>IF(TableRefills3[[#This Row],[prev_refill_days]]="","",TableRefills3[[#This Row],[prev_refill_days]]+TableRefills3[[#This Row],[quantity_days]])</f>
        <v>45904</v>
      </c>
      <c r="G3126">
        <f>IF(TableRefills3[[#This Row],[prev_refill_end]]="","",TableRefills3[[#This Row],[refill_date]]-TableRefills3[[#This Row],[prev_refill_end]])</f>
        <v>-3</v>
      </c>
      <c r="H3126" s="10">
        <f>IF(TableRefills3[[#This Row],[gap_days]]="",0,IF(TableRefills3[[#This Row],[gap_days]]&gt;2,1,0))</f>
        <v>0</v>
      </c>
      <c r="I3126">
        <f>_xlfn.MAXIFS(TableRefills3[discountinuation_flag], TableRefills3[patient_id], A3126)</f>
        <v>0</v>
      </c>
    </row>
    <row r="3127" spans="1:9" x14ac:dyDescent="0.25">
      <c r="A3127" t="s">
        <v>4962</v>
      </c>
      <c r="B3127" t="s">
        <v>4963</v>
      </c>
      <c r="C3127" s="3">
        <v>45922</v>
      </c>
      <c r="D3127">
        <v>21</v>
      </c>
      <c r="E3127" s="3">
        <f t="shared" si="48"/>
        <v>45901</v>
      </c>
      <c r="F3127" s="3">
        <f>IF(TableRefills3[[#This Row],[prev_refill_days]]="","",TableRefills3[[#This Row],[prev_refill_days]]+TableRefills3[[#This Row],[quantity_days]])</f>
        <v>45922</v>
      </c>
      <c r="G3127">
        <f>IF(TableRefills3[[#This Row],[prev_refill_end]]="","",TableRefills3[[#This Row],[refill_date]]-TableRefills3[[#This Row],[prev_refill_end]])</f>
        <v>0</v>
      </c>
      <c r="H3127" s="10">
        <f>IF(TableRefills3[[#This Row],[gap_days]]="",0,IF(TableRefills3[[#This Row],[gap_days]]&gt;2,1,0))</f>
        <v>0</v>
      </c>
      <c r="I3127">
        <f>_xlfn.MAXIFS(TableRefills3[discountinuation_flag], TableRefills3[patient_id], A3127)</f>
        <v>0</v>
      </c>
    </row>
    <row r="3128" spans="1:9" x14ac:dyDescent="0.25">
      <c r="A3128" t="s">
        <v>4962</v>
      </c>
      <c r="B3128" t="s">
        <v>4963</v>
      </c>
      <c r="C3128" s="3">
        <v>45945</v>
      </c>
      <c r="D3128">
        <v>21</v>
      </c>
      <c r="E3128" s="3">
        <f t="shared" si="48"/>
        <v>45922</v>
      </c>
      <c r="F3128" s="3">
        <f>IF(TableRefills3[[#This Row],[prev_refill_days]]="","",TableRefills3[[#This Row],[prev_refill_days]]+TableRefills3[[#This Row],[quantity_days]])</f>
        <v>45943</v>
      </c>
      <c r="G3128">
        <f>IF(TableRefills3[[#This Row],[prev_refill_end]]="","",TableRefills3[[#This Row],[refill_date]]-TableRefills3[[#This Row],[prev_refill_end]])</f>
        <v>2</v>
      </c>
      <c r="H3128" s="10">
        <f>IF(TableRefills3[[#This Row],[gap_days]]="",0,IF(TableRefills3[[#This Row],[gap_days]]&gt;2,1,0))</f>
        <v>0</v>
      </c>
      <c r="I3128">
        <f>_xlfn.MAXIFS(TableRefills3[discountinuation_flag], TableRefills3[patient_id], A3128)</f>
        <v>0</v>
      </c>
    </row>
    <row r="3129" spans="1:9" x14ac:dyDescent="0.25">
      <c r="A3129" t="s">
        <v>4969</v>
      </c>
      <c r="B3129" t="s">
        <v>4970</v>
      </c>
      <c r="C3129" s="3">
        <v>45841</v>
      </c>
      <c r="D3129">
        <v>28</v>
      </c>
      <c r="E3129" s="3" t="str">
        <f t="shared" si="48"/>
        <v/>
      </c>
      <c r="F3129" s="3" t="str">
        <f>IF(TableRefills3[[#This Row],[prev_refill_days]]="","",TableRefills3[[#This Row],[prev_refill_days]]+TableRefills3[[#This Row],[quantity_days]])</f>
        <v/>
      </c>
      <c r="G3129" t="str">
        <f>IF(TableRefills3[[#This Row],[prev_refill_end]]="","",TableRefills3[[#This Row],[refill_date]]-TableRefills3[[#This Row],[prev_refill_end]])</f>
        <v/>
      </c>
      <c r="H3129" s="10">
        <f>IF(TableRefills3[[#This Row],[gap_days]]="",0,IF(TableRefills3[[#This Row],[gap_days]]&gt;2,1,0))</f>
        <v>0</v>
      </c>
      <c r="I3129">
        <f>_xlfn.MAXIFS(TableRefills3[discountinuation_flag], TableRefills3[patient_id], A3129)</f>
        <v>0</v>
      </c>
    </row>
    <row r="3130" spans="1:9" x14ac:dyDescent="0.25">
      <c r="A3130" t="s">
        <v>4969</v>
      </c>
      <c r="B3130" t="s">
        <v>4970</v>
      </c>
      <c r="C3130" s="3">
        <v>45867</v>
      </c>
      <c r="D3130">
        <v>28</v>
      </c>
      <c r="E3130" s="3">
        <f t="shared" si="48"/>
        <v>45841</v>
      </c>
      <c r="F3130" s="3">
        <f>IF(TableRefills3[[#This Row],[prev_refill_days]]="","",TableRefills3[[#This Row],[prev_refill_days]]+TableRefills3[[#This Row],[quantity_days]])</f>
        <v>45869</v>
      </c>
      <c r="G3130">
        <f>IF(TableRefills3[[#This Row],[prev_refill_end]]="","",TableRefills3[[#This Row],[refill_date]]-TableRefills3[[#This Row],[prev_refill_end]])</f>
        <v>-2</v>
      </c>
      <c r="H3130" s="10">
        <f>IF(TableRefills3[[#This Row],[gap_days]]="",0,IF(TableRefills3[[#This Row],[gap_days]]&gt;2,1,0))</f>
        <v>0</v>
      </c>
      <c r="I3130">
        <f>_xlfn.MAXIFS(TableRefills3[discountinuation_flag], TableRefills3[patient_id], A3130)</f>
        <v>0</v>
      </c>
    </row>
    <row r="3131" spans="1:9" x14ac:dyDescent="0.25">
      <c r="A3131" t="s">
        <v>4969</v>
      </c>
      <c r="B3131" t="s">
        <v>4970</v>
      </c>
      <c r="C3131" s="3">
        <v>45894</v>
      </c>
      <c r="D3131">
        <v>28</v>
      </c>
      <c r="E3131" s="3">
        <f t="shared" si="48"/>
        <v>45867</v>
      </c>
      <c r="F3131" s="3">
        <f>IF(TableRefills3[[#This Row],[prev_refill_days]]="","",TableRefills3[[#This Row],[prev_refill_days]]+TableRefills3[[#This Row],[quantity_days]])</f>
        <v>45895</v>
      </c>
      <c r="G3131">
        <f>IF(TableRefills3[[#This Row],[prev_refill_end]]="","",TableRefills3[[#This Row],[refill_date]]-TableRefills3[[#This Row],[prev_refill_end]])</f>
        <v>-1</v>
      </c>
      <c r="H3131" s="10">
        <f>IF(TableRefills3[[#This Row],[gap_days]]="",0,IF(TableRefills3[[#This Row],[gap_days]]&gt;2,1,0))</f>
        <v>0</v>
      </c>
      <c r="I3131">
        <f>_xlfn.MAXIFS(TableRefills3[discountinuation_flag], TableRefills3[patient_id], A3131)</f>
        <v>0</v>
      </c>
    </row>
    <row r="3132" spans="1:9" x14ac:dyDescent="0.25">
      <c r="A3132" t="s">
        <v>4969</v>
      </c>
      <c r="B3132" t="s">
        <v>4970</v>
      </c>
      <c r="C3132" s="3">
        <v>45921</v>
      </c>
      <c r="D3132">
        <v>28</v>
      </c>
      <c r="E3132" s="3">
        <f t="shared" si="48"/>
        <v>45894</v>
      </c>
      <c r="F3132" s="3">
        <f>IF(TableRefills3[[#This Row],[prev_refill_days]]="","",TableRefills3[[#This Row],[prev_refill_days]]+TableRefills3[[#This Row],[quantity_days]])</f>
        <v>45922</v>
      </c>
      <c r="G3132">
        <f>IF(TableRefills3[[#This Row],[prev_refill_end]]="","",TableRefills3[[#This Row],[refill_date]]-TableRefills3[[#This Row],[prev_refill_end]])</f>
        <v>-1</v>
      </c>
      <c r="H3132" s="10">
        <f>IF(TableRefills3[[#This Row],[gap_days]]="",0,IF(TableRefills3[[#This Row],[gap_days]]&gt;2,1,0))</f>
        <v>0</v>
      </c>
      <c r="I3132">
        <f>_xlfn.MAXIFS(TableRefills3[discountinuation_flag], TableRefills3[patient_id], A3132)</f>
        <v>0</v>
      </c>
    </row>
    <row r="3133" spans="1:9" x14ac:dyDescent="0.25">
      <c r="A3133" t="s">
        <v>4969</v>
      </c>
      <c r="B3133" t="s">
        <v>4970</v>
      </c>
      <c r="C3133" s="3">
        <v>45950</v>
      </c>
      <c r="D3133">
        <v>28</v>
      </c>
      <c r="E3133" s="3">
        <f t="shared" si="48"/>
        <v>45921</v>
      </c>
      <c r="F3133" s="3">
        <f>IF(TableRefills3[[#This Row],[prev_refill_days]]="","",TableRefills3[[#This Row],[prev_refill_days]]+TableRefills3[[#This Row],[quantity_days]])</f>
        <v>45949</v>
      </c>
      <c r="G3133">
        <f>IF(TableRefills3[[#This Row],[prev_refill_end]]="","",TableRefills3[[#This Row],[refill_date]]-TableRefills3[[#This Row],[prev_refill_end]])</f>
        <v>1</v>
      </c>
      <c r="H3133" s="10">
        <f>IF(TableRefills3[[#This Row],[gap_days]]="",0,IF(TableRefills3[[#This Row],[gap_days]]&gt;2,1,0))</f>
        <v>0</v>
      </c>
      <c r="I3133">
        <f>_xlfn.MAXIFS(TableRefills3[discountinuation_flag], TableRefills3[patient_id], A3133)</f>
        <v>0</v>
      </c>
    </row>
    <row r="3134" spans="1:9" x14ac:dyDescent="0.25">
      <c r="A3134" t="s">
        <v>4976</v>
      </c>
      <c r="B3134" t="s">
        <v>4977</v>
      </c>
      <c r="C3134" s="3">
        <v>45951</v>
      </c>
      <c r="D3134">
        <v>28</v>
      </c>
      <c r="E3134" s="3" t="str">
        <f t="shared" si="48"/>
        <v/>
      </c>
      <c r="F3134" s="3" t="str">
        <f>IF(TableRefills3[[#This Row],[prev_refill_days]]="","",TableRefills3[[#This Row],[prev_refill_days]]+TableRefills3[[#This Row],[quantity_days]])</f>
        <v/>
      </c>
      <c r="G3134" t="str">
        <f>IF(TableRefills3[[#This Row],[prev_refill_end]]="","",TableRefills3[[#This Row],[refill_date]]-TableRefills3[[#This Row],[prev_refill_end]])</f>
        <v/>
      </c>
      <c r="H3134" s="10">
        <f>IF(TableRefills3[[#This Row],[gap_days]]="",0,IF(TableRefills3[[#This Row],[gap_days]]&gt;2,1,0))</f>
        <v>0</v>
      </c>
      <c r="I3134">
        <f>_xlfn.MAXIFS(TableRefills3[discountinuation_flag], TableRefills3[patient_id], A3134)</f>
        <v>0</v>
      </c>
    </row>
    <row r="3135" spans="1:9" x14ac:dyDescent="0.25">
      <c r="A3135" t="s">
        <v>4979</v>
      </c>
      <c r="B3135" t="s">
        <v>4980</v>
      </c>
      <c r="C3135" s="3">
        <v>45903</v>
      </c>
      <c r="D3135">
        <v>28</v>
      </c>
      <c r="E3135" s="3" t="str">
        <f t="shared" si="48"/>
        <v/>
      </c>
      <c r="F3135" s="3" t="str">
        <f>IF(TableRefills3[[#This Row],[prev_refill_days]]="","",TableRefills3[[#This Row],[prev_refill_days]]+TableRefills3[[#This Row],[quantity_days]])</f>
        <v/>
      </c>
      <c r="G3135" t="str">
        <f>IF(TableRefills3[[#This Row],[prev_refill_end]]="","",TableRefills3[[#This Row],[refill_date]]-TableRefills3[[#This Row],[prev_refill_end]])</f>
        <v/>
      </c>
      <c r="H3135" s="10">
        <f>IF(TableRefills3[[#This Row],[gap_days]]="",0,IF(TableRefills3[[#This Row],[gap_days]]&gt;2,1,0))</f>
        <v>0</v>
      </c>
      <c r="I3135">
        <f>_xlfn.MAXIFS(TableRefills3[discountinuation_flag], TableRefills3[patient_id], A3135)</f>
        <v>0</v>
      </c>
    </row>
    <row r="3136" spans="1:9" x14ac:dyDescent="0.25">
      <c r="A3136" t="s">
        <v>4979</v>
      </c>
      <c r="B3136" t="s">
        <v>4980</v>
      </c>
      <c r="C3136" s="3">
        <v>45931</v>
      </c>
      <c r="D3136">
        <v>28</v>
      </c>
      <c r="E3136" s="3">
        <f t="shared" si="48"/>
        <v>45903</v>
      </c>
      <c r="F3136" s="3">
        <f>IF(TableRefills3[[#This Row],[prev_refill_days]]="","",TableRefills3[[#This Row],[prev_refill_days]]+TableRefills3[[#This Row],[quantity_days]])</f>
        <v>45931</v>
      </c>
      <c r="G3136">
        <f>IF(TableRefills3[[#This Row],[prev_refill_end]]="","",TableRefills3[[#This Row],[refill_date]]-TableRefills3[[#This Row],[prev_refill_end]])</f>
        <v>0</v>
      </c>
      <c r="H3136" s="10">
        <f>IF(TableRefills3[[#This Row],[gap_days]]="",0,IF(TableRefills3[[#This Row],[gap_days]]&gt;2,1,0))</f>
        <v>0</v>
      </c>
      <c r="I3136">
        <f>_xlfn.MAXIFS(TableRefills3[discountinuation_flag], TableRefills3[patient_id], A3136)</f>
        <v>0</v>
      </c>
    </row>
    <row r="3137" spans="1:9" x14ac:dyDescent="0.25">
      <c r="A3137" t="s">
        <v>4979</v>
      </c>
      <c r="B3137" t="s">
        <v>4980</v>
      </c>
      <c r="C3137" s="3">
        <v>45959</v>
      </c>
      <c r="D3137">
        <v>28</v>
      </c>
      <c r="E3137" s="3">
        <f t="shared" si="48"/>
        <v>45931</v>
      </c>
      <c r="F3137" s="3">
        <f>IF(TableRefills3[[#This Row],[prev_refill_days]]="","",TableRefills3[[#This Row],[prev_refill_days]]+TableRefills3[[#This Row],[quantity_days]])</f>
        <v>45959</v>
      </c>
      <c r="G3137">
        <f>IF(TableRefills3[[#This Row],[prev_refill_end]]="","",TableRefills3[[#This Row],[refill_date]]-TableRefills3[[#This Row],[prev_refill_end]])</f>
        <v>0</v>
      </c>
      <c r="H3137" s="10">
        <f>IF(TableRefills3[[#This Row],[gap_days]]="",0,IF(TableRefills3[[#This Row],[gap_days]]&gt;2,1,0))</f>
        <v>0</v>
      </c>
      <c r="I3137">
        <f>_xlfn.MAXIFS(TableRefills3[discountinuation_flag], TableRefills3[patient_id], A3137)</f>
        <v>0</v>
      </c>
    </row>
    <row r="3138" spans="1:9" x14ac:dyDescent="0.25">
      <c r="A3138" t="s">
        <v>4984</v>
      </c>
      <c r="B3138" t="s">
        <v>4985</v>
      </c>
      <c r="C3138" s="3">
        <v>45925</v>
      </c>
      <c r="D3138">
        <v>28</v>
      </c>
      <c r="E3138" s="3" t="str">
        <f t="shared" ref="E3138:E3201" si="49">IF(A3137=A3138,C3137,"")</f>
        <v/>
      </c>
      <c r="F3138" s="3" t="str">
        <f>IF(TableRefills3[[#This Row],[prev_refill_days]]="","",TableRefills3[[#This Row],[prev_refill_days]]+TableRefills3[[#This Row],[quantity_days]])</f>
        <v/>
      </c>
      <c r="G3138" t="str">
        <f>IF(TableRefills3[[#This Row],[prev_refill_end]]="","",TableRefills3[[#This Row],[refill_date]]-TableRefills3[[#This Row],[prev_refill_end]])</f>
        <v/>
      </c>
      <c r="H3138" s="10">
        <f>IF(TableRefills3[[#This Row],[gap_days]]="",0,IF(TableRefills3[[#This Row],[gap_days]]&gt;2,1,0))</f>
        <v>0</v>
      </c>
      <c r="I3138">
        <f>_xlfn.MAXIFS(TableRefills3[discountinuation_flag], TableRefills3[patient_id], A3138)</f>
        <v>1</v>
      </c>
    </row>
    <row r="3139" spans="1:9" x14ac:dyDescent="0.25">
      <c r="A3139" t="s">
        <v>4984</v>
      </c>
      <c r="B3139" t="s">
        <v>4985</v>
      </c>
      <c r="C3139" s="3">
        <v>45956</v>
      </c>
      <c r="D3139">
        <v>28</v>
      </c>
      <c r="E3139" s="3">
        <f t="shared" si="49"/>
        <v>45925</v>
      </c>
      <c r="F3139" s="3">
        <f>IF(TableRefills3[[#This Row],[prev_refill_days]]="","",TableRefills3[[#This Row],[prev_refill_days]]+TableRefills3[[#This Row],[quantity_days]])</f>
        <v>45953</v>
      </c>
      <c r="G3139">
        <f>IF(TableRefills3[[#This Row],[prev_refill_end]]="","",TableRefills3[[#This Row],[refill_date]]-TableRefills3[[#This Row],[prev_refill_end]])</f>
        <v>3</v>
      </c>
      <c r="H3139" s="10">
        <f>IF(TableRefills3[[#This Row],[gap_days]]="",0,IF(TableRefills3[[#This Row],[gap_days]]&gt;2,1,0))</f>
        <v>1</v>
      </c>
      <c r="I3139">
        <f>_xlfn.MAXIFS(TableRefills3[discountinuation_flag], TableRefills3[patient_id], A3139)</f>
        <v>1</v>
      </c>
    </row>
    <row r="3140" spans="1:9" x14ac:dyDescent="0.25">
      <c r="A3140" t="s">
        <v>4988</v>
      </c>
      <c r="B3140" t="s">
        <v>4989</v>
      </c>
      <c r="C3140" s="3">
        <v>45846</v>
      </c>
      <c r="D3140">
        <v>28</v>
      </c>
      <c r="E3140" s="3" t="str">
        <f t="shared" si="49"/>
        <v/>
      </c>
      <c r="F3140" s="3" t="str">
        <f>IF(TableRefills3[[#This Row],[prev_refill_days]]="","",TableRefills3[[#This Row],[prev_refill_days]]+TableRefills3[[#This Row],[quantity_days]])</f>
        <v/>
      </c>
      <c r="G3140" t="str">
        <f>IF(TableRefills3[[#This Row],[prev_refill_end]]="","",TableRefills3[[#This Row],[refill_date]]-TableRefills3[[#This Row],[prev_refill_end]])</f>
        <v/>
      </c>
      <c r="H3140" s="10">
        <f>IF(TableRefills3[[#This Row],[gap_days]]="",0,IF(TableRefills3[[#This Row],[gap_days]]&gt;2,1,0))</f>
        <v>0</v>
      </c>
      <c r="I3140">
        <f>_xlfn.MAXIFS(TableRefills3[discountinuation_flag], TableRefills3[patient_id], A3140)</f>
        <v>1</v>
      </c>
    </row>
    <row r="3141" spans="1:9" x14ac:dyDescent="0.25">
      <c r="A3141" t="s">
        <v>4988</v>
      </c>
      <c r="B3141" t="s">
        <v>4989</v>
      </c>
      <c r="C3141" s="3">
        <v>45877</v>
      </c>
      <c r="D3141">
        <v>28</v>
      </c>
      <c r="E3141" s="3">
        <f t="shared" si="49"/>
        <v>45846</v>
      </c>
      <c r="F3141" s="3">
        <f>IF(TableRefills3[[#This Row],[prev_refill_days]]="","",TableRefills3[[#This Row],[prev_refill_days]]+TableRefills3[[#This Row],[quantity_days]])</f>
        <v>45874</v>
      </c>
      <c r="G3141">
        <f>IF(TableRefills3[[#This Row],[prev_refill_end]]="","",TableRefills3[[#This Row],[refill_date]]-TableRefills3[[#This Row],[prev_refill_end]])</f>
        <v>3</v>
      </c>
      <c r="H3141" s="10">
        <f>IF(TableRefills3[[#This Row],[gap_days]]="",0,IF(TableRefills3[[#This Row],[gap_days]]&gt;2,1,0))</f>
        <v>1</v>
      </c>
      <c r="I3141">
        <f>_xlfn.MAXIFS(TableRefills3[discountinuation_flag], TableRefills3[patient_id], A3141)</f>
        <v>1</v>
      </c>
    </row>
    <row r="3142" spans="1:9" x14ac:dyDescent="0.25">
      <c r="A3142" t="s">
        <v>4988</v>
      </c>
      <c r="B3142" t="s">
        <v>4989</v>
      </c>
      <c r="C3142" s="3">
        <v>45908</v>
      </c>
      <c r="D3142">
        <v>28</v>
      </c>
      <c r="E3142" s="3">
        <f t="shared" si="49"/>
        <v>45877</v>
      </c>
      <c r="F3142" s="3">
        <f>IF(TableRefills3[[#This Row],[prev_refill_days]]="","",TableRefills3[[#This Row],[prev_refill_days]]+TableRefills3[[#This Row],[quantity_days]])</f>
        <v>45905</v>
      </c>
      <c r="G3142">
        <f>IF(TableRefills3[[#This Row],[prev_refill_end]]="","",TableRefills3[[#This Row],[refill_date]]-TableRefills3[[#This Row],[prev_refill_end]])</f>
        <v>3</v>
      </c>
      <c r="H3142" s="10">
        <f>IF(TableRefills3[[#This Row],[gap_days]]="",0,IF(TableRefills3[[#This Row],[gap_days]]&gt;2,1,0))</f>
        <v>1</v>
      </c>
      <c r="I3142">
        <f>_xlfn.MAXIFS(TableRefills3[discountinuation_flag], TableRefills3[patient_id], A3142)</f>
        <v>1</v>
      </c>
    </row>
    <row r="3143" spans="1:9" x14ac:dyDescent="0.25">
      <c r="A3143" t="s">
        <v>4988</v>
      </c>
      <c r="B3143" t="s">
        <v>4989</v>
      </c>
      <c r="C3143" s="3">
        <v>45936</v>
      </c>
      <c r="D3143">
        <v>28</v>
      </c>
      <c r="E3143" s="3">
        <f t="shared" si="49"/>
        <v>45908</v>
      </c>
      <c r="F3143" s="3">
        <f>IF(TableRefills3[[#This Row],[prev_refill_days]]="","",TableRefills3[[#This Row],[prev_refill_days]]+TableRefills3[[#This Row],[quantity_days]])</f>
        <v>45936</v>
      </c>
      <c r="G3143">
        <f>IF(TableRefills3[[#This Row],[prev_refill_end]]="","",TableRefills3[[#This Row],[refill_date]]-TableRefills3[[#This Row],[prev_refill_end]])</f>
        <v>0</v>
      </c>
      <c r="H3143" s="10">
        <f>IF(TableRefills3[[#This Row],[gap_days]]="",0,IF(TableRefills3[[#This Row],[gap_days]]&gt;2,1,0))</f>
        <v>0</v>
      </c>
      <c r="I3143">
        <f>_xlfn.MAXIFS(TableRefills3[discountinuation_flag], TableRefills3[patient_id], A3143)</f>
        <v>1</v>
      </c>
    </row>
    <row r="3144" spans="1:9" x14ac:dyDescent="0.25">
      <c r="A3144" t="s">
        <v>4994</v>
      </c>
      <c r="B3144" t="s">
        <v>4995</v>
      </c>
      <c r="C3144" s="3">
        <v>45884</v>
      </c>
      <c r="D3144">
        <v>28</v>
      </c>
      <c r="E3144" s="3" t="str">
        <f t="shared" si="49"/>
        <v/>
      </c>
      <c r="F3144" s="3" t="str">
        <f>IF(TableRefills3[[#This Row],[prev_refill_days]]="","",TableRefills3[[#This Row],[prev_refill_days]]+TableRefills3[[#This Row],[quantity_days]])</f>
        <v/>
      </c>
      <c r="G3144" t="str">
        <f>IF(TableRefills3[[#This Row],[prev_refill_end]]="","",TableRefills3[[#This Row],[refill_date]]-TableRefills3[[#This Row],[prev_refill_end]])</f>
        <v/>
      </c>
      <c r="H3144" s="10">
        <f>IF(TableRefills3[[#This Row],[gap_days]]="",0,IF(TableRefills3[[#This Row],[gap_days]]&gt;2,1,0))</f>
        <v>0</v>
      </c>
      <c r="I3144">
        <f>_xlfn.MAXIFS(TableRefills3[discountinuation_flag], TableRefills3[patient_id], A3144)</f>
        <v>0</v>
      </c>
    </row>
    <row r="3145" spans="1:9" x14ac:dyDescent="0.25">
      <c r="A3145" t="s">
        <v>4994</v>
      </c>
      <c r="B3145" t="s">
        <v>4995</v>
      </c>
      <c r="C3145" s="3">
        <v>45912</v>
      </c>
      <c r="D3145">
        <v>28</v>
      </c>
      <c r="E3145" s="3">
        <f t="shared" si="49"/>
        <v>45884</v>
      </c>
      <c r="F3145" s="3">
        <f>IF(TableRefills3[[#This Row],[prev_refill_days]]="","",TableRefills3[[#This Row],[prev_refill_days]]+TableRefills3[[#This Row],[quantity_days]])</f>
        <v>45912</v>
      </c>
      <c r="G3145">
        <f>IF(TableRefills3[[#This Row],[prev_refill_end]]="","",TableRefills3[[#This Row],[refill_date]]-TableRefills3[[#This Row],[prev_refill_end]])</f>
        <v>0</v>
      </c>
      <c r="H3145" s="10">
        <f>IF(TableRefills3[[#This Row],[gap_days]]="",0,IF(TableRefills3[[#This Row],[gap_days]]&gt;2,1,0))</f>
        <v>0</v>
      </c>
      <c r="I3145">
        <f>_xlfn.MAXIFS(TableRefills3[discountinuation_flag], TableRefills3[patient_id], A3145)</f>
        <v>0</v>
      </c>
    </row>
    <row r="3146" spans="1:9" x14ac:dyDescent="0.25">
      <c r="A3146" t="s">
        <v>4994</v>
      </c>
      <c r="B3146" t="s">
        <v>4995</v>
      </c>
      <c r="C3146" s="3">
        <v>45939</v>
      </c>
      <c r="D3146">
        <v>28</v>
      </c>
      <c r="E3146" s="3">
        <f t="shared" si="49"/>
        <v>45912</v>
      </c>
      <c r="F3146" s="3">
        <f>IF(TableRefills3[[#This Row],[prev_refill_days]]="","",TableRefills3[[#This Row],[prev_refill_days]]+TableRefills3[[#This Row],[quantity_days]])</f>
        <v>45940</v>
      </c>
      <c r="G3146">
        <f>IF(TableRefills3[[#This Row],[prev_refill_end]]="","",TableRefills3[[#This Row],[refill_date]]-TableRefills3[[#This Row],[prev_refill_end]])</f>
        <v>-1</v>
      </c>
      <c r="H3146" s="10">
        <f>IF(TableRefills3[[#This Row],[gap_days]]="",0,IF(TableRefills3[[#This Row],[gap_days]]&gt;2,1,0))</f>
        <v>0</v>
      </c>
      <c r="I3146">
        <f>_xlfn.MAXIFS(TableRefills3[discountinuation_flag], TableRefills3[patient_id], A3146)</f>
        <v>0</v>
      </c>
    </row>
    <row r="3147" spans="1:9" x14ac:dyDescent="0.25">
      <c r="A3147" t="s">
        <v>4999</v>
      </c>
      <c r="B3147" t="s">
        <v>5000</v>
      </c>
      <c r="C3147" s="3">
        <v>45893</v>
      </c>
      <c r="D3147">
        <v>14</v>
      </c>
      <c r="E3147" s="3" t="str">
        <f t="shared" si="49"/>
        <v/>
      </c>
      <c r="F3147" s="3" t="str">
        <f>IF(TableRefills3[[#This Row],[prev_refill_days]]="","",TableRefills3[[#This Row],[prev_refill_days]]+TableRefills3[[#This Row],[quantity_days]])</f>
        <v/>
      </c>
      <c r="G3147" t="str">
        <f>IF(TableRefills3[[#This Row],[prev_refill_end]]="","",TableRefills3[[#This Row],[refill_date]]-TableRefills3[[#This Row],[prev_refill_end]])</f>
        <v/>
      </c>
      <c r="H3147" s="10">
        <f>IF(TableRefills3[[#This Row],[gap_days]]="",0,IF(TableRefills3[[#This Row],[gap_days]]&gt;2,1,0))</f>
        <v>0</v>
      </c>
      <c r="I3147">
        <f>_xlfn.MAXIFS(TableRefills3[discountinuation_flag], TableRefills3[patient_id], A3147)</f>
        <v>0</v>
      </c>
    </row>
    <row r="3148" spans="1:9" x14ac:dyDescent="0.25">
      <c r="A3148" t="s">
        <v>5002</v>
      </c>
      <c r="B3148" t="s">
        <v>5003</v>
      </c>
      <c r="C3148" s="3">
        <v>45940</v>
      </c>
      <c r="D3148">
        <v>14</v>
      </c>
      <c r="E3148" s="3" t="str">
        <f t="shared" si="49"/>
        <v/>
      </c>
      <c r="F3148" s="3" t="str">
        <f>IF(TableRefills3[[#This Row],[prev_refill_days]]="","",TableRefills3[[#This Row],[prev_refill_days]]+TableRefills3[[#This Row],[quantity_days]])</f>
        <v/>
      </c>
      <c r="G3148" t="str">
        <f>IF(TableRefills3[[#This Row],[prev_refill_end]]="","",TableRefills3[[#This Row],[refill_date]]-TableRefills3[[#This Row],[prev_refill_end]])</f>
        <v/>
      </c>
      <c r="H3148" s="10">
        <f>IF(TableRefills3[[#This Row],[gap_days]]="",0,IF(TableRefills3[[#This Row],[gap_days]]&gt;2,1,0))</f>
        <v>0</v>
      </c>
      <c r="I3148">
        <f>_xlfn.MAXIFS(TableRefills3[discountinuation_flag], TableRefills3[patient_id], A3148)</f>
        <v>0</v>
      </c>
    </row>
    <row r="3149" spans="1:9" x14ac:dyDescent="0.25">
      <c r="A3149" t="s">
        <v>5002</v>
      </c>
      <c r="B3149" t="s">
        <v>5003</v>
      </c>
      <c r="C3149" s="3">
        <v>45954</v>
      </c>
      <c r="D3149">
        <v>14</v>
      </c>
      <c r="E3149" s="3">
        <f t="shared" si="49"/>
        <v>45940</v>
      </c>
      <c r="F3149" s="3">
        <f>IF(TableRefills3[[#This Row],[prev_refill_days]]="","",TableRefills3[[#This Row],[prev_refill_days]]+TableRefills3[[#This Row],[quantity_days]])</f>
        <v>45954</v>
      </c>
      <c r="G3149">
        <f>IF(TableRefills3[[#This Row],[prev_refill_end]]="","",TableRefills3[[#This Row],[refill_date]]-TableRefills3[[#This Row],[prev_refill_end]])</f>
        <v>0</v>
      </c>
      <c r="H3149" s="10">
        <f>IF(TableRefills3[[#This Row],[gap_days]]="",0,IF(TableRefills3[[#This Row],[gap_days]]&gt;2,1,0))</f>
        <v>0</v>
      </c>
      <c r="I3149">
        <f>_xlfn.MAXIFS(TableRefills3[discountinuation_flag], TableRefills3[patient_id], A3149)</f>
        <v>0</v>
      </c>
    </row>
    <row r="3150" spans="1:9" x14ac:dyDescent="0.25">
      <c r="A3150" t="s">
        <v>5006</v>
      </c>
      <c r="B3150" t="s">
        <v>5007</v>
      </c>
      <c r="C3150" s="3">
        <v>45801</v>
      </c>
      <c r="D3150">
        <v>14</v>
      </c>
      <c r="E3150" s="3" t="str">
        <f t="shared" si="49"/>
        <v/>
      </c>
      <c r="F3150" s="3" t="str">
        <f>IF(TableRefills3[[#This Row],[prev_refill_days]]="","",TableRefills3[[#This Row],[prev_refill_days]]+TableRefills3[[#This Row],[quantity_days]])</f>
        <v/>
      </c>
      <c r="G3150" t="str">
        <f>IF(TableRefills3[[#This Row],[prev_refill_end]]="","",TableRefills3[[#This Row],[refill_date]]-TableRefills3[[#This Row],[prev_refill_end]])</f>
        <v/>
      </c>
      <c r="H3150" s="10">
        <f>IF(TableRefills3[[#This Row],[gap_days]]="",0,IF(TableRefills3[[#This Row],[gap_days]]&gt;2,1,0))</f>
        <v>0</v>
      </c>
      <c r="I3150">
        <f>_xlfn.MAXIFS(TableRefills3[discountinuation_flag], TableRefills3[patient_id], A3150)</f>
        <v>1</v>
      </c>
    </row>
    <row r="3151" spans="1:9" x14ac:dyDescent="0.25">
      <c r="A3151" t="s">
        <v>5006</v>
      </c>
      <c r="B3151" t="s">
        <v>5007</v>
      </c>
      <c r="C3151" s="3">
        <v>45813</v>
      </c>
      <c r="D3151">
        <v>14</v>
      </c>
      <c r="E3151" s="3">
        <f t="shared" si="49"/>
        <v>45801</v>
      </c>
      <c r="F3151" s="3">
        <f>IF(TableRefills3[[#This Row],[prev_refill_days]]="","",TableRefills3[[#This Row],[prev_refill_days]]+TableRefills3[[#This Row],[quantity_days]])</f>
        <v>45815</v>
      </c>
      <c r="G3151">
        <f>IF(TableRefills3[[#This Row],[prev_refill_end]]="","",TableRefills3[[#This Row],[refill_date]]-TableRefills3[[#This Row],[prev_refill_end]])</f>
        <v>-2</v>
      </c>
      <c r="H3151" s="10">
        <f>IF(TableRefills3[[#This Row],[gap_days]]="",0,IF(TableRefills3[[#This Row],[gap_days]]&gt;2,1,0))</f>
        <v>0</v>
      </c>
      <c r="I3151">
        <f>_xlfn.MAXIFS(TableRefills3[discountinuation_flag], TableRefills3[patient_id], A3151)</f>
        <v>1</v>
      </c>
    </row>
    <row r="3152" spans="1:9" x14ac:dyDescent="0.25">
      <c r="A3152" t="s">
        <v>5006</v>
      </c>
      <c r="B3152" t="s">
        <v>5007</v>
      </c>
      <c r="C3152" s="3">
        <v>45824</v>
      </c>
      <c r="D3152">
        <v>14</v>
      </c>
      <c r="E3152" s="3">
        <f t="shared" si="49"/>
        <v>45813</v>
      </c>
      <c r="F3152" s="3">
        <f>IF(TableRefills3[[#This Row],[prev_refill_days]]="","",TableRefills3[[#This Row],[prev_refill_days]]+TableRefills3[[#This Row],[quantity_days]])</f>
        <v>45827</v>
      </c>
      <c r="G3152">
        <f>IF(TableRefills3[[#This Row],[prev_refill_end]]="","",TableRefills3[[#This Row],[refill_date]]-TableRefills3[[#This Row],[prev_refill_end]])</f>
        <v>-3</v>
      </c>
      <c r="H3152" s="10">
        <f>IF(TableRefills3[[#This Row],[gap_days]]="",0,IF(TableRefills3[[#This Row],[gap_days]]&gt;2,1,0))</f>
        <v>0</v>
      </c>
      <c r="I3152">
        <f>_xlfn.MAXIFS(TableRefills3[discountinuation_flag], TableRefills3[patient_id], A3152)</f>
        <v>1</v>
      </c>
    </row>
    <row r="3153" spans="1:9" x14ac:dyDescent="0.25">
      <c r="A3153" t="s">
        <v>5006</v>
      </c>
      <c r="B3153" t="s">
        <v>5007</v>
      </c>
      <c r="C3153" s="3">
        <v>45835</v>
      </c>
      <c r="D3153">
        <v>14</v>
      </c>
      <c r="E3153" s="3">
        <f t="shared" si="49"/>
        <v>45824</v>
      </c>
      <c r="F3153" s="3">
        <f>IF(TableRefills3[[#This Row],[prev_refill_days]]="","",TableRefills3[[#This Row],[prev_refill_days]]+TableRefills3[[#This Row],[quantity_days]])</f>
        <v>45838</v>
      </c>
      <c r="G3153">
        <f>IF(TableRefills3[[#This Row],[prev_refill_end]]="","",TableRefills3[[#This Row],[refill_date]]-TableRefills3[[#This Row],[prev_refill_end]])</f>
        <v>-3</v>
      </c>
      <c r="H3153" s="10">
        <f>IF(TableRefills3[[#This Row],[gap_days]]="",0,IF(TableRefills3[[#This Row],[gap_days]]&gt;2,1,0))</f>
        <v>0</v>
      </c>
      <c r="I3153">
        <f>_xlfn.MAXIFS(TableRefills3[discountinuation_flag], TableRefills3[patient_id], A3153)</f>
        <v>1</v>
      </c>
    </row>
    <row r="3154" spans="1:9" x14ac:dyDescent="0.25">
      <c r="A3154" t="s">
        <v>5006</v>
      </c>
      <c r="B3154" t="s">
        <v>5007</v>
      </c>
      <c r="C3154" s="3">
        <v>45846</v>
      </c>
      <c r="D3154">
        <v>14</v>
      </c>
      <c r="E3154" s="3">
        <f t="shared" si="49"/>
        <v>45835</v>
      </c>
      <c r="F3154" s="3">
        <f>IF(TableRefills3[[#This Row],[prev_refill_days]]="","",TableRefills3[[#This Row],[prev_refill_days]]+TableRefills3[[#This Row],[quantity_days]])</f>
        <v>45849</v>
      </c>
      <c r="G3154">
        <f>IF(TableRefills3[[#This Row],[prev_refill_end]]="","",TableRefills3[[#This Row],[refill_date]]-TableRefills3[[#This Row],[prev_refill_end]])</f>
        <v>-3</v>
      </c>
      <c r="H3154" s="10">
        <f>IF(TableRefills3[[#This Row],[gap_days]]="",0,IF(TableRefills3[[#This Row],[gap_days]]&gt;2,1,0))</f>
        <v>0</v>
      </c>
      <c r="I3154">
        <f>_xlfn.MAXIFS(TableRefills3[discountinuation_flag], TableRefills3[patient_id], A3154)</f>
        <v>1</v>
      </c>
    </row>
    <row r="3155" spans="1:9" x14ac:dyDescent="0.25">
      <c r="A3155" t="s">
        <v>5006</v>
      </c>
      <c r="B3155" t="s">
        <v>5007</v>
      </c>
      <c r="C3155" s="3">
        <v>45862</v>
      </c>
      <c r="D3155">
        <v>14</v>
      </c>
      <c r="E3155" s="3">
        <f t="shared" si="49"/>
        <v>45846</v>
      </c>
      <c r="F3155" s="3">
        <f>IF(TableRefills3[[#This Row],[prev_refill_days]]="","",TableRefills3[[#This Row],[prev_refill_days]]+TableRefills3[[#This Row],[quantity_days]])</f>
        <v>45860</v>
      </c>
      <c r="G3155">
        <f>IF(TableRefills3[[#This Row],[prev_refill_end]]="","",TableRefills3[[#This Row],[refill_date]]-TableRefills3[[#This Row],[prev_refill_end]])</f>
        <v>2</v>
      </c>
      <c r="H3155" s="10">
        <f>IF(TableRefills3[[#This Row],[gap_days]]="",0,IF(TableRefills3[[#This Row],[gap_days]]&gt;2,1,0))</f>
        <v>0</v>
      </c>
      <c r="I3155">
        <f>_xlfn.MAXIFS(TableRefills3[discountinuation_flag], TableRefills3[patient_id], A3155)</f>
        <v>1</v>
      </c>
    </row>
    <row r="3156" spans="1:9" x14ac:dyDescent="0.25">
      <c r="A3156" t="s">
        <v>5006</v>
      </c>
      <c r="B3156" t="s">
        <v>5007</v>
      </c>
      <c r="C3156" s="3">
        <v>45874</v>
      </c>
      <c r="D3156">
        <v>14</v>
      </c>
      <c r="E3156" s="3">
        <f t="shared" si="49"/>
        <v>45862</v>
      </c>
      <c r="F3156" s="3">
        <f>IF(TableRefills3[[#This Row],[prev_refill_days]]="","",TableRefills3[[#This Row],[prev_refill_days]]+TableRefills3[[#This Row],[quantity_days]])</f>
        <v>45876</v>
      </c>
      <c r="G3156">
        <f>IF(TableRefills3[[#This Row],[prev_refill_end]]="","",TableRefills3[[#This Row],[refill_date]]-TableRefills3[[#This Row],[prev_refill_end]])</f>
        <v>-2</v>
      </c>
      <c r="H3156" s="10">
        <f>IF(TableRefills3[[#This Row],[gap_days]]="",0,IF(TableRefills3[[#This Row],[gap_days]]&gt;2,1,0))</f>
        <v>0</v>
      </c>
      <c r="I3156">
        <f>_xlfn.MAXIFS(TableRefills3[discountinuation_flag], TableRefills3[patient_id], A3156)</f>
        <v>1</v>
      </c>
    </row>
    <row r="3157" spans="1:9" x14ac:dyDescent="0.25">
      <c r="A3157" t="s">
        <v>5006</v>
      </c>
      <c r="B3157" t="s">
        <v>5007</v>
      </c>
      <c r="C3157" s="3">
        <v>45889</v>
      </c>
      <c r="D3157">
        <v>14</v>
      </c>
      <c r="E3157" s="3">
        <f t="shared" si="49"/>
        <v>45874</v>
      </c>
      <c r="F3157" s="3">
        <f>IF(TableRefills3[[#This Row],[prev_refill_days]]="","",TableRefills3[[#This Row],[prev_refill_days]]+TableRefills3[[#This Row],[quantity_days]])</f>
        <v>45888</v>
      </c>
      <c r="G3157">
        <f>IF(TableRefills3[[#This Row],[prev_refill_end]]="","",TableRefills3[[#This Row],[refill_date]]-TableRefills3[[#This Row],[prev_refill_end]])</f>
        <v>1</v>
      </c>
      <c r="H3157" s="10">
        <f>IF(TableRefills3[[#This Row],[gap_days]]="",0,IF(TableRefills3[[#This Row],[gap_days]]&gt;2,1,0))</f>
        <v>0</v>
      </c>
      <c r="I3157">
        <f>_xlfn.MAXIFS(TableRefills3[discountinuation_flag], TableRefills3[patient_id], A3157)</f>
        <v>1</v>
      </c>
    </row>
    <row r="3158" spans="1:9" x14ac:dyDescent="0.25">
      <c r="A3158" t="s">
        <v>5006</v>
      </c>
      <c r="B3158" t="s">
        <v>5007</v>
      </c>
      <c r="C3158" s="3">
        <v>45902</v>
      </c>
      <c r="D3158">
        <v>14</v>
      </c>
      <c r="E3158" s="3">
        <f t="shared" si="49"/>
        <v>45889</v>
      </c>
      <c r="F3158" s="3">
        <f>IF(TableRefills3[[#This Row],[prev_refill_days]]="","",TableRefills3[[#This Row],[prev_refill_days]]+TableRefills3[[#This Row],[quantity_days]])</f>
        <v>45903</v>
      </c>
      <c r="G3158">
        <f>IF(TableRefills3[[#This Row],[prev_refill_end]]="","",TableRefills3[[#This Row],[refill_date]]-TableRefills3[[#This Row],[prev_refill_end]])</f>
        <v>-1</v>
      </c>
      <c r="H3158" s="10">
        <f>IF(TableRefills3[[#This Row],[gap_days]]="",0,IF(TableRefills3[[#This Row],[gap_days]]&gt;2,1,0))</f>
        <v>0</v>
      </c>
      <c r="I3158">
        <f>_xlfn.MAXIFS(TableRefills3[discountinuation_flag], TableRefills3[patient_id], A3158)</f>
        <v>1</v>
      </c>
    </row>
    <row r="3159" spans="1:9" x14ac:dyDescent="0.25">
      <c r="A3159" t="s">
        <v>5006</v>
      </c>
      <c r="B3159" t="s">
        <v>5007</v>
      </c>
      <c r="C3159" s="3">
        <v>45915</v>
      </c>
      <c r="D3159">
        <v>14</v>
      </c>
      <c r="E3159" s="3">
        <f t="shared" si="49"/>
        <v>45902</v>
      </c>
      <c r="F3159" s="3">
        <f>IF(TableRefills3[[#This Row],[prev_refill_days]]="","",TableRefills3[[#This Row],[prev_refill_days]]+TableRefills3[[#This Row],[quantity_days]])</f>
        <v>45916</v>
      </c>
      <c r="G3159">
        <f>IF(TableRefills3[[#This Row],[prev_refill_end]]="","",TableRefills3[[#This Row],[refill_date]]-TableRefills3[[#This Row],[prev_refill_end]])</f>
        <v>-1</v>
      </c>
      <c r="H3159" s="10">
        <f>IF(TableRefills3[[#This Row],[gap_days]]="",0,IF(TableRefills3[[#This Row],[gap_days]]&gt;2,1,0))</f>
        <v>0</v>
      </c>
      <c r="I3159">
        <f>_xlfn.MAXIFS(TableRefills3[discountinuation_flag], TableRefills3[patient_id], A3159)</f>
        <v>1</v>
      </c>
    </row>
    <row r="3160" spans="1:9" x14ac:dyDescent="0.25">
      <c r="A3160" t="s">
        <v>5006</v>
      </c>
      <c r="B3160" t="s">
        <v>5007</v>
      </c>
      <c r="C3160" s="3">
        <v>45930</v>
      </c>
      <c r="D3160">
        <v>14</v>
      </c>
      <c r="E3160" s="3">
        <f t="shared" si="49"/>
        <v>45915</v>
      </c>
      <c r="F3160" s="3">
        <f>IF(TableRefills3[[#This Row],[prev_refill_days]]="","",TableRefills3[[#This Row],[prev_refill_days]]+TableRefills3[[#This Row],[quantity_days]])</f>
        <v>45929</v>
      </c>
      <c r="G3160">
        <f>IF(TableRefills3[[#This Row],[prev_refill_end]]="","",TableRefills3[[#This Row],[refill_date]]-TableRefills3[[#This Row],[prev_refill_end]])</f>
        <v>1</v>
      </c>
      <c r="H3160" s="10">
        <f>IF(TableRefills3[[#This Row],[gap_days]]="",0,IF(TableRefills3[[#This Row],[gap_days]]&gt;2,1,0))</f>
        <v>0</v>
      </c>
      <c r="I3160">
        <f>_xlfn.MAXIFS(TableRefills3[discountinuation_flag], TableRefills3[patient_id], A3160)</f>
        <v>1</v>
      </c>
    </row>
    <row r="3161" spans="1:9" x14ac:dyDescent="0.25">
      <c r="A3161" t="s">
        <v>5006</v>
      </c>
      <c r="B3161" t="s">
        <v>5007</v>
      </c>
      <c r="C3161" s="3">
        <v>45947</v>
      </c>
      <c r="D3161">
        <v>14</v>
      </c>
      <c r="E3161" s="3">
        <f t="shared" si="49"/>
        <v>45930</v>
      </c>
      <c r="F3161" s="3">
        <f>IF(TableRefills3[[#This Row],[prev_refill_days]]="","",TableRefills3[[#This Row],[prev_refill_days]]+TableRefills3[[#This Row],[quantity_days]])</f>
        <v>45944</v>
      </c>
      <c r="G3161">
        <f>IF(TableRefills3[[#This Row],[prev_refill_end]]="","",TableRefills3[[#This Row],[refill_date]]-TableRefills3[[#This Row],[prev_refill_end]])</f>
        <v>3</v>
      </c>
      <c r="H3161" s="10">
        <f>IF(TableRefills3[[#This Row],[gap_days]]="",0,IF(TableRefills3[[#This Row],[gap_days]]&gt;2,1,0))</f>
        <v>1</v>
      </c>
      <c r="I3161">
        <f>_xlfn.MAXIFS(TableRefills3[discountinuation_flag], TableRefills3[patient_id], A3161)</f>
        <v>1</v>
      </c>
    </row>
    <row r="3162" spans="1:9" x14ac:dyDescent="0.25">
      <c r="A3162" t="s">
        <v>5020</v>
      </c>
      <c r="B3162" t="s">
        <v>5021</v>
      </c>
      <c r="C3162" s="3">
        <v>45909</v>
      </c>
      <c r="D3162">
        <v>30</v>
      </c>
      <c r="E3162" s="3" t="str">
        <f t="shared" si="49"/>
        <v/>
      </c>
      <c r="F3162" s="3" t="str">
        <f>IF(TableRefills3[[#This Row],[prev_refill_days]]="","",TableRefills3[[#This Row],[prev_refill_days]]+TableRefills3[[#This Row],[quantity_days]])</f>
        <v/>
      </c>
      <c r="G3162" t="str">
        <f>IF(TableRefills3[[#This Row],[prev_refill_end]]="","",TableRefills3[[#This Row],[refill_date]]-TableRefills3[[#This Row],[prev_refill_end]])</f>
        <v/>
      </c>
      <c r="H3162" s="10">
        <f>IF(TableRefills3[[#This Row],[gap_days]]="",0,IF(TableRefills3[[#This Row],[gap_days]]&gt;2,1,0))</f>
        <v>0</v>
      </c>
      <c r="I3162">
        <f>_xlfn.MAXIFS(TableRefills3[discountinuation_flag], TableRefills3[patient_id], A3162)</f>
        <v>0</v>
      </c>
    </row>
    <row r="3163" spans="1:9" x14ac:dyDescent="0.25">
      <c r="A3163" t="s">
        <v>5020</v>
      </c>
      <c r="B3163" t="s">
        <v>5021</v>
      </c>
      <c r="C3163" s="3">
        <v>45940</v>
      </c>
      <c r="D3163">
        <v>30</v>
      </c>
      <c r="E3163" s="3">
        <f t="shared" si="49"/>
        <v>45909</v>
      </c>
      <c r="F3163" s="3">
        <f>IF(TableRefills3[[#This Row],[prev_refill_days]]="","",TableRefills3[[#This Row],[prev_refill_days]]+TableRefills3[[#This Row],[quantity_days]])</f>
        <v>45939</v>
      </c>
      <c r="G3163">
        <f>IF(TableRefills3[[#This Row],[prev_refill_end]]="","",TableRefills3[[#This Row],[refill_date]]-TableRefills3[[#This Row],[prev_refill_end]])</f>
        <v>1</v>
      </c>
      <c r="H3163" s="10">
        <f>IF(TableRefills3[[#This Row],[gap_days]]="",0,IF(TableRefills3[[#This Row],[gap_days]]&gt;2,1,0))</f>
        <v>0</v>
      </c>
      <c r="I3163">
        <f>_xlfn.MAXIFS(TableRefills3[discountinuation_flag], TableRefills3[patient_id], A3163)</f>
        <v>0</v>
      </c>
    </row>
    <row r="3164" spans="1:9" x14ac:dyDescent="0.25">
      <c r="A3164" t="s">
        <v>5024</v>
      </c>
      <c r="B3164" t="s">
        <v>5025</v>
      </c>
      <c r="C3164" s="3">
        <v>45849</v>
      </c>
      <c r="D3164">
        <v>28</v>
      </c>
      <c r="E3164" s="3" t="str">
        <f t="shared" si="49"/>
        <v/>
      </c>
      <c r="F3164" s="3" t="str">
        <f>IF(TableRefills3[[#This Row],[prev_refill_days]]="","",TableRefills3[[#This Row],[prev_refill_days]]+TableRefills3[[#This Row],[quantity_days]])</f>
        <v/>
      </c>
      <c r="G3164" t="str">
        <f>IF(TableRefills3[[#This Row],[prev_refill_end]]="","",TableRefills3[[#This Row],[refill_date]]-TableRefills3[[#This Row],[prev_refill_end]])</f>
        <v/>
      </c>
      <c r="H3164" s="10">
        <f>IF(TableRefills3[[#This Row],[gap_days]]="",0,IF(TableRefills3[[#This Row],[gap_days]]&gt;2,1,0))</f>
        <v>0</v>
      </c>
      <c r="I3164">
        <f>_xlfn.MAXIFS(TableRefills3[discountinuation_flag], TableRefills3[patient_id], A3164)</f>
        <v>0</v>
      </c>
    </row>
    <row r="3165" spans="1:9" x14ac:dyDescent="0.25">
      <c r="A3165" t="s">
        <v>5024</v>
      </c>
      <c r="B3165" t="s">
        <v>5025</v>
      </c>
      <c r="C3165" s="3">
        <v>45877</v>
      </c>
      <c r="D3165">
        <v>28</v>
      </c>
      <c r="E3165" s="3">
        <f t="shared" si="49"/>
        <v>45849</v>
      </c>
      <c r="F3165" s="3">
        <f>IF(TableRefills3[[#This Row],[prev_refill_days]]="","",TableRefills3[[#This Row],[prev_refill_days]]+TableRefills3[[#This Row],[quantity_days]])</f>
        <v>45877</v>
      </c>
      <c r="G3165">
        <f>IF(TableRefills3[[#This Row],[prev_refill_end]]="","",TableRefills3[[#This Row],[refill_date]]-TableRefills3[[#This Row],[prev_refill_end]])</f>
        <v>0</v>
      </c>
      <c r="H3165" s="10">
        <f>IF(TableRefills3[[#This Row],[gap_days]]="",0,IF(TableRefills3[[#This Row],[gap_days]]&gt;2,1,0))</f>
        <v>0</v>
      </c>
      <c r="I3165">
        <f>_xlfn.MAXIFS(TableRefills3[discountinuation_flag], TableRefills3[patient_id], A3165)</f>
        <v>0</v>
      </c>
    </row>
    <row r="3166" spans="1:9" x14ac:dyDescent="0.25">
      <c r="A3166" t="s">
        <v>5024</v>
      </c>
      <c r="B3166" t="s">
        <v>5025</v>
      </c>
      <c r="C3166" s="3">
        <v>45904</v>
      </c>
      <c r="D3166">
        <v>28</v>
      </c>
      <c r="E3166" s="3">
        <f t="shared" si="49"/>
        <v>45877</v>
      </c>
      <c r="F3166" s="3">
        <f>IF(TableRefills3[[#This Row],[prev_refill_days]]="","",TableRefills3[[#This Row],[prev_refill_days]]+TableRefills3[[#This Row],[quantity_days]])</f>
        <v>45905</v>
      </c>
      <c r="G3166">
        <f>IF(TableRefills3[[#This Row],[prev_refill_end]]="","",TableRefills3[[#This Row],[refill_date]]-TableRefills3[[#This Row],[prev_refill_end]])</f>
        <v>-1</v>
      </c>
      <c r="H3166" s="10">
        <f>IF(TableRefills3[[#This Row],[gap_days]]="",0,IF(TableRefills3[[#This Row],[gap_days]]&gt;2,1,0))</f>
        <v>0</v>
      </c>
      <c r="I3166">
        <f>_xlfn.MAXIFS(TableRefills3[discountinuation_flag], TableRefills3[patient_id], A3166)</f>
        <v>0</v>
      </c>
    </row>
    <row r="3167" spans="1:9" x14ac:dyDescent="0.25">
      <c r="A3167" t="s">
        <v>5024</v>
      </c>
      <c r="B3167" t="s">
        <v>5025</v>
      </c>
      <c r="C3167" s="3">
        <v>45932</v>
      </c>
      <c r="D3167">
        <v>28</v>
      </c>
      <c r="E3167" s="3">
        <f t="shared" si="49"/>
        <v>45904</v>
      </c>
      <c r="F3167" s="3">
        <f>IF(TableRefills3[[#This Row],[prev_refill_days]]="","",TableRefills3[[#This Row],[prev_refill_days]]+TableRefills3[[#This Row],[quantity_days]])</f>
        <v>45932</v>
      </c>
      <c r="G3167">
        <f>IF(TableRefills3[[#This Row],[prev_refill_end]]="","",TableRefills3[[#This Row],[refill_date]]-TableRefills3[[#This Row],[prev_refill_end]])</f>
        <v>0</v>
      </c>
      <c r="H3167" s="10">
        <f>IF(TableRefills3[[#This Row],[gap_days]]="",0,IF(TableRefills3[[#This Row],[gap_days]]&gt;2,1,0))</f>
        <v>0</v>
      </c>
      <c r="I3167">
        <f>_xlfn.MAXIFS(TableRefills3[discountinuation_flag], TableRefills3[patient_id], A3167)</f>
        <v>0</v>
      </c>
    </row>
    <row r="3168" spans="1:9" x14ac:dyDescent="0.25">
      <c r="A3168" t="s">
        <v>5024</v>
      </c>
      <c r="B3168" t="s">
        <v>5025</v>
      </c>
      <c r="C3168" s="3">
        <v>45961</v>
      </c>
      <c r="D3168">
        <v>28</v>
      </c>
      <c r="E3168" s="3">
        <f t="shared" si="49"/>
        <v>45932</v>
      </c>
      <c r="F3168" s="3">
        <f>IF(TableRefills3[[#This Row],[prev_refill_days]]="","",TableRefills3[[#This Row],[prev_refill_days]]+TableRefills3[[#This Row],[quantity_days]])</f>
        <v>45960</v>
      </c>
      <c r="G3168">
        <f>IF(TableRefills3[[#This Row],[prev_refill_end]]="","",TableRefills3[[#This Row],[refill_date]]-TableRefills3[[#This Row],[prev_refill_end]])</f>
        <v>1</v>
      </c>
      <c r="H3168" s="10">
        <f>IF(TableRefills3[[#This Row],[gap_days]]="",0,IF(TableRefills3[[#This Row],[gap_days]]&gt;2,1,0))</f>
        <v>0</v>
      </c>
      <c r="I3168">
        <f>_xlfn.MAXIFS(TableRefills3[discountinuation_flag], TableRefills3[patient_id], A3168)</f>
        <v>0</v>
      </c>
    </row>
    <row r="3169" spans="1:9" x14ac:dyDescent="0.25">
      <c r="A3169" t="s">
        <v>5031</v>
      </c>
      <c r="B3169" t="s">
        <v>5032</v>
      </c>
      <c r="C3169" s="3">
        <v>45872</v>
      </c>
      <c r="D3169">
        <v>28</v>
      </c>
      <c r="E3169" s="3" t="str">
        <f t="shared" si="49"/>
        <v/>
      </c>
      <c r="F3169" s="3" t="str">
        <f>IF(TableRefills3[[#This Row],[prev_refill_days]]="","",TableRefills3[[#This Row],[prev_refill_days]]+TableRefills3[[#This Row],[quantity_days]])</f>
        <v/>
      </c>
      <c r="G3169" t="str">
        <f>IF(TableRefills3[[#This Row],[prev_refill_end]]="","",TableRefills3[[#This Row],[refill_date]]-TableRefills3[[#This Row],[prev_refill_end]])</f>
        <v/>
      </c>
      <c r="H3169" s="10">
        <f>IF(TableRefills3[[#This Row],[gap_days]]="",0,IF(TableRefills3[[#This Row],[gap_days]]&gt;2,1,0))</f>
        <v>0</v>
      </c>
      <c r="I3169">
        <f>_xlfn.MAXIFS(TableRefills3[discountinuation_flag], TableRefills3[patient_id], A3169)</f>
        <v>1</v>
      </c>
    </row>
    <row r="3170" spans="1:9" x14ac:dyDescent="0.25">
      <c r="A3170" t="s">
        <v>5031</v>
      </c>
      <c r="B3170" t="s">
        <v>5032</v>
      </c>
      <c r="C3170" s="3">
        <v>45903</v>
      </c>
      <c r="D3170">
        <v>28</v>
      </c>
      <c r="E3170" s="3">
        <f t="shared" si="49"/>
        <v>45872</v>
      </c>
      <c r="F3170" s="3">
        <f>IF(TableRefills3[[#This Row],[prev_refill_days]]="","",TableRefills3[[#This Row],[prev_refill_days]]+TableRefills3[[#This Row],[quantity_days]])</f>
        <v>45900</v>
      </c>
      <c r="G3170">
        <f>IF(TableRefills3[[#This Row],[prev_refill_end]]="","",TableRefills3[[#This Row],[refill_date]]-TableRefills3[[#This Row],[prev_refill_end]])</f>
        <v>3</v>
      </c>
      <c r="H3170" s="10">
        <f>IF(TableRefills3[[#This Row],[gap_days]]="",0,IF(TableRefills3[[#This Row],[gap_days]]&gt;2,1,0))</f>
        <v>1</v>
      </c>
      <c r="I3170">
        <f>_xlfn.MAXIFS(TableRefills3[discountinuation_flag], TableRefills3[patient_id], A3170)</f>
        <v>1</v>
      </c>
    </row>
    <row r="3171" spans="1:9" x14ac:dyDescent="0.25">
      <c r="A3171" t="s">
        <v>5031</v>
      </c>
      <c r="B3171" t="s">
        <v>5032</v>
      </c>
      <c r="C3171" s="3">
        <v>45932</v>
      </c>
      <c r="D3171">
        <v>28</v>
      </c>
      <c r="E3171" s="3">
        <f t="shared" si="49"/>
        <v>45903</v>
      </c>
      <c r="F3171" s="3">
        <f>IF(TableRefills3[[#This Row],[prev_refill_days]]="","",TableRefills3[[#This Row],[prev_refill_days]]+TableRefills3[[#This Row],[quantity_days]])</f>
        <v>45931</v>
      </c>
      <c r="G3171">
        <f>IF(TableRefills3[[#This Row],[prev_refill_end]]="","",TableRefills3[[#This Row],[refill_date]]-TableRefills3[[#This Row],[prev_refill_end]])</f>
        <v>1</v>
      </c>
      <c r="H3171" s="10">
        <f>IF(TableRefills3[[#This Row],[gap_days]]="",0,IF(TableRefills3[[#This Row],[gap_days]]&gt;2,1,0))</f>
        <v>0</v>
      </c>
      <c r="I3171">
        <f>_xlfn.MAXIFS(TableRefills3[discountinuation_flag], TableRefills3[patient_id], A3171)</f>
        <v>1</v>
      </c>
    </row>
    <row r="3172" spans="1:9" x14ac:dyDescent="0.25">
      <c r="A3172" t="s">
        <v>5031</v>
      </c>
      <c r="B3172" t="s">
        <v>5032</v>
      </c>
      <c r="C3172" s="3">
        <v>45957</v>
      </c>
      <c r="D3172">
        <v>28</v>
      </c>
      <c r="E3172" s="3">
        <f t="shared" si="49"/>
        <v>45932</v>
      </c>
      <c r="F3172" s="3">
        <f>IF(TableRefills3[[#This Row],[prev_refill_days]]="","",TableRefills3[[#This Row],[prev_refill_days]]+TableRefills3[[#This Row],[quantity_days]])</f>
        <v>45960</v>
      </c>
      <c r="G3172">
        <f>IF(TableRefills3[[#This Row],[prev_refill_end]]="","",TableRefills3[[#This Row],[refill_date]]-TableRefills3[[#This Row],[prev_refill_end]])</f>
        <v>-3</v>
      </c>
      <c r="H3172" s="10">
        <f>IF(TableRefills3[[#This Row],[gap_days]]="",0,IF(TableRefills3[[#This Row],[gap_days]]&gt;2,1,0))</f>
        <v>0</v>
      </c>
      <c r="I3172">
        <f>_xlfn.MAXIFS(TableRefills3[discountinuation_flag], TableRefills3[patient_id], A3172)</f>
        <v>1</v>
      </c>
    </row>
    <row r="3173" spans="1:9" x14ac:dyDescent="0.25">
      <c r="A3173" t="s">
        <v>5037</v>
      </c>
      <c r="B3173" t="s">
        <v>5038</v>
      </c>
      <c r="C3173" s="3">
        <v>45902</v>
      </c>
      <c r="D3173">
        <v>30</v>
      </c>
      <c r="E3173" s="3" t="str">
        <f t="shared" si="49"/>
        <v/>
      </c>
      <c r="F3173" s="3" t="str">
        <f>IF(TableRefills3[[#This Row],[prev_refill_days]]="","",TableRefills3[[#This Row],[prev_refill_days]]+TableRefills3[[#This Row],[quantity_days]])</f>
        <v/>
      </c>
      <c r="G3173" t="str">
        <f>IF(TableRefills3[[#This Row],[prev_refill_end]]="","",TableRefills3[[#This Row],[refill_date]]-TableRefills3[[#This Row],[prev_refill_end]])</f>
        <v/>
      </c>
      <c r="H3173" s="10">
        <f>IF(TableRefills3[[#This Row],[gap_days]]="",0,IF(TableRefills3[[#This Row],[gap_days]]&gt;2,1,0))</f>
        <v>0</v>
      </c>
      <c r="I3173">
        <f>_xlfn.MAXIFS(TableRefills3[discountinuation_flag], TableRefills3[patient_id], A3173)</f>
        <v>0</v>
      </c>
    </row>
    <row r="3174" spans="1:9" x14ac:dyDescent="0.25">
      <c r="A3174" t="s">
        <v>5037</v>
      </c>
      <c r="B3174" t="s">
        <v>5038</v>
      </c>
      <c r="C3174" s="3">
        <v>45932</v>
      </c>
      <c r="D3174">
        <v>30</v>
      </c>
      <c r="E3174" s="3">
        <f t="shared" si="49"/>
        <v>45902</v>
      </c>
      <c r="F3174" s="3">
        <f>IF(TableRefills3[[#This Row],[prev_refill_days]]="","",TableRefills3[[#This Row],[prev_refill_days]]+TableRefills3[[#This Row],[quantity_days]])</f>
        <v>45932</v>
      </c>
      <c r="G3174">
        <f>IF(TableRefills3[[#This Row],[prev_refill_end]]="","",TableRefills3[[#This Row],[refill_date]]-TableRefills3[[#This Row],[prev_refill_end]])</f>
        <v>0</v>
      </c>
      <c r="H3174" s="10">
        <f>IF(TableRefills3[[#This Row],[gap_days]]="",0,IF(TableRefills3[[#This Row],[gap_days]]&gt;2,1,0))</f>
        <v>0</v>
      </c>
      <c r="I3174">
        <f>_xlfn.MAXIFS(TableRefills3[discountinuation_flag], TableRefills3[patient_id], A3174)</f>
        <v>0</v>
      </c>
    </row>
    <row r="3175" spans="1:9" x14ac:dyDescent="0.25">
      <c r="A3175" t="s">
        <v>5037</v>
      </c>
      <c r="B3175" t="s">
        <v>5038</v>
      </c>
      <c r="C3175" s="3">
        <v>45959</v>
      </c>
      <c r="D3175">
        <v>30</v>
      </c>
      <c r="E3175" s="3">
        <f t="shared" si="49"/>
        <v>45932</v>
      </c>
      <c r="F3175" s="3">
        <f>IF(TableRefills3[[#This Row],[prev_refill_days]]="","",TableRefills3[[#This Row],[prev_refill_days]]+TableRefills3[[#This Row],[quantity_days]])</f>
        <v>45962</v>
      </c>
      <c r="G3175">
        <f>IF(TableRefills3[[#This Row],[prev_refill_end]]="","",TableRefills3[[#This Row],[refill_date]]-TableRefills3[[#This Row],[prev_refill_end]])</f>
        <v>-3</v>
      </c>
      <c r="H3175" s="10">
        <f>IF(TableRefills3[[#This Row],[gap_days]]="",0,IF(TableRefills3[[#This Row],[gap_days]]&gt;2,1,0))</f>
        <v>0</v>
      </c>
      <c r="I3175">
        <f>_xlfn.MAXIFS(TableRefills3[discountinuation_flag], TableRefills3[patient_id], A3175)</f>
        <v>0</v>
      </c>
    </row>
    <row r="3176" spans="1:9" x14ac:dyDescent="0.25">
      <c r="A3176" t="s">
        <v>5042</v>
      </c>
      <c r="B3176" t="s">
        <v>5043</v>
      </c>
      <c r="C3176" s="3">
        <v>45926</v>
      </c>
      <c r="D3176">
        <v>28</v>
      </c>
      <c r="E3176" s="3" t="str">
        <f t="shared" si="49"/>
        <v/>
      </c>
      <c r="F3176" s="3" t="str">
        <f>IF(TableRefills3[[#This Row],[prev_refill_days]]="","",TableRefills3[[#This Row],[prev_refill_days]]+TableRefills3[[#This Row],[quantity_days]])</f>
        <v/>
      </c>
      <c r="G3176" t="str">
        <f>IF(TableRefills3[[#This Row],[prev_refill_end]]="","",TableRefills3[[#This Row],[refill_date]]-TableRefills3[[#This Row],[prev_refill_end]])</f>
        <v/>
      </c>
      <c r="H3176" s="10">
        <f>IF(TableRefills3[[#This Row],[gap_days]]="",0,IF(TableRefills3[[#This Row],[gap_days]]&gt;2,1,0))</f>
        <v>0</v>
      </c>
      <c r="I3176">
        <f>_xlfn.MAXIFS(TableRefills3[discountinuation_flag], TableRefills3[patient_id], A3176)</f>
        <v>0</v>
      </c>
    </row>
    <row r="3177" spans="1:9" x14ac:dyDescent="0.25">
      <c r="A3177" t="s">
        <v>5042</v>
      </c>
      <c r="B3177" t="s">
        <v>5043</v>
      </c>
      <c r="C3177" s="3">
        <v>45954</v>
      </c>
      <c r="D3177">
        <v>28</v>
      </c>
      <c r="E3177" s="3">
        <f t="shared" si="49"/>
        <v>45926</v>
      </c>
      <c r="F3177" s="3">
        <f>IF(TableRefills3[[#This Row],[prev_refill_days]]="","",TableRefills3[[#This Row],[prev_refill_days]]+TableRefills3[[#This Row],[quantity_days]])</f>
        <v>45954</v>
      </c>
      <c r="G3177">
        <f>IF(TableRefills3[[#This Row],[prev_refill_end]]="","",TableRefills3[[#This Row],[refill_date]]-TableRefills3[[#This Row],[prev_refill_end]])</f>
        <v>0</v>
      </c>
      <c r="H3177" s="10">
        <f>IF(TableRefills3[[#This Row],[gap_days]]="",0,IF(TableRefills3[[#This Row],[gap_days]]&gt;2,1,0))</f>
        <v>0</v>
      </c>
      <c r="I3177">
        <f>_xlfn.MAXIFS(TableRefills3[discountinuation_flag], TableRefills3[patient_id], A3177)</f>
        <v>0</v>
      </c>
    </row>
    <row r="3178" spans="1:9" x14ac:dyDescent="0.25">
      <c r="A3178" t="s">
        <v>5046</v>
      </c>
      <c r="B3178" t="s">
        <v>5047</v>
      </c>
      <c r="C3178" s="3">
        <v>45801</v>
      </c>
      <c r="D3178">
        <v>28</v>
      </c>
      <c r="E3178" s="3" t="str">
        <f t="shared" si="49"/>
        <v/>
      </c>
      <c r="F3178" s="3" t="str">
        <f>IF(TableRefills3[[#This Row],[prev_refill_days]]="","",TableRefills3[[#This Row],[prev_refill_days]]+TableRefills3[[#This Row],[quantity_days]])</f>
        <v/>
      </c>
      <c r="G3178" t="str">
        <f>IF(TableRefills3[[#This Row],[prev_refill_end]]="","",TableRefills3[[#This Row],[refill_date]]-TableRefills3[[#This Row],[prev_refill_end]])</f>
        <v/>
      </c>
      <c r="H3178" s="10">
        <f>IF(TableRefills3[[#This Row],[gap_days]]="",0,IF(TableRefills3[[#This Row],[gap_days]]&gt;2,1,0))</f>
        <v>0</v>
      </c>
      <c r="I3178">
        <f>_xlfn.MAXIFS(TableRefills3[discountinuation_flag], TableRefills3[patient_id], A3178)</f>
        <v>1</v>
      </c>
    </row>
    <row r="3179" spans="1:9" x14ac:dyDescent="0.25">
      <c r="A3179" t="s">
        <v>5046</v>
      </c>
      <c r="B3179" t="s">
        <v>5047</v>
      </c>
      <c r="C3179" s="3">
        <v>45827</v>
      </c>
      <c r="D3179">
        <v>28</v>
      </c>
      <c r="E3179" s="3">
        <f t="shared" si="49"/>
        <v>45801</v>
      </c>
      <c r="F3179" s="3">
        <f>IF(TableRefills3[[#This Row],[prev_refill_days]]="","",TableRefills3[[#This Row],[prev_refill_days]]+TableRefills3[[#This Row],[quantity_days]])</f>
        <v>45829</v>
      </c>
      <c r="G3179">
        <f>IF(TableRefills3[[#This Row],[prev_refill_end]]="","",TableRefills3[[#This Row],[refill_date]]-TableRefills3[[#This Row],[prev_refill_end]])</f>
        <v>-2</v>
      </c>
      <c r="H3179" s="10">
        <f>IF(TableRefills3[[#This Row],[gap_days]]="",0,IF(TableRefills3[[#This Row],[gap_days]]&gt;2,1,0))</f>
        <v>0</v>
      </c>
      <c r="I3179">
        <f>_xlfn.MAXIFS(TableRefills3[discountinuation_flag], TableRefills3[patient_id], A3179)</f>
        <v>1</v>
      </c>
    </row>
    <row r="3180" spans="1:9" x14ac:dyDescent="0.25">
      <c r="A3180" t="s">
        <v>5046</v>
      </c>
      <c r="B3180" t="s">
        <v>5047</v>
      </c>
      <c r="C3180" s="3">
        <v>45857</v>
      </c>
      <c r="D3180">
        <v>28</v>
      </c>
      <c r="E3180" s="3">
        <f t="shared" si="49"/>
        <v>45827</v>
      </c>
      <c r="F3180" s="3">
        <f>IF(TableRefills3[[#This Row],[prev_refill_days]]="","",TableRefills3[[#This Row],[prev_refill_days]]+TableRefills3[[#This Row],[quantity_days]])</f>
        <v>45855</v>
      </c>
      <c r="G3180">
        <f>IF(TableRefills3[[#This Row],[prev_refill_end]]="","",TableRefills3[[#This Row],[refill_date]]-TableRefills3[[#This Row],[prev_refill_end]])</f>
        <v>2</v>
      </c>
      <c r="H3180" s="10">
        <f>IF(TableRefills3[[#This Row],[gap_days]]="",0,IF(TableRefills3[[#This Row],[gap_days]]&gt;2,1,0))</f>
        <v>0</v>
      </c>
      <c r="I3180">
        <f>_xlfn.MAXIFS(TableRefills3[discountinuation_flag], TableRefills3[patient_id], A3180)</f>
        <v>1</v>
      </c>
    </row>
    <row r="3181" spans="1:9" x14ac:dyDescent="0.25">
      <c r="A3181" t="s">
        <v>5046</v>
      </c>
      <c r="B3181" t="s">
        <v>5047</v>
      </c>
      <c r="C3181" s="3">
        <v>45888</v>
      </c>
      <c r="D3181">
        <v>28</v>
      </c>
      <c r="E3181" s="3">
        <f t="shared" si="49"/>
        <v>45857</v>
      </c>
      <c r="F3181" s="3">
        <f>IF(TableRefills3[[#This Row],[prev_refill_days]]="","",TableRefills3[[#This Row],[prev_refill_days]]+TableRefills3[[#This Row],[quantity_days]])</f>
        <v>45885</v>
      </c>
      <c r="G3181">
        <f>IF(TableRefills3[[#This Row],[prev_refill_end]]="","",TableRefills3[[#This Row],[refill_date]]-TableRefills3[[#This Row],[prev_refill_end]])</f>
        <v>3</v>
      </c>
      <c r="H3181" s="10">
        <f>IF(TableRefills3[[#This Row],[gap_days]]="",0,IF(TableRefills3[[#This Row],[gap_days]]&gt;2,1,0))</f>
        <v>1</v>
      </c>
      <c r="I3181">
        <f>_xlfn.MAXIFS(TableRefills3[discountinuation_flag], TableRefills3[patient_id], A3181)</f>
        <v>1</v>
      </c>
    </row>
    <row r="3182" spans="1:9" x14ac:dyDescent="0.25">
      <c r="A3182" t="s">
        <v>5046</v>
      </c>
      <c r="B3182" t="s">
        <v>5047</v>
      </c>
      <c r="C3182" s="3">
        <v>45918</v>
      </c>
      <c r="D3182">
        <v>28</v>
      </c>
      <c r="E3182" s="3">
        <f t="shared" si="49"/>
        <v>45888</v>
      </c>
      <c r="F3182" s="3">
        <f>IF(TableRefills3[[#This Row],[prev_refill_days]]="","",TableRefills3[[#This Row],[prev_refill_days]]+TableRefills3[[#This Row],[quantity_days]])</f>
        <v>45916</v>
      </c>
      <c r="G3182">
        <f>IF(TableRefills3[[#This Row],[prev_refill_end]]="","",TableRefills3[[#This Row],[refill_date]]-TableRefills3[[#This Row],[prev_refill_end]])</f>
        <v>2</v>
      </c>
      <c r="H3182" s="10">
        <f>IF(TableRefills3[[#This Row],[gap_days]]="",0,IF(TableRefills3[[#This Row],[gap_days]]&gt;2,1,0))</f>
        <v>0</v>
      </c>
      <c r="I3182">
        <f>_xlfn.MAXIFS(TableRefills3[discountinuation_flag], TableRefills3[patient_id], A3182)</f>
        <v>1</v>
      </c>
    </row>
    <row r="3183" spans="1:9" x14ac:dyDescent="0.25">
      <c r="A3183" t="s">
        <v>5046</v>
      </c>
      <c r="B3183" t="s">
        <v>5047</v>
      </c>
      <c r="C3183" s="3">
        <v>45946</v>
      </c>
      <c r="D3183">
        <v>28</v>
      </c>
      <c r="E3183" s="3">
        <f t="shared" si="49"/>
        <v>45918</v>
      </c>
      <c r="F3183" s="3">
        <f>IF(TableRefills3[[#This Row],[prev_refill_days]]="","",TableRefills3[[#This Row],[prev_refill_days]]+TableRefills3[[#This Row],[quantity_days]])</f>
        <v>45946</v>
      </c>
      <c r="G3183">
        <f>IF(TableRefills3[[#This Row],[prev_refill_end]]="","",TableRefills3[[#This Row],[refill_date]]-TableRefills3[[#This Row],[prev_refill_end]])</f>
        <v>0</v>
      </c>
      <c r="H3183" s="10">
        <f>IF(TableRefills3[[#This Row],[gap_days]]="",0,IF(TableRefills3[[#This Row],[gap_days]]&gt;2,1,0))</f>
        <v>0</v>
      </c>
      <c r="I3183">
        <f>_xlfn.MAXIFS(TableRefills3[discountinuation_flag], TableRefills3[patient_id], A3183)</f>
        <v>1</v>
      </c>
    </row>
    <row r="3184" spans="1:9" x14ac:dyDescent="0.25">
      <c r="A3184" t="s">
        <v>5054</v>
      </c>
      <c r="B3184" t="s">
        <v>5055</v>
      </c>
      <c r="C3184" s="3">
        <v>45895</v>
      </c>
      <c r="D3184">
        <v>28</v>
      </c>
      <c r="E3184" s="3" t="str">
        <f t="shared" si="49"/>
        <v/>
      </c>
      <c r="F3184" s="3" t="str">
        <f>IF(TableRefills3[[#This Row],[prev_refill_days]]="","",TableRefills3[[#This Row],[prev_refill_days]]+TableRefills3[[#This Row],[quantity_days]])</f>
        <v/>
      </c>
      <c r="G3184" t="str">
        <f>IF(TableRefills3[[#This Row],[prev_refill_end]]="","",TableRefills3[[#This Row],[refill_date]]-TableRefills3[[#This Row],[prev_refill_end]])</f>
        <v/>
      </c>
      <c r="H3184" s="10">
        <f>IF(TableRefills3[[#This Row],[gap_days]]="",0,IF(TableRefills3[[#This Row],[gap_days]]&gt;2,1,0))</f>
        <v>0</v>
      </c>
      <c r="I3184">
        <f>_xlfn.MAXIFS(TableRefills3[discountinuation_flag], TableRefills3[patient_id], A3184)</f>
        <v>0</v>
      </c>
    </row>
    <row r="3185" spans="1:9" x14ac:dyDescent="0.25">
      <c r="A3185" t="s">
        <v>5054</v>
      </c>
      <c r="B3185" t="s">
        <v>5055</v>
      </c>
      <c r="C3185" s="3">
        <v>45925</v>
      </c>
      <c r="D3185">
        <v>28</v>
      </c>
      <c r="E3185" s="3">
        <f t="shared" si="49"/>
        <v>45895</v>
      </c>
      <c r="F3185" s="3">
        <f>IF(TableRefills3[[#This Row],[prev_refill_days]]="","",TableRefills3[[#This Row],[prev_refill_days]]+TableRefills3[[#This Row],[quantity_days]])</f>
        <v>45923</v>
      </c>
      <c r="G3185">
        <f>IF(TableRefills3[[#This Row],[prev_refill_end]]="","",TableRefills3[[#This Row],[refill_date]]-TableRefills3[[#This Row],[prev_refill_end]])</f>
        <v>2</v>
      </c>
      <c r="H3185" s="10">
        <f>IF(TableRefills3[[#This Row],[gap_days]]="",0,IF(TableRefills3[[#This Row],[gap_days]]&gt;2,1,0))</f>
        <v>0</v>
      </c>
      <c r="I3185">
        <f>_xlfn.MAXIFS(TableRefills3[discountinuation_flag], TableRefills3[patient_id], A3185)</f>
        <v>0</v>
      </c>
    </row>
    <row r="3186" spans="1:9" x14ac:dyDescent="0.25">
      <c r="A3186" t="s">
        <v>5054</v>
      </c>
      <c r="B3186" t="s">
        <v>5055</v>
      </c>
      <c r="C3186" s="3">
        <v>45953</v>
      </c>
      <c r="D3186">
        <v>28</v>
      </c>
      <c r="E3186" s="3">
        <f t="shared" si="49"/>
        <v>45925</v>
      </c>
      <c r="F3186" s="3">
        <f>IF(TableRefills3[[#This Row],[prev_refill_days]]="","",TableRefills3[[#This Row],[prev_refill_days]]+TableRefills3[[#This Row],[quantity_days]])</f>
        <v>45953</v>
      </c>
      <c r="G3186">
        <f>IF(TableRefills3[[#This Row],[prev_refill_end]]="","",TableRefills3[[#This Row],[refill_date]]-TableRefills3[[#This Row],[prev_refill_end]])</f>
        <v>0</v>
      </c>
      <c r="H3186" s="10">
        <f>IF(TableRefills3[[#This Row],[gap_days]]="",0,IF(TableRefills3[[#This Row],[gap_days]]&gt;2,1,0))</f>
        <v>0</v>
      </c>
      <c r="I3186">
        <f>_xlfn.MAXIFS(TableRefills3[discountinuation_flag], TableRefills3[patient_id], A3186)</f>
        <v>0</v>
      </c>
    </row>
    <row r="3187" spans="1:9" x14ac:dyDescent="0.25">
      <c r="A3187" t="s">
        <v>5059</v>
      </c>
      <c r="B3187" t="s">
        <v>5060</v>
      </c>
      <c r="C3187" s="3">
        <v>45948</v>
      </c>
      <c r="D3187">
        <v>30</v>
      </c>
      <c r="E3187" s="3" t="str">
        <f t="shared" si="49"/>
        <v/>
      </c>
      <c r="F3187" s="3" t="str">
        <f>IF(TableRefills3[[#This Row],[prev_refill_days]]="","",TableRefills3[[#This Row],[prev_refill_days]]+TableRefills3[[#This Row],[quantity_days]])</f>
        <v/>
      </c>
      <c r="G3187" t="str">
        <f>IF(TableRefills3[[#This Row],[prev_refill_end]]="","",TableRefills3[[#This Row],[refill_date]]-TableRefills3[[#This Row],[prev_refill_end]])</f>
        <v/>
      </c>
      <c r="H3187" s="10">
        <f>IF(TableRefills3[[#This Row],[gap_days]]="",0,IF(TableRefills3[[#This Row],[gap_days]]&gt;2,1,0))</f>
        <v>0</v>
      </c>
      <c r="I3187">
        <f>_xlfn.MAXIFS(TableRefills3[discountinuation_flag], TableRefills3[patient_id], A3187)</f>
        <v>0</v>
      </c>
    </row>
    <row r="3188" spans="1:9" x14ac:dyDescent="0.25">
      <c r="A3188" t="s">
        <v>5062</v>
      </c>
      <c r="B3188" t="s">
        <v>5063</v>
      </c>
      <c r="C3188" s="3">
        <v>45869</v>
      </c>
      <c r="D3188">
        <v>28</v>
      </c>
      <c r="E3188" s="3" t="str">
        <f t="shared" si="49"/>
        <v/>
      </c>
      <c r="F3188" s="3" t="str">
        <f>IF(TableRefills3[[#This Row],[prev_refill_days]]="","",TableRefills3[[#This Row],[prev_refill_days]]+TableRefills3[[#This Row],[quantity_days]])</f>
        <v/>
      </c>
      <c r="G3188" t="str">
        <f>IF(TableRefills3[[#This Row],[prev_refill_end]]="","",TableRefills3[[#This Row],[refill_date]]-TableRefills3[[#This Row],[prev_refill_end]])</f>
        <v/>
      </c>
      <c r="H3188" s="10">
        <f>IF(TableRefills3[[#This Row],[gap_days]]="",0,IF(TableRefills3[[#This Row],[gap_days]]&gt;2,1,0))</f>
        <v>0</v>
      </c>
      <c r="I3188">
        <f>_xlfn.MAXIFS(TableRefills3[discountinuation_flag], TableRefills3[patient_id], A3188)</f>
        <v>0</v>
      </c>
    </row>
    <row r="3189" spans="1:9" x14ac:dyDescent="0.25">
      <c r="A3189" t="s">
        <v>5062</v>
      </c>
      <c r="B3189" t="s">
        <v>5063</v>
      </c>
      <c r="C3189" s="3">
        <v>45898</v>
      </c>
      <c r="D3189">
        <v>28</v>
      </c>
      <c r="E3189" s="3">
        <f t="shared" si="49"/>
        <v>45869</v>
      </c>
      <c r="F3189" s="3">
        <f>IF(TableRefills3[[#This Row],[prev_refill_days]]="","",TableRefills3[[#This Row],[prev_refill_days]]+TableRefills3[[#This Row],[quantity_days]])</f>
        <v>45897</v>
      </c>
      <c r="G3189">
        <f>IF(TableRefills3[[#This Row],[prev_refill_end]]="","",TableRefills3[[#This Row],[refill_date]]-TableRefills3[[#This Row],[prev_refill_end]])</f>
        <v>1</v>
      </c>
      <c r="H3189" s="10">
        <f>IF(TableRefills3[[#This Row],[gap_days]]="",0,IF(TableRefills3[[#This Row],[gap_days]]&gt;2,1,0))</f>
        <v>0</v>
      </c>
      <c r="I3189">
        <f>_xlfn.MAXIFS(TableRefills3[discountinuation_flag], TableRefills3[patient_id], A3189)</f>
        <v>0</v>
      </c>
    </row>
    <row r="3190" spans="1:9" x14ac:dyDescent="0.25">
      <c r="A3190" t="s">
        <v>5062</v>
      </c>
      <c r="B3190" t="s">
        <v>5063</v>
      </c>
      <c r="C3190" s="3">
        <v>45927</v>
      </c>
      <c r="D3190">
        <v>28</v>
      </c>
      <c r="E3190" s="3">
        <f t="shared" si="49"/>
        <v>45898</v>
      </c>
      <c r="F3190" s="3">
        <f>IF(TableRefills3[[#This Row],[prev_refill_days]]="","",TableRefills3[[#This Row],[prev_refill_days]]+TableRefills3[[#This Row],[quantity_days]])</f>
        <v>45926</v>
      </c>
      <c r="G3190">
        <f>IF(TableRefills3[[#This Row],[prev_refill_end]]="","",TableRefills3[[#This Row],[refill_date]]-TableRefills3[[#This Row],[prev_refill_end]])</f>
        <v>1</v>
      </c>
      <c r="H3190" s="10">
        <f>IF(TableRefills3[[#This Row],[gap_days]]="",0,IF(TableRefills3[[#This Row],[gap_days]]&gt;2,1,0))</f>
        <v>0</v>
      </c>
      <c r="I3190">
        <f>_xlfn.MAXIFS(TableRefills3[discountinuation_flag], TableRefills3[patient_id], A3190)</f>
        <v>0</v>
      </c>
    </row>
    <row r="3191" spans="1:9" x14ac:dyDescent="0.25">
      <c r="A3191" t="s">
        <v>5067</v>
      </c>
      <c r="B3191" t="s">
        <v>5068</v>
      </c>
      <c r="C3191" s="3">
        <v>45794</v>
      </c>
      <c r="D3191">
        <v>30</v>
      </c>
      <c r="E3191" s="3" t="str">
        <f t="shared" si="49"/>
        <v/>
      </c>
      <c r="F3191" s="3" t="str">
        <f>IF(TableRefills3[[#This Row],[prev_refill_days]]="","",TableRefills3[[#This Row],[prev_refill_days]]+TableRefills3[[#This Row],[quantity_days]])</f>
        <v/>
      </c>
      <c r="G3191" t="str">
        <f>IF(TableRefills3[[#This Row],[prev_refill_end]]="","",TableRefills3[[#This Row],[refill_date]]-TableRefills3[[#This Row],[prev_refill_end]])</f>
        <v/>
      </c>
      <c r="H3191" s="10">
        <f>IF(TableRefills3[[#This Row],[gap_days]]="",0,IF(TableRefills3[[#This Row],[gap_days]]&gt;2,1,0))</f>
        <v>0</v>
      </c>
      <c r="I3191">
        <f>_xlfn.MAXIFS(TableRefills3[discountinuation_flag], TableRefills3[patient_id], A3191)</f>
        <v>1</v>
      </c>
    </row>
    <row r="3192" spans="1:9" x14ac:dyDescent="0.25">
      <c r="A3192" t="s">
        <v>5067</v>
      </c>
      <c r="B3192" t="s">
        <v>5068</v>
      </c>
      <c r="C3192" s="3">
        <v>45827</v>
      </c>
      <c r="D3192">
        <v>30</v>
      </c>
      <c r="E3192" s="3">
        <f t="shared" si="49"/>
        <v>45794</v>
      </c>
      <c r="F3192" s="3">
        <f>IF(TableRefills3[[#This Row],[prev_refill_days]]="","",TableRefills3[[#This Row],[prev_refill_days]]+TableRefills3[[#This Row],[quantity_days]])</f>
        <v>45824</v>
      </c>
      <c r="G3192">
        <f>IF(TableRefills3[[#This Row],[prev_refill_end]]="","",TableRefills3[[#This Row],[refill_date]]-TableRefills3[[#This Row],[prev_refill_end]])</f>
        <v>3</v>
      </c>
      <c r="H3192" s="10">
        <f>IF(TableRefills3[[#This Row],[gap_days]]="",0,IF(TableRefills3[[#This Row],[gap_days]]&gt;2,1,0))</f>
        <v>1</v>
      </c>
      <c r="I3192">
        <f>_xlfn.MAXIFS(TableRefills3[discountinuation_flag], TableRefills3[patient_id], A3192)</f>
        <v>1</v>
      </c>
    </row>
    <row r="3193" spans="1:9" x14ac:dyDescent="0.25">
      <c r="A3193" t="s">
        <v>5067</v>
      </c>
      <c r="B3193" t="s">
        <v>5068</v>
      </c>
      <c r="C3193" s="3">
        <v>45858</v>
      </c>
      <c r="D3193">
        <v>30</v>
      </c>
      <c r="E3193" s="3">
        <f t="shared" si="49"/>
        <v>45827</v>
      </c>
      <c r="F3193" s="3">
        <f>IF(TableRefills3[[#This Row],[prev_refill_days]]="","",TableRefills3[[#This Row],[prev_refill_days]]+TableRefills3[[#This Row],[quantity_days]])</f>
        <v>45857</v>
      </c>
      <c r="G3193">
        <f>IF(TableRefills3[[#This Row],[prev_refill_end]]="","",TableRefills3[[#This Row],[refill_date]]-TableRefills3[[#This Row],[prev_refill_end]])</f>
        <v>1</v>
      </c>
      <c r="H3193" s="10">
        <f>IF(TableRefills3[[#This Row],[gap_days]]="",0,IF(TableRefills3[[#This Row],[gap_days]]&gt;2,1,0))</f>
        <v>0</v>
      </c>
      <c r="I3193">
        <f>_xlfn.MAXIFS(TableRefills3[discountinuation_flag], TableRefills3[patient_id], A3193)</f>
        <v>1</v>
      </c>
    </row>
    <row r="3194" spans="1:9" x14ac:dyDescent="0.25">
      <c r="A3194" t="s">
        <v>5067</v>
      </c>
      <c r="B3194" t="s">
        <v>5068</v>
      </c>
      <c r="C3194" s="3">
        <v>45888</v>
      </c>
      <c r="D3194">
        <v>30</v>
      </c>
      <c r="E3194" s="3">
        <f t="shared" si="49"/>
        <v>45858</v>
      </c>
      <c r="F3194" s="3">
        <f>IF(TableRefills3[[#This Row],[prev_refill_days]]="","",TableRefills3[[#This Row],[prev_refill_days]]+TableRefills3[[#This Row],[quantity_days]])</f>
        <v>45888</v>
      </c>
      <c r="G3194">
        <f>IF(TableRefills3[[#This Row],[prev_refill_end]]="","",TableRefills3[[#This Row],[refill_date]]-TableRefills3[[#This Row],[prev_refill_end]])</f>
        <v>0</v>
      </c>
      <c r="H3194" s="10">
        <f>IF(TableRefills3[[#This Row],[gap_days]]="",0,IF(TableRefills3[[#This Row],[gap_days]]&gt;2,1,0))</f>
        <v>0</v>
      </c>
      <c r="I3194">
        <f>_xlfn.MAXIFS(TableRefills3[discountinuation_flag], TableRefills3[patient_id], A3194)</f>
        <v>1</v>
      </c>
    </row>
    <row r="3195" spans="1:9" x14ac:dyDescent="0.25">
      <c r="A3195" t="s">
        <v>5067</v>
      </c>
      <c r="B3195" t="s">
        <v>5068</v>
      </c>
      <c r="C3195" s="3">
        <v>45918</v>
      </c>
      <c r="D3195">
        <v>30</v>
      </c>
      <c r="E3195" s="3">
        <f t="shared" si="49"/>
        <v>45888</v>
      </c>
      <c r="F3195" s="3">
        <f>IF(TableRefills3[[#This Row],[prev_refill_days]]="","",TableRefills3[[#This Row],[prev_refill_days]]+TableRefills3[[#This Row],[quantity_days]])</f>
        <v>45918</v>
      </c>
      <c r="G3195">
        <f>IF(TableRefills3[[#This Row],[prev_refill_end]]="","",TableRefills3[[#This Row],[refill_date]]-TableRefills3[[#This Row],[prev_refill_end]])</f>
        <v>0</v>
      </c>
      <c r="H3195" s="10">
        <f>IF(TableRefills3[[#This Row],[gap_days]]="",0,IF(TableRefills3[[#This Row],[gap_days]]&gt;2,1,0))</f>
        <v>0</v>
      </c>
      <c r="I3195">
        <f>_xlfn.MAXIFS(TableRefills3[discountinuation_flag], TableRefills3[patient_id], A3195)</f>
        <v>1</v>
      </c>
    </row>
    <row r="3196" spans="1:9" x14ac:dyDescent="0.25">
      <c r="A3196" t="s">
        <v>5067</v>
      </c>
      <c r="B3196" t="s">
        <v>5068</v>
      </c>
      <c r="C3196" s="3">
        <v>45948</v>
      </c>
      <c r="D3196">
        <v>30</v>
      </c>
      <c r="E3196" s="3">
        <f t="shared" si="49"/>
        <v>45918</v>
      </c>
      <c r="F3196" s="3">
        <f>IF(TableRefills3[[#This Row],[prev_refill_days]]="","",TableRefills3[[#This Row],[prev_refill_days]]+TableRefills3[[#This Row],[quantity_days]])</f>
        <v>45948</v>
      </c>
      <c r="G3196">
        <f>IF(TableRefills3[[#This Row],[prev_refill_end]]="","",TableRefills3[[#This Row],[refill_date]]-TableRefills3[[#This Row],[prev_refill_end]])</f>
        <v>0</v>
      </c>
      <c r="H3196" s="10">
        <f>IF(TableRefills3[[#This Row],[gap_days]]="",0,IF(TableRefills3[[#This Row],[gap_days]]&gt;2,1,0))</f>
        <v>0</v>
      </c>
      <c r="I3196">
        <f>_xlfn.MAXIFS(TableRefills3[discountinuation_flag], TableRefills3[patient_id], A3196)</f>
        <v>1</v>
      </c>
    </row>
    <row r="3197" spans="1:9" x14ac:dyDescent="0.25">
      <c r="A3197" t="s">
        <v>5075</v>
      </c>
      <c r="B3197" t="s">
        <v>5076</v>
      </c>
      <c r="C3197" s="3">
        <v>45914</v>
      </c>
      <c r="D3197">
        <v>28</v>
      </c>
      <c r="E3197" s="3" t="str">
        <f t="shared" si="49"/>
        <v/>
      </c>
      <c r="F3197" s="3" t="str">
        <f>IF(TableRefills3[[#This Row],[prev_refill_days]]="","",TableRefills3[[#This Row],[prev_refill_days]]+TableRefills3[[#This Row],[quantity_days]])</f>
        <v/>
      </c>
      <c r="G3197" t="str">
        <f>IF(TableRefills3[[#This Row],[prev_refill_end]]="","",TableRefills3[[#This Row],[refill_date]]-TableRefills3[[#This Row],[prev_refill_end]])</f>
        <v/>
      </c>
      <c r="H3197" s="10">
        <f>IF(TableRefills3[[#This Row],[gap_days]]="",0,IF(TableRefills3[[#This Row],[gap_days]]&gt;2,1,0))</f>
        <v>0</v>
      </c>
      <c r="I3197">
        <f>_xlfn.MAXIFS(TableRefills3[discountinuation_flag], TableRefills3[patient_id], A3197)</f>
        <v>1</v>
      </c>
    </row>
    <row r="3198" spans="1:9" x14ac:dyDescent="0.25">
      <c r="A3198" t="s">
        <v>5075</v>
      </c>
      <c r="B3198" t="s">
        <v>5076</v>
      </c>
      <c r="C3198" s="3">
        <v>45945</v>
      </c>
      <c r="D3198">
        <v>28</v>
      </c>
      <c r="E3198" s="3">
        <f t="shared" si="49"/>
        <v>45914</v>
      </c>
      <c r="F3198" s="3">
        <f>IF(TableRefills3[[#This Row],[prev_refill_days]]="","",TableRefills3[[#This Row],[prev_refill_days]]+TableRefills3[[#This Row],[quantity_days]])</f>
        <v>45942</v>
      </c>
      <c r="G3198">
        <f>IF(TableRefills3[[#This Row],[prev_refill_end]]="","",TableRefills3[[#This Row],[refill_date]]-TableRefills3[[#This Row],[prev_refill_end]])</f>
        <v>3</v>
      </c>
      <c r="H3198" s="10">
        <f>IF(TableRefills3[[#This Row],[gap_days]]="",0,IF(TableRefills3[[#This Row],[gap_days]]&gt;2,1,0))</f>
        <v>1</v>
      </c>
      <c r="I3198">
        <f>_xlfn.MAXIFS(TableRefills3[discountinuation_flag], TableRefills3[patient_id], A3198)</f>
        <v>1</v>
      </c>
    </row>
    <row r="3199" spans="1:9" x14ac:dyDescent="0.25">
      <c r="A3199" t="s">
        <v>5079</v>
      </c>
      <c r="B3199" t="s">
        <v>5080</v>
      </c>
      <c r="C3199" s="3">
        <v>45833</v>
      </c>
      <c r="D3199">
        <v>30</v>
      </c>
      <c r="E3199" s="3" t="str">
        <f t="shared" si="49"/>
        <v/>
      </c>
      <c r="F3199" s="3" t="str">
        <f>IF(TableRefills3[[#This Row],[prev_refill_days]]="","",TableRefills3[[#This Row],[prev_refill_days]]+TableRefills3[[#This Row],[quantity_days]])</f>
        <v/>
      </c>
      <c r="G3199" t="str">
        <f>IF(TableRefills3[[#This Row],[prev_refill_end]]="","",TableRefills3[[#This Row],[refill_date]]-TableRefills3[[#This Row],[prev_refill_end]])</f>
        <v/>
      </c>
      <c r="H3199" s="10">
        <f>IF(TableRefills3[[#This Row],[gap_days]]="",0,IF(TableRefills3[[#This Row],[gap_days]]&gt;2,1,0))</f>
        <v>0</v>
      </c>
      <c r="I3199">
        <f>_xlfn.MAXIFS(TableRefills3[discountinuation_flag], TableRefills3[patient_id], A3199)</f>
        <v>1</v>
      </c>
    </row>
    <row r="3200" spans="1:9" x14ac:dyDescent="0.25">
      <c r="A3200" t="s">
        <v>5079</v>
      </c>
      <c r="B3200" t="s">
        <v>5080</v>
      </c>
      <c r="C3200" s="3">
        <v>45860</v>
      </c>
      <c r="D3200">
        <v>30</v>
      </c>
      <c r="E3200" s="3">
        <f t="shared" si="49"/>
        <v>45833</v>
      </c>
      <c r="F3200" s="3">
        <f>IF(TableRefills3[[#This Row],[prev_refill_days]]="","",TableRefills3[[#This Row],[prev_refill_days]]+TableRefills3[[#This Row],[quantity_days]])</f>
        <v>45863</v>
      </c>
      <c r="G3200">
        <f>IF(TableRefills3[[#This Row],[prev_refill_end]]="","",TableRefills3[[#This Row],[refill_date]]-TableRefills3[[#This Row],[prev_refill_end]])</f>
        <v>-3</v>
      </c>
      <c r="H3200" s="10">
        <f>IF(TableRefills3[[#This Row],[gap_days]]="",0,IF(TableRefills3[[#This Row],[gap_days]]&gt;2,1,0))</f>
        <v>0</v>
      </c>
      <c r="I3200">
        <f>_xlfn.MAXIFS(TableRefills3[discountinuation_flag], TableRefills3[patient_id], A3200)</f>
        <v>1</v>
      </c>
    </row>
    <row r="3201" spans="1:9" x14ac:dyDescent="0.25">
      <c r="A3201" t="s">
        <v>5079</v>
      </c>
      <c r="B3201" t="s">
        <v>5080</v>
      </c>
      <c r="C3201" s="3">
        <v>45887</v>
      </c>
      <c r="D3201">
        <v>30</v>
      </c>
      <c r="E3201" s="3">
        <f t="shared" si="49"/>
        <v>45860</v>
      </c>
      <c r="F3201" s="3">
        <f>IF(TableRefills3[[#This Row],[prev_refill_days]]="","",TableRefills3[[#This Row],[prev_refill_days]]+TableRefills3[[#This Row],[quantity_days]])</f>
        <v>45890</v>
      </c>
      <c r="G3201">
        <f>IF(TableRefills3[[#This Row],[prev_refill_end]]="","",TableRefills3[[#This Row],[refill_date]]-TableRefills3[[#This Row],[prev_refill_end]])</f>
        <v>-3</v>
      </c>
      <c r="H3201" s="10">
        <f>IF(TableRefills3[[#This Row],[gap_days]]="",0,IF(TableRefills3[[#This Row],[gap_days]]&gt;2,1,0))</f>
        <v>0</v>
      </c>
      <c r="I3201">
        <f>_xlfn.MAXIFS(TableRefills3[discountinuation_flag], TableRefills3[patient_id], A3201)</f>
        <v>1</v>
      </c>
    </row>
    <row r="3202" spans="1:9" x14ac:dyDescent="0.25">
      <c r="A3202" t="s">
        <v>5079</v>
      </c>
      <c r="B3202" t="s">
        <v>5080</v>
      </c>
      <c r="C3202" s="3">
        <v>45920</v>
      </c>
      <c r="D3202">
        <v>30</v>
      </c>
      <c r="E3202" s="3">
        <f t="shared" ref="E3202:E3265" si="50">IF(A3201=A3202,C3201,"")</f>
        <v>45887</v>
      </c>
      <c r="F3202" s="3">
        <f>IF(TableRefills3[[#This Row],[prev_refill_days]]="","",TableRefills3[[#This Row],[prev_refill_days]]+TableRefills3[[#This Row],[quantity_days]])</f>
        <v>45917</v>
      </c>
      <c r="G3202">
        <f>IF(TableRefills3[[#This Row],[prev_refill_end]]="","",TableRefills3[[#This Row],[refill_date]]-TableRefills3[[#This Row],[prev_refill_end]])</f>
        <v>3</v>
      </c>
      <c r="H3202" s="10">
        <f>IF(TableRefills3[[#This Row],[gap_days]]="",0,IF(TableRefills3[[#This Row],[gap_days]]&gt;2,1,0))</f>
        <v>1</v>
      </c>
      <c r="I3202">
        <f>_xlfn.MAXIFS(TableRefills3[discountinuation_flag], TableRefills3[patient_id], A3202)</f>
        <v>1</v>
      </c>
    </row>
    <row r="3203" spans="1:9" x14ac:dyDescent="0.25">
      <c r="A3203" t="s">
        <v>5079</v>
      </c>
      <c r="B3203" t="s">
        <v>5080</v>
      </c>
      <c r="C3203" s="3">
        <v>45949</v>
      </c>
      <c r="D3203">
        <v>30</v>
      </c>
      <c r="E3203" s="3">
        <f t="shared" si="50"/>
        <v>45920</v>
      </c>
      <c r="F3203" s="3">
        <f>IF(TableRefills3[[#This Row],[prev_refill_days]]="","",TableRefills3[[#This Row],[prev_refill_days]]+TableRefills3[[#This Row],[quantity_days]])</f>
        <v>45950</v>
      </c>
      <c r="G3203">
        <f>IF(TableRefills3[[#This Row],[prev_refill_end]]="","",TableRefills3[[#This Row],[refill_date]]-TableRefills3[[#This Row],[prev_refill_end]])</f>
        <v>-1</v>
      </c>
      <c r="H3203" s="10">
        <f>IF(TableRefills3[[#This Row],[gap_days]]="",0,IF(TableRefills3[[#This Row],[gap_days]]&gt;2,1,0))</f>
        <v>0</v>
      </c>
      <c r="I3203">
        <f>_xlfn.MAXIFS(TableRefills3[discountinuation_flag], TableRefills3[patient_id], A3203)</f>
        <v>1</v>
      </c>
    </row>
    <row r="3204" spans="1:9" x14ac:dyDescent="0.25">
      <c r="A3204" t="s">
        <v>5086</v>
      </c>
      <c r="B3204" t="s">
        <v>5087</v>
      </c>
      <c r="C3204" s="3">
        <v>45832</v>
      </c>
      <c r="D3204">
        <v>21</v>
      </c>
      <c r="E3204" s="3" t="str">
        <f t="shared" si="50"/>
        <v/>
      </c>
      <c r="F3204" s="3" t="str">
        <f>IF(TableRefills3[[#This Row],[prev_refill_days]]="","",TableRefills3[[#This Row],[prev_refill_days]]+TableRefills3[[#This Row],[quantity_days]])</f>
        <v/>
      </c>
      <c r="G3204" t="str">
        <f>IF(TableRefills3[[#This Row],[prev_refill_end]]="","",TableRefills3[[#This Row],[refill_date]]-TableRefills3[[#This Row],[prev_refill_end]])</f>
        <v/>
      </c>
      <c r="H3204" s="10">
        <f>IF(TableRefills3[[#This Row],[gap_days]]="",0,IF(TableRefills3[[#This Row],[gap_days]]&gt;2,1,0))</f>
        <v>0</v>
      </c>
      <c r="I3204">
        <f>_xlfn.MAXIFS(TableRefills3[discountinuation_flag], TableRefills3[patient_id], A3204)</f>
        <v>0</v>
      </c>
    </row>
    <row r="3205" spans="1:9" x14ac:dyDescent="0.25">
      <c r="A3205" t="s">
        <v>5086</v>
      </c>
      <c r="B3205" t="s">
        <v>5087</v>
      </c>
      <c r="C3205" s="3">
        <v>45850</v>
      </c>
      <c r="D3205">
        <v>21</v>
      </c>
      <c r="E3205" s="3">
        <f t="shared" si="50"/>
        <v>45832</v>
      </c>
      <c r="F3205" s="3">
        <f>IF(TableRefills3[[#This Row],[prev_refill_days]]="","",TableRefills3[[#This Row],[prev_refill_days]]+TableRefills3[[#This Row],[quantity_days]])</f>
        <v>45853</v>
      </c>
      <c r="G3205">
        <f>IF(TableRefills3[[#This Row],[prev_refill_end]]="","",TableRefills3[[#This Row],[refill_date]]-TableRefills3[[#This Row],[prev_refill_end]])</f>
        <v>-3</v>
      </c>
      <c r="H3205" s="10">
        <f>IF(TableRefills3[[#This Row],[gap_days]]="",0,IF(TableRefills3[[#This Row],[gap_days]]&gt;2,1,0))</f>
        <v>0</v>
      </c>
      <c r="I3205">
        <f>_xlfn.MAXIFS(TableRefills3[discountinuation_flag], TableRefills3[patient_id], A3205)</f>
        <v>0</v>
      </c>
    </row>
    <row r="3206" spans="1:9" x14ac:dyDescent="0.25">
      <c r="A3206" t="s">
        <v>5086</v>
      </c>
      <c r="B3206" t="s">
        <v>5087</v>
      </c>
      <c r="C3206" s="3">
        <v>45873</v>
      </c>
      <c r="D3206">
        <v>21</v>
      </c>
      <c r="E3206" s="3">
        <f t="shared" si="50"/>
        <v>45850</v>
      </c>
      <c r="F3206" s="3">
        <f>IF(TableRefills3[[#This Row],[prev_refill_days]]="","",TableRefills3[[#This Row],[prev_refill_days]]+TableRefills3[[#This Row],[quantity_days]])</f>
        <v>45871</v>
      </c>
      <c r="G3206">
        <f>IF(TableRefills3[[#This Row],[prev_refill_end]]="","",TableRefills3[[#This Row],[refill_date]]-TableRefills3[[#This Row],[prev_refill_end]])</f>
        <v>2</v>
      </c>
      <c r="H3206" s="10">
        <f>IF(TableRefills3[[#This Row],[gap_days]]="",0,IF(TableRefills3[[#This Row],[gap_days]]&gt;2,1,0))</f>
        <v>0</v>
      </c>
      <c r="I3206">
        <f>_xlfn.MAXIFS(TableRefills3[discountinuation_flag], TableRefills3[patient_id], A3206)</f>
        <v>0</v>
      </c>
    </row>
    <row r="3207" spans="1:9" x14ac:dyDescent="0.25">
      <c r="A3207" t="s">
        <v>5086</v>
      </c>
      <c r="B3207" t="s">
        <v>5087</v>
      </c>
      <c r="C3207" s="3">
        <v>45894</v>
      </c>
      <c r="D3207">
        <v>21</v>
      </c>
      <c r="E3207" s="3">
        <f t="shared" si="50"/>
        <v>45873</v>
      </c>
      <c r="F3207" s="3">
        <f>IF(TableRefills3[[#This Row],[prev_refill_days]]="","",TableRefills3[[#This Row],[prev_refill_days]]+TableRefills3[[#This Row],[quantity_days]])</f>
        <v>45894</v>
      </c>
      <c r="G3207">
        <f>IF(TableRefills3[[#This Row],[prev_refill_end]]="","",TableRefills3[[#This Row],[refill_date]]-TableRefills3[[#This Row],[prev_refill_end]])</f>
        <v>0</v>
      </c>
      <c r="H3207" s="10">
        <f>IF(TableRefills3[[#This Row],[gap_days]]="",0,IF(TableRefills3[[#This Row],[gap_days]]&gt;2,1,0))</f>
        <v>0</v>
      </c>
      <c r="I3207">
        <f>_xlfn.MAXIFS(TableRefills3[discountinuation_flag], TableRefills3[patient_id], A3207)</f>
        <v>0</v>
      </c>
    </row>
    <row r="3208" spans="1:9" x14ac:dyDescent="0.25">
      <c r="A3208" t="s">
        <v>5086</v>
      </c>
      <c r="B3208" t="s">
        <v>5087</v>
      </c>
      <c r="C3208" s="3">
        <v>45915</v>
      </c>
      <c r="D3208">
        <v>21</v>
      </c>
      <c r="E3208" s="3">
        <f t="shared" si="50"/>
        <v>45894</v>
      </c>
      <c r="F3208" s="3">
        <f>IF(TableRefills3[[#This Row],[prev_refill_days]]="","",TableRefills3[[#This Row],[prev_refill_days]]+TableRefills3[[#This Row],[quantity_days]])</f>
        <v>45915</v>
      </c>
      <c r="G3208">
        <f>IF(TableRefills3[[#This Row],[prev_refill_end]]="","",TableRefills3[[#This Row],[refill_date]]-TableRefills3[[#This Row],[prev_refill_end]])</f>
        <v>0</v>
      </c>
      <c r="H3208" s="10">
        <f>IF(TableRefills3[[#This Row],[gap_days]]="",0,IF(TableRefills3[[#This Row],[gap_days]]&gt;2,1,0))</f>
        <v>0</v>
      </c>
      <c r="I3208">
        <f>_xlfn.MAXIFS(TableRefills3[discountinuation_flag], TableRefills3[patient_id], A3208)</f>
        <v>0</v>
      </c>
    </row>
    <row r="3209" spans="1:9" x14ac:dyDescent="0.25">
      <c r="A3209" t="s">
        <v>5086</v>
      </c>
      <c r="B3209" t="s">
        <v>5087</v>
      </c>
      <c r="C3209" s="3">
        <v>45935</v>
      </c>
      <c r="D3209">
        <v>21</v>
      </c>
      <c r="E3209" s="3">
        <f t="shared" si="50"/>
        <v>45915</v>
      </c>
      <c r="F3209" s="3">
        <f>IF(TableRefills3[[#This Row],[prev_refill_days]]="","",TableRefills3[[#This Row],[prev_refill_days]]+TableRefills3[[#This Row],[quantity_days]])</f>
        <v>45936</v>
      </c>
      <c r="G3209">
        <f>IF(TableRefills3[[#This Row],[prev_refill_end]]="","",TableRefills3[[#This Row],[refill_date]]-TableRefills3[[#This Row],[prev_refill_end]])</f>
        <v>-1</v>
      </c>
      <c r="H3209" s="10">
        <f>IF(TableRefills3[[#This Row],[gap_days]]="",0,IF(TableRefills3[[#This Row],[gap_days]]&gt;2,1,0))</f>
        <v>0</v>
      </c>
      <c r="I3209">
        <f>_xlfn.MAXIFS(TableRefills3[discountinuation_flag], TableRefills3[patient_id], A3209)</f>
        <v>0</v>
      </c>
    </row>
    <row r="3210" spans="1:9" x14ac:dyDescent="0.25">
      <c r="A3210" t="s">
        <v>5086</v>
      </c>
      <c r="B3210" t="s">
        <v>5087</v>
      </c>
      <c r="C3210" s="3">
        <v>45955</v>
      </c>
      <c r="D3210">
        <v>21</v>
      </c>
      <c r="E3210" s="3">
        <f t="shared" si="50"/>
        <v>45935</v>
      </c>
      <c r="F3210" s="3">
        <f>IF(TableRefills3[[#This Row],[prev_refill_days]]="","",TableRefills3[[#This Row],[prev_refill_days]]+TableRefills3[[#This Row],[quantity_days]])</f>
        <v>45956</v>
      </c>
      <c r="G3210">
        <f>IF(TableRefills3[[#This Row],[prev_refill_end]]="","",TableRefills3[[#This Row],[refill_date]]-TableRefills3[[#This Row],[prev_refill_end]])</f>
        <v>-1</v>
      </c>
      <c r="H3210" s="10">
        <f>IF(TableRefills3[[#This Row],[gap_days]]="",0,IF(TableRefills3[[#This Row],[gap_days]]&gt;2,1,0))</f>
        <v>0</v>
      </c>
      <c r="I3210">
        <f>_xlfn.MAXIFS(TableRefills3[discountinuation_flag], TableRefills3[patient_id], A3210)</f>
        <v>0</v>
      </c>
    </row>
    <row r="3211" spans="1:9" x14ac:dyDescent="0.25">
      <c r="A3211" t="s">
        <v>5095</v>
      </c>
      <c r="B3211" t="s">
        <v>5096</v>
      </c>
      <c r="C3211" s="3">
        <v>45846</v>
      </c>
      <c r="D3211">
        <v>28</v>
      </c>
      <c r="E3211" s="3" t="str">
        <f t="shared" si="50"/>
        <v/>
      </c>
      <c r="F3211" s="3" t="str">
        <f>IF(TableRefills3[[#This Row],[prev_refill_days]]="","",TableRefills3[[#This Row],[prev_refill_days]]+TableRefills3[[#This Row],[quantity_days]])</f>
        <v/>
      </c>
      <c r="G3211" t="str">
        <f>IF(TableRefills3[[#This Row],[prev_refill_end]]="","",TableRefills3[[#This Row],[refill_date]]-TableRefills3[[#This Row],[prev_refill_end]])</f>
        <v/>
      </c>
      <c r="H3211" s="10">
        <f>IF(TableRefills3[[#This Row],[gap_days]]="",0,IF(TableRefills3[[#This Row],[gap_days]]&gt;2,1,0))</f>
        <v>0</v>
      </c>
      <c r="I3211">
        <f>_xlfn.MAXIFS(TableRefills3[discountinuation_flag], TableRefills3[patient_id], A3211)</f>
        <v>0</v>
      </c>
    </row>
    <row r="3212" spans="1:9" x14ac:dyDescent="0.25">
      <c r="A3212" t="s">
        <v>5098</v>
      </c>
      <c r="B3212" t="s">
        <v>5099</v>
      </c>
      <c r="C3212" s="3">
        <v>45850</v>
      </c>
      <c r="D3212">
        <v>28</v>
      </c>
      <c r="E3212" s="3" t="str">
        <f t="shared" si="50"/>
        <v/>
      </c>
      <c r="F3212" s="3" t="str">
        <f>IF(TableRefills3[[#This Row],[prev_refill_days]]="","",TableRefills3[[#This Row],[prev_refill_days]]+TableRefills3[[#This Row],[quantity_days]])</f>
        <v/>
      </c>
      <c r="G3212" t="str">
        <f>IF(TableRefills3[[#This Row],[prev_refill_end]]="","",TableRefills3[[#This Row],[refill_date]]-TableRefills3[[#This Row],[prev_refill_end]])</f>
        <v/>
      </c>
      <c r="H3212" s="10">
        <f>IF(TableRefills3[[#This Row],[gap_days]]="",0,IF(TableRefills3[[#This Row],[gap_days]]&gt;2,1,0))</f>
        <v>0</v>
      </c>
      <c r="I3212">
        <f>_xlfn.MAXIFS(TableRefills3[discountinuation_flag], TableRefills3[patient_id], A3212)</f>
        <v>0</v>
      </c>
    </row>
    <row r="3213" spans="1:9" x14ac:dyDescent="0.25">
      <c r="A3213" t="s">
        <v>5098</v>
      </c>
      <c r="B3213" t="s">
        <v>5099</v>
      </c>
      <c r="C3213" s="3">
        <v>45877</v>
      </c>
      <c r="D3213">
        <v>28</v>
      </c>
      <c r="E3213" s="3">
        <f t="shared" si="50"/>
        <v>45850</v>
      </c>
      <c r="F3213" s="3">
        <f>IF(TableRefills3[[#This Row],[prev_refill_days]]="","",TableRefills3[[#This Row],[prev_refill_days]]+TableRefills3[[#This Row],[quantity_days]])</f>
        <v>45878</v>
      </c>
      <c r="G3213">
        <f>IF(TableRefills3[[#This Row],[prev_refill_end]]="","",TableRefills3[[#This Row],[refill_date]]-TableRefills3[[#This Row],[prev_refill_end]])</f>
        <v>-1</v>
      </c>
      <c r="H3213" s="10">
        <f>IF(TableRefills3[[#This Row],[gap_days]]="",0,IF(TableRefills3[[#This Row],[gap_days]]&gt;2,1,0))</f>
        <v>0</v>
      </c>
      <c r="I3213">
        <f>_xlfn.MAXIFS(TableRefills3[discountinuation_flag], TableRefills3[patient_id], A3213)</f>
        <v>0</v>
      </c>
    </row>
    <row r="3214" spans="1:9" x14ac:dyDescent="0.25">
      <c r="A3214" t="s">
        <v>5102</v>
      </c>
      <c r="B3214" t="s">
        <v>5103</v>
      </c>
      <c r="C3214" s="3">
        <v>45918</v>
      </c>
      <c r="D3214">
        <v>30</v>
      </c>
      <c r="E3214" s="3" t="str">
        <f t="shared" si="50"/>
        <v/>
      </c>
      <c r="F3214" s="3" t="str">
        <f>IF(TableRefills3[[#This Row],[prev_refill_days]]="","",TableRefills3[[#This Row],[prev_refill_days]]+TableRefills3[[#This Row],[quantity_days]])</f>
        <v/>
      </c>
      <c r="G3214" t="str">
        <f>IF(TableRefills3[[#This Row],[prev_refill_end]]="","",TableRefills3[[#This Row],[refill_date]]-TableRefills3[[#This Row],[prev_refill_end]])</f>
        <v/>
      </c>
      <c r="H3214" s="10">
        <f>IF(TableRefills3[[#This Row],[gap_days]]="",0,IF(TableRefills3[[#This Row],[gap_days]]&gt;2,1,0))</f>
        <v>0</v>
      </c>
      <c r="I3214">
        <f>_xlfn.MAXIFS(TableRefills3[discountinuation_flag], TableRefills3[patient_id], A3214)</f>
        <v>0</v>
      </c>
    </row>
    <row r="3215" spans="1:9" x14ac:dyDescent="0.25">
      <c r="A3215" t="s">
        <v>5102</v>
      </c>
      <c r="B3215" t="s">
        <v>5103</v>
      </c>
      <c r="C3215" s="3">
        <v>45945</v>
      </c>
      <c r="D3215">
        <v>30</v>
      </c>
      <c r="E3215" s="3">
        <f t="shared" si="50"/>
        <v>45918</v>
      </c>
      <c r="F3215" s="3">
        <f>IF(TableRefills3[[#This Row],[prev_refill_days]]="","",TableRefills3[[#This Row],[prev_refill_days]]+TableRefills3[[#This Row],[quantity_days]])</f>
        <v>45948</v>
      </c>
      <c r="G3215">
        <f>IF(TableRefills3[[#This Row],[prev_refill_end]]="","",TableRefills3[[#This Row],[refill_date]]-TableRefills3[[#This Row],[prev_refill_end]])</f>
        <v>-3</v>
      </c>
      <c r="H3215" s="10">
        <f>IF(TableRefills3[[#This Row],[gap_days]]="",0,IF(TableRefills3[[#This Row],[gap_days]]&gt;2,1,0))</f>
        <v>0</v>
      </c>
      <c r="I3215">
        <f>_xlfn.MAXIFS(TableRefills3[discountinuation_flag], TableRefills3[patient_id], A3215)</f>
        <v>0</v>
      </c>
    </row>
    <row r="3216" spans="1:9" x14ac:dyDescent="0.25">
      <c r="A3216" t="s">
        <v>5106</v>
      </c>
      <c r="B3216" t="s">
        <v>5107</v>
      </c>
      <c r="C3216" s="3">
        <v>45811</v>
      </c>
      <c r="D3216">
        <v>56</v>
      </c>
      <c r="E3216" s="3" t="str">
        <f t="shared" si="50"/>
        <v/>
      </c>
      <c r="F3216" s="3" t="str">
        <f>IF(TableRefills3[[#This Row],[prev_refill_days]]="","",TableRefills3[[#This Row],[prev_refill_days]]+TableRefills3[[#This Row],[quantity_days]])</f>
        <v/>
      </c>
      <c r="G3216" t="str">
        <f>IF(TableRefills3[[#This Row],[prev_refill_end]]="","",TableRefills3[[#This Row],[refill_date]]-TableRefills3[[#This Row],[prev_refill_end]])</f>
        <v/>
      </c>
      <c r="H3216" s="10">
        <f>IF(TableRefills3[[#This Row],[gap_days]]="",0,IF(TableRefills3[[#This Row],[gap_days]]&gt;2,1,0))</f>
        <v>0</v>
      </c>
      <c r="I3216">
        <f>_xlfn.MAXIFS(TableRefills3[discountinuation_flag], TableRefills3[patient_id], A3216)</f>
        <v>0</v>
      </c>
    </row>
    <row r="3217" spans="1:9" x14ac:dyDescent="0.25">
      <c r="A3217" t="s">
        <v>5106</v>
      </c>
      <c r="B3217" t="s">
        <v>5107</v>
      </c>
      <c r="C3217" s="3">
        <v>45865</v>
      </c>
      <c r="D3217">
        <v>56</v>
      </c>
      <c r="E3217" s="3">
        <f t="shared" si="50"/>
        <v>45811</v>
      </c>
      <c r="F3217" s="3">
        <f>IF(TableRefills3[[#This Row],[prev_refill_days]]="","",TableRefills3[[#This Row],[prev_refill_days]]+TableRefills3[[#This Row],[quantity_days]])</f>
        <v>45867</v>
      </c>
      <c r="G3217">
        <f>IF(TableRefills3[[#This Row],[prev_refill_end]]="","",TableRefills3[[#This Row],[refill_date]]-TableRefills3[[#This Row],[prev_refill_end]])</f>
        <v>-2</v>
      </c>
      <c r="H3217" s="10">
        <f>IF(TableRefills3[[#This Row],[gap_days]]="",0,IF(TableRefills3[[#This Row],[gap_days]]&gt;2,1,0))</f>
        <v>0</v>
      </c>
      <c r="I3217">
        <f>_xlfn.MAXIFS(TableRefills3[discountinuation_flag], TableRefills3[patient_id], A3217)</f>
        <v>0</v>
      </c>
    </row>
    <row r="3218" spans="1:9" x14ac:dyDescent="0.25">
      <c r="A3218" t="s">
        <v>5106</v>
      </c>
      <c r="B3218" t="s">
        <v>5107</v>
      </c>
      <c r="C3218" s="3">
        <v>45920</v>
      </c>
      <c r="D3218">
        <v>56</v>
      </c>
      <c r="E3218" s="3">
        <f t="shared" si="50"/>
        <v>45865</v>
      </c>
      <c r="F3218" s="3">
        <f>IF(TableRefills3[[#This Row],[prev_refill_days]]="","",TableRefills3[[#This Row],[prev_refill_days]]+TableRefills3[[#This Row],[quantity_days]])</f>
        <v>45921</v>
      </c>
      <c r="G3218">
        <f>IF(TableRefills3[[#This Row],[prev_refill_end]]="","",TableRefills3[[#This Row],[refill_date]]-TableRefills3[[#This Row],[prev_refill_end]])</f>
        <v>-1</v>
      </c>
      <c r="H3218" s="10">
        <f>IF(TableRefills3[[#This Row],[gap_days]]="",0,IF(TableRefills3[[#This Row],[gap_days]]&gt;2,1,0))</f>
        <v>0</v>
      </c>
      <c r="I3218">
        <f>_xlfn.MAXIFS(TableRefills3[discountinuation_flag], TableRefills3[patient_id], A3218)</f>
        <v>0</v>
      </c>
    </row>
    <row r="3219" spans="1:9" x14ac:dyDescent="0.25">
      <c r="A3219" t="s">
        <v>5111</v>
      </c>
      <c r="B3219" t="s">
        <v>5112</v>
      </c>
      <c r="C3219" s="3">
        <v>45902</v>
      </c>
      <c r="D3219">
        <v>14</v>
      </c>
      <c r="E3219" s="3" t="str">
        <f t="shared" si="50"/>
        <v/>
      </c>
      <c r="F3219" s="3" t="str">
        <f>IF(TableRefills3[[#This Row],[prev_refill_days]]="","",TableRefills3[[#This Row],[prev_refill_days]]+TableRefills3[[#This Row],[quantity_days]])</f>
        <v/>
      </c>
      <c r="G3219" t="str">
        <f>IF(TableRefills3[[#This Row],[prev_refill_end]]="","",TableRefills3[[#This Row],[refill_date]]-TableRefills3[[#This Row],[prev_refill_end]])</f>
        <v/>
      </c>
      <c r="H3219" s="10">
        <f>IF(TableRefills3[[#This Row],[gap_days]]="",0,IF(TableRefills3[[#This Row],[gap_days]]&gt;2,1,0))</f>
        <v>0</v>
      </c>
      <c r="I3219">
        <f>_xlfn.MAXIFS(TableRefills3[discountinuation_flag], TableRefills3[patient_id], A3219)</f>
        <v>1</v>
      </c>
    </row>
    <row r="3220" spans="1:9" x14ac:dyDescent="0.25">
      <c r="A3220" t="s">
        <v>5111</v>
      </c>
      <c r="B3220" t="s">
        <v>5112</v>
      </c>
      <c r="C3220" s="3">
        <v>45919</v>
      </c>
      <c r="D3220">
        <v>14</v>
      </c>
      <c r="E3220" s="3">
        <f t="shared" si="50"/>
        <v>45902</v>
      </c>
      <c r="F3220" s="3">
        <f>IF(TableRefills3[[#This Row],[prev_refill_days]]="","",TableRefills3[[#This Row],[prev_refill_days]]+TableRefills3[[#This Row],[quantity_days]])</f>
        <v>45916</v>
      </c>
      <c r="G3220">
        <f>IF(TableRefills3[[#This Row],[prev_refill_end]]="","",TableRefills3[[#This Row],[refill_date]]-TableRefills3[[#This Row],[prev_refill_end]])</f>
        <v>3</v>
      </c>
      <c r="H3220" s="10">
        <f>IF(TableRefills3[[#This Row],[gap_days]]="",0,IF(TableRefills3[[#This Row],[gap_days]]&gt;2,1,0))</f>
        <v>1</v>
      </c>
      <c r="I3220">
        <f>_xlfn.MAXIFS(TableRefills3[discountinuation_flag], TableRefills3[patient_id], A3220)</f>
        <v>1</v>
      </c>
    </row>
    <row r="3221" spans="1:9" x14ac:dyDescent="0.25">
      <c r="A3221" t="s">
        <v>5111</v>
      </c>
      <c r="B3221" t="s">
        <v>5112</v>
      </c>
      <c r="C3221" s="3">
        <v>45934</v>
      </c>
      <c r="D3221">
        <v>14</v>
      </c>
      <c r="E3221" s="3">
        <f t="shared" si="50"/>
        <v>45919</v>
      </c>
      <c r="F3221" s="3">
        <f>IF(TableRefills3[[#This Row],[prev_refill_days]]="","",TableRefills3[[#This Row],[prev_refill_days]]+TableRefills3[[#This Row],[quantity_days]])</f>
        <v>45933</v>
      </c>
      <c r="G3221">
        <f>IF(TableRefills3[[#This Row],[prev_refill_end]]="","",TableRefills3[[#This Row],[refill_date]]-TableRefills3[[#This Row],[prev_refill_end]])</f>
        <v>1</v>
      </c>
      <c r="H3221" s="10">
        <f>IF(TableRefills3[[#This Row],[gap_days]]="",0,IF(TableRefills3[[#This Row],[gap_days]]&gt;2,1,0))</f>
        <v>0</v>
      </c>
      <c r="I3221">
        <f>_xlfn.MAXIFS(TableRefills3[discountinuation_flag], TableRefills3[patient_id], A3221)</f>
        <v>1</v>
      </c>
    </row>
    <row r="3222" spans="1:9" x14ac:dyDescent="0.25">
      <c r="A3222" t="s">
        <v>5111</v>
      </c>
      <c r="B3222" t="s">
        <v>5112</v>
      </c>
      <c r="C3222" s="3">
        <v>45948</v>
      </c>
      <c r="D3222">
        <v>14</v>
      </c>
      <c r="E3222" s="3">
        <f t="shared" si="50"/>
        <v>45934</v>
      </c>
      <c r="F3222" s="3">
        <f>IF(TableRefills3[[#This Row],[prev_refill_days]]="","",TableRefills3[[#This Row],[prev_refill_days]]+TableRefills3[[#This Row],[quantity_days]])</f>
        <v>45948</v>
      </c>
      <c r="G3222">
        <f>IF(TableRefills3[[#This Row],[prev_refill_end]]="","",TableRefills3[[#This Row],[refill_date]]-TableRefills3[[#This Row],[prev_refill_end]])</f>
        <v>0</v>
      </c>
      <c r="H3222" s="10">
        <f>IF(TableRefills3[[#This Row],[gap_days]]="",0,IF(TableRefills3[[#This Row],[gap_days]]&gt;2,1,0))</f>
        <v>0</v>
      </c>
      <c r="I3222">
        <f>_xlfn.MAXIFS(TableRefills3[discountinuation_flag], TableRefills3[patient_id], A3222)</f>
        <v>1</v>
      </c>
    </row>
    <row r="3223" spans="1:9" x14ac:dyDescent="0.25">
      <c r="A3223" t="s">
        <v>5111</v>
      </c>
      <c r="B3223" t="s">
        <v>5112</v>
      </c>
      <c r="C3223" s="3">
        <v>45959</v>
      </c>
      <c r="D3223">
        <v>14</v>
      </c>
      <c r="E3223" s="3">
        <f t="shared" si="50"/>
        <v>45948</v>
      </c>
      <c r="F3223" s="3">
        <f>IF(TableRefills3[[#This Row],[prev_refill_days]]="","",TableRefills3[[#This Row],[prev_refill_days]]+TableRefills3[[#This Row],[quantity_days]])</f>
        <v>45962</v>
      </c>
      <c r="G3223">
        <f>IF(TableRefills3[[#This Row],[prev_refill_end]]="","",TableRefills3[[#This Row],[refill_date]]-TableRefills3[[#This Row],[prev_refill_end]])</f>
        <v>-3</v>
      </c>
      <c r="H3223" s="10">
        <f>IF(TableRefills3[[#This Row],[gap_days]]="",0,IF(TableRefills3[[#This Row],[gap_days]]&gt;2,1,0))</f>
        <v>0</v>
      </c>
      <c r="I3223">
        <f>_xlfn.MAXIFS(TableRefills3[discountinuation_flag], TableRefills3[patient_id], A3223)</f>
        <v>1</v>
      </c>
    </row>
    <row r="3224" spans="1:9" x14ac:dyDescent="0.25">
      <c r="A3224" t="s">
        <v>5118</v>
      </c>
      <c r="B3224" t="s">
        <v>5119</v>
      </c>
      <c r="C3224" s="3">
        <v>45865</v>
      </c>
      <c r="D3224">
        <v>28</v>
      </c>
      <c r="E3224" s="3" t="str">
        <f t="shared" si="50"/>
        <v/>
      </c>
      <c r="F3224" s="3" t="str">
        <f>IF(TableRefills3[[#This Row],[prev_refill_days]]="","",TableRefills3[[#This Row],[prev_refill_days]]+TableRefills3[[#This Row],[quantity_days]])</f>
        <v/>
      </c>
      <c r="G3224" t="str">
        <f>IF(TableRefills3[[#This Row],[prev_refill_end]]="","",TableRefills3[[#This Row],[refill_date]]-TableRefills3[[#This Row],[prev_refill_end]])</f>
        <v/>
      </c>
      <c r="H3224" s="10">
        <f>IF(TableRefills3[[#This Row],[gap_days]]="",0,IF(TableRefills3[[#This Row],[gap_days]]&gt;2,1,0))</f>
        <v>0</v>
      </c>
      <c r="I3224">
        <f>_xlfn.MAXIFS(TableRefills3[discountinuation_flag], TableRefills3[patient_id], A3224)</f>
        <v>0</v>
      </c>
    </row>
    <row r="3225" spans="1:9" x14ac:dyDescent="0.25">
      <c r="A3225" t="s">
        <v>5121</v>
      </c>
      <c r="B3225" t="s">
        <v>5122</v>
      </c>
      <c r="C3225" s="3">
        <v>45790</v>
      </c>
      <c r="D3225">
        <v>30</v>
      </c>
      <c r="E3225" s="3" t="str">
        <f t="shared" si="50"/>
        <v/>
      </c>
      <c r="F3225" s="3" t="str">
        <f>IF(TableRefills3[[#This Row],[prev_refill_days]]="","",TableRefills3[[#This Row],[prev_refill_days]]+TableRefills3[[#This Row],[quantity_days]])</f>
        <v/>
      </c>
      <c r="G3225" t="str">
        <f>IF(TableRefills3[[#This Row],[prev_refill_end]]="","",TableRefills3[[#This Row],[refill_date]]-TableRefills3[[#This Row],[prev_refill_end]])</f>
        <v/>
      </c>
      <c r="H3225" s="10">
        <f>IF(TableRefills3[[#This Row],[gap_days]]="",0,IF(TableRefills3[[#This Row],[gap_days]]&gt;2,1,0))</f>
        <v>0</v>
      </c>
      <c r="I3225">
        <f>_xlfn.MAXIFS(TableRefills3[discountinuation_flag], TableRefills3[patient_id], A3225)</f>
        <v>0</v>
      </c>
    </row>
    <row r="3226" spans="1:9" x14ac:dyDescent="0.25">
      <c r="A3226" t="s">
        <v>5121</v>
      </c>
      <c r="B3226" t="s">
        <v>5122</v>
      </c>
      <c r="C3226" s="3">
        <v>45821</v>
      </c>
      <c r="D3226">
        <v>30</v>
      </c>
      <c r="E3226" s="3">
        <f t="shared" si="50"/>
        <v>45790</v>
      </c>
      <c r="F3226" s="3">
        <f>IF(TableRefills3[[#This Row],[prev_refill_days]]="","",TableRefills3[[#This Row],[prev_refill_days]]+TableRefills3[[#This Row],[quantity_days]])</f>
        <v>45820</v>
      </c>
      <c r="G3226">
        <f>IF(TableRefills3[[#This Row],[prev_refill_end]]="","",TableRefills3[[#This Row],[refill_date]]-TableRefills3[[#This Row],[prev_refill_end]])</f>
        <v>1</v>
      </c>
      <c r="H3226" s="10">
        <f>IF(TableRefills3[[#This Row],[gap_days]]="",0,IF(TableRefills3[[#This Row],[gap_days]]&gt;2,1,0))</f>
        <v>0</v>
      </c>
      <c r="I3226">
        <f>_xlfn.MAXIFS(TableRefills3[discountinuation_flag], TableRefills3[patient_id], A3226)</f>
        <v>0</v>
      </c>
    </row>
    <row r="3227" spans="1:9" x14ac:dyDescent="0.25">
      <c r="A3227" t="s">
        <v>5125</v>
      </c>
      <c r="B3227" t="s">
        <v>5126</v>
      </c>
      <c r="C3227" s="3">
        <v>45803</v>
      </c>
      <c r="D3227">
        <v>21</v>
      </c>
      <c r="E3227" s="3" t="str">
        <f t="shared" si="50"/>
        <v/>
      </c>
      <c r="F3227" s="3" t="str">
        <f>IF(TableRefills3[[#This Row],[prev_refill_days]]="","",TableRefills3[[#This Row],[prev_refill_days]]+TableRefills3[[#This Row],[quantity_days]])</f>
        <v/>
      </c>
      <c r="G3227" t="str">
        <f>IF(TableRefills3[[#This Row],[prev_refill_end]]="","",TableRefills3[[#This Row],[refill_date]]-TableRefills3[[#This Row],[prev_refill_end]])</f>
        <v/>
      </c>
      <c r="H3227" s="10">
        <f>IF(TableRefills3[[#This Row],[gap_days]]="",0,IF(TableRefills3[[#This Row],[gap_days]]&gt;2,1,0))</f>
        <v>0</v>
      </c>
      <c r="I3227">
        <f>_xlfn.MAXIFS(TableRefills3[discountinuation_flag], TableRefills3[patient_id], A3227)</f>
        <v>1</v>
      </c>
    </row>
    <row r="3228" spans="1:9" x14ac:dyDescent="0.25">
      <c r="A3228" t="s">
        <v>5125</v>
      </c>
      <c r="B3228" t="s">
        <v>5126</v>
      </c>
      <c r="C3228" s="3">
        <v>45821</v>
      </c>
      <c r="D3228">
        <v>21</v>
      </c>
      <c r="E3228" s="3">
        <f t="shared" si="50"/>
        <v>45803</v>
      </c>
      <c r="F3228" s="3">
        <f>IF(TableRefills3[[#This Row],[prev_refill_days]]="","",TableRefills3[[#This Row],[prev_refill_days]]+TableRefills3[[#This Row],[quantity_days]])</f>
        <v>45824</v>
      </c>
      <c r="G3228">
        <f>IF(TableRefills3[[#This Row],[prev_refill_end]]="","",TableRefills3[[#This Row],[refill_date]]-TableRefills3[[#This Row],[prev_refill_end]])</f>
        <v>-3</v>
      </c>
      <c r="H3228" s="10">
        <f>IF(TableRefills3[[#This Row],[gap_days]]="",0,IF(TableRefills3[[#This Row],[gap_days]]&gt;2,1,0))</f>
        <v>0</v>
      </c>
      <c r="I3228">
        <f>_xlfn.MAXIFS(TableRefills3[discountinuation_flag], TableRefills3[patient_id], A3228)</f>
        <v>1</v>
      </c>
    </row>
    <row r="3229" spans="1:9" x14ac:dyDescent="0.25">
      <c r="A3229" t="s">
        <v>5125</v>
      </c>
      <c r="B3229" t="s">
        <v>5126</v>
      </c>
      <c r="C3229" s="3">
        <v>45842</v>
      </c>
      <c r="D3229">
        <v>21</v>
      </c>
      <c r="E3229" s="3">
        <f t="shared" si="50"/>
        <v>45821</v>
      </c>
      <c r="F3229" s="3">
        <f>IF(TableRefills3[[#This Row],[prev_refill_days]]="","",TableRefills3[[#This Row],[prev_refill_days]]+TableRefills3[[#This Row],[quantity_days]])</f>
        <v>45842</v>
      </c>
      <c r="G3229">
        <f>IF(TableRefills3[[#This Row],[prev_refill_end]]="","",TableRefills3[[#This Row],[refill_date]]-TableRefills3[[#This Row],[prev_refill_end]])</f>
        <v>0</v>
      </c>
      <c r="H3229" s="10">
        <f>IF(TableRefills3[[#This Row],[gap_days]]="",0,IF(TableRefills3[[#This Row],[gap_days]]&gt;2,1,0))</f>
        <v>0</v>
      </c>
      <c r="I3229">
        <f>_xlfn.MAXIFS(TableRefills3[discountinuation_flag], TableRefills3[patient_id], A3229)</f>
        <v>1</v>
      </c>
    </row>
    <row r="3230" spans="1:9" x14ac:dyDescent="0.25">
      <c r="A3230" t="s">
        <v>5125</v>
      </c>
      <c r="B3230" t="s">
        <v>5126</v>
      </c>
      <c r="C3230" s="3">
        <v>45865</v>
      </c>
      <c r="D3230">
        <v>21</v>
      </c>
      <c r="E3230" s="3">
        <f t="shared" si="50"/>
        <v>45842</v>
      </c>
      <c r="F3230" s="3">
        <f>IF(TableRefills3[[#This Row],[prev_refill_days]]="","",TableRefills3[[#This Row],[prev_refill_days]]+TableRefills3[[#This Row],[quantity_days]])</f>
        <v>45863</v>
      </c>
      <c r="G3230">
        <f>IF(TableRefills3[[#This Row],[prev_refill_end]]="","",TableRefills3[[#This Row],[refill_date]]-TableRefills3[[#This Row],[prev_refill_end]])</f>
        <v>2</v>
      </c>
      <c r="H3230" s="10">
        <f>IF(TableRefills3[[#This Row],[gap_days]]="",0,IF(TableRefills3[[#This Row],[gap_days]]&gt;2,1,0))</f>
        <v>0</v>
      </c>
      <c r="I3230">
        <f>_xlfn.MAXIFS(TableRefills3[discountinuation_flag], TableRefills3[patient_id], A3230)</f>
        <v>1</v>
      </c>
    </row>
    <row r="3231" spans="1:9" x14ac:dyDescent="0.25">
      <c r="A3231" t="s">
        <v>5125</v>
      </c>
      <c r="B3231" t="s">
        <v>5126</v>
      </c>
      <c r="C3231" s="3">
        <v>45884</v>
      </c>
      <c r="D3231">
        <v>21</v>
      </c>
      <c r="E3231" s="3">
        <f t="shared" si="50"/>
        <v>45865</v>
      </c>
      <c r="F3231" s="3">
        <f>IF(TableRefills3[[#This Row],[prev_refill_days]]="","",TableRefills3[[#This Row],[prev_refill_days]]+TableRefills3[[#This Row],[quantity_days]])</f>
        <v>45886</v>
      </c>
      <c r="G3231">
        <f>IF(TableRefills3[[#This Row],[prev_refill_end]]="","",TableRefills3[[#This Row],[refill_date]]-TableRefills3[[#This Row],[prev_refill_end]])</f>
        <v>-2</v>
      </c>
      <c r="H3231" s="10">
        <f>IF(TableRefills3[[#This Row],[gap_days]]="",0,IF(TableRefills3[[#This Row],[gap_days]]&gt;2,1,0))</f>
        <v>0</v>
      </c>
      <c r="I3231">
        <f>_xlfn.MAXIFS(TableRefills3[discountinuation_flag], TableRefills3[patient_id], A3231)</f>
        <v>1</v>
      </c>
    </row>
    <row r="3232" spans="1:9" x14ac:dyDescent="0.25">
      <c r="A3232" t="s">
        <v>5125</v>
      </c>
      <c r="B3232" t="s">
        <v>5126</v>
      </c>
      <c r="C3232" s="3">
        <v>45905</v>
      </c>
      <c r="D3232">
        <v>21</v>
      </c>
      <c r="E3232" s="3">
        <f t="shared" si="50"/>
        <v>45884</v>
      </c>
      <c r="F3232" s="3">
        <f>IF(TableRefills3[[#This Row],[prev_refill_days]]="","",TableRefills3[[#This Row],[prev_refill_days]]+TableRefills3[[#This Row],[quantity_days]])</f>
        <v>45905</v>
      </c>
      <c r="G3232">
        <f>IF(TableRefills3[[#This Row],[prev_refill_end]]="","",TableRefills3[[#This Row],[refill_date]]-TableRefills3[[#This Row],[prev_refill_end]])</f>
        <v>0</v>
      </c>
      <c r="H3232" s="10">
        <f>IF(TableRefills3[[#This Row],[gap_days]]="",0,IF(TableRefills3[[#This Row],[gap_days]]&gt;2,1,0))</f>
        <v>0</v>
      </c>
      <c r="I3232">
        <f>_xlfn.MAXIFS(TableRefills3[discountinuation_flag], TableRefills3[patient_id], A3232)</f>
        <v>1</v>
      </c>
    </row>
    <row r="3233" spans="1:9" x14ac:dyDescent="0.25">
      <c r="A3233" t="s">
        <v>5125</v>
      </c>
      <c r="B3233" t="s">
        <v>5126</v>
      </c>
      <c r="C3233" s="3">
        <v>45929</v>
      </c>
      <c r="D3233">
        <v>21</v>
      </c>
      <c r="E3233" s="3">
        <f t="shared" si="50"/>
        <v>45905</v>
      </c>
      <c r="F3233" s="3">
        <f>IF(TableRefills3[[#This Row],[prev_refill_days]]="","",TableRefills3[[#This Row],[prev_refill_days]]+TableRefills3[[#This Row],[quantity_days]])</f>
        <v>45926</v>
      </c>
      <c r="G3233">
        <f>IF(TableRefills3[[#This Row],[prev_refill_end]]="","",TableRefills3[[#This Row],[refill_date]]-TableRefills3[[#This Row],[prev_refill_end]])</f>
        <v>3</v>
      </c>
      <c r="H3233" s="10">
        <f>IF(TableRefills3[[#This Row],[gap_days]]="",0,IF(TableRefills3[[#This Row],[gap_days]]&gt;2,1,0))</f>
        <v>1</v>
      </c>
      <c r="I3233">
        <f>_xlfn.MAXIFS(TableRefills3[discountinuation_flag], TableRefills3[patient_id], A3233)</f>
        <v>1</v>
      </c>
    </row>
    <row r="3234" spans="1:9" x14ac:dyDescent="0.25">
      <c r="A3234" t="s">
        <v>5125</v>
      </c>
      <c r="B3234" t="s">
        <v>5126</v>
      </c>
      <c r="C3234" s="3">
        <v>45952</v>
      </c>
      <c r="D3234">
        <v>21</v>
      </c>
      <c r="E3234" s="3">
        <f t="shared" si="50"/>
        <v>45929</v>
      </c>
      <c r="F3234" s="3">
        <f>IF(TableRefills3[[#This Row],[prev_refill_days]]="","",TableRefills3[[#This Row],[prev_refill_days]]+TableRefills3[[#This Row],[quantity_days]])</f>
        <v>45950</v>
      </c>
      <c r="G3234">
        <f>IF(TableRefills3[[#This Row],[prev_refill_end]]="","",TableRefills3[[#This Row],[refill_date]]-TableRefills3[[#This Row],[prev_refill_end]])</f>
        <v>2</v>
      </c>
      <c r="H3234" s="10">
        <f>IF(TableRefills3[[#This Row],[gap_days]]="",0,IF(TableRefills3[[#This Row],[gap_days]]&gt;2,1,0))</f>
        <v>0</v>
      </c>
      <c r="I3234">
        <f>_xlfn.MAXIFS(TableRefills3[discountinuation_flag], TableRefills3[patient_id], A3234)</f>
        <v>1</v>
      </c>
    </row>
    <row r="3235" spans="1:9" x14ac:dyDescent="0.25">
      <c r="A3235" t="s">
        <v>5135</v>
      </c>
      <c r="B3235" t="s">
        <v>5136</v>
      </c>
      <c r="C3235" s="3">
        <v>45895</v>
      </c>
      <c r="D3235">
        <v>28</v>
      </c>
      <c r="E3235" s="3" t="str">
        <f t="shared" si="50"/>
        <v/>
      </c>
      <c r="F3235" s="3" t="str">
        <f>IF(TableRefills3[[#This Row],[prev_refill_days]]="","",TableRefills3[[#This Row],[prev_refill_days]]+TableRefills3[[#This Row],[quantity_days]])</f>
        <v/>
      </c>
      <c r="G3235" t="str">
        <f>IF(TableRefills3[[#This Row],[prev_refill_end]]="","",TableRefills3[[#This Row],[refill_date]]-TableRefills3[[#This Row],[prev_refill_end]])</f>
        <v/>
      </c>
      <c r="H3235" s="10">
        <f>IF(TableRefills3[[#This Row],[gap_days]]="",0,IF(TableRefills3[[#This Row],[gap_days]]&gt;2,1,0))</f>
        <v>0</v>
      </c>
      <c r="I3235">
        <f>_xlfn.MAXIFS(TableRefills3[discountinuation_flag], TableRefills3[patient_id], A3235)</f>
        <v>0</v>
      </c>
    </row>
    <row r="3236" spans="1:9" x14ac:dyDescent="0.25">
      <c r="A3236" t="s">
        <v>5135</v>
      </c>
      <c r="B3236" t="s">
        <v>5136</v>
      </c>
      <c r="C3236" s="3">
        <v>45922</v>
      </c>
      <c r="D3236">
        <v>28</v>
      </c>
      <c r="E3236" s="3">
        <f t="shared" si="50"/>
        <v>45895</v>
      </c>
      <c r="F3236" s="3">
        <f>IF(TableRefills3[[#This Row],[prev_refill_days]]="","",TableRefills3[[#This Row],[prev_refill_days]]+TableRefills3[[#This Row],[quantity_days]])</f>
        <v>45923</v>
      </c>
      <c r="G3236">
        <f>IF(TableRefills3[[#This Row],[prev_refill_end]]="","",TableRefills3[[#This Row],[refill_date]]-TableRefills3[[#This Row],[prev_refill_end]])</f>
        <v>-1</v>
      </c>
      <c r="H3236" s="10">
        <f>IF(TableRefills3[[#This Row],[gap_days]]="",0,IF(TableRefills3[[#This Row],[gap_days]]&gt;2,1,0))</f>
        <v>0</v>
      </c>
      <c r="I3236">
        <f>_xlfn.MAXIFS(TableRefills3[discountinuation_flag], TableRefills3[patient_id], A3236)</f>
        <v>0</v>
      </c>
    </row>
    <row r="3237" spans="1:9" x14ac:dyDescent="0.25">
      <c r="A3237" t="s">
        <v>5139</v>
      </c>
      <c r="B3237" t="s">
        <v>5140</v>
      </c>
      <c r="C3237" s="3">
        <v>45809</v>
      </c>
      <c r="D3237">
        <v>21</v>
      </c>
      <c r="E3237" s="3" t="str">
        <f t="shared" si="50"/>
        <v/>
      </c>
      <c r="F3237" s="3" t="str">
        <f>IF(TableRefills3[[#This Row],[prev_refill_days]]="","",TableRefills3[[#This Row],[prev_refill_days]]+TableRefills3[[#This Row],[quantity_days]])</f>
        <v/>
      </c>
      <c r="G3237" t="str">
        <f>IF(TableRefills3[[#This Row],[prev_refill_end]]="","",TableRefills3[[#This Row],[refill_date]]-TableRefills3[[#This Row],[prev_refill_end]])</f>
        <v/>
      </c>
      <c r="H3237" s="10">
        <f>IF(TableRefills3[[#This Row],[gap_days]]="",0,IF(TableRefills3[[#This Row],[gap_days]]&gt;2,1,0))</f>
        <v>0</v>
      </c>
      <c r="I3237">
        <f>_xlfn.MAXIFS(TableRefills3[discountinuation_flag], TableRefills3[patient_id], A3237)</f>
        <v>1</v>
      </c>
    </row>
    <row r="3238" spans="1:9" x14ac:dyDescent="0.25">
      <c r="A3238" t="s">
        <v>5139</v>
      </c>
      <c r="B3238" t="s">
        <v>5140</v>
      </c>
      <c r="C3238" s="3">
        <v>45832</v>
      </c>
      <c r="D3238">
        <v>21</v>
      </c>
      <c r="E3238" s="3">
        <f t="shared" si="50"/>
        <v>45809</v>
      </c>
      <c r="F3238" s="3">
        <f>IF(TableRefills3[[#This Row],[prev_refill_days]]="","",TableRefills3[[#This Row],[prev_refill_days]]+TableRefills3[[#This Row],[quantity_days]])</f>
        <v>45830</v>
      </c>
      <c r="G3238">
        <f>IF(TableRefills3[[#This Row],[prev_refill_end]]="","",TableRefills3[[#This Row],[refill_date]]-TableRefills3[[#This Row],[prev_refill_end]])</f>
        <v>2</v>
      </c>
      <c r="H3238" s="10">
        <f>IF(TableRefills3[[#This Row],[gap_days]]="",0,IF(TableRefills3[[#This Row],[gap_days]]&gt;2,1,0))</f>
        <v>0</v>
      </c>
      <c r="I3238">
        <f>_xlfn.MAXIFS(TableRefills3[discountinuation_flag], TableRefills3[patient_id], A3238)</f>
        <v>1</v>
      </c>
    </row>
    <row r="3239" spans="1:9" x14ac:dyDescent="0.25">
      <c r="A3239" t="s">
        <v>5139</v>
      </c>
      <c r="B3239" t="s">
        <v>5140</v>
      </c>
      <c r="C3239" s="3">
        <v>45856</v>
      </c>
      <c r="D3239">
        <v>21</v>
      </c>
      <c r="E3239" s="3">
        <f t="shared" si="50"/>
        <v>45832</v>
      </c>
      <c r="F3239" s="3">
        <f>IF(TableRefills3[[#This Row],[prev_refill_days]]="","",TableRefills3[[#This Row],[prev_refill_days]]+TableRefills3[[#This Row],[quantity_days]])</f>
        <v>45853</v>
      </c>
      <c r="G3239">
        <f>IF(TableRefills3[[#This Row],[prev_refill_end]]="","",TableRefills3[[#This Row],[refill_date]]-TableRefills3[[#This Row],[prev_refill_end]])</f>
        <v>3</v>
      </c>
      <c r="H3239" s="10">
        <f>IF(TableRefills3[[#This Row],[gap_days]]="",0,IF(TableRefills3[[#This Row],[gap_days]]&gt;2,1,0))</f>
        <v>1</v>
      </c>
      <c r="I3239">
        <f>_xlfn.MAXIFS(TableRefills3[discountinuation_flag], TableRefills3[patient_id], A3239)</f>
        <v>1</v>
      </c>
    </row>
    <row r="3240" spans="1:9" x14ac:dyDescent="0.25">
      <c r="A3240" t="s">
        <v>5139</v>
      </c>
      <c r="B3240" t="s">
        <v>5140</v>
      </c>
      <c r="C3240" s="3">
        <v>45880</v>
      </c>
      <c r="D3240">
        <v>21</v>
      </c>
      <c r="E3240" s="3">
        <f t="shared" si="50"/>
        <v>45856</v>
      </c>
      <c r="F3240" s="3">
        <f>IF(TableRefills3[[#This Row],[prev_refill_days]]="","",TableRefills3[[#This Row],[prev_refill_days]]+TableRefills3[[#This Row],[quantity_days]])</f>
        <v>45877</v>
      </c>
      <c r="G3240">
        <f>IF(TableRefills3[[#This Row],[prev_refill_end]]="","",TableRefills3[[#This Row],[refill_date]]-TableRefills3[[#This Row],[prev_refill_end]])</f>
        <v>3</v>
      </c>
      <c r="H3240" s="10">
        <f>IF(TableRefills3[[#This Row],[gap_days]]="",0,IF(TableRefills3[[#This Row],[gap_days]]&gt;2,1,0))</f>
        <v>1</v>
      </c>
      <c r="I3240">
        <f>_xlfn.MAXIFS(TableRefills3[discountinuation_flag], TableRefills3[patient_id], A3240)</f>
        <v>1</v>
      </c>
    </row>
    <row r="3241" spans="1:9" x14ac:dyDescent="0.25">
      <c r="A3241" t="s">
        <v>5139</v>
      </c>
      <c r="B3241" t="s">
        <v>5140</v>
      </c>
      <c r="C3241" s="3">
        <v>45902</v>
      </c>
      <c r="D3241">
        <v>21</v>
      </c>
      <c r="E3241" s="3">
        <f t="shared" si="50"/>
        <v>45880</v>
      </c>
      <c r="F3241" s="3">
        <f>IF(TableRefills3[[#This Row],[prev_refill_days]]="","",TableRefills3[[#This Row],[prev_refill_days]]+TableRefills3[[#This Row],[quantity_days]])</f>
        <v>45901</v>
      </c>
      <c r="G3241">
        <f>IF(TableRefills3[[#This Row],[prev_refill_end]]="","",TableRefills3[[#This Row],[refill_date]]-TableRefills3[[#This Row],[prev_refill_end]])</f>
        <v>1</v>
      </c>
      <c r="H3241" s="10">
        <f>IF(TableRefills3[[#This Row],[gap_days]]="",0,IF(TableRefills3[[#This Row],[gap_days]]&gt;2,1,0))</f>
        <v>0</v>
      </c>
      <c r="I3241">
        <f>_xlfn.MAXIFS(TableRefills3[discountinuation_flag], TableRefills3[patient_id], A3241)</f>
        <v>1</v>
      </c>
    </row>
    <row r="3242" spans="1:9" x14ac:dyDescent="0.25">
      <c r="A3242" t="s">
        <v>5139</v>
      </c>
      <c r="B3242" t="s">
        <v>5140</v>
      </c>
      <c r="C3242" s="3">
        <v>45922</v>
      </c>
      <c r="D3242">
        <v>21</v>
      </c>
      <c r="E3242" s="3">
        <f t="shared" si="50"/>
        <v>45902</v>
      </c>
      <c r="F3242" s="3">
        <f>IF(TableRefills3[[#This Row],[prev_refill_days]]="","",TableRefills3[[#This Row],[prev_refill_days]]+TableRefills3[[#This Row],[quantity_days]])</f>
        <v>45923</v>
      </c>
      <c r="G3242">
        <f>IF(TableRefills3[[#This Row],[prev_refill_end]]="","",TableRefills3[[#This Row],[refill_date]]-TableRefills3[[#This Row],[prev_refill_end]])</f>
        <v>-1</v>
      </c>
      <c r="H3242" s="10">
        <f>IF(TableRefills3[[#This Row],[gap_days]]="",0,IF(TableRefills3[[#This Row],[gap_days]]&gt;2,1,0))</f>
        <v>0</v>
      </c>
      <c r="I3242">
        <f>_xlfn.MAXIFS(TableRefills3[discountinuation_flag], TableRefills3[patient_id], A3242)</f>
        <v>1</v>
      </c>
    </row>
    <row r="3243" spans="1:9" x14ac:dyDescent="0.25">
      <c r="A3243" t="s">
        <v>5139</v>
      </c>
      <c r="B3243" t="s">
        <v>5140</v>
      </c>
      <c r="C3243" s="3">
        <v>45940</v>
      </c>
      <c r="D3243">
        <v>21</v>
      </c>
      <c r="E3243" s="3">
        <f t="shared" si="50"/>
        <v>45922</v>
      </c>
      <c r="F3243" s="3">
        <f>IF(TableRefills3[[#This Row],[prev_refill_days]]="","",TableRefills3[[#This Row],[prev_refill_days]]+TableRefills3[[#This Row],[quantity_days]])</f>
        <v>45943</v>
      </c>
      <c r="G3243">
        <f>IF(TableRefills3[[#This Row],[prev_refill_end]]="","",TableRefills3[[#This Row],[refill_date]]-TableRefills3[[#This Row],[prev_refill_end]])</f>
        <v>-3</v>
      </c>
      <c r="H3243" s="10">
        <f>IF(TableRefills3[[#This Row],[gap_days]]="",0,IF(TableRefills3[[#This Row],[gap_days]]&gt;2,1,0))</f>
        <v>0</v>
      </c>
      <c r="I3243">
        <f>_xlfn.MAXIFS(TableRefills3[discountinuation_flag], TableRefills3[patient_id], A3243)</f>
        <v>1</v>
      </c>
    </row>
    <row r="3244" spans="1:9" x14ac:dyDescent="0.25">
      <c r="A3244" t="s">
        <v>5148</v>
      </c>
      <c r="B3244" t="s">
        <v>5149</v>
      </c>
      <c r="C3244" s="3">
        <v>45818</v>
      </c>
      <c r="D3244">
        <v>28</v>
      </c>
      <c r="E3244" s="3" t="str">
        <f t="shared" si="50"/>
        <v/>
      </c>
      <c r="F3244" s="3" t="str">
        <f>IF(TableRefills3[[#This Row],[prev_refill_days]]="","",TableRefills3[[#This Row],[prev_refill_days]]+TableRefills3[[#This Row],[quantity_days]])</f>
        <v/>
      </c>
      <c r="G3244" t="str">
        <f>IF(TableRefills3[[#This Row],[prev_refill_end]]="","",TableRefills3[[#This Row],[refill_date]]-TableRefills3[[#This Row],[prev_refill_end]])</f>
        <v/>
      </c>
      <c r="H3244" s="10">
        <f>IF(TableRefills3[[#This Row],[gap_days]]="",0,IF(TableRefills3[[#This Row],[gap_days]]&gt;2,1,0))</f>
        <v>0</v>
      </c>
      <c r="I3244">
        <f>_xlfn.MAXIFS(TableRefills3[discountinuation_flag], TableRefills3[patient_id], A3244)</f>
        <v>0</v>
      </c>
    </row>
    <row r="3245" spans="1:9" x14ac:dyDescent="0.25">
      <c r="A3245" t="s">
        <v>5151</v>
      </c>
      <c r="B3245" t="s">
        <v>5152</v>
      </c>
      <c r="C3245" s="3">
        <v>45894</v>
      </c>
      <c r="D3245">
        <v>28</v>
      </c>
      <c r="E3245" s="3" t="str">
        <f t="shared" si="50"/>
        <v/>
      </c>
      <c r="F3245" s="3" t="str">
        <f>IF(TableRefills3[[#This Row],[prev_refill_days]]="","",TableRefills3[[#This Row],[prev_refill_days]]+TableRefills3[[#This Row],[quantity_days]])</f>
        <v/>
      </c>
      <c r="G3245" t="str">
        <f>IF(TableRefills3[[#This Row],[prev_refill_end]]="","",TableRefills3[[#This Row],[refill_date]]-TableRefills3[[#This Row],[prev_refill_end]])</f>
        <v/>
      </c>
      <c r="H3245" s="10">
        <f>IF(TableRefills3[[#This Row],[gap_days]]="",0,IF(TableRefills3[[#This Row],[gap_days]]&gt;2,1,0))</f>
        <v>0</v>
      </c>
      <c r="I3245">
        <f>_xlfn.MAXIFS(TableRefills3[discountinuation_flag], TableRefills3[patient_id], A3245)</f>
        <v>0</v>
      </c>
    </row>
    <row r="3246" spans="1:9" x14ac:dyDescent="0.25">
      <c r="A3246" t="s">
        <v>5151</v>
      </c>
      <c r="B3246" t="s">
        <v>5152</v>
      </c>
      <c r="C3246" s="3">
        <v>45924</v>
      </c>
      <c r="D3246">
        <v>28</v>
      </c>
      <c r="E3246" s="3">
        <f t="shared" si="50"/>
        <v>45894</v>
      </c>
      <c r="F3246" s="3">
        <f>IF(TableRefills3[[#This Row],[prev_refill_days]]="","",TableRefills3[[#This Row],[prev_refill_days]]+TableRefills3[[#This Row],[quantity_days]])</f>
        <v>45922</v>
      </c>
      <c r="G3246">
        <f>IF(TableRefills3[[#This Row],[prev_refill_end]]="","",TableRefills3[[#This Row],[refill_date]]-TableRefills3[[#This Row],[prev_refill_end]])</f>
        <v>2</v>
      </c>
      <c r="H3246" s="10">
        <f>IF(TableRefills3[[#This Row],[gap_days]]="",0,IF(TableRefills3[[#This Row],[gap_days]]&gt;2,1,0))</f>
        <v>0</v>
      </c>
      <c r="I3246">
        <f>_xlfn.MAXIFS(TableRefills3[discountinuation_flag], TableRefills3[patient_id], A3246)</f>
        <v>0</v>
      </c>
    </row>
    <row r="3247" spans="1:9" x14ac:dyDescent="0.25">
      <c r="A3247" t="s">
        <v>5151</v>
      </c>
      <c r="B3247" t="s">
        <v>5152</v>
      </c>
      <c r="C3247" s="3">
        <v>45954</v>
      </c>
      <c r="D3247">
        <v>28</v>
      </c>
      <c r="E3247" s="3">
        <f t="shared" si="50"/>
        <v>45924</v>
      </c>
      <c r="F3247" s="3">
        <f>IF(TableRefills3[[#This Row],[prev_refill_days]]="","",TableRefills3[[#This Row],[prev_refill_days]]+TableRefills3[[#This Row],[quantity_days]])</f>
        <v>45952</v>
      </c>
      <c r="G3247">
        <f>IF(TableRefills3[[#This Row],[prev_refill_end]]="","",TableRefills3[[#This Row],[refill_date]]-TableRefills3[[#This Row],[prev_refill_end]])</f>
        <v>2</v>
      </c>
      <c r="H3247" s="10">
        <f>IF(TableRefills3[[#This Row],[gap_days]]="",0,IF(TableRefills3[[#This Row],[gap_days]]&gt;2,1,0))</f>
        <v>0</v>
      </c>
      <c r="I3247">
        <f>_xlfn.MAXIFS(TableRefills3[discountinuation_flag], TableRefills3[patient_id], A3247)</f>
        <v>0</v>
      </c>
    </row>
    <row r="3248" spans="1:9" x14ac:dyDescent="0.25">
      <c r="A3248" t="s">
        <v>5156</v>
      </c>
      <c r="B3248" t="s">
        <v>5157</v>
      </c>
      <c r="C3248" s="3">
        <v>45887</v>
      </c>
      <c r="D3248">
        <v>21</v>
      </c>
      <c r="E3248" s="3" t="str">
        <f t="shared" si="50"/>
        <v/>
      </c>
      <c r="F3248" s="3" t="str">
        <f>IF(TableRefills3[[#This Row],[prev_refill_days]]="","",TableRefills3[[#This Row],[prev_refill_days]]+TableRefills3[[#This Row],[quantity_days]])</f>
        <v/>
      </c>
      <c r="G3248" t="str">
        <f>IF(TableRefills3[[#This Row],[prev_refill_end]]="","",TableRefills3[[#This Row],[refill_date]]-TableRefills3[[#This Row],[prev_refill_end]])</f>
        <v/>
      </c>
      <c r="H3248" s="10">
        <f>IF(TableRefills3[[#This Row],[gap_days]]="",0,IF(TableRefills3[[#This Row],[gap_days]]&gt;2,1,0))</f>
        <v>0</v>
      </c>
      <c r="I3248">
        <f>_xlfn.MAXIFS(TableRefills3[discountinuation_flag], TableRefills3[patient_id], A3248)</f>
        <v>0</v>
      </c>
    </row>
    <row r="3249" spans="1:9" x14ac:dyDescent="0.25">
      <c r="A3249" t="s">
        <v>5156</v>
      </c>
      <c r="B3249" t="s">
        <v>5157</v>
      </c>
      <c r="C3249" s="3">
        <v>45909</v>
      </c>
      <c r="D3249">
        <v>21</v>
      </c>
      <c r="E3249" s="3">
        <f t="shared" si="50"/>
        <v>45887</v>
      </c>
      <c r="F3249" s="3">
        <f>IF(TableRefills3[[#This Row],[prev_refill_days]]="","",TableRefills3[[#This Row],[prev_refill_days]]+TableRefills3[[#This Row],[quantity_days]])</f>
        <v>45908</v>
      </c>
      <c r="G3249">
        <f>IF(TableRefills3[[#This Row],[prev_refill_end]]="","",TableRefills3[[#This Row],[refill_date]]-TableRefills3[[#This Row],[prev_refill_end]])</f>
        <v>1</v>
      </c>
      <c r="H3249" s="10">
        <f>IF(TableRefills3[[#This Row],[gap_days]]="",0,IF(TableRefills3[[#This Row],[gap_days]]&gt;2,1,0))</f>
        <v>0</v>
      </c>
      <c r="I3249">
        <f>_xlfn.MAXIFS(TableRefills3[discountinuation_flag], TableRefills3[patient_id], A3249)</f>
        <v>0</v>
      </c>
    </row>
    <row r="3250" spans="1:9" x14ac:dyDescent="0.25">
      <c r="A3250" t="s">
        <v>5156</v>
      </c>
      <c r="B3250" t="s">
        <v>5157</v>
      </c>
      <c r="C3250" s="3">
        <v>45929</v>
      </c>
      <c r="D3250">
        <v>21</v>
      </c>
      <c r="E3250" s="3">
        <f t="shared" si="50"/>
        <v>45909</v>
      </c>
      <c r="F3250" s="3">
        <f>IF(TableRefills3[[#This Row],[prev_refill_days]]="","",TableRefills3[[#This Row],[prev_refill_days]]+TableRefills3[[#This Row],[quantity_days]])</f>
        <v>45930</v>
      </c>
      <c r="G3250">
        <f>IF(TableRefills3[[#This Row],[prev_refill_end]]="","",TableRefills3[[#This Row],[refill_date]]-TableRefills3[[#This Row],[prev_refill_end]])</f>
        <v>-1</v>
      </c>
      <c r="H3250" s="10">
        <f>IF(TableRefills3[[#This Row],[gap_days]]="",0,IF(TableRefills3[[#This Row],[gap_days]]&gt;2,1,0))</f>
        <v>0</v>
      </c>
      <c r="I3250">
        <f>_xlfn.MAXIFS(TableRefills3[discountinuation_flag], TableRefills3[patient_id], A3250)</f>
        <v>0</v>
      </c>
    </row>
    <row r="3251" spans="1:9" x14ac:dyDescent="0.25">
      <c r="A3251" t="s">
        <v>5156</v>
      </c>
      <c r="B3251" t="s">
        <v>5157</v>
      </c>
      <c r="C3251" s="3">
        <v>45951</v>
      </c>
      <c r="D3251">
        <v>21</v>
      </c>
      <c r="E3251" s="3">
        <f t="shared" si="50"/>
        <v>45929</v>
      </c>
      <c r="F3251" s="3">
        <f>IF(TableRefills3[[#This Row],[prev_refill_days]]="","",TableRefills3[[#This Row],[prev_refill_days]]+TableRefills3[[#This Row],[quantity_days]])</f>
        <v>45950</v>
      </c>
      <c r="G3251">
        <f>IF(TableRefills3[[#This Row],[prev_refill_end]]="","",TableRefills3[[#This Row],[refill_date]]-TableRefills3[[#This Row],[prev_refill_end]])</f>
        <v>1</v>
      </c>
      <c r="H3251" s="10">
        <f>IF(TableRefills3[[#This Row],[gap_days]]="",0,IF(TableRefills3[[#This Row],[gap_days]]&gt;2,1,0))</f>
        <v>0</v>
      </c>
      <c r="I3251">
        <f>_xlfn.MAXIFS(TableRefills3[discountinuation_flag], TableRefills3[patient_id], A3251)</f>
        <v>0</v>
      </c>
    </row>
    <row r="3252" spans="1:9" x14ac:dyDescent="0.25">
      <c r="A3252" t="s">
        <v>5162</v>
      </c>
      <c r="B3252" t="s">
        <v>5163</v>
      </c>
      <c r="C3252" s="3">
        <v>45954</v>
      </c>
      <c r="D3252">
        <v>14</v>
      </c>
      <c r="E3252" s="3" t="str">
        <f t="shared" si="50"/>
        <v/>
      </c>
      <c r="F3252" s="3" t="str">
        <f>IF(TableRefills3[[#This Row],[prev_refill_days]]="","",TableRefills3[[#This Row],[prev_refill_days]]+TableRefills3[[#This Row],[quantity_days]])</f>
        <v/>
      </c>
      <c r="G3252" t="str">
        <f>IF(TableRefills3[[#This Row],[prev_refill_end]]="","",TableRefills3[[#This Row],[refill_date]]-TableRefills3[[#This Row],[prev_refill_end]])</f>
        <v/>
      </c>
      <c r="H3252" s="10">
        <f>IF(TableRefills3[[#This Row],[gap_days]]="",0,IF(TableRefills3[[#This Row],[gap_days]]&gt;2,1,0))</f>
        <v>0</v>
      </c>
      <c r="I3252">
        <f>_xlfn.MAXIFS(TableRefills3[discountinuation_flag], TableRefills3[patient_id], A3252)</f>
        <v>0</v>
      </c>
    </row>
    <row r="3253" spans="1:9" x14ac:dyDescent="0.25">
      <c r="A3253" t="s">
        <v>5165</v>
      </c>
      <c r="B3253" t="s">
        <v>5166</v>
      </c>
      <c r="C3253" s="3">
        <v>45944</v>
      </c>
      <c r="D3253">
        <v>30</v>
      </c>
      <c r="E3253" s="3" t="str">
        <f t="shared" si="50"/>
        <v/>
      </c>
      <c r="F3253" s="3" t="str">
        <f>IF(TableRefills3[[#This Row],[prev_refill_days]]="","",TableRefills3[[#This Row],[prev_refill_days]]+TableRefills3[[#This Row],[quantity_days]])</f>
        <v/>
      </c>
      <c r="G3253" t="str">
        <f>IF(TableRefills3[[#This Row],[prev_refill_end]]="","",TableRefills3[[#This Row],[refill_date]]-TableRefills3[[#This Row],[prev_refill_end]])</f>
        <v/>
      </c>
      <c r="H3253" s="10">
        <f>IF(TableRefills3[[#This Row],[gap_days]]="",0,IF(TableRefills3[[#This Row],[gap_days]]&gt;2,1,0))</f>
        <v>0</v>
      </c>
      <c r="I3253">
        <f>_xlfn.MAXIFS(TableRefills3[discountinuation_flag], TableRefills3[patient_id], A3253)</f>
        <v>0</v>
      </c>
    </row>
    <row r="3254" spans="1:9" x14ac:dyDescent="0.25">
      <c r="A3254" t="s">
        <v>5168</v>
      </c>
      <c r="B3254" t="s">
        <v>5169</v>
      </c>
      <c r="C3254" s="3">
        <v>45818</v>
      </c>
      <c r="D3254">
        <v>28</v>
      </c>
      <c r="E3254" s="3" t="str">
        <f t="shared" si="50"/>
        <v/>
      </c>
      <c r="F3254" s="3" t="str">
        <f>IF(TableRefills3[[#This Row],[prev_refill_days]]="","",TableRefills3[[#This Row],[prev_refill_days]]+TableRefills3[[#This Row],[quantity_days]])</f>
        <v/>
      </c>
      <c r="G3254" t="str">
        <f>IF(TableRefills3[[#This Row],[prev_refill_end]]="","",TableRefills3[[#This Row],[refill_date]]-TableRefills3[[#This Row],[prev_refill_end]])</f>
        <v/>
      </c>
      <c r="H3254" s="10">
        <f>IF(TableRefills3[[#This Row],[gap_days]]="",0,IF(TableRefills3[[#This Row],[gap_days]]&gt;2,1,0))</f>
        <v>0</v>
      </c>
      <c r="I3254">
        <f>_xlfn.MAXIFS(TableRefills3[discountinuation_flag], TableRefills3[patient_id], A3254)</f>
        <v>1</v>
      </c>
    </row>
    <row r="3255" spans="1:9" x14ac:dyDescent="0.25">
      <c r="A3255" t="s">
        <v>5168</v>
      </c>
      <c r="B3255" t="s">
        <v>5169</v>
      </c>
      <c r="C3255" s="3">
        <v>45843</v>
      </c>
      <c r="D3255">
        <v>28</v>
      </c>
      <c r="E3255" s="3">
        <f t="shared" si="50"/>
        <v>45818</v>
      </c>
      <c r="F3255" s="3">
        <f>IF(TableRefills3[[#This Row],[prev_refill_days]]="","",TableRefills3[[#This Row],[prev_refill_days]]+TableRefills3[[#This Row],[quantity_days]])</f>
        <v>45846</v>
      </c>
      <c r="G3255">
        <f>IF(TableRefills3[[#This Row],[prev_refill_end]]="","",TableRefills3[[#This Row],[refill_date]]-TableRefills3[[#This Row],[prev_refill_end]])</f>
        <v>-3</v>
      </c>
      <c r="H3255" s="10">
        <f>IF(TableRefills3[[#This Row],[gap_days]]="",0,IF(TableRefills3[[#This Row],[gap_days]]&gt;2,1,0))</f>
        <v>0</v>
      </c>
      <c r="I3255">
        <f>_xlfn.MAXIFS(TableRefills3[discountinuation_flag], TableRefills3[patient_id], A3255)</f>
        <v>1</v>
      </c>
    </row>
    <row r="3256" spans="1:9" x14ac:dyDescent="0.25">
      <c r="A3256" t="s">
        <v>5168</v>
      </c>
      <c r="B3256" t="s">
        <v>5169</v>
      </c>
      <c r="C3256" s="3">
        <v>45874</v>
      </c>
      <c r="D3256">
        <v>28</v>
      </c>
      <c r="E3256" s="3">
        <f t="shared" si="50"/>
        <v>45843</v>
      </c>
      <c r="F3256" s="3">
        <f>IF(TableRefills3[[#This Row],[prev_refill_days]]="","",TableRefills3[[#This Row],[prev_refill_days]]+TableRefills3[[#This Row],[quantity_days]])</f>
        <v>45871</v>
      </c>
      <c r="G3256">
        <f>IF(TableRefills3[[#This Row],[prev_refill_end]]="","",TableRefills3[[#This Row],[refill_date]]-TableRefills3[[#This Row],[prev_refill_end]])</f>
        <v>3</v>
      </c>
      <c r="H3256" s="10">
        <f>IF(TableRefills3[[#This Row],[gap_days]]="",0,IF(TableRefills3[[#This Row],[gap_days]]&gt;2,1,0))</f>
        <v>1</v>
      </c>
      <c r="I3256">
        <f>_xlfn.MAXIFS(TableRefills3[discountinuation_flag], TableRefills3[patient_id], A3256)</f>
        <v>1</v>
      </c>
    </row>
    <row r="3257" spans="1:9" x14ac:dyDescent="0.25">
      <c r="A3257" t="s">
        <v>5168</v>
      </c>
      <c r="B3257" t="s">
        <v>5169</v>
      </c>
      <c r="C3257" s="3">
        <v>45903</v>
      </c>
      <c r="D3257">
        <v>28</v>
      </c>
      <c r="E3257" s="3">
        <f t="shared" si="50"/>
        <v>45874</v>
      </c>
      <c r="F3257" s="3">
        <f>IF(TableRefills3[[#This Row],[prev_refill_days]]="","",TableRefills3[[#This Row],[prev_refill_days]]+TableRefills3[[#This Row],[quantity_days]])</f>
        <v>45902</v>
      </c>
      <c r="G3257">
        <f>IF(TableRefills3[[#This Row],[prev_refill_end]]="","",TableRefills3[[#This Row],[refill_date]]-TableRefills3[[#This Row],[prev_refill_end]])</f>
        <v>1</v>
      </c>
      <c r="H3257" s="10">
        <f>IF(TableRefills3[[#This Row],[gap_days]]="",0,IF(TableRefills3[[#This Row],[gap_days]]&gt;2,1,0))</f>
        <v>0</v>
      </c>
      <c r="I3257">
        <f>_xlfn.MAXIFS(TableRefills3[discountinuation_flag], TableRefills3[patient_id], A3257)</f>
        <v>1</v>
      </c>
    </row>
    <row r="3258" spans="1:9" x14ac:dyDescent="0.25">
      <c r="A3258" t="s">
        <v>5168</v>
      </c>
      <c r="B3258" t="s">
        <v>5169</v>
      </c>
      <c r="C3258" s="3">
        <v>45930</v>
      </c>
      <c r="D3258">
        <v>28</v>
      </c>
      <c r="E3258" s="3">
        <f t="shared" si="50"/>
        <v>45903</v>
      </c>
      <c r="F3258" s="3">
        <f>IF(TableRefills3[[#This Row],[prev_refill_days]]="","",TableRefills3[[#This Row],[prev_refill_days]]+TableRefills3[[#This Row],[quantity_days]])</f>
        <v>45931</v>
      </c>
      <c r="G3258">
        <f>IF(TableRefills3[[#This Row],[prev_refill_end]]="","",TableRefills3[[#This Row],[refill_date]]-TableRefills3[[#This Row],[prev_refill_end]])</f>
        <v>-1</v>
      </c>
      <c r="H3258" s="10">
        <f>IF(TableRefills3[[#This Row],[gap_days]]="",0,IF(TableRefills3[[#This Row],[gap_days]]&gt;2,1,0))</f>
        <v>0</v>
      </c>
      <c r="I3258">
        <f>_xlfn.MAXIFS(TableRefills3[discountinuation_flag], TableRefills3[patient_id], A3258)</f>
        <v>1</v>
      </c>
    </row>
    <row r="3259" spans="1:9" x14ac:dyDescent="0.25">
      <c r="A3259" t="s">
        <v>5168</v>
      </c>
      <c r="B3259" t="s">
        <v>5169</v>
      </c>
      <c r="C3259" s="3">
        <v>45960</v>
      </c>
      <c r="D3259">
        <v>28</v>
      </c>
      <c r="E3259" s="3">
        <f t="shared" si="50"/>
        <v>45930</v>
      </c>
      <c r="F3259" s="3">
        <f>IF(TableRefills3[[#This Row],[prev_refill_days]]="","",TableRefills3[[#This Row],[prev_refill_days]]+TableRefills3[[#This Row],[quantity_days]])</f>
        <v>45958</v>
      </c>
      <c r="G3259">
        <f>IF(TableRefills3[[#This Row],[prev_refill_end]]="","",TableRefills3[[#This Row],[refill_date]]-TableRefills3[[#This Row],[prev_refill_end]])</f>
        <v>2</v>
      </c>
      <c r="H3259" s="10">
        <f>IF(TableRefills3[[#This Row],[gap_days]]="",0,IF(TableRefills3[[#This Row],[gap_days]]&gt;2,1,0))</f>
        <v>0</v>
      </c>
      <c r="I3259">
        <f>_xlfn.MAXIFS(TableRefills3[discountinuation_flag], TableRefills3[patient_id], A3259)</f>
        <v>1</v>
      </c>
    </row>
    <row r="3260" spans="1:9" x14ac:dyDescent="0.25">
      <c r="A3260" t="s">
        <v>5176</v>
      </c>
      <c r="B3260" t="s">
        <v>5177</v>
      </c>
      <c r="C3260" s="3">
        <v>45801</v>
      </c>
      <c r="D3260">
        <v>30</v>
      </c>
      <c r="E3260" s="3" t="str">
        <f t="shared" si="50"/>
        <v/>
      </c>
      <c r="F3260" s="3" t="str">
        <f>IF(TableRefills3[[#This Row],[prev_refill_days]]="","",TableRefills3[[#This Row],[prev_refill_days]]+TableRefills3[[#This Row],[quantity_days]])</f>
        <v/>
      </c>
      <c r="G3260" t="str">
        <f>IF(TableRefills3[[#This Row],[prev_refill_end]]="","",TableRefills3[[#This Row],[refill_date]]-TableRefills3[[#This Row],[prev_refill_end]])</f>
        <v/>
      </c>
      <c r="H3260" s="10">
        <f>IF(TableRefills3[[#This Row],[gap_days]]="",0,IF(TableRefills3[[#This Row],[gap_days]]&gt;2,1,0))</f>
        <v>0</v>
      </c>
      <c r="I3260">
        <f>_xlfn.MAXIFS(TableRefills3[discountinuation_flag], TableRefills3[patient_id], A3260)</f>
        <v>0</v>
      </c>
    </row>
    <row r="3261" spans="1:9" x14ac:dyDescent="0.25">
      <c r="A3261" t="s">
        <v>5176</v>
      </c>
      <c r="B3261" t="s">
        <v>5177</v>
      </c>
      <c r="C3261" s="3">
        <v>45831</v>
      </c>
      <c r="D3261">
        <v>30</v>
      </c>
      <c r="E3261" s="3">
        <f t="shared" si="50"/>
        <v>45801</v>
      </c>
      <c r="F3261" s="3">
        <f>IF(TableRefills3[[#This Row],[prev_refill_days]]="","",TableRefills3[[#This Row],[prev_refill_days]]+TableRefills3[[#This Row],[quantity_days]])</f>
        <v>45831</v>
      </c>
      <c r="G3261">
        <f>IF(TableRefills3[[#This Row],[prev_refill_end]]="","",TableRefills3[[#This Row],[refill_date]]-TableRefills3[[#This Row],[prev_refill_end]])</f>
        <v>0</v>
      </c>
      <c r="H3261" s="10">
        <f>IF(TableRefills3[[#This Row],[gap_days]]="",0,IF(TableRefills3[[#This Row],[gap_days]]&gt;2,1,0))</f>
        <v>0</v>
      </c>
      <c r="I3261">
        <f>_xlfn.MAXIFS(TableRefills3[discountinuation_flag], TableRefills3[patient_id], A3261)</f>
        <v>0</v>
      </c>
    </row>
    <row r="3262" spans="1:9" x14ac:dyDescent="0.25">
      <c r="A3262" t="s">
        <v>5176</v>
      </c>
      <c r="B3262" t="s">
        <v>5177</v>
      </c>
      <c r="C3262" s="3">
        <v>45862</v>
      </c>
      <c r="D3262">
        <v>30</v>
      </c>
      <c r="E3262" s="3">
        <f t="shared" si="50"/>
        <v>45831</v>
      </c>
      <c r="F3262" s="3">
        <f>IF(TableRefills3[[#This Row],[prev_refill_days]]="","",TableRefills3[[#This Row],[prev_refill_days]]+TableRefills3[[#This Row],[quantity_days]])</f>
        <v>45861</v>
      </c>
      <c r="G3262">
        <f>IF(TableRefills3[[#This Row],[prev_refill_end]]="","",TableRefills3[[#This Row],[refill_date]]-TableRefills3[[#This Row],[prev_refill_end]])</f>
        <v>1</v>
      </c>
      <c r="H3262" s="10">
        <f>IF(TableRefills3[[#This Row],[gap_days]]="",0,IF(TableRefills3[[#This Row],[gap_days]]&gt;2,1,0))</f>
        <v>0</v>
      </c>
      <c r="I3262">
        <f>_xlfn.MAXIFS(TableRefills3[discountinuation_flag], TableRefills3[patient_id], A3262)</f>
        <v>0</v>
      </c>
    </row>
    <row r="3263" spans="1:9" x14ac:dyDescent="0.25">
      <c r="A3263" t="s">
        <v>5181</v>
      </c>
      <c r="B3263" t="s">
        <v>5182</v>
      </c>
      <c r="C3263" s="3">
        <v>45870</v>
      </c>
      <c r="D3263">
        <v>28</v>
      </c>
      <c r="E3263" s="3" t="str">
        <f t="shared" si="50"/>
        <v/>
      </c>
      <c r="F3263" s="3" t="str">
        <f>IF(TableRefills3[[#This Row],[prev_refill_days]]="","",TableRefills3[[#This Row],[prev_refill_days]]+TableRefills3[[#This Row],[quantity_days]])</f>
        <v/>
      </c>
      <c r="G3263" t="str">
        <f>IF(TableRefills3[[#This Row],[prev_refill_end]]="","",TableRefills3[[#This Row],[refill_date]]-TableRefills3[[#This Row],[prev_refill_end]])</f>
        <v/>
      </c>
      <c r="H3263" s="10">
        <f>IF(TableRefills3[[#This Row],[gap_days]]="",0,IF(TableRefills3[[#This Row],[gap_days]]&gt;2,1,0))</f>
        <v>0</v>
      </c>
      <c r="I3263">
        <f>_xlfn.MAXIFS(TableRefills3[discountinuation_flag], TableRefills3[patient_id], A3263)</f>
        <v>0</v>
      </c>
    </row>
    <row r="3264" spans="1:9" x14ac:dyDescent="0.25">
      <c r="A3264" t="s">
        <v>5181</v>
      </c>
      <c r="B3264" t="s">
        <v>5182</v>
      </c>
      <c r="C3264" s="3">
        <v>45896</v>
      </c>
      <c r="D3264">
        <v>28</v>
      </c>
      <c r="E3264" s="3">
        <f t="shared" si="50"/>
        <v>45870</v>
      </c>
      <c r="F3264" s="3">
        <f>IF(TableRefills3[[#This Row],[prev_refill_days]]="","",TableRefills3[[#This Row],[prev_refill_days]]+TableRefills3[[#This Row],[quantity_days]])</f>
        <v>45898</v>
      </c>
      <c r="G3264">
        <f>IF(TableRefills3[[#This Row],[prev_refill_end]]="","",TableRefills3[[#This Row],[refill_date]]-TableRefills3[[#This Row],[prev_refill_end]])</f>
        <v>-2</v>
      </c>
      <c r="H3264" s="10">
        <f>IF(TableRefills3[[#This Row],[gap_days]]="",0,IF(TableRefills3[[#This Row],[gap_days]]&gt;2,1,0))</f>
        <v>0</v>
      </c>
      <c r="I3264">
        <f>_xlfn.MAXIFS(TableRefills3[discountinuation_flag], TableRefills3[patient_id], A3264)</f>
        <v>0</v>
      </c>
    </row>
    <row r="3265" spans="1:9" x14ac:dyDescent="0.25">
      <c r="A3265" t="s">
        <v>5185</v>
      </c>
      <c r="B3265" t="s">
        <v>5186</v>
      </c>
      <c r="C3265" s="3">
        <v>45799</v>
      </c>
      <c r="D3265">
        <v>28</v>
      </c>
      <c r="E3265" s="3" t="str">
        <f t="shared" si="50"/>
        <v/>
      </c>
      <c r="F3265" s="3" t="str">
        <f>IF(TableRefills3[[#This Row],[prev_refill_days]]="","",TableRefills3[[#This Row],[prev_refill_days]]+TableRefills3[[#This Row],[quantity_days]])</f>
        <v/>
      </c>
      <c r="G3265" t="str">
        <f>IF(TableRefills3[[#This Row],[prev_refill_end]]="","",TableRefills3[[#This Row],[refill_date]]-TableRefills3[[#This Row],[prev_refill_end]])</f>
        <v/>
      </c>
      <c r="H3265" s="10">
        <f>IF(TableRefills3[[#This Row],[gap_days]]="",0,IF(TableRefills3[[#This Row],[gap_days]]&gt;2,1,0))</f>
        <v>0</v>
      </c>
      <c r="I3265">
        <f>_xlfn.MAXIFS(TableRefills3[discountinuation_flag], TableRefills3[patient_id], A3265)</f>
        <v>0</v>
      </c>
    </row>
    <row r="3266" spans="1:9" x14ac:dyDescent="0.25">
      <c r="A3266" t="s">
        <v>5185</v>
      </c>
      <c r="B3266" t="s">
        <v>5186</v>
      </c>
      <c r="C3266" s="3">
        <v>45828</v>
      </c>
      <c r="D3266">
        <v>28</v>
      </c>
      <c r="E3266" s="3">
        <f t="shared" ref="E3266:E3329" si="51">IF(A3265=A3266,C3265,"")</f>
        <v>45799</v>
      </c>
      <c r="F3266" s="3">
        <f>IF(TableRefills3[[#This Row],[prev_refill_days]]="","",TableRefills3[[#This Row],[prev_refill_days]]+TableRefills3[[#This Row],[quantity_days]])</f>
        <v>45827</v>
      </c>
      <c r="G3266">
        <f>IF(TableRefills3[[#This Row],[prev_refill_end]]="","",TableRefills3[[#This Row],[refill_date]]-TableRefills3[[#This Row],[prev_refill_end]])</f>
        <v>1</v>
      </c>
      <c r="H3266" s="10">
        <f>IF(TableRefills3[[#This Row],[gap_days]]="",0,IF(TableRefills3[[#This Row],[gap_days]]&gt;2,1,0))</f>
        <v>0</v>
      </c>
      <c r="I3266">
        <f>_xlfn.MAXIFS(TableRefills3[discountinuation_flag], TableRefills3[patient_id], A3266)</f>
        <v>0</v>
      </c>
    </row>
    <row r="3267" spans="1:9" x14ac:dyDescent="0.25">
      <c r="A3267" t="s">
        <v>5189</v>
      </c>
      <c r="B3267" t="s">
        <v>5190</v>
      </c>
      <c r="C3267" s="3">
        <v>45948</v>
      </c>
      <c r="D3267">
        <v>28</v>
      </c>
      <c r="E3267" s="3" t="str">
        <f t="shared" si="51"/>
        <v/>
      </c>
      <c r="F3267" s="3" t="str">
        <f>IF(TableRefills3[[#This Row],[prev_refill_days]]="","",TableRefills3[[#This Row],[prev_refill_days]]+TableRefills3[[#This Row],[quantity_days]])</f>
        <v/>
      </c>
      <c r="G3267" t="str">
        <f>IF(TableRefills3[[#This Row],[prev_refill_end]]="","",TableRefills3[[#This Row],[refill_date]]-TableRefills3[[#This Row],[prev_refill_end]])</f>
        <v/>
      </c>
      <c r="H3267" s="10">
        <f>IF(TableRefills3[[#This Row],[gap_days]]="",0,IF(TableRefills3[[#This Row],[gap_days]]&gt;2,1,0))</f>
        <v>0</v>
      </c>
      <c r="I3267">
        <f>_xlfn.MAXIFS(TableRefills3[discountinuation_flag], TableRefills3[patient_id], A3267)</f>
        <v>0</v>
      </c>
    </row>
    <row r="3268" spans="1:9" x14ac:dyDescent="0.25">
      <c r="A3268" t="s">
        <v>5192</v>
      </c>
      <c r="B3268" t="s">
        <v>5193</v>
      </c>
      <c r="C3268" s="3">
        <v>45820</v>
      </c>
      <c r="D3268">
        <v>28</v>
      </c>
      <c r="E3268" s="3" t="str">
        <f t="shared" si="51"/>
        <v/>
      </c>
      <c r="F3268" s="3" t="str">
        <f>IF(TableRefills3[[#This Row],[prev_refill_days]]="","",TableRefills3[[#This Row],[prev_refill_days]]+TableRefills3[[#This Row],[quantity_days]])</f>
        <v/>
      </c>
      <c r="G3268" t="str">
        <f>IF(TableRefills3[[#This Row],[prev_refill_end]]="","",TableRefills3[[#This Row],[refill_date]]-TableRefills3[[#This Row],[prev_refill_end]])</f>
        <v/>
      </c>
      <c r="H3268" s="10">
        <f>IF(TableRefills3[[#This Row],[gap_days]]="",0,IF(TableRefills3[[#This Row],[gap_days]]&gt;2,1,0))</f>
        <v>0</v>
      </c>
      <c r="I3268">
        <f>_xlfn.MAXIFS(TableRefills3[discountinuation_flag], TableRefills3[patient_id], A3268)</f>
        <v>1</v>
      </c>
    </row>
    <row r="3269" spans="1:9" x14ac:dyDescent="0.25">
      <c r="A3269" t="s">
        <v>5192</v>
      </c>
      <c r="B3269" t="s">
        <v>5193</v>
      </c>
      <c r="C3269" s="3">
        <v>45851</v>
      </c>
      <c r="D3269">
        <v>28</v>
      </c>
      <c r="E3269" s="3">
        <f t="shared" si="51"/>
        <v>45820</v>
      </c>
      <c r="F3269" s="3">
        <f>IF(TableRefills3[[#This Row],[prev_refill_days]]="","",TableRefills3[[#This Row],[prev_refill_days]]+TableRefills3[[#This Row],[quantity_days]])</f>
        <v>45848</v>
      </c>
      <c r="G3269">
        <f>IF(TableRefills3[[#This Row],[prev_refill_end]]="","",TableRefills3[[#This Row],[refill_date]]-TableRefills3[[#This Row],[prev_refill_end]])</f>
        <v>3</v>
      </c>
      <c r="H3269" s="10">
        <f>IF(TableRefills3[[#This Row],[gap_days]]="",0,IF(TableRefills3[[#This Row],[gap_days]]&gt;2,1,0))</f>
        <v>1</v>
      </c>
      <c r="I3269">
        <f>_xlfn.MAXIFS(TableRefills3[discountinuation_flag], TableRefills3[patient_id], A3269)</f>
        <v>1</v>
      </c>
    </row>
    <row r="3270" spans="1:9" x14ac:dyDescent="0.25">
      <c r="A3270" t="s">
        <v>5192</v>
      </c>
      <c r="B3270" t="s">
        <v>5193</v>
      </c>
      <c r="C3270" s="3">
        <v>45879</v>
      </c>
      <c r="D3270">
        <v>28</v>
      </c>
      <c r="E3270" s="3">
        <f t="shared" si="51"/>
        <v>45851</v>
      </c>
      <c r="F3270" s="3">
        <f>IF(TableRefills3[[#This Row],[prev_refill_days]]="","",TableRefills3[[#This Row],[prev_refill_days]]+TableRefills3[[#This Row],[quantity_days]])</f>
        <v>45879</v>
      </c>
      <c r="G3270">
        <f>IF(TableRefills3[[#This Row],[prev_refill_end]]="","",TableRefills3[[#This Row],[refill_date]]-TableRefills3[[#This Row],[prev_refill_end]])</f>
        <v>0</v>
      </c>
      <c r="H3270" s="10">
        <f>IF(TableRefills3[[#This Row],[gap_days]]="",0,IF(TableRefills3[[#This Row],[gap_days]]&gt;2,1,0))</f>
        <v>0</v>
      </c>
      <c r="I3270">
        <f>_xlfn.MAXIFS(TableRefills3[discountinuation_flag], TableRefills3[patient_id], A3270)</f>
        <v>1</v>
      </c>
    </row>
    <row r="3271" spans="1:9" x14ac:dyDescent="0.25">
      <c r="A3271" t="s">
        <v>5192</v>
      </c>
      <c r="B3271" t="s">
        <v>5193</v>
      </c>
      <c r="C3271" s="3">
        <v>45909</v>
      </c>
      <c r="D3271">
        <v>28</v>
      </c>
      <c r="E3271" s="3">
        <f t="shared" si="51"/>
        <v>45879</v>
      </c>
      <c r="F3271" s="3">
        <f>IF(TableRefills3[[#This Row],[prev_refill_days]]="","",TableRefills3[[#This Row],[prev_refill_days]]+TableRefills3[[#This Row],[quantity_days]])</f>
        <v>45907</v>
      </c>
      <c r="G3271">
        <f>IF(TableRefills3[[#This Row],[prev_refill_end]]="","",TableRefills3[[#This Row],[refill_date]]-TableRefills3[[#This Row],[prev_refill_end]])</f>
        <v>2</v>
      </c>
      <c r="H3271" s="10">
        <f>IF(TableRefills3[[#This Row],[gap_days]]="",0,IF(TableRefills3[[#This Row],[gap_days]]&gt;2,1,0))</f>
        <v>0</v>
      </c>
      <c r="I3271">
        <f>_xlfn.MAXIFS(TableRefills3[discountinuation_flag], TableRefills3[patient_id], A3271)</f>
        <v>1</v>
      </c>
    </row>
    <row r="3272" spans="1:9" x14ac:dyDescent="0.25">
      <c r="A3272" t="s">
        <v>5192</v>
      </c>
      <c r="B3272" t="s">
        <v>5193</v>
      </c>
      <c r="C3272" s="3">
        <v>45940</v>
      </c>
      <c r="D3272">
        <v>28</v>
      </c>
      <c r="E3272" s="3">
        <f t="shared" si="51"/>
        <v>45909</v>
      </c>
      <c r="F3272" s="3">
        <f>IF(TableRefills3[[#This Row],[prev_refill_days]]="","",TableRefills3[[#This Row],[prev_refill_days]]+TableRefills3[[#This Row],[quantity_days]])</f>
        <v>45937</v>
      </c>
      <c r="G3272">
        <f>IF(TableRefills3[[#This Row],[prev_refill_end]]="","",TableRefills3[[#This Row],[refill_date]]-TableRefills3[[#This Row],[prev_refill_end]])</f>
        <v>3</v>
      </c>
      <c r="H3272" s="10">
        <f>IF(TableRefills3[[#This Row],[gap_days]]="",0,IF(TableRefills3[[#This Row],[gap_days]]&gt;2,1,0))</f>
        <v>1</v>
      </c>
      <c r="I3272">
        <f>_xlfn.MAXIFS(TableRefills3[discountinuation_flag], TableRefills3[patient_id], A3272)</f>
        <v>1</v>
      </c>
    </row>
    <row r="3273" spans="1:9" x14ac:dyDescent="0.25">
      <c r="A3273" t="s">
        <v>5199</v>
      </c>
      <c r="B3273" t="s">
        <v>5200</v>
      </c>
      <c r="C3273" s="3">
        <v>45879</v>
      </c>
      <c r="D3273">
        <v>30</v>
      </c>
      <c r="E3273" s="3" t="str">
        <f t="shared" si="51"/>
        <v/>
      </c>
      <c r="F3273" s="3" t="str">
        <f>IF(TableRefills3[[#This Row],[prev_refill_days]]="","",TableRefills3[[#This Row],[prev_refill_days]]+TableRefills3[[#This Row],[quantity_days]])</f>
        <v/>
      </c>
      <c r="G3273" t="str">
        <f>IF(TableRefills3[[#This Row],[prev_refill_end]]="","",TableRefills3[[#This Row],[refill_date]]-TableRefills3[[#This Row],[prev_refill_end]])</f>
        <v/>
      </c>
      <c r="H3273" s="10">
        <f>IF(TableRefills3[[#This Row],[gap_days]]="",0,IF(TableRefills3[[#This Row],[gap_days]]&gt;2,1,0))</f>
        <v>0</v>
      </c>
      <c r="I3273">
        <f>_xlfn.MAXIFS(TableRefills3[discountinuation_flag], TableRefills3[patient_id], A3273)</f>
        <v>0</v>
      </c>
    </row>
    <row r="3274" spans="1:9" x14ac:dyDescent="0.25">
      <c r="A3274" t="s">
        <v>5199</v>
      </c>
      <c r="B3274" t="s">
        <v>5200</v>
      </c>
      <c r="C3274" s="3">
        <v>45910</v>
      </c>
      <c r="D3274">
        <v>30</v>
      </c>
      <c r="E3274" s="3">
        <f t="shared" si="51"/>
        <v>45879</v>
      </c>
      <c r="F3274" s="3">
        <f>IF(TableRefills3[[#This Row],[prev_refill_days]]="","",TableRefills3[[#This Row],[prev_refill_days]]+TableRefills3[[#This Row],[quantity_days]])</f>
        <v>45909</v>
      </c>
      <c r="G3274">
        <f>IF(TableRefills3[[#This Row],[prev_refill_end]]="","",TableRefills3[[#This Row],[refill_date]]-TableRefills3[[#This Row],[prev_refill_end]])</f>
        <v>1</v>
      </c>
      <c r="H3274" s="10">
        <f>IF(TableRefills3[[#This Row],[gap_days]]="",0,IF(TableRefills3[[#This Row],[gap_days]]&gt;2,1,0))</f>
        <v>0</v>
      </c>
      <c r="I3274">
        <f>_xlfn.MAXIFS(TableRefills3[discountinuation_flag], TableRefills3[patient_id], A3274)</f>
        <v>0</v>
      </c>
    </row>
    <row r="3275" spans="1:9" x14ac:dyDescent="0.25">
      <c r="A3275" t="s">
        <v>5199</v>
      </c>
      <c r="B3275" t="s">
        <v>5200</v>
      </c>
      <c r="C3275" s="3">
        <v>45937</v>
      </c>
      <c r="D3275">
        <v>30</v>
      </c>
      <c r="E3275" s="3">
        <f t="shared" si="51"/>
        <v>45910</v>
      </c>
      <c r="F3275" s="3">
        <f>IF(TableRefills3[[#This Row],[prev_refill_days]]="","",TableRefills3[[#This Row],[prev_refill_days]]+TableRefills3[[#This Row],[quantity_days]])</f>
        <v>45940</v>
      </c>
      <c r="G3275">
        <f>IF(TableRefills3[[#This Row],[prev_refill_end]]="","",TableRefills3[[#This Row],[refill_date]]-TableRefills3[[#This Row],[prev_refill_end]])</f>
        <v>-3</v>
      </c>
      <c r="H3275" s="10">
        <f>IF(TableRefills3[[#This Row],[gap_days]]="",0,IF(TableRefills3[[#This Row],[gap_days]]&gt;2,1,0))</f>
        <v>0</v>
      </c>
      <c r="I3275">
        <f>_xlfn.MAXIFS(TableRefills3[discountinuation_flag], TableRefills3[patient_id], A3275)</f>
        <v>0</v>
      </c>
    </row>
    <row r="3276" spans="1:9" x14ac:dyDescent="0.25">
      <c r="A3276" t="s">
        <v>5204</v>
      </c>
      <c r="B3276" t="s">
        <v>5205</v>
      </c>
      <c r="C3276" s="3">
        <v>45856</v>
      </c>
      <c r="D3276">
        <v>28</v>
      </c>
      <c r="E3276" s="3" t="str">
        <f t="shared" si="51"/>
        <v/>
      </c>
      <c r="F3276" s="3" t="str">
        <f>IF(TableRefills3[[#This Row],[prev_refill_days]]="","",TableRefills3[[#This Row],[prev_refill_days]]+TableRefills3[[#This Row],[quantity_days]])</f>
        <v/>
      </c>
      <c r="G3276" t="str">
        <f>IF(TableRefills3[[#This Row],[prev_refill_end]]="","",TableRefills3[[#This Row],[refill_date]]-TableRefills3[[#This Row],[prev_refill_end]])</f>
        <v/>
      </c>
      <c r="H3276" s="10">
        <f>IF(TableRefills3[[#This Row],[gap_days]]="",0,IF(TableRefills3[[#This Row],[gap_days]]&gt;2,1,0))</f>
        <v>0</v>
      </c>
      <c r="I3276">
        <f>_xlfn.MAXIFS(TableRefills3[discountinuation_flag], TableRefills3[patient_id], A3276)</f>
        <v>0</v>
      </c>
    </row>
    <row r="3277" spans="1:9" x14ac:dyDescent="0.25">
      <c r="A3277" t="s">
        <v>5204</v>
      </c>
      <c r="B3277" t="s">
        <v>5205</v>
      </c>
      <c r="C3277" s="3">
        <v>45884</v>
      </c>
      <c r="D3277">
        <v>28</v>
      </c>
      <c r="E3277" s="3">
        <f t="shared" si="51"/>
        <v>45856</v>
      </c>
      <c r="F3277" s="3">
        <f>IF(TableRefills3[[#This Row],[prev_refill_days]]="","",TableRefills3[[#This Row],[prev_refill_days]]+TableRefills3[[#This Row],[quantity_days]])</f>
        <v>45884</v>
      </c>
      <c r="G3277">
        <f>IF(TableRefills3[[#This Row],[prev_refill_end]]="","",TableRefills3[[#This Row],[refill_date]]-TableRefills3[[#This Row],[prev_refill_end]])</f>
        <v>0</v>
      </c>
      <c r="H3277" s="10">
        <f>IF(TableRefills3[[#This Row],[gap_days]]="",0,IF(TableRefills3[[#This Row],[gap_days]]&gt;2,1,0))</f>
        <v>0</v>
      </c>
      <c r="I3277">
        <f>_xlfn.MAXIFS(TableRefills3[discountinuation_flag], TableRefills3[patient_id], A3277)</f>
        <v>0</v>
      </c>
    </row>
    <row r="3278" spans="1:9" x14ac:dyDescent="0.25">
      <c r="A3278" t="s">
        <v>5204</v>
      </c>
      <c r="B3278" t="s">
        <v>5205</v>
      </c>
      <c r="C3278" s="3">
        <v>45910</v>
      </c>
      <c r="D3278">
        <v>28</v>
      </c>
      <c r="E3278" s="3">
        <f t="shared" si="51"/>
        <v>45884</v>
      </c>
      <c r="F3278" s="3">
        <f>IF(TableRefills3[[#This Row],[prev_refill_days]]="","",TableRefills3[[#This Row],[prev_refill_days]]+TableRefills3[[#This Row],[quantity_days]])</f>
        <v>45912</v>
      </c>
      <c r="G3278">
        <f>IF(TableRefills3[[#This Row],[prev_refill_end]]="","",TableRefills3[[#This Row],[refill_date]]-TableRefills3[[#This Row],[prev_refill_end]])</f>
        <v>-2</v>
      </c>
      <c r="H3278" s="10">
        <f>IF(TableRefills3[[#This Row],[gap_days]]="",0,IF(TableRefills3[[#This Row],[gap_days]]&gt;2,1,0))</f>
        <v>0</v>
      </c>
      <c r="I3278">
        <f>_xlfn.MAXIFS(TableRefills3[discountinuation_flag], TableRefills3[patient_id], A3278)</f>
        <v>0</v>
      </c>
    </row>
    <row r="3279" spans="1:9" x14ac:dyDescent="0.25">
      <c r="A3279" t="s">
        <v>5204</v>
      </c>
      <c r="B3279" t="s">
        <v>5205</v>
      </c>
      <c r="C3279" s="3">
        <v>45940</v>
      </c>
      <c r="D3279">
        <v>28</v>
      </c>
      <c r="E3279" s="3">
        <f t="shared" si="51"/>
        <v>45910</v>
      </c>
      <c r="F3279" s="3">
        <f>IF(TableRefills3[[#This Row],[prev_refill_days]]="","",TableRefills3[[#This Row],[prev_refill_days]]+TableRefills3[[#This Row],[quantity_days]])</f>
        <v>45938</v>
      </c>
      <c r="G3279">
        <f>IF(TableRefills3[[#This Row],[prev_refill_end]]="","",TableRefills3[[#This Row],[refill_date]]-TableRefills3[[#This Row],[prev_refill_end]])</f>
        <v>2</v>
      </c>
      <c r="H3279" s="10">
        <f>IF(TableRefills3[[#This Row],[gap_days]]="",0,IF(TableRefills3[[#This Row],[gap_days]]&gt;2,1,0))</f>
        <v>0</v>
      </c>
      <c r="I3279">
        <f>_xlfn.MAXIFS(TableRefills3[discountinuation_flag], TableRefills3[patient_id], A3279)</f>
        <v>0</v>
      </c>
    </row>
    <row r="3280" spans="1:9" x14ac:dyDescent="0.25">
      <c r="A3280" t="s">
        <v>5210</v>
      </c>
      <c r="B3280" t="s">
        <v>5211</v>
      </c>
      <c r="C3280" s="3">
        <v>45957</v>
      </c>
      <c r="D3280">
        <v>28</v>
      </c>
      <c r="E3280" s="3" t="str">
        <f t="shared" si="51"/>
        <v/>
      </c>
      <c r="F3280" s="3" t="str">
        <f>IF(TableRefills3[[#This Row],[prev_refill_days]]="","",TableRefills3[[#This Row],[prev_refill_days]]+TableRefills3[[#This Row],[quantity_days]])</f>
        <v/>
      </c>
      <c r="G3280" t="str">
        <f>IF(TableRefills3[[#This Row],[prev_refill_end]]="","",TableRefills3[[#This Row],[refill_date]]-TableRefills3[[#This Row],[prev_refill_end]])</f>
        <v/>
      </c>
      <c r="H3280" s="10">
        <f>IF(TableRefills3[[#This Row],[gap_days]]="",0,IF(TableRefills3[[#This Row],[gap_days]]&gt;2,1,0))</f>
        <v>0</v>
      </c>
      <c r="I3280">
        <f>_xlfn.MAXIFS(TableRefills3[discountinuation_flag], TableRefills3[patient_id], A3280)</f>
        <v>0</v>
      </c>
    </row>
    <row r="3281" spans="1:9" x14ac:dyDescent="0.25">
      <c r="A3281" t="s">
        <v>5213</v>
      </c>
      <c r="B3281" t="s">
        <v>5214</v>
      </c>
      <c r="C3281" s="3">
        <v>45837</v>
      </c>
      <c r="D3281">
        <v>30</v>
      </c>
      <c r="E3281" s="3" t="str">
        <f t="shared" si="51"/>
        <v/>
      </c>
      <c r="F3281" s="3" t="str">
        <f>IF(TableRefills3[[#This Row],[prev_refill_days]]="","",TableRefills3[[#This Row],[prev_refill_days]]+TableRefills3[[#This Row],[quantity_days]])</f>
        <v/>
      </c>
      <c r="G3281" t="str">
        <f>IF(TableRefills3[[#This Row],[prev_refill_end]]="","",TableRefills3[[#This Row],[refill_date]]-TableRefills3[[#This Row],[prev_refill_end]])</f>
        <v/>
      </c>
      <c r="H3281" s="10">
        <f>IF(TableRefills3[[#This Row],[gap_days]]="",0,IF(TableRefills3[[#This Row],[gap_days]]&gt;2,1,0))</f>
        <v>0</v>
      </c>
      <c r="I3281">
        <f>_xlfn.MAXIFS(TableRefills3[discountinuation_flag], TableRefills3[patient_id], A3281)</f>
        <v>0</v>
      </c>
    </row>
    <row r="3282" spans="1:9" x14ac:dyDescent="0.25">
      <c r="A3282" t="s">
        <v>5213</v>
      </c>
      <c r="B3282" t="s">
        <v>5214</v>
      </c>
      <c r="C3282" s="3">
        <v>45866</v>
      </c>
      <c r="D3282">
        <v>30</v>
      </c>
      <c r="E3282" s="3">
        <f t="shared" si="51"/>
        <v>45837</v>
      </c>
      <c r="F3282" s="3">
        <f>IF(TableRefills3[[#This Row],[prev_refill_days]]="","",TableRefills3[[#This Row],[prev_refill_days]]+TableRefills3[[#This Row],[quantity_days]])</f>
        <v>45867</v>
      </c>
      <c r="G3282">
        <f>IF(TableRefills3[[#This Row],[prev_refill_end]]="","",TableRefills3[[#This Row],[refill_date]]-TableRefills3[[#This Row],[prev_refill_end]])</f>
        <v>-1</v>
      </c>
      <c r="H3282" s="10">
        <f>IF(TableRefills3[[#This Row],[gap_days]]="",0,IF(TableRefills3[[#This Row],[gap_days]]&gt;2,1,0))</f>
        <v>0</v>
      </c>
      <c r="I3282">
        <f>_xlfn.MAXIFS(TableRefills3[discountinuation_flag], TableRefills3[patient_id], A3282)</f>
        <v>0</v>
      </c>
    </row>
    <row r="3283" spans="1:9" x14ac:dyDescent="0.25">
      <c r="A3283" t="s">
        <v>5217</v>
      </c>
      <c r="B3283" t="s">
        <v>5218</v>
      </c>
      <c r="C3283" s="3">
        <v>45945</v>
      </c>
      <c r="D3283">
        <v>30</v>
      </c>
      <c r="E3283" s="3" t="str">
        <f t="shared" si="51"/>
        <v/>
      </c>
      <c r="F3283" s="3" t="str">
        <f>IF(TableRefills3[[#This Row],[prev_refill_days]]="","",TableRefills3[[#This Row],[prev_refill_days]]+TableRefills3[[#This Row],[quantity_days]])</f>
        <v/>
      </c>
      <c r="G3283" t="str">
        <f>IF(TableRefills3[[#This Row],[prev_refill_end]]="","",TableRefills3[[#This Row],[refill_date]]-TableRefills3[[#This Row],[prev_refill_end]])</f>
        <v/>
      </c>
      <c r="H3283" s="10">
        <f>IF(TableRefills3[[#This Row],[gap_days]]="",0,IF(TableRefills3[[#This Row],[gap_days]]&gt;2,1,0))</f>
        <v>0</v>
      </c>
      <c r="I3283">
        <f>_xlfn.MAXIFS(TableRefills3[discountinuation_flag], TableRefills3[patient_id], A3283)</f>
        <v>0</v>
      </c>
    </row>
    <row r="3284" spans="1:9" x14ac:dyDescent="0.25">
      <c r="A3284" t="s">
        <v>5220</v>
      </c>
      <c r="B3284" t="s">
        <v>5221</v>
      </c>
      <c r="C3284" s="3">
        <v>45958</v>
      </c>
      <c r="D3284">
        <v>28</v>
      </c>
      <c r="E3284" s="3" t="str">
        <f t="shared" si="51"/>
        <v/>
      </c>
      <c r="F3284" s="3" t="str">
        <f>IF(TableRefills3[[#This Row],[prev_refill_days]]="","",TableRefills3[[#This Row],[prev_refill_days]]+TableRefills3[[#This Row],[quantity_days]])</f>
        <v/>
      </c>
      <c r="G3284" t="str">
        <f>IF(TableRefills3[[#This Row],[prev_refill_end]]="","",TableRefills3[[#This Row],[refill_date]]-TableRefills3[[#This Row],[prev_refill_end]])</f>
        <v/>
      </c>
      <c r="H3284" s="10">
        <f>IF(TableRefills3[[#This Row],[gap_days]]="",0,IF(TableRefills3[[#This Row],[gap_days]]&gt;2,1,0))</f>
        <v>0</v>
      </c>
      <c r="I3284">
        <f>_xlfn.MAXIFS(TableRefills3[discountinuation_flag], TableRefills3[patient_id], A3284)</f>
        <v>0</v>
      </c>
    </row>
    <row r="3285" spans="1:9" x14ac:dyDescent="0.25">
      <c r="A3285" t="s">
        <v>5223</v>
      </c>
      <c r="B3285" t="s">
        <v>5224</v>
      </c>
      <c r="C3285" s="3">
        <v>45778</v>
      </c>
      <c r="D3285">
        <v>21</v>
      </c>
      <c r="E3285" s="3" t="str">
        <f t="shared" si="51"/>
        <v/>
      </c>
      <c r="F3285" s="3" t="str">
        <f>IF(TableRefills3[[#This Row],[prev_refill_days]]="","",TableRefills3[[#This Row],[prev_refill_days]]+TableRefills3[[#This Row],[quantity_days]])</f>
        <v/>
      </c>
      <c r="G3285" t="str">
        <f>IF(TableRefills3[[#This Row],[prev_refill_end]]="","",TableRefills3[[#This Row],[refill_date]]-TableRefills3[[#This Row],[prev_refill_end]])</f>
        <v/>
      </c>
      <c r="H3285" s="10">
        <f>IF(TableRefills3[[#This Row],[gap_days]]="",0,IF(TableRefills3[[#This Row],[gap_days]]&gt;2,1,0))</f>
        <v>0</v>
      </c>
      <c r="I3285">
        <f>_xlfn.MAXIFS(TableRefills3[discountinuation_flag], TableRefills3[patient_id], A3285)</f>
        <v>1</v>
      </c>
    </row>
    <row r="3286" spans="1:9" x14ac:dyDescent="0.25">
      <c r="A3286" t="s">
        <v>5223</v>
      </c>
      <c r="B3286" t="s">
        <v>5224</v>
      </c>
      <c r="C3286" s="3">
        <v>45802</v>
      </c>
      <c r="D3286">
        <v>21</v>
      </c>
      <c r="E3286" s="3">
        <f t="shared" si="51"/>
        <v>45778</v>
      </c>
      <c r="F3286" s="3">
        <f>IF(TableRefills3[[#This Row],[prev_refill_days]]="","",TableRefills3[[#This Row],[prev_refill_days]]+TableRefills3[[#This Row],[quantity_days]])</f>
        <v>45799</v>
      </c>
      <c r="G3286">
        <f>IF(TableRefills3[[#This Row],[prev_refill_end]]="","",TableRefills3[[#This Row],[refill_date]]-TableRefills3[[#This Row],[prev_refill_end]])</f>
        <v>3</v>
      </c>
      <c r="H3286" s="10">
        <f>IF(TableRefills3[[#This Row],[gap_days]]="",0,IF(TableRefills3[[#This Row],[gap_days]]&gt;2,1,0))</f>
        <v>1</v>
      </c>
      <c r="I3286">
        <f>_xlfn.MAXIFS(TableRefills3[discountinuation_flag], TableRefills3[patient_id], A3286)</f>
        <v>1</v>
      </c>
    </row>
    <row r="3287" spans="1:9" x14ac:dyDescent="0.25">
      <c r="A3287" t="s">
        <v>5223</v>
      </c>
      <c r="B3287" t="s">
        <v>5224</v>
      </c>
      <c r="C3287" s="3">
        <v>45825</v>
      </c>
      <c r="D3287">
        <v>21</v>
      </c>
      <c r="E3287" s="3">
        <f t="shared" si="51"/>
        <v>45802</v>
      </c>
      <c r="F3287" s="3">
        <f>IF(TableRefills3[[#This Row],[prev_refill_days]]="","",TableRefills3[[#This Row],[prev_refill_days]]+TableRefills3[[#This Row],[quantity_days]])</f>
        <v>45823</v>
      </c>
      <c r="G3287">
        <f>IF(TableRefills3[[#This Row],[prev_refill_end]]="","",TableRefills3[[#This Row],[refill_date]]-TableRefills3[[#This Row],[prev_refill_end]])</f>
        <v>2</v>
      </c>
      <c r="H3287" s="10">
        <f>IF(TableRefills3[[#This Row],[gap_days]]="",0,IF(TableRefills3[[#This Row],[gap_days]]&gt;2,1,0))</f>
        <v>0</v>
      </c>
      <c r="I3287">
        <f>_xlfn.MAXIFS(TableRefills3[discountinuation_flag], TableRefills3[patient_id], A3287)</f>
        <v>1</v>
      </c>
    </row>
    <row r="3288" spans="1:9" x14ac:dyDescent="0.25">
      <c r="A3288" t="s">
        <v>5223</v>
      </c>
      <c r="B3288" t="s">
        <v>5224</v>
      </c>
      <c r="C3288" s="3">
        <v>45845</v>
      </c>
      <c r="D3288">
        <v>21</v>
      </c>
      <c r="E3288" s="3">
        <f t="shared" si="51"/>
        <v>45825</v>
      </c>
      <c r="F3288" s="3">
        <f>IF(TableRefills3[[#This Row],[prev_refill_days]]="","",TableRefills3[[#This Row],[prev_refill_days]]+TableRefills3[[#This Row],[quantity_days]])</f>
        <v>45846</v>
      </c>
      <c r="G3288">
        <f>IF(TableRefills3[[#This Row],[prev_refill_end]]="","",TableRefills3[[#This Row],[refill_date]]-TableRefills3[[#This Row],[prev_refill_end]])</f>
        <v>-1</v>
      </c>
      <c r="H3288" s="10">
        <f>IF(TableRefills3[[#This Row],[gap_days]]="",0,IF(TableRefills3[[#This Row],[gap_days]]&gt;2,1,0))</f>
        <v>0</v>
      </c>
      <c r="I3288">
        <f>_xlfn.MAXIFS(TableRefills3[discountinuation_flag], TableRefills3[patient_id], A3288)</f>
        <v>1</v>
      </c>
    </row>
    <row r="3289" spans="1:9" x14ac:dyDescent="0.25">
      <c r="A3289" t="s">
        <v>5223</v>
      </c>
      <c r="B3289" t="s">
        <v>5224</v>
      </c>
      <c r="C3289" s="3">
        <v>45867</v>
      </c>
      <c r="D3289">
        <v>21</v>
      </c>
      <c r="E3289" s="3">
        <f t="shared" si="51"/>
        <v>45845</v>
      </c>
      <c r="F3289" s="3">
        <f>IF(TableRefills3[[#This Row],[prev_refill_days]]="","",TableRefills3[[#This Row],[prev_refill_days]]+TableRefills3[[#This Row],[quantity_days]])</f>
        <v>45866</v>
      </c>
      <c r="G3289">
        <f>IF(TableRefills3[[#This Row],[prev_refill_end]]="","",TableRefills3[[#This Row],[refill_date]]-TableRefills3[[#This Row],[prev_refill_end]])</f>
        <v>1</v>
      </c>
      <c r="H3289" s="10">
        <f>IF(TableRefills3[[#This Row],[gap_days]]="",0,IF(TableRefills3[[#This Row],[gap_days]]&gt;2,1,0))</f>
        <v>0</v>
      </c>
      <c r="I3289">
        <f>_xlfn.MAXIFS(TableRefills3[discountinuation_flag], TableRefills3[patient_id], A3289)</f>
        <v>1</v>
      </c>
    </row>
    <row r="3290" spans="1:9" x14ac:dyDescent="0.25">
      <c r="A3290" t="s">
        <v>5223</v>
      </c>
      <c r="B3290" t="s">
        <v>5224</v>
      </c>
      <c r="C3290" s="3">
        <v>45888</v>
      </c>
      <c r="D3290">
        <v>21</v>
      </c>
      <c r="E3290" s="3">
        <f t="shared" si="51"/>
        <v>45867</v>
      </c>
      <c r="F3290" s="3">
        <f>IF(TableRefills3[[#This Row],[prev_refill_days]]="","",TableRefills3[[#This Row],[prev_refill_days]]+TableRefills3[[#This Row],[quantity_days]])</f>
        <v>45888</v>
      </c>
      <c r="G3290">
        <f>IF(TableRefills3[[#This Row],[prev_refill_end]]="","",TableRefills3[[#This Row],[refill_date]]-TableRefills3[[#This Row],[prev_refill_end]])</f>
        <v>0</v>
      </c>
      <c r="H3290" s="10">
        <f>IF(TableRefills3[[#This Row],[gap_days]]="",0,IF(TableRefills3[[#This Row],[gap_days]]&gt;2,1,0))</f>
        <v>0</v>
      </c>
      <c r="I3290">
        <f>_xlfn.MAXIFS(TableRefills3[discountinuation_flag], TableRefills3[patient_id], A3290)</f>
        <v>1</v>
      </c>
    </row>
    <row r="3291" spans="1:9" x14ac:dyDescent="0.25">
      <c r="A3291" t="s">
        <v>5223</v>
      </c>
      <c r="B3291" t="s">
        <v>5224</v>
      </c>
      <c r="C3291" s="3">
        <v>45906</v>
      </c>
      <c r="D3291">
        <v>21</v>
      </c>
      <c r="E3291" s="3">
        <f t="shared" si="51"/>
        <v>45888</v>
      </c>
      <c r="F3291" s="3">
        <f>IF(TableRefills3[[#This Row],[prev_refill_days]]="","",TableRefills3[[#This Row],[prev_refill_days]]+TableRefills3[[#This Row],[quantity_days]])</f>
        <v>45909</v>
      </c>
      <c r="G3291">
        <f>IF(TableRefills3[[#This Row],[prev_refill_end]]="","",TableRefills3[[#This Row],[refill_date]]-TableRefills3[[#This Row],[prev_refill_end]])</f>
        <v>-3</v>
      </c>
      <c r="H3291" s="10">
        <f>IF(TableRefills3[[#This Row],[gap_days]]="",0,IF(TableRefills3[[#This Row],[gap_days]]&gt;2,1,0))</f>
        <v>0</v>
      </c>
      <c r="I3291">
        <f>_xlfn.MAXIFS(TableRefills3[discountinuation_flag], TableRefills3[patient_id], A3291)</f>
        <v>1</v>
      </c>
    </row>
    <row r="3292" spans="1:9" x14ac:dyDescent="0.25">
      <c r="A3292" t="s">
        <v>5223</v>
      </c>
      <c r="B3292" t="s">
        <v>5224</v>
      </c>
      <c r="C3292" s="3">
        <v>45925</v>
      </c>
      <c r="D3292">
        <v>21</v>
      </c>
      <c r="E3292" s="3">
        <f t="shared" si="51"/>
        <v>45906</v>
      </c>
      <c r="F3292" s="3">
        <f>IF(TableRefills3[[#This Row],[prev_refill_days]]="","",TableRefills3[[#This Row],[prev_refill_days]]+TableRefills3[[#This Row],[quantity_days]])</f>
        <v>45927</v>
      </c>
      <c r="G3292">
        <f>IF(TableRefills3[[#This Row],[prev_refill_end]]="","",TableRefills3[[#This Row],[refill_date]]-TableRefills3[[#This Row],[prev_refill_end]])</f>
        <v>-2</v>
      </c>
      <c r="H3292" s="10">
        <f>IF(TableRefills3[[#This Row],[gap_days]]="",0,IF(TableRefills3[[#This Row],[gap_days]]&gt;2,1,0))</f>
        <v>0</v>
      </c>
      <c r="I3292">
        <f>_xlfn.MAXIFS(TableRefills3[discountinuation_flag], TableRefills3[patient_id], A3292)</f>
        <v>1</v>
      </c>
    </row>
    <row r="3293" spans="1:9" x14ac:dyDescent="0.25">
      <c r="A3293" t="s">
        <v>5223</v>
      </c>
      <c r="B3293" t="s">
        <v>5224</v>
      </c>
      <c r="C3293" s="3">
        <v>45944</v>
      </c>
      <c r="D3293">
        <v>21</v>
      </c>
      <c r="E3293" s="3">
        <f t="shared" si="51"/>
        <v>45925</v>
      </c>
      <c r="F3293" s="3">
        <f>IF(TableRefills3[[#This Row],[prev_refill_days]]="","",TableRefills3[[#This Row],[prev_refill_days]]+TableRefills3[[#This Row],[quantity_days]])</f>
        <v>45946</v>
      </c>
      <c r="G3293">
        <f>IF(TableRefills3[[#This Row],[prev_refill_end]]="","",TableRefills3[[#This Row],[refill_date]]-TableRefills3[[#This Row],[prev_refill_end]])</f>
        <v>-2</v>
      </c>
      <c r="H3293" s="10">
        <f>IF(TableRefills3[[#This Row],[gap_days]]="",0,IF(TableRefills3[[#This Row],[gap_days]]&gt;2,1,0))</f>
        <v>0</v>
      </c>
      <c r="I3293">
        <f>_xlfn.MAXIFS(TableRefills3[discountinuation_flag], TableRefills3[patient_id], A3293)</f>
        <v>1</v>
      </c>
    </row>
    <row r="3294" spans="1:9" x14ac:dyDescent="0.25">
      <c r="A3294" t="s">
        <v>5234</v>
      </c>
      <c r="B3294" t="s">
        <v>5235</v>
      </c>
      <c r="C3294" s="3">
        <v>45900</v>
      </c>
      <c r="D3294">
        <v>28</v>
      </c>
      <c r="E3294" s="3" t="str">
        <f t="shared" si="51"/>
        <v/>
      </c>
      <c r="F3294" s="3" t="str">
        <f>IF(TableRefills3[[#This Row],[prev_refill_days]]="","",TableRefills3[[#This Row],[prev_refill_days]]+TableRefills3[[#This Row],[quantity_days]])</f>
        <v/>
      </c>
      <c r="G3294" t="str">
        <f>IF(TableRefills3[[#This Row],[prev_refill_end]]="","",TableRefills3[[#This Row],[refill_date]]-TableRefills3[[#This Row],[prev_refill_end]])</f>
        <v/>
      </c>
      <c r="H3294" s="10">
        <f>IF(TableRefills3[[#This Row],[gap_days]]="",0,IF(TableRefills3[[#This Row],[gap_days]]&gt;2,1,0))</f>
        <v>0</v>
      </c>
      <c r="I3294">
        <f>_xlfn.MAXIFS(TableRefills3[discountinuation_flag], TableRefills3[patient_id], A3294)</f>
        <v>0</v>
      </c>
    </row>
    <row r="3295" spans="1:9" x14ac:dyDescent="0.25">
      <c r="A3295" t="s">
        <v>5234</v>
      </c>
      <c r="B3295" t="s">
        <v>5235</v>
      </c>
      <c r="C3295" s="3">
        <v>45928</v>
      </c>
      <c r="D3295">
        <v>28</v>
      </c>
      <c r="E3295" s="3">
        <f t="shared" si="51"/>
        <v>45900</v>
      </c>
      <c r="F3295" s="3">
        <f>IF(TableRefills3[[#This Row],[prev_refill_days]]="","",TableRefills3[[#This Row],[prev_refill_days]]+TableRefills3[[#This Row],[quantity_days]])</f>
        <v>45928</v>
      </c>
      <c r="G3295">
        <f>IF(TableRefills3[[#This Row],[prev_refill_end]]="","",TableRefills3[[#This Row],[refill_date]]-TableRefills3[[#This Row],[prev_refill_end]])</f>
        <v>0</v>
      </c>
      <c r="H3295" s="10">
        <f>IF(TableRefills3[[#This Row],[gap_days]]="",0,IF(TableRefills3[[#This Row],[gap_days]]&gt;2,1,0))</f>
        <v>0</v>
      </c>
      <c r="I3295">
        <f>_xlfn.MAXIFS(TableRefills3[discountinuation_flag], TableRefills3[patient_id], A3295)</f>
        <v>0</v>
      </c>
    </row>
    <row r="3296" spans="1:9" x14ac:dyDescent="0.25">
      <c r="A3296" t="s">
        <v>5234</v>
      </c>
      <c r="B3296" t="s">
        <v>5235</v>
      </c>
      <c r="C3296" s="3">
        <v>45957</v>
      </c>
      <c r="D3296">
        <v>28</v>
      </c>
      <c r="E3296" s="3">
        <f t="shared" si="51"/>
        <v>45928</v>
      </c>
      <c r="F3296" s="3">
        <f>IF(TableRefills3[[#This Row],[prev_refill_days]]="","",TableRefills3[[#This Row],[prev_refill_days]]+TableRefills3[[#This Row],[quantity_days]])</f>
        <v>45956</v>
      </c>
      <c r="G3296">
        <f>IF(TableRefills3[[#This Row],[prev_refill_end]]="","",TableRefills3[[#This Row],[refill_date]]-TableRefills3[[#This Row],[prev_refill_end]])</f>
        <v>1</v>
      </c>
      <c r="H3296" s="10">
        <f>IF(TableRefills3[[#This Row],[gap_days]]="",0,IF(TableRefills3[[#This Row],[gap_days]]&gt;2,1,0))</f>
        <v>0</v>
      </c>
      <c r="I3296">
        <f>_xlfn.MAXIFS(TableRefills3[discountinuation_flag], TableRefills3[patient_id], A3296)</f>
        <v>0</v>
      </c>
    </row>
    <row r="3297" spans="1:9" x14ac:dyDescent="0.25">
      <c r="A3297" t="s">
        <v>5239</v>
      </c>
      <c r="B3297" t="s">
        <v>5240</v>
      </c>
      <c r="C3297" s="3">
        <v>45811</v>
      </c>
      <c r="D3297">
        <v>28</v>
      </c>
      <c r="E3297" s="3" t="str">
        <f t="shared" si="51"/>
        <v/>
      </c>
      <c r="F3297" s="3" t="str">
        <f>IF(TableRefills3[[#This Row],[prev_refill_days]]="","",TableRefills3[[#This Row],[prev_refill_days]]+TableRefills3[[#This Row],[quantity_days]])</f>
        <v/>
      </c>
      <c r="G3297" t="str">
        <f>IF(TableRefills3[[#This Row],[prev_refill_end]]="","",TableRefills3[[#This Row],[refill_date]]-TableRefills3[[#This Row],[prev_refill_end]])</f>
        <v/>
      </c>
      <c r="H3297" s="10">
        <f>IF(TableRefills3[[#This Row],[gap_days]]="",0,IF(TableRefills3[[#This Row],[gap_days]]&gt;2,1,0))</f>
        <v>0</v>
      </c>
      <c r="I3297">
        <f>_xlfn.MAXIFS(TableRefills3[discountinuation_flag], TableRefills3[patient_id], A3297)</f>
        <v>0</v>
      </c>
    </row>
    <row r="3298" spans="1:9" x14ac:dyDescent="0.25">
      <c r="A3298" t="s">
        <v>5242</v>
      </c>
      <c r="B3298" t="s">
        <v>5243</v>
      </c>
      <c r="C3298" s="3">
        <v>45835</v>
      </c>
      <c r="D3298">
        <v>28</v>
      </c>
      <c r="E3298" s="3" t="str">
        <f t="shared" si="51"/>
        <v/>
      </c>
      <c r="F3298" s="3" t="str">
        <f>IF(TableRefills3[[#This Row],[prev_refill_days]]="","",TableRefills3[[#This Row],[prev_refill_days]]+TableRefills3[[#This Row],[quantity_days]])</f>
        <v/>
      </c>
      <c r="G3298" t="str">
        <f>IF(TableRefills3[[#This Row],[prev_refill_end]]="","",TableRefills3[[#This Row],[refill_date]]-TableRefills3[[#This Row],[prev_refill_end]])</f>
        <v/>
      </c>
      <c r="H3298" s="10">
        <f>IF(TableRefills3[[#This Row],[gap_days]]="",0,IF(TableRefills3[[#This Row],[gap_days]]&gt;2,1,0))</f>
        <v>0</v>
      </c>
      <c r="I3298">
        <f>_xlfn.MAXIFS(TableRefills3[discountinuation_flag], TableRefills3[patient_id], A3298)</f>
        <v>1</v>
      </c>
    </row>
    <row r="3299" spans="1:9" x14ac:dyDescent="0.25">
      <c r="A3299" t="s">
        <v>5242</v>
      </c>
      <c r="B3299" t="s">
        <v>5243</v>
      </c>
      <c r="C3299" s="3">
        <v>45861</v>
      </c>
      <c r="D3299">
        <v>28</v>
      </c>
      <c r="E3299" s="3">
        <f t="shared" si="51"/>
        <v>45835</v>
      </c>
      <c r="F3299" s="3">
        <f>IF(TableRefills3[[#This Row],[prev_refill_days]]="","",TableRefills3[[#This Row],[prev_refill_days]]+TableRefills3[[#This Row],[quantity_days]])</f>
        <v>45863</v>
      </c>
      <c r="G3299">
        <f>IF(TableRefills3[[#This Row],[prev_refill_end]]="","",TableRefills3[[#This Row],[refill_date]]-TableRefills3[[#This Row],[prev_refill_end]])</f>
        <v>-2</v>
      </c>
      <c r="H3299" s="10">
        <f>IF(TableRefills3[[#This Row],[gap_days]]="",0,IF(TableRefills3[[#This Row],[gap_days]]&gt;2,1,0))</f>
        <v>0</v>
      </c>
      <c r="I3299">
        <f>_xlfn.MAXIFS(TableRefills3[discountinuation_flag], TableRefills3[patient_id], A3299)</f>
        <v>1</v>
      </c>
    </row>
    <row r="3300" spans="1:9" x14ac:dyDescent="0.25">
      <c r="A3300" t="s">
        <v>5242</v>
      </c>
      <c r="B3300" t="s">
        <v>5243</v>
      </c>
      <c r="C3300" s="3">
        <v>45887</v>
      </c>
      <c r="D3300">
        <v>28</v>
      </c>
      <c r="E3300" s="3">
        <f t="shared" si="51"/>
        <v>45861</v>
      </c>
      <c r="F3300" s="3">
        <f>IF(TableRefills3[[#This Row],[prev_refill_days]]="","",TableRefills3[[#This Row],[prev_refill_days]]+TableRefills3[[#This Row],[quantity_days]])</f>
        <v>45889</v>
      </c>
      <c r="G3300">
        <f>IF(TableRefills3[[#This Row],[prev_refill_end]]="","",TableRefills3[[#This Row],[refill_date]]-TableRefills3[[#This Row],[prev_refill_end]])</f>
        <v>-2</v>
      </c>
      <c r="H3300" s="10">
        <f>IF(TableRefills3[[#This Row],[gap_days]]="",0,IF(TableRefills3[[#This Row],[gap_days]]&gt;2,1,0))</f>
        <v>0</v>
      </c>
      <c r="I3300">
        <f>_xlfn.MAXIFS(TableRefills3[discountinuation_flag], TableRefills3[patient_id], A3300)</f>
        <v>1</v>
      </c>
    </row>
    <row r="3301" spans="1:9" x14ac:dyDescent="0.25">
      <c r="A3301" t="s">
        <v>5242</v>
      </c>
      <c r="B3301" t="s">
        <v>5243</v>
      </c>
      <c r="C3301" s="3">
        <v>45914</v>
      </c>
      <c r="D3301">
        <v>28</v>
      </c>
      <c r="E3301" s="3">
        <f t="shared" si="51"/>
        <v>45887</v>
      </c>
      <c r="F3301" s="3">
        <f>IF(TableRefills3[[#This Row],[prev_refill_days]]="","",TableRefills3[[#This Row],[prev_refill_days]]+TableRefills3[[#This Row],[quantity_days]])</f>
        <v>45915</v>
      </c>
      <c r="G3301">
        <f>IF(TableRefills3[[#This Row],[prev_refill_end]]="","",TableRefills3[[#This Row],[refill_date]]-TableRefills3[[#This Row],[prev_refill_end]])</f>
        <v>-1</v>
      </c>
      <c r="H3301" s="10">
        <f>IF(TableRefills3[[#This Row],[gap_days]]="",0,IF(TableRefills3[[#This Row],[gap_days]]&gt;2,1,0))</f>
        <v>0</v>
      </c>
      <c r="I3301">
        <f>_xlfn.MAXIFS(TableRefills3[discountinuation_flag], TableRefills3[patient_id], A3301)</f>
        <v>1</v>
      </c>
    </row>
    <row r="3302" spans="1:9" x14ac:dyDescent="0.25">
      <c r="A3302" t="s">
        <v>5242</v>
      </c>
      <c r="B3302" t="s">
        <v>5243</v>
      </c>
      <c r="C3302" s="3">
        <v>45945</v>
      </c>
      <c r="D3302">
        <v>28</v>
      </c>
      <c r="E3302" s="3">
        <f t="shared" si="51"/>
        <v>45914</v>
      </c>
      <c r="F3302" s="3">
        <f>IF(TableRefills3[[#This Row],[prev_refill_days]]="","",TableRefills3[[#This Row],[prev_refill_days]]+TableRefills3[[#This Row],[quantity_days]])</f>
        <v>45942</v>
      </c>
      <c r="G3302">
        <f>IF(TableRefills3[[#This Row],[prev_refill_end]]="","",TableRefills3[[#This Row],[refill_date]]-TableRefills3[[#This Row],[prev_refill_end]])</f>
        <v>3</v>
      </c>
      <c r="H3302" s="10">
        <f>IF(TableRefills3[[#This Row],[gap_days]]="",0,IF(TableRefills3[[#This Row],[gap_days]]&gt;2,1,0))</f>
        <v>1</v>
      </c>
      <c r="I3302">
        <f>_xlfn.MAXIFS(TableRefills3[discountinuation_flag], TableRefills3[patient_id], A3302)</f>
        <v>1</v>
      </c>
    </row>
    <row r="3303" spans="1:9" x14ac:dyDescent="0.25">
      <c r="A3303" t="s">
        <v>5249</v>
      </c>
      <c r="B3303" t="s">
        <v>5250</v>
      </c>
      <c r="C3303" s="3">
        <v>45952</v>
      </c>
      <c r="D3303">
        <v>28</v>
      </c>
      <c r="E3303" s="3" t="str">
        <f t="shared" si="51"/>
        <v/>
      </c>
      <c r="F3303" s="3" t="str">
        <f>IF(TableRefills3[[#This Row],[prev_refill_days]]="","",TableRefills3[[#This Row],[prev_refill_days]]+TableRefills3[[#This Row],[quantity_days]])</f>
        <v/>
      </c>
      <c r="G3303" t="str">
        <f>IF(TableRefills3[[#This Row],[prev_refill_end]]="","",TableRefills3[[#This Row],[refill_date]]-TableRefills3[[#This Row],[prev_refill_end]])</f>
        <v/>
      </c>
      <c r="H3303" s="10">
        <f>IF(TableRefills3[[#This Row],[gap_days]]="",0,IF(TableRefills3[[#This Row],[gap_days]]&gt;2,1,0))</f>
        <v>0</v>
      </c>
      <c r="I3303">
        <f>_xlfn.MAXIFS(TableRefills3[discountinuation_flag], TableRefills3[patient_id], A3303)</f>
        <v>0</v>
      </c>
    </row>
    <row r="3304" spans="1:9" x14ac:dyDescent="0.25">
      <c r="A3304" t="s">
        <v>5252</v>
      </c>
      <c r="B3304" t="s">
        <v>5253</v>
      </c>
      <c r="C3304" s="3">
        <v>45780</v>
      </c>
      <c r="D3304">
        <v>21</v>
      </c>
      <c r="E3304" s="3" t="str">
        <f t="shared" si="51"/>
        <v/>
      </c>
      <c r="F3304" s="3" t="str">
        <f>IF(TableRefills3[[#This Row],[prev_refill_days]]="","",TableRefills3[[#This Row],[prev_refill_days]]+TableRefills3[[#This Row],[quantity_days]])</f>
        <v/>
      </c>
      <c r="G3304" t="str">
        <f>IF(TableRefills3[[#This Row],[prev_refill_end]]="","",TableRefills3[[#This Row],[refill_date]]-TableRefills3[[#This Row],[prev_refill_end]])</f>
        <v/>
      </c>
      <c r="H3304" s="10">
        <f>IF(TableRefills3[[#This Row],[gap_days]]="",0,IF(TableRefills3[[#This Row],[gap_days]]&gt;2,1,0))</f>
        <v>0</v>
      </c>
      <c r="I3304">
        <f>_xlfn.MAXIFS(TableRefills3[discountinuation_flag], TableRefills3[patient_id], A3304)</f>
        <v>0</v>
      </c>
    </row>
    <row r="3305" spans="1:9" x14ac:dyDescent="0.25">
      <c r="A3305" t="s">
        <v>5255</v>
      </c>
      <c r="B3305" t="s">
        <v>5256</v>
      </c>
      <c r="C3305" s="3">
        <v>45956</v>
      </c>
      <c r="D3305">
        <v>30</v>
      </c>
      <c r="E3305" s="3" t="str">
        <f t="shared" si="51"/>
        <v/>
      </c>
      <c r="F3305" s="3" t="str">
        <f>IF(TableRefills3[[#This Row],[prev_refill_days]]="","",TableRefills3[[#This Row],[prev_refill_days]]+TableRefills3[[#This Row],[quantity_days]])</f>
        <v/>
      </c>
      <c r="G3305" t="str">
        <f>IF(TableRefills3[[#This Row],[prev_refill_end]]="","",TableRefills3[[#This Row],[refill_date]]-TableRefills3[[#This Row],[prev_refill_end]])</f>
        <v/>
      </c>
      <c r="H3305" s="10">
        <f>IF(TableRefills3[[#This Row],[gap_days]]="",0,IF(TableRefills3[[#This Row],[gap_days]]&gt;2,1,0))</f>
        <v>0</v>
      </c>
      <c r="I3305">
        <f>_xlfn.MAXIFS(TableRefills3[discountinuation_flag], TableRefills3[patient_id], A3305)</f>
        <v>0</v>
      </c>
    </row>
    <row r="3306" spans="1:9" x14ac:dyDescent="0.25">
      <c r="A3306" t="s">
        <v>5258</v>
      </c>
      <c r="B3306" t="s">
        <v>5259</v>
      </c>
      <c r="C3306" s="3">
        <v>45808</v>
      </c>
      <c r="D3306">
        <v>28</v>
      </c>
      <c r="E3306" s="3" t="str">
        <f t="shared" si="51"/>
        <v/>
      </c>
      <c r="F3306" s="3" t="str">
        <f>IF(TableRefills3[[#This Row],[prev_refill_days]]="","",TableRefills3[[#This Row],[prev_refill_days]]+TableRefills3[[#This Row],[quantity_days]])</f>
        <v/>
      </c>
      <c r="G3306" t="str">
        <f>IF(TableRefills3[[#This Row],[prev_refill_end]]="","",TableRefills3[[#This Row],[refill_date]]-TableRefills3[[#This Row],[prev_refill_end]])</f>
        <v/>
      </c>
      <c r="H3306" s="10">
        <f>IF(TableRefills3[[#This Row],[gap_days]]="",0,IF(TableRefills3[[#This Row],[gap_days]]&gt;2,1,0))</f>
        <v>0</v>
      </c>
      <c r="I3306">
        <f>_xlfn.MAXIFS(TableRefills3[discountinuation_flag], TableRefills3[patient_id], A3306)</f>
        <v>1</v>
      </c>
    </row>
    <row r="3307" spans="1:9" x14ac:dyDescent="0.25">
      <c r="A3307" t="s">
        <v>5258</v>
      </c>
      <c r="B3307" t="s">
        <v>5259</v>
      </c>
      <c r="C3307" s="3">
        <v>45833</v>
      </c>
      <c r="D3307">
        <v>28</v>
      </c>
      <c r="E3307" s="3">
        <f t="shared" si="51"/>
        <v>45808</v>
      </c>
      <c r="F3307" s="3">
        <f>IF(TableRefills3[[#This Row],[prev_refill_days]]="","",TableRefills3[[#This Row],[prev_refill_days]]+TableRefills3[[#This Row],[quantity_days]])</f>
        <v>45836</v>
      </c>
      <c r="G3307">
        <f>IF(TableRefills3[[#This Row],[prev_refill_end]]="","",TableRefills3[[#This Row],[refill_date]]-TableRefills3[[#This Row],[prev_refill_end]])</f>
        <v>-3</v>
      </c>
      <c r="H3307" s="10">
        <f>IF(TableRefills3[[#This Row],[gap_days]]="",0,IF(TableRefills3[[#This Row],[gap_days]]&gt;2,1,0))</f>
        <v>0</v>
      </c>
      <c r="I3307">
        <f>_xlfn.MAXIFS(TableRefills3[discountinuation_flag], TableRefills3[patient_id], A3307)</f>
        <v>1</v>
      </c>
    </row>
    <row r="3308" spans="1:9" x14ac:dyDescent="0.25">
      <c r="A3308" t="s">
        <v>5258</v>
      </c>
      <c r="B3308" t="s">
        <v>5259</v>
      </c>
      <c r="C3308" s="3">
        <v>45858</v>
      </c>
      <c r="D3308">
        <v>28</v>
      </c>
      <c r="E3308" s="3">
        <f t="shared" si="51"/>
        <v>45833</v>
      </c>
      <c r="F3308" s="3">
        <f>IF(TableRefills3[[#This Row],[prev_refill_days]]="","",TableRefills3[[#This Row],[prev_refill_days]]+TableRefills3[[#This Row],[quantity_days]])</f>
        <v>45861</v>
      </c>
      <c r="G3308">
        <f>IF(TableRefills3[[#This Row],[prev_refill_end]]="","",TableRefills3[[#This Row],[refill_date]]-TableRefills3[[#This Row],[prev_refill_end]])</f>
        <v>-3</v>
      </c>
      <c r="H3308" s="10">
        <f>IF(TableRefills3[[#This Row],[gap_days]]="",0,IF(TableRefills3[[#This Row],[gap_days]]&gt;2,1,0))</f>
        <v>0</v>
      </c>
      <c r="I3308">
        <f>_xlfn.MAXIFS(TableRefills3[discountinuation_flag], TableRefills3[patient_id], A3308)</f>
        <v>1</v>
      </c>
    </row>
    <row r="3309" spans="1:9" x14ac:dyDescent="0.25">
      <c r="A3309" t="s">
        <v>5258</v>
      </c>
      <c r="B3309" t="s">
        <v>5259</v>
      </c>
      <c r="C3309" s="3">
        <v>45887</v>
      </c>
      <c r="D3309">
        <v>28</v>
      </c>
      <c r="E3309" s="3">
        <f t="shared" si="51"/>
        <v>45858</v>
      </c>
      <c r="F3309" s="3">
        <f>IF(TableRefills3[[#This Row],[prev_refill_days]]="","",TableRefills3[[#This Row],[prev_refill_days]]+TableRefills3[[#This Row],[quantity_days]])</f>
        <v>45886</v>
      </c>
      <c r="G3309">
        <f>IF(TableRefills3[[#This Row],[prev_refill_end]]="","",TableRefills3[[#This Row],[refill_date]]-TableRefills3[[#This Row],[prev_refill_end]])</f>
        <v>1</v>
      </c>
      <c r="H3309" s="10">
        <f>IF(TableRefills3[[#This Row],[gap_days]]="",0,IF(TableRefills3[[#This Row],[gap_days]]&gt;2,1,0))</f>
        <v>0</v>
      </c>
      <c r="I3309">
        <f>_xlfn.MAXIFS(TableRefills3[discountinuation_flag], TableRefills3[patient_id], A3309)</f>
        <v>1</v>
      </c>
    </row>
    <row r="3310" spans="1:9" x14ac:dyDescent="0.25">
      <c r="A3310" t="s">
        <v>5258</v>
      </c>
      <c r="B3310" t="s">
        <v>5259</v>
      </c>
      <c r="C3310" s="3">
        <v>45918</v>
      </c>
      <c r="D3310">
        <v>28</v>
      </c>
      <c r="E3310" s="3">
        <f t="shared" si="51"/>
        <v>45887</v>
      </c>
      <c r="F3310" s="3">
        <f>IF(TableRefills3[[#This Row],[prev_refill_days]]="","",TableRefills3[[#This Row],[prev_refill_days]]+TableRefills3[[#This Row],[quantity_days]])</f>
        <v>45915</v>
      </c>
      <c r="G3310">
        <f>IF(TableRefills3[[#This Row],[prev_refill_end]]="","",TableRefills3[[#This Row],[refill_date]]-TableRefills3[[#This Row],[prev_refill_end]])</f>
        <v>3</v>
      </c>
      <c r="H3310" s="10">
        <f>IF(TableRefills3[[#This Row],[gap_days]]="",0,IF(TableRefills3[[#This Row],[gap_days]]&gt;2,1,0))</f>
        <v>1</v>
      </c>
      <c r="I3310">
        <f>_xlfn.MAXIFS(TableRefills3[discountinuation_flag], TableRefills3[patient_id], A3310)</f>
        <v>1</v>
      </c>
    </row>
    <row r="3311" spans="1:9" x14ac:dyDescent="0.25">
      <c r="A3311" t="s">
        <v>5258</v>
      </c>
      <c r="B3311" t="s">
        <v>5259</v>
      </c>
      <c r="C3311" s="3">
        <v>45946</v>
      </c>
      <c r="D3311">
        <v>28</v>
      </c>
      <c r="E3311" s="3">
        <f t="shared" si="51"/>
        <v>45918</v>
      </c>
      <c r="F3311" s="3">
        <f>IF(TableRefills3[[#This Row],[prev_refill_days]]="","",TableRefills3[[#This Row],[prev_refill_days]]+TableRefills3[[#This Row],[quantity_days]])</f>
        <v>45946</v>
      </c>
      <c r="G3311">
        <f>IF(TableRefills3[[#This Row],[prev_refill_end]]="","",TableRefills3[[#This Row],[refill_date]]-TableRefills3[[#This Row],[prev_refill_end]])</f>
        <v>0</v>
      </c>
      <c r="H3311" s="10">
        <f>IF(TableRefills3[[#This Row],[gap_days]]="",0,IF(TableRefills3[[#This Row],[gap_days]]&gt;2,1,0))</f>
        <v>0</v>
      </c>
      <c r="I3311">
        <f>_xlfn.MAXIFS(TableRefills3[discountinuation_flag], TableRefills3[patient_id], A3311)</f>
        <v>1</v>
      </c>
    </row>
    <row r="3312" spans="1:9" x14ac:dyDescent="0.25">
      <c r="A3312" t="s">
        <v>5266</v>
      </c>
      <c r="B3312" t="s">
        <v>5267</v>
      </c>
      <c r="C3312" s="3">
        <v>45955</v>
      </c>
      <c r="D3312">
        <v>28</v>
      </c>
      <c r="E3312" s="3" t="str">
        <f t="shared" si="51"/>
        <v/>
      </c>
      <c r="F3312" s="3" t="str">
        <f>IF(TableRefills3[[#This Row],[prev_refill_days]]="","",TableRefills3[[#This Row],[prev_refill_days]]+TableRefills3[[#This Row],[quantity_days]])</f>
        <v/>
      </c>
      <c r="G3312" t="str">
        <f>IF(TableRefills3[[#This Row],[prev_refill_end]]="","",TableRefills3[[#This Row],[refill_date]]-TableRefills3[[#This Row],[prev_refill_end]])</f>
        <v/>
      </c>
      <c r="H3312" s="10">
        <f>IF(TableRefills3[[#This Row],[gap_days]]="",0,IF(TableRefills3[[#This Row],[gap_days]]&gt;2,1,0))</f>
        <v>0</v>
      </c>
      <c r="I3312">
        <f>_xlfn.MAXIFS(TableRefills3[discountinuation_flag], TableRefills3[patient_id], A3312)</f>
        <v>0</v>
      </c>
    </row>
    <row r="3313" spans="1:9" x14ac:dyDescent="0.25">
      <c r="A3313" t="s">
        <v>5269</v>
      </c>
      <c r="B3313" t="s">
        <v>5270</v>
      </c>
      <c r="C3313" s="3">
        <v>45900</v>
      </c>
      <c r="D3313">
        <v>30</v>
      </c>
      <c r="E3313" s="3" t="str">
        <f t="shared" si="51"/>
        <v/>
      </c>
      <c r="F3313" s="3" t="str">
        <f>IF(TableRefills3[[#This Row],[prev_refill_days]]="","",TableRefills3[[#This Row],[prev_refill_days]]+TableRefills3[[#This Row],[quantity_days]])</f>
        <v/>
      </c>
      <c r="G3313" t="str">
        <f>IF(TableRefills3[[#This Row],[prev_refill_end]]="","",TableRefills3[[#This Row],[refill_date]]-TableRefills3[[#This Row],[prev_refill_end]])</f>
        <v/>
      </c>
      <c r="H3313" s="10">
        <f>IF(TableRefills3[[#This Row],[gap_days]]="",0,IF(TableRefills3[[#This Row],[gap_days]]&gt;2,1,0))</f>
        <v>0</v>
      </c>
      <c r="I3313">
        <f>_xlfn.MAXIFS(TableRefills3[discountinuation_flag], TableRefills3[patient_id], A3313)</f>
        <v>1</v>
      </c>
    </row>
    <row r="3314" spans="1:9" x14ac:dyDescent="0.25">
      <c r="A3314" t="s">
        <v>5269</v>
      </c>
      <c r="B3314" t="s">
        <v>5270</v>
      </c>
      <c r="C3314" s="3">
        <v>45933</v>
      </c>
      <c r="D3314">
        <v>30</v>
      </c>
      <c r="E3314" s="3">
        <f t="shared" si="51"/>
        <v>45900</v>
      </c>
      <c r="F3314" s="3">
        <f>IF(TableRefills3[[#This Row],[prev_refill_days]]="","",TableRefills3[[#This Row],[prev_refill_days]]+TableRefills3[[#This Row],[quantity_days]])</f>
        <v>45930</v>
      </c>
      <c r="G3314">
        <f>IF(TableRefills3[[#This Row],[prev_refill_end]]="","",TableRefills3[[#This Row],[refill_date]]-TableRefills3[[#This Row],[prev_refill_end]])</f>
        <v>3</v>
      </c>
      <c r="H3314" s="10">
        <f>IF(TableRefills3[[#This Row],[gap_days]]="",0,IF(TableRefills3[[#This Row],[gap_days]]&gt;2,1,0))</f>
        <v>1</v>
      </c>
      <c r="I3314">
        <f>_xlfn.MAXIFS(TableRefills3[discountinuation_flag], TableRefills3[patient_id], A3314)</f>
        <v>1</v>
      </c>
    </row>
    <row r="3315" spans="1:9" x14ac:dyDescent="0.25">
      <c r="A3315" t="s">
        <v>5273</v>
      </c>
      <c r="B3315" t="s">
        <v>5274</v>
      </c>
      <c r="C3315" s="3">
        <v>45836</v>
      </c>
      <c r="D3315">
        <v>28</v>
      </c>
      <c r="E3315" s="3" t="str">
        <f t="shared" si="51"/>
        <v/>
      </c>
      <c r="F3315" s="3" t="str">
        <f>IF(TableRefills3[[#This Row],[prev_refill_days]]="","",TableRefills3[[#This Row],[prev_refill_days]]+TableRefills3[[#This Row],[quantity_days]])</f>
        <v/>
      </c>
      <c r="G3315" t="str">
        <f>IF(TableRefills3[[#This Row],[prev_refill_end]]="","",TableRefills3[[#This Row],[refill_date]]-TableRefills3[[#This Row],[prev_refill_end]])</f>
        <v/>
      </c>
      <c r="H3315" s="10">
        <f>IF(TableRefills3[[#This Row],[gap_days]]="",0,IF(TableRefills3[[#This Row],[gap_days]]&gt;2,1,0))</f>
        <v>0</v>
      </c>
      <c r="I3315">
        <f>_xlfn.MAXIFS(TableRefills3[discountinuation_flag], TableRefills3[patient_id], A3315)</f>
        <v>0</v>
      </c>
    </row>
    <row r="3316" spans="1:9" x14ac:dyDescent="0.25">
      <c r="A3316" t="s">
        <v>5273</v>
      </c>
      <c r="B3316" t="s">
        <v>5274</v>
      </c>
      <c r="C3316" s="3">
        <v>45865</v>
      </c>
      <c r="D3316">
        <v>28</v>
      </c>
      <c r="E3316" s="3">
        <f t="shared" si="51"/>
        <v>45836</v>
      </c>
      <c r="F3316" s="3">
        <f>IF(TableRefills3[[#This Row],[prev_refill_days]]="","",TableRefills3[[#This Row],[prev_refill_days]]+TableRefills3[[#This Row],[quantity_days]])</f>
        <v>45864</v>
      </c>
      <c r="G3316">
        <f>IF(TableRefills3[[#This Row],[prev_refill_end]]="","",TableRefills3[[#This Row],[refill_date]]-TableRefills3[[#This Row],[prev_refill_end]])</f>
        <v>1</v>
      </c>
      <c r="H3316" s="10">
        <f>IF(TableRefills3[[#This Row],[gap_days]]="",0,IF(TableRefills3[[#This Row],[gap_days]]&gt;2,1,0))</f>
        <v>0</v>
      </c>
      <c r="I3316">
        <f>_xlfn.MAXIFS(TableRefills3[discountinuation_flag], TableRefills3[patient_id], A3316)</f>
        <v>0</v>
      </c>
    </row>
    <row r="3317" spans="1:9" x14ac:dyDescent="0.25">
      <c r="A3317" t="s">
        <v>5273</v>
      </c>
      <c r="B3317" t="s">
        <v>5274</v>
      </c>
      <c r="C3317" s="3">
        <v>45894</v>
      </c>
      <c r="D3317">
        <v>28</v>
      </c>
      <c r="E3317" s="3">
        <f t="shared" si="51"/>
        <v>45865</v>
      </c>
      <c r="F3317" s="3">
        <f>IF(TableRefills3[[#This Row],[prev_refill_days]]="","",TableRefills3[[#This Row],[prev_refill_days]]+TableRefills3[[#This Row],[quantity_days]])</f>
        <v>45893</v>
      </c>
      <c r="G3317">
        <f>IF(TableRefills3[[#This Row],[prev_refill_end]]="","",TableRefills3[[#This Row],[refill_date]]-TableRefills3[[#This Row],[prev_refill_end]])</f>
        <v>1</v>
      </c>
      <c r="H3317" s="10">
        <f>IF(TableRefills3[[#This Row],[gap_days]]="",0,IF(TableRefills3[[#This Row],[gap_days]]&gt;2,1,0))</f>
        <v>0</v>
      </c>
      <c r="I3317">
        <f>_xlfn.MAXIFS(TableRefills3[discountinuation_flag], TableRefills3[patient_id], A3317)</f>
        <v>0</v>
      </c>
    </row>
    <row r="3318" spans="1:9" x14ac:dyDescent="0.25">
      <c r="A3318" t="s">
        <v>5273</v>
      </c>
      <c r="B3318" t="s">
        <v>5274</v>
      </c>
      <c r="C3318" s="3">
        <v>45919</v>
      </c>
      <c r="D3318">
        <v>28</v>
      </c>
      <c r="E3318" s="3">
        <f t="shared" si="51"/>
        <v>45894</v>
      </c>
      <c r="F3318" s="3">
        <f>IF(TableRefills3[[#This Row],[prev_refill_days]]="","",TableRefills3[[#This Row],[prev_refill_days]]+TableRefills3[[#This Row],[quantity_days]])</f>
        <v>45922</v>
      </c>
      <c r="G3318">
        <f>IF(TableRefills3[[#This Row],[prev_refill_end]]="","",TableRefills3[[#This Row],[refill_date]]-TableRefills3[[#This Row],[prev_refill_end]])</f>
        <v>-3</v>
      </c>
      <c r="H3318" s="10">
        <f>IF(TableRefills3[[#This Row],[gap_days]]="",0,IF(TableRefills3[[#This Row],[gap_days]]&gt;2,1,0))</f>
        <v>0</v>
      </c>
      <c r="I3318">
        <f>_xlfn.MAXIFS(TableRefills3[discountinuation_flag], TableRefills3[patient_id], A3318)</f>
        <v>0</v>
      </c>
    </row>
    <row r="3319" spans="1:9" x14ac:dyDescent="0.25">
      <c r="A3319" t="s">
        <v>5273</v>
      </c>
      <c r="B3319" t="s">
        <v>5274</v>
      </c>
      <c r="C3319" s="3">
        <v>45949</v>
      </c>
      <c r="D3319">
        <v>28</v>
      </c>
      <c r="E3319" s="3">
        <f t="shared" si="51"/>
        <v>45919</v>
      </c>
      <c r="F3319" s="3">
        <f>IF(TableRefills3[[#This Row],[prev_refill_days]]="","",TableRefills3[[#This Row],[prev_refill_days]]+TableRefills3[[#This Row],[quantity_days]])</f>
        <v>45947</v>
      </c>
      <c r="G3319">
        <f>IF(TableRefills3[[#This Row],[prev_refill_end]]="","",TableRefills3[[#This Row],[refill_date]]-TableRefills3[[#This Row],[prev_refill_end]])</f>
        <v>2</v>
      </c>
      <c r="H3319" s="10">
        <f>IF(TableRefills3[[#This Row],[gap_days]]="",0,IF(TableRefills3[[#This Row],[gap_days]]&gt;2,1,0))</f>
        <v>0</v>
      </c>
      <c r="I3319">
        <f>_xlfn.MAXIFS(TableRefills3[discountinuation_flag], TableRefills3[patient_id], A3319)</f>
        <v>0</v>
      </c>
    </row>
    <row r="3320" spans="1:9" x14ac:dyDescent="0.25">
      <c r="A3320" t="s">
        <v>5280</v>
      </c>
      <c r="B3320" t="s">
        <v>5281</v>
      </c>
      <c r="C3320" s="3">
        <v>45800</v>
      </c>
      <c r="D3320">
        <v>28</v>
      </c>
      <c r="E3320" s="3" t="str">
        <f t="shared" si="51"/>
        <v/>
      </c>
      <c r="F3320" s="3" t="str">
        <f>IF(TableRefills3[[#This Row],[prev_refill_days]]="","",TableRefills3[[#This Row],[prev_refill_days]]+TableRefills3[[#This Row],[quantity_days]])</f>
        <v/>
      </c>
      <c r="G3320" t="str">
        <f>IF(TableRefills3[[#This Row],[prev_refill_end]]="","",TableRefills3[[#This Row],[refill_date]]-TableRefills3[[#This Row],[prev_refill_end]])</f>
        <v/>
      </c>
      <c r="H3320" s="10">
        <f>IF(TableRefills3[[#This Row],[gap_days]]="",0,IF(TableRefills3[[#This Row],[gap_days]]&gt;2,1,0))</f>
        <v>0</v>
      </c>
      <c r="I3320">
        <f>_xlfn.MAXIFS(TableRefills3[discountinuation_flag], TableRefills3[patient_id], A3320)</f>
        <v>0</v>
      </c>
    </row>
    <row r="3321" spans="1:9" x14ac:dyDescent="0.25">
      <c r="A3321" t="s">
        <v>5280</v>
      </c>
      <c r="B3321" t="s">
        <v>5281</v>
      </c>
      <c r="C3321" s="3">
        <v>45827</v>
      </c>
      <c r="D3321">
        <v>28</v>
      </c>
      <c r="E3321" s="3">
        <f t="shared" si="51"/>
        <v>45800</v>
      </c>
      <c r="F3321" s="3">
        <f>IF(TableRefills3[[#This Row],[prev_refill_days]]="","",TableRefills3[[#This Row],[prev_refill_days]]+TableRefills3[[#This Row],[quantity_days]])</f>
        <v>45828</v>
      </c>
      <c r="G3321">
        <f>IF(TableRefills3[[#This Row],[prev_refill_end]]="","",TableRefills3[[#This Row],[refill_date]]-TableRefills3[[#This Row],[prev_refill_end]])</f>
        <v>-1</v>
      </c>
      <c r="H3321" s="10">
        <f>IF(TableRefills3[[#This Row],[gap_days]]="",0,IF(TableRefills3[[#This Row],[gap_days]]&gt;2,1,0))</f>
        <v>0</v>
      </c>
      <c r="I3321">
        <f>_xlfn.MAXIFS(TableRefills3[discountinuation_flag], TableRefills3[patient_id], A3321)</f>
        <v>0</v>
      </c>
    </row>
    <row r="3322" spans="1:9" x14ac:dyDescent="0.25">
      <c r="A3322" t="s">
        <v>5284</v>
      </c>
      <c r="B3322" t="s">
        <v>5285</v>
      </c>
      <c r="C3322" s="3">
        <v>45804</v>
      </c>
      <c r="D3322">
        <v>21</v>
      </c>
      <c r="E3322" s="3" t="str">
        <f t="shared" si="51"/>
        <v/>
      </c>
      <c r="F3322" s="3" t="str">
        <f>IF(TableRefills3[[#This Row],[prev_refill_days]]="","",TableRefills3[[#This Row],[prev_refill_days]]+TableRefills3[[#This Row],[quantity_days]])</f>
        <v/>
      </c>
      <c r="G3322" t="str">
        <f>IF(TableRefills3[[#This Row],[prev_refill_end]]="","",TableRefills3[[#This Row],[refill_date]]-TableRefills3[[#This Row],[prev_refill_end]])</f>
        <v/>
      </c>
      <c r="H3322" s="10">
        <f>IF(TableRefills3[[#This Row],[gap_days]]="",0,IF(TableRefills3[[#This Row],[gap_days]]&gt;2,1,0))</f>
        <v>0</v>
      </c>
      <c r="I3322">
        <f>_xlfn.MAXIFS(TableRefills3[discountinuation_flag], TableRefills3[patient_id], A3322)</f>
        <v>1</v>
      </c>
    </row>
    <row r="3323" spans="1:9" x14ac:dyDescent="0.25">
      <c r="A3323" t="s">
        <v>5284</v>
      </c>
      <c r="B3323" t="s">
        <v>5285</v>
      </c>
      <c r="C3323" s="3">
        <v>45826</v>
      </c>
      <c r="D3323">
        <v>21</v>
      </c>
      <c r="E3323" s="3">
        <f t="shared" si="51"/>
        <v>45804</v>
      </c>
      <c r="F3323" s="3">
        <f>IF(TableRefills3[[#This Row],[prev_refill_days]]="","",TableRefills3[[#This Row],[prev_refill_days]]+TableRefills3[[#This Row],[quantity_days]])</f>
        <v>45825</v>
      </c>
      <c r="G3323">
        <f>IF(TableRefills3[[#This Row],[prev_refill_end]]="","",TableRefills3[[#This Row],[refill_date]]-TableRefills3[[#This Row],[prev_refill_end]])</f>
        <v>1</v>
      </c>
      <c r="H3323" s="10">
        <f>IF(TableRefills3[[#This Row],[gap_days]]="",0,IF(TableRefills3[[#This Row],[gap_days]]&gt;2,1,0))</f>
        <v>0</v>
      </c>
      <c r="I3323">
        <f>_xlfn.MAXIFS(TableRefills3[discountinuation_flag], TableRefills3[patient_id], A3323)</f>
        <v>1</v>
      </c>
    </row>
    <row r="3324" spans="1:9" x14ac:dyDescent="0.25">
      <c r="A3324" t="s">
        <v>5284</v>
      </c>
      <c r="B3324" t="s">
        <v>5285</v>
      </c>
      <c r="C3324" s="3">
        <v>45850</v>
      </c>
      <c r="D3324">
        <v>21</v>
      </c>
      <c r="E3324" s="3">
        <f t="shared" si="51"/>
        <v>45826</v>
      </c>
      <c r="F3324" s="3">
        <f>IF(TableRefills3[[#This Row],[prev_refill_days]]="","",TableRefills3[[#This Row],[prev_refill_days]]+TableRefills3[[#This Row],[quantity_days]])</f>
        <v>45847</v>
      </c>
      <c r="G3324">
        <f>IF(TableRefills3[[#This Row],[prev_refill_end]]="","",TableRefills3[[#This Row],[refill_date]]-TableRefills3[[#This Row],[prev_refill_end]])</f>
        <v>3</v>
      </c>
      <c r="H3324" s="10">
        <f>IF(TableRefills3[[#This Row],[gap_days]]="",0,IF(TableRefills3[[#This Row],[gap_days]]&gt;2,1,0))</f>
        <v>1</v>
      </c>
      <c r="I3324">
        <f>_xlfn.MAXIFS(TableRefills3[discountinuation_flag], TableRefills3[patient_id], A3324)</f>
        <v>1</v>
      </c>
    </row>
    <row r="3325" spans="1:9" x14ac:dyDescent="0.25">
      <c r="A3325" t="s">
        <v>5284</v>
      </c>
      <c r="B3325" t="s">
        <v>5285</v>
      </c>
      <c r="C3325" s="3">
        <v>45870</v>
      </c>
      <c r="D3325">
        <v>21</v>
      </c>
      <c r="E3325" s="3">
        <f t="shared" si="51"/>
        <v>45850</v>
      </c>
      <c r="F3325" s="3">
        <f>IF(TableRefills3[[#This Row],[prev_refill_days]]="","",TableRefills3[[#This Row],[prev_refill_days]]+TableRefills3[[#This Row],[quantity_days]])</f>
        <v>45871</v>
      </c>
      <c r="G3325">
        <f>IF(TableRefills3[[#This Row],[prev_refill_end]]="","",TableRefills3[[#This Row],[refill_date]]-TableRefills3[[#This Row],[prev_refill_end]])</f>
        <v>-1</v>
      </c>
      <c r="H3325" s="10">
        <f>IF(TableRefills3[[#This Row],[gap_days]]="",0,IF(TableRefills3[[#This Row],[gap_days]]&gt;2,1,0))</f>
        <v>0</v>
      </c>
      <c r="I3325">
        <f>_xlfn.MAXIFS(TableRefills3[discountinuation_flag], TableRefills3[patient_id], A3325)</f>
        <v>1</v>
      </c>
    </row>
    <row r="3326" spans="1:9" x14ac:dyDescent="0.25">
      <c r="A3326" t="s">
        <v>5284</v>
      </c>
      <c r="B3326" t="s">
        <v>5285</v>
      </c>
      <c r="C3326" s="3">
        <v>45894</v>
      </c>
      <c r="D3326">
        <v>21</v>
      </c>
      <c r="E3326" s="3">
        <f t="shared" si="51"/>
        <v>45870</v>
      </c>
      <c r="F3326" s="3">
        <f>IF(TableRefills3[[#This Row],[prev_refill_days]]="","",TableRefills3[[#This Row],[prev_refill_days]]+TableRefills3[[#This Row],[quantity_days]])</f>
        <v>45891</v>
      </c>
      <c r="G3326">
        <f>IF(TableRefills3[[#This Row],[prev_refill_end]]="","",TableRefills3[[#This Row],[refill_date]]-TableRefills3[[#This Row],[prev_refill_end]])</f>
        <v>3</v>
      </c>
      <c r="H3326" s="10">
        <f>IF(TableRefills3[[#This Row],[gap_days]]="",0,IF(TableRefills3[[#This Row],[gap_days]]&gt;2,1,0))</f>
        <v>1</v>
      </c>
      <c r="I3326">
        <f>_xlfn.MAXIFS(TableRefills3[discountinuation_flag], TableRefills3[patient_id], A3326)</f>
        <v>1</v>
      </c>
    </row>
    <row r="3327" spans="1:9" x14ac:dyDescent="0.25">
      <c r="A3327" t="s">
        <v>5284</v>
      </c>
      <c r="B3327" t="s">
        <v>5285</v>
      </c>
      <c r="C3327" s="3">
        <v>45917</v>
      </c>
      <c r="D3327">
        <v>21</v>
      </c>
      <c r="E3327" s="3">
        <f t="shared" si="51"/>
        <v>45894</v>
      </c>
      <c r="F3327" s="3">
        <f>IF(TableRefills3[[#This Row],[prev_refill_days]]="","",TableRefills3[[#This Row],[prev_refill_days]]+TableRefills3[[#This Row],[quantity_days]])</f>
        <v>45915</v>
      </c>
      <c r="G3327">
        <f>IF(TableRefills3[[#This Row],[prev_refill_end]]="","",TableRefills3[[#This Row],[refill_date]]-TableRefills3[[#This Row],[prev_refill_end]])</f>
        <v>2</v>
      </c>
      <c r="H3327" s="10">
        <f>IF(TableRefills3[[#This Row],[gap_days]]="",0,IF(TableRefills3[[#This Row],[gap_days]]&gt;2,1,0))</f>
        <v>0</v>
      </c>
      <c r="I3327">
        <f>_xlfn.MAXIFS(TableRefills3[discountinuation_flag], TableRefills3[patient_id], A3327)</f>
        <v>1</v>
      </c>
    </row>
    <row r="3328" spans="1:9" x14ac:dyDescent="0.25">
      <c r="A3328" t="s">
        <v>5284</v>
      </c>
      <c r="B3328" t="s">
        <v>5285</v>
      </c>
      <c r="C3328" s="3">
        <v>45941</v>
      </c>
      <c r="D3328">
        <v>21</v>
      </c>
      <c r="E3328" s="3">
        <f t="shared" si="51"/>
        <v>45917</v>
      </c>
      <c r="F3328" s="3">
        <f>IF(TableRefills3[[#This Row],[prev_refill_days]]="","",TableRefills3[[#This Row],[prev_refill_days]]+TableRefills3[[#This Row],[quantity_days]])</f>
        <v>45938</v>
      </c>
      <c r="G3328">
        <f>IF(TableRefills3[[#This Row],[prev_refill_end]]="","",TableRefills3[[#This Row],[refill_date]]-TableRefills3[[#This Row],[prev_refill_end]])</f>
        <v>3</v>
      </c>
      <c r="H3328" s="10">
        <f>IF(TableRefills3[[#This Row],[gap_days]]="",0,IF(TableRefills3[[#This Row],[gap_days]]&gt;2,1,0))</f>
        <v>1</v>
      </c>
      <c r="I3328">
        <f>_xlfn.MAXIFS(TableRefills3[discountinuation_flag], TableRefills3[patient_id], A3328)</f>
        <v>1</v>
      </c>
    </row>
    <row r="3329" spans="1:9" x14ac:dyDescent="0.25">
      <c r="A3329" t="s">
        <v>5293</v>
      </c>
      <c r="B3329" t="s">
        <v>5294</v>
      </c>
      <c r="C3329" s="3">
        <v>45858</v>
      </c>
      <c r="D3329">
        <v>28</v>
      </c>
      <c r="E3329" s="3" t="str">
        <f t="shared" si="51"/>
        <v/>
      </c>
      <c r="F3329" s="3" t="str">
        <f>IF(TableRefills3[[#This Row],[prev_refill_days]]="","",TableRefills3[[#This Row],[prev_refill_days]]+TableRefills3[[#This Row],[quantity_days]])</f>
        <v/>
      </c>
      <c r="G3329" t="str">
        <f>IF(TableRefills3[[#This Row],[prev_refill_end]]="","",TableRefills3[[#This Row],[refill_date]]-TableRefills3[[#This Row],[prev_refill_end]])</f>
        <v/>
      </c>
      <c r="H3329" s="10">
        <f>IF(TableRefills3[[#This Row],[gap_days]]="",0,IF(TableRefills3[[#This Row],[gap_days]]&gt;2,1,0))</f>
        <v>0</v>
      </c>
      <c r="I3329">
        <f>_xlfn.MAXIFS(TableRefills3[discountinuation_flag], TableRefills3[patient_id], A3329)</f>
        <v>0</v>
      </c>
    </row>
    <row r="3330" spans="1:9" x14ac:dyDescent="0.25">
      <c r="A3330" t="s">
        <v>5293</v>
      </c>
      <c r="B3330" t="s">
        <v>5294</v>
      </c>
      <c r="C3330" s="3">
        <v>45884</v>
      </c>
      <c r="D3330">
        <v>28</v>
      </c>
      <c r="E3330" s="3">
        <f t="shared" ref="E3330:E3393" si="52">IF(A3329=A3330,C3329,"")</f>
        <v>45858</v>
      </c>
      <c r="F3330" s="3">
        <f>IF(TableRefills3[[#This Row],[prev_refill_days]]="","",TableRefills3[[#This Row],[prev_refill_days]]+TableRefills3[[#This Row],[quantity_days]])</f>
        <v>45886</v>
      </c>
      <c r="G3330">
        <f>IF(TableRefills3[[#This Row],[prev_refill_end]]="","",TableRefills3[[#This Row],[refill_date]]-TableRefills3[[#This Row],[prev_refill_end]])</f>
        <v>-2</v>
      </c>
      <c r="H3330" s="10">
        <f>IF(TableRefills3[[#This Row],[gap_days]]="",0,IF(TableRefills3[[#This Row],[gap_days]]&gt;2,1,0))</f>
        <v>0</v>
      </c>
      <c r="I3330">
        <f>_xlfn.MAXIFS(TableRefills3[discountinuation_flag], TableRefills3[patient_id], A3330)</f>
        <v>0</v>
      </c>
    </row>
    <row r="3331" spans="1:9" x14ac:dyDescent="0.25">
      <c r="A3331" t="s">
        <v>5297</v>
      </c>
      <c r="B3331" t="s">
        <v>5298</v>
      </c>
      <c r="C3331" s="3">
        <v>45854</v>
      </c>
      <c r="D3331">
        <v>28</v>
      </c>
      <c r="E3331" s="3" t="str">
        <f t="shared" si="52"/>
        <v/>
      </c>
      <c r="F3331" s="3" t="str">
        <f>IF(TableRefills3[[#This Row],[prev_refill_days]]="","",TableRefills3[[#This Row],[prev_refill_days]]+TableRefills3[[#This Row],[quantity_days]])</f>
        <v/>
      </c>
      <c r="G3331" t="str">
        <f>IF(TableRefills3[[#This Row],[prev_refill_end]]="","",TableRefills3[[#This Row],[refill_date]]-TableRefills3[[#This Row],[prev_refill_end]])</f>
        <v/>
      </c>
      <c r="H3331" s="10">
        <f>IF(TableRefills3[[#This Row],[gap_days]]="",0,IF(TableRefills3[[#This Row],[gap_days]]&gt;2,1,0))</f>
        <v>0</v>
      </c>
      <c r="I3331">
        <f>_xlfn.MAXIFS(TableRefills3[discountinuation_flag], TableRefills3[patient_id], A3331)</f>
        <v>0</v>
      </c>
    </row>
    <row r="3332" spans="1:9" x14ac:dyDescent="0.25">
      <c r="A3332" t="s">
        <v>5297</v>
      </c>
      <c r="B3332" t="s">
        <v>5298</v>
      </c>
      <c r="C3332" s="3">
        <v>45880</v>
      </c>
      <c r="D3332">
        <v>28</v>
      </c>
      <c r="E3332" s="3">
        <f t="shared" si="52"/>
        <v>45854</v>
      </c>
      <c r="F3332" s="3">
        <f>IF(TableRefills3[[#This Row],[prev_refill_days]]="","",TableRefills3[[#This Row],[prev_refill_days]]+TableRefills3[[#This Row],[quantity_days]])</f>
        <v>45882</v>
      </c>
      <c r="G3332">
        <f>IF(TableRefills3[[#This Row],[prev_refill_end]]="","",TableRefills3[[#This Row],[refill_date]]-TableRefills3[[#This Row],[prev_refill_end]])</f>
        <v>-2</v>
      </c>
      <c r="H3332" s="10">
        <f>IF(TableRefills3[[#This Row],[gap_days]]="",0,IF(TableRefills3[[#This Row],[gap_days]]&gt;2,1,0))</f>
        <v>0</v>
      </c>
      <c r="I3332">
        <f>_xlfn.MAXIFS(TableRefills3[discountinuation_flag], TableRefills3[patient_id], A3332)</f>
        <v>0</v>
      </c>
    </row>
    <row r="3333" spans="1:9" x14ac:dyDescent="0.25">
      <c r="A3333" t="s">
        <v>5297</v>
      </c>
      <c r="B3333" t="s">
        <v>5298</v>
      </c>
      <c r="C3333" s="3">
        <v>45908</v>
      </c>
      <c r="D3333">
        <v>28</v>
      </c>
      <c r="E3333" s="3">
        <f t="shared" si="52"/>
        <v>45880</v>
      </c>
      <c r="F3333" s="3">
        <f>IF(TableRefills3[[#This Row],[prev_refill_days]]="","",TableRefills3[[#This Row],[prev_refill_days]]+TableRefills3[[#This Row],[quantity_days]])</f>
        <v>45908</v>
      </c>
      <c r="G3333">
        <f>IF(TableRefills3[[#This Row],[prev_refill_end]]="","",TableRefills3[[#This Row],[refill_date]]-TableRefills3[[#This Row],[prev_refill_end]])</f>
        <v>0</v>
      </c>
      <c r="H3333" s="10">
        <f>IF(TableRefills3[[#This Row],[gap_days]]="",0,IF(TableRefills3[[#This Row],[gap_days]]&gt;2,1,0))</f>
        <v>0</v>
      </c>
      <c r="I3333">
        <f>_xlfn.MAXIFS(TableRefills3[discountinuation_flag], TableRefills3[patient_id], A3333)</f>
        <v>0</v>
      </c>
    </row>
    <row r="3334" spans="1:9" x14ac:dyDescent="0.25">
      <c r="A3334" t="s">
        <v>5297</v>
      </c>
      <c r="B3334" t="s">
        <v>5298</v>
      </c>
      <c r="C3334" s="3">
        <v>45935</v>
      </c>
      <c r="D3334">
        <v>28</v>
      </c>
      <c r="E3334" s="3">
        <f t="shared" si="52"/>
        <v>45908</v>
      </c>
      <c r="F3334" s="3">
        <f>IF(TableRefills3[[#This Row],[prev_refill_days]]="","",TableRefills3[[#This Row],[prev_refill_days]]+TableRefills3[[#This Row],[quantity_days]])</f>
        <v>45936</v>
      </c>
      <c r="G3334">
        <f>IF(TableRefills3[[#This Row],[prev_refill_end]]="","",TableRefills3[[#This Row],[refill_date]]-TableRefills3[[#This Row],[prev_refill_end]])</f>
        <v>-1</v>
      </c>
      <c r="H3334" s="10">
        <f>IF(TableRefills3[[#This Row],[gap_days]]="",0,IF(TableRefills3[[#This Row],[gap_days]]&gt;2,1,0))</f>
        <v>0</v>
      </c>
      <c r="I3334">
        <f>_xlfn.MAXIFS(TableRefills3[discountinuation_flag], TableRefills3[patient_id], A3334)</f>
        <v>0</v>
      </c>
    </row>
    <row r="3335" spans="1:9" x14ac:dyDescent="0.25">
      <c r="A3335" t="s">
        <v>5303</v>
      </c>
      <c r="B3335" t="s">
        <v>5304</v>
      </c>
      <c r="C3335" s="3">
        <v>45875</v>
      </c>
      <c r="D3335">
        <v>28</v>
      </c>
      <c r="E3335" s="3" t="str">
        <f t="shared" si="52"/>
        <v/>
      </c>
      <c r="F3335" s="3" t="str">
        <f>IF(TableRefills3[[#This Row],[prev_refill_days]]="","",TableRefills3[[#This Row],[prev_refill_days]]+TableRefills3[[#This Row],[quantity_days]])</f>
        <v/>
      </c>
      <c r="G3335" t="str">
        <f>IF(TableRefills3[[#This Row],[prev_refill_end]]="","",TableRefills3[[#This Row],[refill_date]]-TableRefills3[[#This Row],[prev_refill_end]])</f>
        <v/>
      </c>
      <c r="H3335" s="10">
        <f>IF(TableRefills3[[#This Row],[gap_days]]="",0,IF(TableRefills3[[#This Row],[gap_days]]&gt;2,1,0))</f>
        <v>0</v>
      </c>
      <c r="I3335">
        <f>_xlfn.MAXIFS(TableRefills3[discountinuation_flag], TableRefills3[patient_id], A3335)</f>
        <v>0</v>
      </c>
    </row>
    <row r="3336" spans="1:9" x14ac:dyDescent="0.25">
      <c r="A3336" t="s">
        <v>5303</v>
      </c>
      <c r="B3336" t="s">
        <v>5304</v>
      </c>
      <c r="C3336" s="3">
        <v>45904</v>
      </c>
      <c r="D3336">
        <v>28</v>
      </c>
      <c r="E3336" s="3">
        <f t="shared" si="52"/>
        <v>45875</v>
      </c>
      <c r="F3336" s="3">
        <f>IF(TableRefills3[[#This Row],[prev_refill_days]]="","",TableRefills3[[#This Row],[prev_refill_days]]+TableRefills3[[#This Row],[quantity_days]])</f>
        <v>45903</v>
      </c>
      <c r="G3336">
        <f>IF(TableRefills3[[#This Row],[prev_refill_end]]="","",TableRefills3[[#This Row],[refill_date]]-TableRefills3[[#This Row],[prev_refill_end]])</f>
        <v>1</v>
      </c>
      <c r="H3336" s="10">
        <f>IF(TableRefills3[[#This Row],[gap_days]]="",0,IF(TableRefills3[[#This Row],[gap_days]]&gt;2,1,0))</f>
        <v>0</v>
      </c>
      <c r="I3336">
        <f>_xlfn.MAXIFS(TableRefills3[discountinuation_flag], TableRefills3[patient_id], A3336)</f>
        <v>0</v>
      </c>
    </row>
    <row r="3337" spans="1:9" x14ac:dyDescent="0.25">
      <c r="A3337" t="s">
        <v>5303</v>
      </c>
      <c r="B3337" t="s">
        <v>5304</v>
      </c>
      <c r="C3337" s="3">
        <v>45929</v>
      </c>
      <c r="D3337">
        <v>28</v>
      </c>
      <c r="E3337" s="3">
        <f t="shared" si="52"/>
        <v>45904</v>
      </c>
      <c r="F3337" s="3">
        <f>IF(TableRefills3[[#This Row],[prev_refill_days]]="","",TableRefills3[[#This Row],[prev_refill_days]]+TableRefills3[[#This Row],[quantity_days]])</f>
        <v>45932</v>
      </c>
      <c r="G3337">
        <f>IF(TableRefills3[[#This Row],[prev_refill_end]]="","",TableRefills3[[#This Row],[refill_date]]-TableRefills3[[#This Row],[prev_refill_end]])</f>
        <v>-3</v>
      </c>
      <c r="H3337" s="10">
        <f>IF(TableRefills3[[#This Row],[gap_days]]="",0,IF(TableRefills3[[#This Row],[gap_days]]&gt;2,1,0))</f>
        <v>0</v>
      </c>
      <c r="I3337">
        <f>_xlfn.MAXIFS(TableRefills3[discountinuation_flag], TableRefills3[patient_id], A3337)</f>
        <v>0</v>
      </c>
    </row>
    <row r="3338" spans="1:9" x14ac:dyDescent="0.25">
      <c r="A3338" t="s">
        <v>5308</v>
      </c>
      <c r="B3338" t="s">
        <v>5309</v>
      </c>
      <c r="C3338" s="3">
        <v>45812</v>
      </c>
      <c r="D3338">
        <v>28</v>
      </c>
      <c r="E3338" s="3" t="str">
        <f t="shared" si="52"/>
        <v/>
      </c>
      <c r="F3338" s="3" t="str">
        <f>IF(TableRefills3[[#This Row],[prev_refill_days]]="","",TableRefills3[[#This Row],[prev_refill_days]]+TableRefills3[[#This Row],[quantity_days]])</f>
        <v/>
      </c>
      <c r="G3338" t="str">
        <f>IF(TableRefills3[[#This Row],[prev_refill_end]]="","",TableRefills3[[#This Row],[refill_date]]-TableRefills3[[#This Row],[prev_refill_end]])</f>
        <v/>
      </c>
      <c r="H3338" s="10">
        <f>IF(TableRefills3[[#This Row],[gap_days]]="",0,IF(TableRefills3[[#This Row],[gap_days]]&gt;2,1,0))</f>
        <v>0</v>
      </c>
      <c r="I3338">
        <f>_xlfn.MAXIFS(TableRefills3[discountinuation_flag], TableRefills3[patient_id], A3338)</f>
        <v>1</v>
      </c>
    </row>
    <row r="3339" spans="1:9" x14ac:dyDescent="0.25">
      <c r="A3339" t="s">
        <v>5308</v>
      </c>
      <c r="B3339" t="s">
        <v>5309</v>
      </c>
      <c r="C3339" s="3">
        <v>45840</v>
      </c>
      <c r="D3339">
        <v>28</v>
      </c>
      <c r="E3339" s="3">
        <f t="shared" si="52"/>
        <v>45812</v>
      </c>
      <c r="F3339" s="3">
        <f>IF(TableRefills3[[#This Row],[prev_refill_days]]="","",TableRefills3[[#This Row],[prev_refill_days]]+TableRefills3[[#This Row],[quantity_days]])</f>
        <v>45840</v>
      </c>
      <c r="G3339">
        <f>IF(TableRefills3[[#This Row],[prev_refill_end]]="","",TableRefills3[[#This Row],[refill_date]]-TableRefills3[[#This Row],[prev_refill_end]])</f>
        <v>0</v>
      </c>
      <c r="H3339" s="10">
        <f>IF(TableRefills3[[#This Row],[gap_days]]="",0,IF(TableRefills3[[#This Row],[gap_days]]&gt;2,1,0))</f>
        <v>0</v>
      </c>
      <c r="I3339">
        <f>_xlfn.MAXIFS(TableRefills3[discountinuation_flag], TableRefills3[patient_id], A3339)</f>
        <v>1</v>
      </c>
    </row>
    <row r="3340" spans="1:9" x14ac:dyDescent="0.25">
      <c r="A3340" t="s">
        <v>5308</v>
      </c>
      <c r="B3340" t="s">
        <v>5309</v>
      </c>
      <c r="C3340" s="3">
        <v>45866</v>
      </c>
      <c r="D3340">
        <v>28</v>
      </c>
      <c r="E3340" s="3">
        <f t="shared" si="52"/>
        <v>45840</v>
      </c>
      <c r="F3340" s="3">
        <f>IF(TableRefills3[[#This Row],[prev_refill_days]]="","",TableRefills3[[#This Row],[prev_refill_days]]+TableRefills3[[#This Row],[quantity_days]])</f>
        <v>45868</v>
      </c>
      <c r="G3340">
        <f>IF(TableRefills3[[#This Row],[prev_refill_end]]="","",TableRefills3[[#This Row],[refill_date]]-TableRefills3[[#This Row],[prev_refill_end]])</f>
        <v>-2</v>
      </c>
      <c r="H3340" s="10">
        <f>IF(TableRefills3[[#This Row],[gap_days]]="",0,IF(TableRefills3[[#This Row],[gap_days]]&gt;2,1,0))</f>
        <v>0</v>
      </c>
      <c r="I3340">
        <f>_xlfn.MAXIFS(TableRefills3[discountinuation_flag], TableRefills3[patient_id], A3340)</f>
        <v>1</v>
      </c>
    </row>
    <row r="3341" spans="1:9" x14ac:dyDescent="0.25">
      <c r="A3341" t="s">
        <v>5308</v>
      </c>
      <c r="B3341" t="s">
        <v>5309</v>
      </c>
      <c r="C3341" s="3">
        <v>45897</v>
      </c>
      <c r="D3341">
        <v>28</v>
      </c>
      <c r="E3341" s="3">
        <f t="shared" si="52"/>
        <v>45866</v>
      </c>
      <c r="F3341" s="3">
        <f>IF(TableRefills3[[#This Row],[prev_refill_days]]="","",TableRefills3[[#This Row],[prev_refill_days]]+TableRefills3[[#This Row],[quantity_days]])</f>
        <v>45894</v>
      </c>
      <c r="G3341">
        <f>IF(TableRefills3[[#This Row],[prev_refill_end]]="","",TableRefills3[[#This Row],[refill_date]]-TableRefills3[[#This Row],[prev_refill_end]])</f>
        <v>3</v>
      </c>
      <c r="H3341" s="10">
        <f>IF(TableRefills3[[#This Row],[gap_days]]="",0,IF(TableRefills3[[#This Row],[gap_days]]&gt;2,1,0))</f>
        <v>1</v>
      </c>
      <c r="I3341">
        <f>_xlfn.MAXIFS(TableRefills3[discountinuation_flag], TableRefills3[patient_id], A3341)</f>
        <v>1</v>
      </c>
    </row>
    <row r="3342" spans="1:9" x14ac:dyDescent="0.25">
      <c r="A3342" t="s">
        <v>5308</v>
      </c>
      <c r="B3342" t="s">
        <v>5309</v>
      </c>
      <c r="C3342" s="3">
        <v>45923</v>
      </c>
      <c r="D3342">
        <v>28</v>
      </c>
      <c r="E3342" s="3">
        <f t="shared" si="52"/>
        <v>45897</v>
      </c>
      <c r="F3342" s="3">
        <f>IF(TableRefills3[[#This Row],[prev_refill_days]]="","",TableRefills3[[#This Row],[prev_refill_days]]+TableRefills3[[#This Row],[quantity_days]])</f>
        <v>45925</v>
      </c>
      <c r="G3342">
        <f>IF(TableRefills3[[#This Row],[prev_refill_end]]="","",TableRefills3[[#This Row],[refill_date]]-TableRefills3[[#This Row],[prev_refill_end]])</f>
        <v>-2</v>
      </c>
      <c r="H3342" s="10">
        <f>IF(TableRefills3[[#This Row],[gap_days]]="",0,IF(TableRefills3[[#This Row],[gap_days]]&gt;2,1,0))</f>
        <v>0</v>
      </c>
      <c r="I3342">
        <f>_xlfn.MAXIFS(TableRefills3[discountinuation_flag], TableRefills3[patient_id], A3342)</f>
        <v>1</v>
      </c>
    </row>
    <row r="3343" spans="1:9" x14ac:dyDescent="0.25">
      <c r="A3343" t="s">
        <v>5308</v>
      </c>
      <c r="B3343" t="s">
        <v>5309</v>
      </c>
      <c r="C3343" s="3">
        <v>45951</v>
      </c>
      <c r="D3343">
        <v>28</v>
      </c>
      <c r="E3343" s="3">
        <f t="shared" si="52"/>
        <v>45923</v>
      </c>
      <c r="F3343" s="3">
        <f>IF(TableRefills3[[#This Row],[prev_refill_days]]="","",TableRefills3[[#This Row],[prev_refill_days]]+TableRefills3[[#This Row],[quantity_days]])</f>
        <v>45951</v>
      </c>
      <c r="G3343">
        <f>IF(TableRefills3[[#This Row],[prev_refill_end]]="","",TableRefills3[[#This Row],[refill_date]]-TableRefills3[[#This Row],[prev_refill_end]])</f>
        <v>0</v>
      </c>
      <c r="H3343" s="10">
        <f>IF(TableRefills3[[#This Row],[gap_days]]="",0,IF(TableRefills3[[#This Row],[gap_days]]&gt;2,1,0))</f>
        <v>0</v>
      </c>
      <c r="I3343">
        <f>_xlfn.MAXIFS(TableRefills3[discountinuation_flag], TableRefills3[patient_id], A3343)</f>
        <v>1</v>
      </c>
    </row>
    <row r="3344" spans="1:9" x14ac:dyDescent="0.25">
      <c r="A3344" t="s">
        <v>5316</v>
      </c>
      <c r="B3344" t="s">
        <v>5317</v>
      </c>
      <c r="C3344" s="3">
        <v>45951</v>
      </c>
      <c r="D3344">
        <v>30</v>
      </c>
      <c r="E3344" s="3" t="str">
        <f t="shared" si="52"/>
        <v/>
      </c>
      <c r="F3344" s="3" t="str">
        <f>IF(TableRefills3[[#This Row],[prev_refill_days]]="","",TableRefills3[[#This Row],[prev_refill_days]]+TableRefills3[[#This Row],[quantity_days]])</f>
        <v/>
      </c>
      <c r="G3344" t="str">
        <f>IF(TableRefills3[[#This Row],[prev_refill_end]]="","",TableRefills3[[#This Row],[refill_date]]-TableRefills3[[#This Row],[prev_refill_end]])</f>
        <v/>
      </c>
      <c r="H3344" s="10">
        <f>IF(TableRefills3[[#This Row],[gap_days]]="",0,IF(TableRefills3[[#This Row],[gap_days]]&gt;2,1,0))</f>
        <v>0</v>
      </c>
      <c r="I3344">
        <f>_xlfn.MAXIFS(TableRefills3[discountinuation_flag], TableRefills3[patient_id], A3344)</f>
        <v>0</v>
      </c>
    </row>
    <row r="3345" spans="1:9" x14ac:dyDescent="0.25">
      <c r="A3345" t="s">
        <v>5319</v>
      </c>
      <c r="B3345" t="s">
        <v>5320</v>
      </c>
      <c r="C3345" s="3">
        <v>45795</v>
      </c>
      <c r="D3345">
        <v>30</v>
      </c>
      <c r="E3345" s="3" t="str">
        <f t="shared" si="52"/>
        <v/>
      </c>
      <c r="F3345" s="3" t="str">
        <f>IF(TableRefills3[[#This Row],[prev_refill_days]]="","",TableRefills3[[#This Row],[prev_refill_days]]+TableRefills3[[#This Row],[quantity_days]])</f>
        <v/>
      </c>
      <c r="G3345" t="str">
        <f>IF(TableRefills3[[#This Row],[prev_refill_end]]="","",TableRefills3[[#This Row],[refill_date]]-TableRefills3[[#This Row],[prev_refill_end]])</f>
        <v/>
      </c>
      <c r="H3345" s="10">
        <f>IF(TableRefills3[[#This Row],[gap_days]]="",0,IF(TableRefills3[[#This Row],[gap_days]]&gt;2,1,0))</f>
        <v>0</v>
      </c>
      <c r="I3345">
        <f>_xlfn.MAXIFS(TableRefills3[discountinuation_flag], TableRefills3[patient_id], A3345)</f>
        <v>0</v>
      </c>
    </row>
    <row r="3346" spans="1:9" x14ac:dyDescent="0.25">
      <c r="A3346" t="s">
        <v>5319</v>
      </c>
      <c r="B3346" t="s">
        <v>5320</v>
      </c>
      <c r="C3346" s="3">
        <v>45826</v>
      </c>
      <c r="D3346">
        <v>30</v>
      </c>
      <c r="E3346" s="3">
        <f t="shared" si="52"/>
        <v>45795</v>
      </c>
      <c r="F3346" s="3">
        <f>IF(TableRefills3[[#This Row],[prev_refill_days]]="","",TableRefills3[[#This Row],[prev_refill_days]]+TableRefills3[[#This Row],[quantity_days]])</f>
        <v>45825</v>
      </c>
      <c r="G3346">
        <f>IF(TableRefills3[[#This Row],[prev_refill_end]]="","",TableRefills3[[#This Row],[refill_date]]-TableRefills3[[#This Row],[prev_refill_end]])</f>
        <v>1</v>
      </c>
      <c r="H3346" s="10">
        <f>IF(TableRefills3[[#This Row],[gap_days]]="",0,IF(TableRefills3[[#This Row],[gap_days]]&gt;2,1,0))</f>
        <v>0</v>
      </c>
      <c r="I3346">
        <f>_xlfn.MAXIFS(TableRefills3[discountinuation_flag], TableRefills3[patient_id], A3346)</f>
        <v>0</v>
      </c>
    </row>
    <row r="3347" spans="1:9" x14ac:dyDescent="0.25">
      <c r="A3347" t="s">
        <v>5319</v>
      </c>
      <c r="B3347" t="s">
        <v>5320</v>
      </c>
      <c r="C3347" s="3">
        <v>45858</v>
      </c>
      <c r="D3347">
        <v>30</v>
      </c>
      <c r="E3347" s="3">
        <f t="shared" si="52"/>
        <v>45826</v>
      </c>
      <c r="F3347" s="3">
        <f>IF(TableRefills3[[#This Row],[prev_refill_days]]="","",TableRefills3[[#This Row],[prev_refill_days]]+TableRefills3[[#This Row],[quantity_days]])</f>
        <v>45856</v>
      </c>
      <c r="G3347">
        <f>IF(TableRefills3[[#This Row],[prev_refill_end]]="","",TableRefills3[[#This Row],[refill_date]]-TableRefills3[[#This Row],[prev_refill_end]])</f>
        <v>2</v>
      </c>
      <c r="H3347" s="10">
        <f>IF(TableRefills3[[#This Row],[gap_days]]="",0,IF(TableRefills3[[#This Row],[gap_days]]&gt;2,1,0))</f>
        <v>0</v>
      </c>
      <c r="I3347">
        <f>_xlfn.MAXIFS(TableRefills3[discountinuation_flag], TableRefills3[patient_id], A3347)</f>
        <v>0</v>
      </c>
    </row>
    <row r="3348" spans="1:9" x14ac:dyDescent="0.25">
      <c r="A3348" t="s">
        <v>5324</v>
      </c>
      <c r="B3348" t="s">
        <v>5325</v>
      </c>
      <c r="C3348" s="3">
        <v>45922</v>
      </c>
      <c r="D3348">
        <v>21</v>
      </c>
      <c r="E3348" s="3" t="str">
        <f t="shared" si="52"/>
        <v/>
      </c>
      <c r="F3348" s="3" t="str">
        <f>IF(TableRefills3[[#This Row],[prev_refill_days]]="","",TableRefills3[[#This Row],[prev_refill_days]]+TableRefills3[[#This Row],[quantity_days]])</f>
        <v/>
      </c>
      <c r="G3348" t="str">
        <f>IF(TableRefills3[[#This Row],[prev_refill_end]]="","",TableRefills3[[#This Row],[refill_date]]-TableRefills3[[#This Row],[prev_refill_end]])</f>
        <v/>
      </c>
      <c r="H3348" s="10">
        <f>IF(TableRefills3[[#This Row],[gap_days]]="",0,IF(TableRefills3[[#This Row],[gap_days]]&gt;2,1,0))</f>
        <v>0</v>
      </c>
      <c r="I3348">
        <f>_xlfn.MAXIFS(TableRefills3[discountinuation_flag], TableRefills3[patient_id], A3348)</f>
        <v>0</v>
      </c>
    </row>
    <row r="3349" spans="1:9" x14ac:dyDescent="0.25">
      <c r="A3349" t="s">
        <v>5324</v>
      </c>
      <c r="B3349" t="s">
        <v>5325</v>
      </c>
      <c r="C3349" s="3">
        <v>45941</v>
      </c>
      <c r="D3349">
        <v>21</v>
      </c>
      <c r="E3349" s="3">
        <f t="shared" si="52"/>
        <v>45922</v>
      </c>
      <c r="F3349" s="3">
        <f>IF(TableRefills3[[#This Row],[prev_refill_days]]="","",TableRefills3[[#This Row],[prev_refill_days]]+TableRefills3[[#This Row],[quantity_days]])</f>
        <v>45943</v>
      </c>
      <c r="G3349">
        <f>IF(TableRefills3[[#This Row],[prev_refill_end]]="","",TableRefills3[[#This Row],[refill_date]]-TableRefills3[[#This Row],[prev_refill_end]])</f>
        <v>-2</v>
      </c>
      <c r="H3349" s="10">
        <f>IF(TableRefills3[[#This Row],[gap_days]]="",0,IF(TableRefills3[[#This Row],[gap_days]]&gt;2,1,0))</f>
        <v>0</v>
      </c>
      <c r="I3349">
        <f>_xlfn.MAXIFS(TableRefills3[discountinuation_flag], TableRefills3[patient_id], A3349)</f>
        <v>0</v>
      </c>
    </row>
    <row r="3350" spans="1:9" x14ac:dyDescent="0.25">
      <c r="A3350" t="s">
        <v>5328</v>
      </c>
      <c r="B3350" t="s">
        <v>5329</v>
      </c>
      <c r="C3350" s="3">
        <v>45934</v>
      </c>
      <c r="D3350">
        <v>28</v>
      </c>
      <c r="E3350" s="3" t="str">
        <f t="shared" si="52"/>
        <v/>
      </c>
      <c r="F3350" s="3" t="str">
        <f>IF(TableRefills3[[#This Row],[prev_refill_days]]="","",TableRefills3[[#This Row],[prev_refill_days]]+TableRefills3[[#This Row],[quantity_days]])</f>
        <v/>
      </c>
      <c r="G3350" t="str">
        <f>IF(TableRefills3[[#This Row],[prev_refill_end]]="","",TableRefills3[[#This Row],[refill_date]]-TableRefills3[[#This Row],[prev_refill_end]])</f>
        <v/>
      </c>
      <c r="H3350" s="10">
        <f>IF(TableRefills3[[#This Row],[gap_days]]="",0,IF(TableRefills3[[#This Row],[gap_days]]&gt;2,1,0))</f>
        <v>0</v>
      </c>
      <c r="I3350">
        <f>_xlfn.MAXIFS(TableRefills3[discountinuation_flag], TableRefills3[patient_id], A3350)</f>
        <v>0</v>
      </c>
    </row>
    <row r="3351" spans="1:9" x14ac:dyDescent="0.25">
      <c r="A3351" t="s">
        <v>5331</v>
      </c>
      <c r="B3351" t="s">
        <v>5332</v>
      </c>
      <c r="C3351" s="3">
        <v>45820</v>
      </c>
      <c r="D3351">
        <v>28</v>
      </c>
      <c r="E3351" s="3" t="str">
        <f t="shared" si="52"/>
        <v/>
      </c>
      <c r="F3351" s="3" t="str">
        <f>IF(TableRefills3[[#This Row],[prev_refill_days]]="","",TableRefills3[[#This Row],[prev_refill_days]]+TableRefills3[[#This Row],[quantity_days]])</f>
        <v/>
      </c>
      <c r="G3351" t="str">
        <f>IF(TableRefills3[[#This Row],[prev_refill_end]]="","",TableRefills3[[#This Row],[refill_date]]-TableRefills3[[#This Row],[prev_refill_end]])</f>
        <v/>
      </c>
      <c r="H3351" s="10">
        <f>IF(TableRefills3[[#This Row],[gap_days]]="",0,IF(TableRefills3[[#This Row],[gap_days]]&gt;2,1,0))</f>
        <v>0</v>
      </c>
      <c r="I3351">
        <f>_xlfn.MAXIFS(TableRefills3[discountinuation_flag], TableRefills3[patient_id], A3351)</f>
        <v>1</v>
      </c>
    </row>
    <row r="3352" spans="1:9" x14ac:dyDescent="0.25">
      <c r="A3352" t="s">
        <v>5331</v>
      </c>
      <c r="B3352" t="s">
        <v>5332</v>
      </c>
      <c r="C3352" s="3">
        <v>45851</v>
      </c>
      <c r="D3352">
        <v>28</v>
      </c>
      <c r="E3352" s="3">
        <f t="shared" si="52"/>
        <v>45820</v>
      </c>
      <c r="F3352" s="3">
        <f>IF(TableRefills3[[#This Row],[prev_refill_days]]="","",TableRefills3[[#This Row],[prev_refill_days]]+TableRefills3[[#This Row],[quantity_days]])</f>
        <v>45848</v>
      </c>
      <c r="G3352">
        <f>IF(TableRefills3[[#This Row],[prev_refill_end]]="","",TableRefills3[[#This Row],[refill_date]]-TableRefills3[[#This Row],[prev_refill_end]])</f>
        <v>3</v>
      </c>
      <c r="H3352" s="10">
        <f>IF(TableRefills3[[#This Row],[gap_days]]="",0,IF(TableRefills3[[#This Row],[gap_days]]&gt;2,1,0))</f>
        <v>1</v>
      </c>
      <c r="I3352">
        <f>_xlfn.MAXIFS(TableRefills3[discountinuation_flag], TableRefills3[patient_id], A3352)</f>
        <v>1</v>
      </c>
    </row>
    <row r="3353" spans="1:9" x14ac:dyDescent="0.25">
      <c r="A3353" t="s">
        <v>5335</v>
      </c>
      <c r="B3353" t="s">
        <v>5336</v>
      </c>
      <c r="C3353" s="3">
        <v>45867</v>
      </c>
      <c r="D3353">
        <v>28</v>
      </c>
      <c r="E3353" s="3" t="str">
        <f t="shared" si="52"/>
        <v/>
      </c>
      <c r="F3353" s="3" t="str">
        <f>IF(TableRefills3[[#This Row],[prev_refill_days]]="","",TableRefills3[[#This Row],[prev_refill_days]]+TableRefills3[[#This Row],[quantity_days]])</f>
        <v/>
      </c>
      <c r="G3353" t="str">
        <f>IF(TableRefills3[[#This Row],[prev_refill_end]]="","",TableRefills3[[#This Row],[refill_date]]-TableRefills3[[#This Row],[prev_refill_end]])</f>
        <v/>
      </c>
      <c r="H3353" s="10">
        <f>IF(TableRefills3[[#This Row],[gap_days]]="",0,IF(TableRefills3[[#This Row],[gap_days]]&gt;2,1,0))</f>
        <v>0</v>
      </c>
      <c r="I3353">
        <f>_xlfn.MAXIFS(TableRefills3[discountinuation_flag], TableRefills3[patient_id], A3353)</f>
        <v>1</v>
      </c>
    </row>
    <row r="3354" spans="1:9" x14ac:dyDescent="0.25">
      <c r="A3354" t="s">
        <v>5335</v>
      </c>
      <c r="B3354" t="s">
        <v>5336</v>
      </c>
      <c r="C3354" s="3">
        <v>45898</v>
      </c>
      <c r="D3354">
        <v>28</v>
      </c>
      <c r="E3354" s="3">
        <f t="shared" si="52"/>
        <v>45867</v>
      </c>
      <c r="F3354" s="3">
        <f>IF(TableRefills3[[#This Row],[prev_refill_days]]="","",TableRefills3[[#This Row],[prev_refill_days]]+TableRefills3[[#This Row],[quantity_days]])</f>
        <v>45895</v>
      </c>
      <c r="G3354">
        <f>IF(TableRefills3[[#This Row],[prev_refill_end]]="","",TableRefills3[[#This Row],[refill_date]]-TableRefills3[[#This Row],[prev_refill_end]])</f>
        <v>3</v>
      </c>
      <c r="H3354" s="10">
        <f>IF(TableRefills3[[#This Row],[gap_days]]="",0,IF(TableRefills3[[#This Row],[gap_days]]&gt;2,1,0))</f>
        <v>1</v>
      </c>
      <c r="I3354">
        <f>_xlfn.MAXIFS(TableRefills3[discountinuation_flag], TableRefills3[patient_id], A3354)</f>
        <v>1</v>
      </c>
    </row>
    <row r="3355" spans="1:9" x14ac:dyDescent="0.25">
      <c r="A3355" t="s">
        <v>5335</v>
      </c>
      <c r="B3355" t="s">
        <v>5336</v>
      </c>
      <c r="C3355" s="3">
        <v>45929</v>
      </c>
      <c r="D3355">
        <v>28</v>
      </c>
      <c r="E3355" s="3">
        <f t="shared" si="52"/>
        <v>45898</v>
      </c>
      <c r="F3355" s="3">
        <f>IF(TableRefills3[[#This Row],[prev_refill_days]]="","",TableRefills3[[#This Row],[prev_refill_days]]+TableRefills3[[#This Row],[quantity_days]])</f>
        <v>45926</v>
      </c>
      <c r="G3355">
        <f>IF(TableRefills3[[#This Row],[prev_refill_end]]="","",TableRefills3[[#This Row],[refill_date]]-TableRefills3[[#This Row],[prev_refill_end]])</f>
        <v>3</v>
      </c>
      <c r="H3355" s="10">
        <f>IF(TableRefills3[[#This Row],[gap_days]]="",0,IF(TableRefills3[[#This Row],[gap_days]]&gt;2,1,0))</f>
        <v>1</v>
      </c>
      <c r="I3355">
        <f>_xlfn.MAXIFS(TableRefills3[discountinuation_flag], TableRefills3[patient_id], A3355)</f>
        <v>1</v>
      </c>
    </row>
    <row r="3356" spans="1:9" x14ac:dyDescent="0.25">
      <c r="A3356" t="s">
        <v>5335</v>
      </c>
      <c r="B3356" t="s">
        <v>5336</v>
      </c>
      <c r="C3356" s="3">
        <v>45957</v>
      </c>
      <c r="D3356">
        <v>28</v>
      </c>
      <c r="E3356" s="3">
        <f t="shared" si="52"/>
        <v>45929</v>
      </c>
      <c r="F3356" s="3">
        <f>IF(TableRefills3[[#This Row],[prev_refill_days]]="","",TableRefills3[[#This Row],[prev_refill_days]]+TableRefills3[[#This Row],[quantity_days]])</f>
        <v>45957</v>
      </c>
      <c r="G3356">
        <f>IF(TableRefills3[[#This Row],[prev_refill_end]]="","",TableRefills3[[#This Row],[refill_date]]-TableRefills3[[#This Row],[prev_refill_end]])</f>
        <v>0</v>
      </c>
      <c r="H3356" s="10">
        <f>IF(TableRefills3[[#This Row],[gap_days]]="",0,IF(TableRefills3[[#This Row],[gap_days]]&gt;2,1,0))</f>
        <v>0</v>
      </c>
      <c r="I3356">
        <f>_xlfn.MAXIFS(TableRefills3[discountinuation_flag], TableRefills3[patient_id], A3356)</f>
        <v>1</v>
      </c>
    </row>
    <row r="3357" spans="1:9" x14ac:dyDescent="0.25">
      <c r="A3357" t="s">
        <v>5341</v>
      </c>
      <c r="B3357" t="s">
        <v>5342</v>
      </c>
      <c r="C3357" s="3">
        <v>45832</v>
      </c>
      <c r="D3357">
        <v>28</v>
      </c>
      <c r="E3357" s="3" t="str">
        <f t="shared" si="52"/>
        <v/>
      </c>
      <c r="F3357" s="3" t="str">
        <f>IF(TableRefills3[[#This Row],[prev_refill_days]]="","",TableRefills3[[#This Row],[prev_refill_days]]+TableRefills3[[#This Row],[quantity_days]])</f>
        <v/>
      </c>
      <c r="G3357" t="str">
        <f>IF(TableRefills3[[#This Row],[prev_refill_end]]="","",TableRefills3[[#This Row],[refill_date]]-TableRefills3[[#This Row],[prev_refill_end]])</f>
        <v/>
      </c>
      <c r="H3357" s="10">
        <f>IF(TableRefills3[[#This Row],[gap_days]]="",0,IF(TableRefills3[[#This Row],[gap_days]]&gt;2,1,0))</f>
        <v>0</v>
      </c>
      <c r="I3357">
        <f>_xlfn.MAXIFS(TableRefills3[discountinuation_flag], TableRefills3[patient_id], A3357)</f>
        <v>1</v>
      </c>
    </row>
    <row r="3358" spans="1:9" x14ac:dyDescent="0.25">
      <c r="A3358" t="s">
        <v>5341</v>
      </c>
      <c r="B3358" t="s">
        <v>5342</v>
      </c>
      <c r="C3358" s="3">
        <v>45859</v>
      </c>
      <c r="D3358">
        <v>28</v>
      </c>
      <c r="E3358" s="3">
        <f t="shared" si="52"/>
        <v>45832</v>
      </c>
      <c r="F3358" s="3">
        <f>IF(TableRefills3[[#This Row],[prev_refill_days]]="","",TableRefills3[[#This Row],[prev_refill_days]]+TableRefills3[[#This Row],[quantity_days]])</f>
        <v>45860</v>
      </c>
      <c r="G3358">
        <f>IF(TableRefills3[[#This Row],[prev_refill_end]]="","",TableRefills3[[#This Row],[refill_date]]-TableRefills3[[#This Row],[prev_refill_end]])</f>
        <v>-1</v>
      </c>
      <c r="H3358" s="10">
        <f>IF(TableRefills3[[#This Row],[gap_days]]="",0,IF(TableRefills3[[#This Row],[gap_days]]&gt;2,1,0))</f>
        <v>0</v>
      </c>
      <c r="I3358">
        <f>_xlfn.MAXIFS(TableRefills3[discountinuation_flag], TableRefills3[patient_id], A3358)</f>
        <v>1</v>
      </c>
    </row>
    <row r="3359" spans="1:9" x14ac:dyDescent="0.25">
      <c r="A3359" t="s">
        <v>5341</v>
      </c>
      <c r="B3359" t="s">
        <v>5342</v>
      </c>
      <c r="C3359" s="3">
        <v>45884</v>
      </c>
      <c r="D3359">
        <v>28</v>
      </c>
      <c r="E3359" s="3">
        <f t="shared" si="52"/>
        <v>45859</v>
      </c>
      <c r="F3359" s="3">
        <f>IF(TableRefills3[[#This Row],[prev_refill_days]]="","",TableRefills3[[#This Row],[prev_refill_days]]+TableRefills3[[#This Row],[quantity_days]])</f>
        <v>45887</v>
      </c>
      <c r="G3359">
        <f>IF(TableRefills3[[#This Row],[prev_refill_end]]="","",TableRefills3[[#This Row],[refill_date]]-TableRefills3[[#This Row],[prev_refill_end]])</f>
        <v>-3</v>
      </c>
      <c r="H3359" s="10">
        <f>IF(TableRefills3[[#This Row],[gap_days]]="",0,IF(TableRefills3[[#This Row],[gap_days]]&gt;2,1,0))</f>
        <v>0</v>
      </c>
      <c r="I3359">
        <f>_xlfn.MAXIFS(TableRefills3[discountinuation_flag], TableRefills3[patient_id], A3359)</f>
        <v>1</v>
      </c>
    </row>
    <row r="3360" spans="1:9" x14ac:dyDescent="0.25">
      <c r="A3360" t="s">
        <v>5341</v>
      </c>
      <c r="B3360" t="s">
        <v>5342</v>
      </c>
      <c r="C3360" s="3">
        <v>45915</v>
      </c>
      <c r="D3360">
        <v>28</v>
      </c>
      <c r="E3360" s="3">
        <f t="shared" si="52"/>
        <v>45884</v>
      </c>
      <c r="F3360" s="3">
        <f>IF(TableRefills3[[#This Row],[prev_refill_days]]="","",TableRefills3[[#This Row],[prev_refill_days]]+TableRefills3[[#This Row],[quantity_days]])</f>
        <v>45912</v>
      </c>
      <c r="G3360">
        <f>IF(TableRefills3[[#This Row],[prev_refill_end]]="","",TableRefills3[[#This Row],[refill_date]]-TableRefills3[[#This Row],[prev_refill_end]])</f>
        <v>3</v>
      </c>
      <c r="H3360" s="10">
        <f>IF(TableRefills3[[#This Row],[gap_days]]="",0,IF(TableRefills3[[#This Row],[gap_days]]&gt;2,1,0))</f>
        <v>1</v>
      </c>
      <c r="I3360">
        <f>_xlfn.MAXIFS(TableRefills3[discountinuation_flag], TableRefills3[patient_id], A3360)</f>
        <v>1</v>
      </c>
    </row>
    <row r="3361" spans="1:9" x14ac:dyDescent="0.25">
      <c r="A3361" t="s">
        <v>5341</v>
      </c>
      <c r="B3361" t="s">
        <v>5342</v>
      </c>
      <c r="C3361" s="3">
        <v>45941</v>
      </c>
      <c r="D3361">
        <v>28</v>
      </c>
      <c r="E3361" s="3">
        <f t="shared" si="52"/>
        <v>45915</v>
      </c>
      <c r="F3361" s="3">
        <f>IF(TableRefills3[[#This Row],[prev_refill_days]]="","",TableRefills3[[#This Row],[prev_refill_days]]+TableRefills3[[#This Row],[quantity_days]])</f>
        <v>45943</v>
      </c>
      <c r="G3361">
        <f>IF(TableRefills3[[#This Row],[prev_refill_end]]="","",TableRefills3[[#This Row],[refill_date]]-TableRefills3[[#This Row],[prev_refill_end]])</f>
        <v>-2</v>
      </c>
      <c r="H3361" s="10">
        <f>IF(TableRefills3[[#This Row],[gap_days]]="",0,IF(TableRefills3[[#This Row],[gap_days]]&gt;2,1,0))</f>
        <v>0</v>
      </c>
      <c r="I3361">
        <f>_xlfn.MAXIFS(TableRefills3[discountinuation_flag], TableRefills3[patient_id], A3361)</f>
        <v>1</v>
      </c>
    </row>
    <row r="3362" spans="1:9" x14ac:dyDescent="0.25">
      <c r="A3362" t="s">
        <v>5348</v>
      </c>
      <c r="B3362" t="s">
        <v>5349</v>
      </c>
      <c r="C3362" s="3">
        <v>45816</v>
      </c>
      <c r="D3362">
        <v>21</v>
      </c>
      <c r="E3362" s="3" t="str">
        <f t="shared" si="52"/>
        <v/>
      </c>
      <c r="F3362" s="3" t="str">
        <f>IF(TableRefills3[[#This Row],[prev_refill_days]]="","",TableRefills3[[#This Row],[prev_refill_days]]+TableRefills3[[#This Row],[quantity_days]])</f>
        <v/>
      </c>
      <c r="G3362" t="str">
        <f>IF(TableRefills3[[#This Row],[prev_refill_end]]="","",TableRefills3[[#This Row],[refill_date]]-TableRefills3[[#This Row],[prev_refill_end]])</f>
        <v/>
      </c>
      <c r="H3362" s="10">
        <f>IF(TableRefills3[[#This Row],[gap_days]]="",0,IF(TableRefills3[[#This Row],[gap_days]]&gt;2,1,0))</f>
        <v>0</v>
      </c>
      <c r="I3362">
        <f>_xlfn.MAXIFS(TableRefills3[discountinuation_flag], TableRefills3[patient_id], A3362)</f>
        <v>1</v>
      </c>
    </row>
    <row r="3363" spans="1:9" x14ac:dyDescent="0.25">
      <c r="A3363" t="s">
        <v>5348</v>
      </c>
      <c r="B3363" t="s">
        <v>5349</v>
      </c>
      <c r="C3363" s="3">
        <v>45835</v>
      </c>
      <c r="D3363">
        <v>21</v>
      </c>
      <c r="E3363" s="3">
        <f t="shared" si="52"/>
        <v>45816</v>
      </c>
      <c r="F3363" s="3">
        <f>IF(TableRefills3[[#This Row],[prev_refill_days]]="","",TableRefills3[[#This Row],[prev_refill_days]]+TableRefills3[[#This Row],[quantity_days]])</f>
        <v>45837</v>
      </c>
      <c r="G3363">
        <f>IF(TableRefills3[[#This Row],[prev_refill_end]]="","",TableRefills3[[#This Row],[refill_date]]-TableRefills3[[#This Row],[prev_refill_end]])</f>
        <v>-2</v>
      </c>
      <c r="H3363" s="10">
        <f>IF(TableRefills3[[#This Row],[gap_days]]="",0,IF(TableRefills3[[#This Row],[gap_days]]&gt;2,1,0))</f>
        <v>0</v>
      </c>
      <c r="I3363">
        <f>_xlfn.MAXIFS(TableRefills3[discountinuation_flag], TableRefills3[patient_id], A3363)</f>
        <v>1</v>
      </c>
    </row>
    <row r="3364" spans="1:9" x14ac:dyDescent="0.25">
      <c r="A3364" t="s">
        <v>5348</v>
      </c>
      <c r="B3364" t="s">
        <v>5349</v>
      </c>
      <c r="C3364" s="3">
        <v>45856</v>
      </c>
      <c r="D3364">
        <v>21</v>
      </c>
      <c r="E3364" s="3">
        <f t="shared" si="52"/>
        <v>45835</v>
      </c>
      <c r="F3364" s="3">
        <f>IF(TableRefills3[[#This Row],[prev_refill_days]]="","",TableRefills3[[#This Row],[prev_refill_days]]+TableRefills3[[#This Row],[quantity_days]])</f>
        <v>45856</v>
      </c>
      <c r="G3364">
        <f>IF(TableRefills3[[#This Row],[prev_refill_end]]="","",TableRefills3[[#This Row],[refill_date]]-TableRefills3[[#This Row],[prev_refill_end]])</f>
        <v>0</v>
      </c>
      <c r="H3364" s="10">
        <f>IF(TableRefills3[[#This Row],[gap_days]]="",0,IF(TableRefills3[[#This Row],[gap_days]]&gt;2,1,0))</f>
        <v>0</v>
      </c>
      <c r="I3364">
        <f>_xlfn.MAXIFS(TableRefills3[discountinuation_flag], TableRefills3[patient_id], A3364)</f>
        <v>1</v>
      </c>
    </row>
    <row r="3365" spans="1:9" x14ac:dyDescent="0.25">
      <c r="A3365" t="s">
        <v>5348</v>
      </c>
      <c r="B3365" t="s">
        <v>5349</v>
      </c>
      <c r="C3365" s="3">
        <v>45876</v>
      </c>
      <c r="D3365">
        <v>21</v>
      </c>
      <c r="E3365" s="3">
        <f t="shared" si="52"/>
        <v>45856</v>
      </c>
      <c r="F3365" s="3">
        <f>IF(TableRefills3[[#This Row],[prev_refill_days]]="","",TableRefills3[[#This Row],[prev_refill_days]]+TableRefills3[[#This Row],[quantity_days]])</f>
        <v>45877</v>
      </c>
      <c r="G3365">
        <f>IF(TableRefills3[[#This Row],[prev_refill_end]]="","",TableRefills3[[#This Row],[refill_date]]-TableRefills3[[#This Row],[prev_refill_end]])</f>
        <v>-1</v>
      </c>
      <c r="H3365" s="10">
        <f>IF(TableRefills3[[#This Row],[gap_days]]="",0,IF(TableRefills3[[#This Row],[gap_days]]&gt;2,1,0))</f>
        <v>0</v>
      </c>
      <c r="I3365">
        <f>_xlfn.MAXIFS(TableRefills3[discountinuation_flag], TableRefills3[patient_id], A3365)</f>
        <v>1</v>
      </c>
    </row>
    <row r="3366" spans="1:9" x14ac:dyDescent="0.25">
      <c r="A3366" t="s">
        <v>5348</v>
      </c>
      <c r="B3366" t="s">
        <v>5349</v>
      </c>
      <c r="C3366" s="3">
        <v>45900</v>
      </c>
      <c r="D3366">
        <v>21</v>
      </c>
      <c r="E3366" s="3">
        <f t="shared" si="52"/>
        <v>45876</v>
      </c>
      <c r="F3366" s="3">
        <f>IF(TableRefills3[[#This Row],[prev_refill_days]]="","",TableRefills3[[#This Row],[prev_refill_days]]+TableRefills3[[#This Row],[quantity_days]])</f>
        <v>45897</v>
      </c>
      <c r="G3366">
        <f>IF(TableRefills3[[#This Row],[prev_refill_end]]="","",TableRefills3[[#This Row],[refill_date]]-TableRefills3[[#This Row],[prev_refill_end]])</f>
        <v>3</v>
      </c>
      <c r="H3366" s="10">
        <f>IF(TableRefills3[[#This Row],[gap_days]]="",0,IF(TableRefills3[[#This Row],[gap_days]]&gt;2,1,0))</f>
        <v>1</v>
      </c>
      <c r="I3366">
        <f>_xlfn.MAXIFS(TableRefills3[discountinuation_flag], TableRefills3[patient_id], A3366)</f>
        <v>1</v>
      </c>
    </row>
    <row r="3367" spans="1:9" x14ac:dyDescent="0.25">
      <c r="A3367" t="s">
        <v>5348</v>
      </c>
      <c r="B3367" t="s">
        <v>5349</v>
      </c>
      <c r="C3367" s="3">
        <v>45923</v>
      </c>
      <c r="D3367">
        <v>21</v>
      </c>
      <c r="E3367" s="3">
        <f t="shared" si="52"/>
        <v>45900</v>
      </c>
      <c r="F3367" s="3">
        <f>IF(TableRefills3[[#This Row],[prev_refill_days]]="","",TableRefills3[[#This Row],[prev_refill_days]]+TableRefills3[[#This Row],[quantity_days]])</f>
        <v>45921</v>
      </c>
      <c r="G3367">
        <f>IF(TableRefills3[[#This Row],[prev_refill_end]]="","",TableRefills3[[#This Row],[refill_date]]-TableRefills3[[#This Row],[prev_refill_end]])</f>
        <v>2</v>
      </c>
      <c r="H3367" s="10">
        <f>IF(TableRefills3[[#This Row],[gap_days]]="",0,IF(TableRefills3[[#This Row],[gap_days]]&gt;2,1,0))</f>
        <v>0</v>
      </c>
      <c r="I3367">
        <f>_xlfn.MAXIFS(TableRefills3[discountinuation_flag], TableRefills3[patient_id], A3367)</f>
        <v>1</v>
      </c>
    </row>
    <row r="3368" spans="1:9" x14ac:dyDescent="0.25">
      <c r="A3368" t="s">
        <v>5348</v>
      </c>
      <c r="B3368" t="s">
        <v>5349</v>
      </c>
      <c r="C3368" s="3">
        <v>45947</v>
      </c>
      <c r="D3368">
        <v>21</v>
      </c>
      <c r="E3368" s="3">
        <f t="shared" si="52"/>
        <v>45923</v>
      </c>
      <c r="F3368" s="3">
        <f>IF(TableRefills3[[#This Row],[prev_refill_days]]="","",TableRefills3[[#This Row],[prev_refill_days]]+TableRefills3[[#This Row],[quantity_days]])</f>
        <v>45944</v>
      </c>
      <c r="G3368">
        <f>IF(TableRefills3[[#This Row],[prev_refill_end]]="","",TableRefills3[[#This Row],[refill_date]]-TableRefills3[[#This Row],[prev_refill_end]])</f>
        <v>3</v>
      </c>
      <c r="H3368" s="10">
        <f>IF(TableRefills3[[#This Row],[gap_days]]="",0,IF(TableRefills3[[#This Row],[gap_days]]&gt;2,1,0))</f>
        <v>1</v>
      </c>
      <c r="I3368">
        <f>_xlfn.MAXIFS(TableRefills3[discountinuation_flag], TableRefills3[patient_id], A3368)</f>
        <v>1</v>
      </c>
    </row>
    <row r="3369" spans="1:9" x14ac:dyDescent="0.25">
      <c r="A3369" t="s">
        <v>5357</v>
      </c>
      <c r="B3369" t="s">
        <v>5358</v>
      </c>
      <c r="C3369" s="3">
        <v>45935</v>
      </c>
      <c r="D3369">
        <v>30</v>
      </c>
      <c r="E3369" s="3" t="str">
        <f t="shared" si="52"/>
        <v/>
      </c>
      <c r="F3369" s="3" t="str">
        <f>IF(TableRefills3[[#This Row],[prev_refill_days]]="","",TableRefills3[[#This Row],[prev_refill_days]]+TableRefills3[[#This Row],[quantity_days]])</f>
        <v/>
      </c>
      <c r="G3369" t="str">
        <f>IF(TableRefills3[[#This Row],[prev_refill_end]]="","",TableRefills3[[#This Row],[refill_date]]-TableRefills3[[#This Row],[prev_refill_end]])</f>
        <v/>
      </c>
      <c r="H3369" s="10">
        <f>IF(TableRefills3[[#This Row],[gap_days]]="",0,IF(TableRefills3[[#This Row],[gap_days]]&gt;2,1,0))</f>
        <v>0</v>
      </c>
      <c r="I3369">
        <f>_xlfn.MAXIFS(TableRefills3[discountinuation_flag], TableRefills3[patient_id], A3369)</f>
        <v>0</v>
      </c>
    </row>
    <row r="3370" spans="1:9" x14ac:dyDescent="0.25">
      <c r="A3370" t="s">
        <v>5360</v>
      </c>
      <c r="B3370" t="s">
        <v>5361</v>
      </c>
      <c r="C3370" s="3">
        <v>45891</v>
      </c>
      <c r="D3370">
        <v>28</v>
      </c>
      <c r="E3370" s="3" t="str">
        <f t="shared" si="52"/>
        <v/>
      </c>
      <c r="F3370" s="3" t="str">
        <f>IF(TableRefills3[[#This Row],[prev_refill_days]]="","",TableRefills3[[#This Row],[prev_refill_days]]+TableRefills3[[#This Row],[quantity_days]])</f>
        <v/>
      </c>
      <c r="G3370" t="str">
        <f>IF(TableRefills3[[#This Row],[prev_refill_end]]="","",TableRefills3[[#This Row],[refill_date]]-TableRefills3[[#This Row],[prev_refill_end]])</f>
        <v/>
      </c>
      <c r="H3370" s="10">
        <f>IF(TableRefills3[[#This Row],[gap_days]]="",0,IF(TableRefills3[[#This Row],[gap_days]]&gt;2,1,0))</f>
        <v>0</v>
      </c>
      <c r="I3370">
        <f>_xlfn.MAXIFS(TableRefills3[discountinuation_flag], TableRefills3[patient_id], A3370)</f>
        <v>1</v>
      </c>
    </row>
    <row r="3371" spans="1:9" x14ac:dyDescent="0.25">
      <c r="A3371" t="s">
        <v>5360</v>
      </c>
      <c r="B3371" t="s">
        <v>5361</v>
      </c>
      <c r="C3371" s="3">
        <v>45922</v>
      </c>
      <c r="D3371">
        <v>28</v>
      </c>
      <c r="E3371" s="3">
        <f t="shared" si="52"/>
        <v>45891</v>
      </c>
      <c r="F3371" s="3">
        <f>IF(TableRefills3[[#This Row],[prev_refill_days]]="","",TableRefills3[[#This Row],[prev_refill_days]]+TableRefills3[[#This Row],[quantity_days]])</f>
        <v>45919</v>
      </c>
      <c r="G3371">
        <f>IF(TableRefills3[[#This Row],[prev_refill_end]]="","",TableRefills3[[#This Row],[refill_date]]-TableRefills3[[#This Row],[prev_refill_end]])</f>
        <v>3</v>
      </c>
      <c r="H3371" s="10">
        <f>IF(TableRefills3[[#This Row],[gap_days]]="",0,IF(TableRefills3[[#This Row],[gap_days]]&gt;2,1,0))</f>
        <v>1</v>
      </c>
      <c r="I3371">
        <f>_xlfn.MAXIFS(TableRefills3[discountinuation_flag], TableRefills3[patient_id], A3371)</f>
        <v>1</v>
      </c>
    </row>
    <row r="3372" spans="1:9" x14ac:dyDescent="0.25">
      <c r="A3372" t="s">
        <v>5360</v>
      </c>
      <c r="B3372" t="s">
        <v>5361</v>
      </c>
      <c r="C3372" s="3">
        <v>45950</v>
      </c>
      <c r="D3372">
        <v>28</v>
      </c>
      <c r="E3372" s="3">
        <f t="shared" si="52"/>
        <v>45922</v>
      </c>
      <c r="F3372" s="3">
        <f>IF(TableRefills3[[#This Row],[prev_refill_days]]="","",TableRefills3[[#This Row],[prev_refill_days]]+TableRefills3[[#This Row],[quantity_days]])</f>
        <v>45950</v>
      </c>
      <c r="G3372">
        <f>IF(TableRefills3[[#This Row],[prev_refill_end]]="","",TableRefills3[[#This Row],[refill_date]]-TableRefills3[[#This Row],[prev_refill_end]])</f>
        <v>0</v>
      </c>
      <c r="H3372" s="10">
        <f>IF(TableRefills3[[#This Row],[gap_days]]="",0,IF(TableRefills3[[#This Row],[gap_days]]&gt;2,1,0))</f>
        <v>0</v>
      </c>
      <c r="I3372">
        <f>_xlfn.MAXIFS(TableRefills3[discountinuation_flag], TableRefills3[patient_id], A3372)</f>
        <v>1</v>
      </c>
    </row>
    <row r="3373" spans="1:9" x14ac:dyDescent="0.25">
      <c r="A3373" t="s">
        <v>5365</v>
      </c>
      <c r="B3373" t="s">
        <v>5366</v>
      </c>
      <c r="C3373" s="3">
        <v>45800</v>
      </c>
      <c r="D3373">
        <v>28</v>
      </c>
      <c r="E3373" s="3" t="str">
        <f t="shared" si="52"/>
        <v/>
      </c>
      <c r="F3373" s="3" t="str">
        <f>IF(TableRefills3[[#This Row],[prev_refill_days]]="","",TableRefills3[[#This Row],[prev_refill_days]]+TableRefills3[[#This Row],[quantity_days]])</f>
        <v/>
      </c>
      <c r="G3373" t="str">
        <f>IF(TableRefills3[[#This Row],[prev_refill_end]]="","",TableRefills3[[#This Row],[refill_date]]-TableRefills3[[#This Row],[prev_refill_end]])</f>
        <v/>
      </c>
      <c r="H3373" s="10">
        <f>IF(TableRefills3[[#This Row],[gap_days]]="",0,IF(TableRefills3[[#This Row],[gap_days]]&gt;2,1,0))</f>
        <v>0</v>
      </c>
      <c r="I3373">
        <f>_xlfn.MAXIFS(TableRefills3[discountinuation_flag], TableRefills3[patient_id], A3373)</f>
        <v>1</v>
      </c>
    </row>
    <row r="3374" spans="1:9" x14ac:dyDescent="0.25">
      <c r="A3374" t="s">
        <v>5365</v>
      </c>
      <c r="B3374" t="s">
        <v>5366</v>
      </c>
      <c r="C3374" s="3">
        <v>45831</v>
      </c>
      <c r="D3374">
        <v>28</v>
      </c>
      <c r="E3374" s="3">
        <f t="shared" si="52"/>
        <v>45800</v>
      </c>
      <c r="F3374" s="3">
        <f>IF(TableRefills3[[#This Row],[prev_refill_days]]="","",TableRefills3[[#This Row],[prev_refill_days]]+TableRefills3[[#This Row],[quantity_days]])</f>
        <v>45828</v>
      </c>
      <c r="G3374">
        <f>IF(TableRefills3[[#This Row],[prev_refill_end]]="","",TableRefills3[[#This Row],[refill_date]]-TableRefills3[[#This Row],[prev_refill_end]])</f>
        <v>3</v>
      </c>
      <c r="H3374" s="10">
        <f>IF(TableRefills3[[#This Row],[gap_days]]="",0,IF(TableRefills3[[#This Row],[gap_days]]&gt;2,1,0))</f>
        <v>1</v>
      </c>
      <c r="I3374">
        <f>_xlfn.MAXIFS(TableRefills3[discountinuation_flag], TableRefills3[patient_id], A3374)</f>
        <v>1</v>
      </c>
    </row>
    <row r="3375" spans="1:9" x14ac:dyDescent="0.25">
      <c r="A3375" t="s">
        <v>5365</v>
      </c>
      <c r="B3375" t="s">
        <v>5366</v>
      </c>
      <c r="C3375" s="3">
        <v>45861</v>
      </c>
      <c r="D3375">
        <v>28</v>
      </c>
      <c r="E3375" s="3">
        <f t="shared" si="52"/>
        <v>45831</v>
      </c>
      <c r="F3375" s="3">
        <f>IF(TableRefills3[[#This Row],[prev_refill_days]]="","",TableRefills3[[#This Row],[prev_refill_days]]+TableRefills3[[#This Row],[quantity_days]])</f>
        <v>45859</v>
      </c>
      <c r="G3375">
        <f>IF(TableRefills3[[#This Row],[prev_refill_end]]="","",TableRefills3[[#This Row],[refill_date]]-TableRefills3[[#This Row],[prev_refill_end]])</f>
        <v>2</v>
      </c>
      <c r="H3375" s="10">
        <f>IF(TableRefills3[[#This Row],[gap_days]]="",0,IF(TableRefills3[[#This Row],[gap_days]]&gt;2,1,0))</f>
        <v>0</v>
      </c>
      <c r="I3375">
        <f>_xlfn.MAXIFS(TableRefills3[discountinuation_flag], TableRefills3[patient_id], A3375)</f>
        <v>1</v>
      </c>
    </row>
    <row r="3376" spans="1:9" x14ac:dyDescent="0.25">
      <c r="A3376" t="s">
        <v>5365</v>
      </c>
      <c r="B3376" t="s">
        <v>5366</v>
      </c>
      <c r="C3376" s="3">
        <v>45892</v>
      </c>
      <c r="D3376">
        <v>28</v>
      </c>
      <c r="E3376" s="3">
        <f t="shared" si="52"/>
        <v>45861</v>
      </c>
      <c r="F3376" s="3">
        <f>IF(TableRefills3[[#This Row],[prev_refill_days]]="","",TableRefills3[[#This Row],[prev_refill_days]]+TableRefills3[[#This Row],[quantity_days]])</f>
        <v>45889</v>
      </c>
      <c r="G3376">
        <f>IF(TableRefills3[[#This Row],[prev_refill_end]]="","",TableRefills3[[#This Row],[refill_date]]-TableRefills3[[#This Row],[prev_refill_end]])</f>
        <v>3</v>
      </c>
      <c r="H3376" s="10">
        <f>IF(TableRefills3[[#This Row],[gap_days]]="",0,IF(TableRefills3[[#This Row],[gap_days]]&gt;2,1,0))</f>
        <v>1</v>
      </c>
      <c r="I3376">
        <f>_xlfn.MAXIFS(TableRefills3[discountinuation_flag], TableRefills3[patient_id], A3376)</f>
        <v>1</v>
      </c>
    </row>
    <row r="3377" spans="1:9" x14ac:dyDescent="0.25">
      <c r="A3377" t="s">
        <v>5365</v>
      </c>
      <c r="B3377" t="s">
        <v>5366</v>
      </c>
      <c r="C3377" s="3">
        <v>45923</v>
      </c>
      <c r="D3377">
        <v>28</v>
      </c>
      <c r="E3377" s="3">
        <f t="shared" si="52"/>
        <v>45892</v>
      </c>
      <c r="F3377" s="3">
        <f>IF(TableRefills3[[#This Row],[prev_refill_days]]="","",TableRefills3[[#This Row],[prev_refill_days]]+TableRefills3[[#This Row],[quantity_days]])</f>
        <v>45920</v>
      </c>
      <c r="G3377">
        <f>IF(TableRefills3[[#This Row],[prev_refill_end]]="","",TableRefills3[[#This Row],[refill_date]]-TableRefills3[[#This Row],[prev_refill_end]])</f>
        <v>3</v>
      </c>
      <c r="H3377" s="10">
        <f>IF(TableRefills3[[#This Row],[gap_days]]="",0,IF(TableRefills3[[#This Row],[gap_days]]&gt;2,1,0))</f>
        <v>1</v>
      </c>
      <c r="I3377">
        <f>_xlfn.MAXIFS(TableRefills3[discountinuation_flag], TableRefills3[patient_id], A3377)</f>
        <v>1</v>
      </c>
    </row>
    <row r="3378" spans="1:9" x14ac:dyDescent="0.25">
      <c r="A3378" t="s">
        <v>5365</v>
      </c>
      <c r="B3378" t="s">
        <v>5366</v>
      </c>
      <c r="C3378" s="3">
        <v>45953</v>
      </c>
      <c r="D3378">
        <v>28</v>
      </c>
      <c r="E3378" s="3">
        <f t="shared" si="52"/>
        <v>45923</v>
      </c>
      <c r="F3378" s="3">
        <f>IF(TableRefills3[[#This Row],[prev_refill_days]]="","",TableRefills3[[#This Row],[prev_refill_days]]+TableRefills3[[#This Row],[quantity_days]])</f>
        <v>45951</v>
      </c>
      <c r="G3378">
        <f>IF(TableRefills3[[#This Row],[prev_refill_end]]="","",TableRefills3[[#This Row],[refill_date]]-TableRefills3[[#This Row],[prev_refill_end]])</f>
        <v>2</v>
      </c>
      <c r="H3378" s="10">
        <f>IF(TableRefills3[[#This Row],[gap_days]]="",0,IF(TableRefills3[[#This Row],[gap_days]]&gt;2,1,0))</f>
        <v>0</v>
      </c>
      <c r="I3378">
        <f>_xlfn.MAXIFS(TableRefills3[discountinuation_flag], TableRefills3[patient_id], A3378)</f>
        <v>1</v>
      </c>
    </row>
    <row r="3379" spans="1:9" x14ac:dyDescent="0.25">
      <c r="A3379" t="s">
        <v>5373</v>
      </c>
      <c r="B3379" t="s">
        <v>5374</v>
      </c>
      <c r="C3379" s="3">
        <v>45813</v>
      </c>
      <c r="D3379">
        <v>21</v>
      </c>
      <c r="E3379" s="3" t="str">
        <f t="shared" si="52"/>
        <v/>
      </c>
      <c r="F3379" s="3" t="str">
        <f>IF(TableRefills3[[#This Row],[prev_refill_days]]="","",TableRefills3[[#This Row],[prev_refill_days]]+TableRefills3[[#This Row],[quantity_days]])</f>
        <v/>
      </c>
      <c r="G3379" t="str">
        <f>IF(TableRefills3[[#This Row],[prev_refill_end]]="","",TableRefills3[[#This Row],[refill_date]]-TableRefills3[[#This Row],[prev_refill_end]])</f>
        <v/>
      </c>
      <c r="H3379" s="10">
        <f>IF(TableRefills3[[#This Row],[gap_days]]="",0,IF(TableRefills3[[#This Row],[gap_days]]&gt;2,1,0))</f>
        <v>0</v>
      </c>
      <c r="I3379">
        <f>_xlfn.MAXIFS(TableRefills3[discountinuation_flag], TableRefills3[patient_id], A3379)</f>
        <v>1</v>
      </c>
    </row>
    <row r="3380" spans="1:9" x14ac:dyDescent="0.25">
      <c r="A3380" t="s">
        <v>5373</v>
      </c>
      <c r="B3380" t="s">
        <v>5374</v>
      </c>
      <c r="C3380" s="3">
        <v>45833</v>
      </c>
      <c r="D3380">
        <v>21</v>
      </c>
      <c r="E3380" s="3">
        <f t="shared" si="52"/>
        <v>45813</v>
      </c>
      <c r="F3380" s="3">
        <f>IF(TableRefills3[[#This Row],[prev_refill_days]]="","",TableRefills3[[#This Row],[prev_refill_days]]+TableRefills3[[#This Row],[quantity_days]])</f>
        <v>45834</v>
      </c>
      <c r="G3380">
        <f>IF(TableRefills3[[#This Row],[prev_refill_end]]="","",TableRefills3[[#This Row],[refill_date]]-TableRefills3[[#This Row],[prev_refill_end]])</f>
        <v>-1</v>
      </c>
      <c r="H3380" s="10">
        <f>IF(TableRefills3[[#This Row],[gap_days]]="",0,IF(TableRefills3[[#This Row],[gap_days]]&gt;2,1,0))</f>
        <v>0</v>
      </c>
      <c r="I3380">
        <f>_xlfn.MAXIFS(TableRefills3[discountinuation_flag], TableRefills3[patient_id], A3380)</f>
        <v>1</v>
      </c>
    </row>
    <row r="3381" spans="1:9" x14ac:dyDescent="0.25">
      <c r="A3381" t="s">
        <v>5373</v>
      </c>
      <c r="B3381" t="s">
        <v>5374</v>
      </c>
      <c r="C3381" s="3">
        <v>45855</v>
      </c>
      <c r="D3381">
        <v>21</v>
      </c>
      <c r="E3381" s="3">
        <f t="shared" si="52"/>
        <v>45833</v>
      </c>
      <c r="F3381" s="3">
        <f>IF(TableRefills3[[#This Row],[prev_refill_days]]="","",TableRefills3[[#This Row],[prev_refill_days]]+TableRefills3[[#This Row],[quantity_days]])</f>
        <v>45854</v>
      </c>
      <c r="G3381">
        <f>IF(TableRefills3[[#This Row],[prev_refill_end]]="","",TableRefills3[[#This Row],[refill_date]]-TableRefills3[[#This Row],[prev_refill_end]])</f>
        <v>1</v>
      </c>
      <c r="H3381" s="10">
        <f>IF(TableRefills3[[#This Row],[gap_days]]="",0,IF(TableRefills3[[#This Row],[gap_days]]&gt;2,1,0))</f>
        <v>0</v>
      </c>
      <c r="I3381">
        <f>_xlfn.MAXIFS(TableRefills3[discountinuation_flag], TableRefills3[patient_id], A3381)</f>
        <v>1</v>
      </c>
    </row>
    <row r="3382" spans="1:9" x14ac:dyDescent="0.25">
      <c r="A3382" t="s">
        <v>5373</v>
      </c>
      <c r="B3382" t="s">
        <v>5374</v>
      </c>
      <c r="C3382" s="3">
        <v>45879</v>
      </c>
      <c r="D3382">
        <v>21</v>
      </c>
      <c r="E3382" s="3">
        <f t="shared" si="52"/>
        <v>45855</v>
      </c>
      <c r="F3382" s="3">
        <f>IF(TableRefills3[[#This Row],[prev_refill_days]]="","",TableRefills3[[#This Row],[prev_refill_days]]+TableRefills3[[#This Row],[quantity_days]])</f>
        <v>45876</v>
      </c>
      <c r="G3382">
        <f>IF(TableRefills3[[#This Row],[prev_refill_end]]="","",TableRefills3[[#This Row],[refill_date]]-TableRefills3[[#This Row],[prev_refill_end]])</f>
        <v>3</v>
      </c>
      <c r="H3382" s="10">
        <f>IF(TableRefills3[[#This Row],[gap_days]]="",0,IF(TableRefills3[[#This Row],[gap_days]]&gt;2,1,0))</f>
        <v>1</v>
      </c>
      <c r="I3382">
        <f>_xlfn.MAXIFS(TableRefills3[discountinuation_flag], TableRefills3[patient_id], A3382)</f>
        <v>1</v>
      </c>
    </row>
    <row r="3383" spans="1:9" x14ac:dyDescent="0.25">
      <c r="A3383" t="s">
        <v>5373</v>
      </c>
      <c r="B3383" t="s">
        <v>5374</v>
      </c>
      <c r="C3383" s="3">
        <v>45902</v>
      </c>
      <c r="D3383">
        <v>21</v>
      </c>
      <c r="E3383" s="3">
        <f t="shared" si="52"/>
        <v>45879</v>
      </c>
      <c r="F3383" s="3">
        <f>IF(TableRefills3[[#This Row],[prev_refill_days]]="","",TableRefills3[[#This Row],[prev_refill_days]]+TableRefills3[[#This Row],[quantity_days]])</f>
        <v>45900</v>
      </c>
      <c r="G3383">
        <f>IF(TableRefills3[[#This Row],[prev_refill_end]]="","",TableRefills3[[#This Row],[refill_date]]-TableRefills3[[#This Row],[prev_refill_end]])</f>
        <v>2</v>
      </c>
      <c r="H3383" s="10">
        <f>IF(TableRefills3[[#This Row],[gap_days]]="",0,IF(TableRefills3[[#This Row],[gap_days]]&gt;2,1,0))</f>
        <v>0</v>
      </c>
      <c r="I3383">
        <f>_xlfn.MAXIFS(TableRefills3[discountinuation_flag], TableRefills3[patient_id], A3383)</f>
        <v>1</v>
      </c>
    </row>
    <row r="3384" spans="1:9" x14ac:dyDescent="0.25">
      <c r="A3384" t="s">
        <v>5373</v>
      </c>
      <c r="B3384" t="s">
        <v>5374</v>
      </c>
      <c r="C3384" s="3">
        <v>45923</v>
      </c>
      <c r="D3384">
        <v>21</v>
      </c>
      <c r="E3384" s="3">
        <f t="shared" si="52"/>
        <v>45902</v>
      </c>
      <c r="F3384" s="3">
        <f>IF(TableRefills3[[#This Row],[prev_refill_days]]="","",TableRefills3[[#This Row],[prev_refill_days]]+TableRefills3[[#This Row],[quantity_days]])</f>
        <v>45923</v>
      </c>
      <c r="G3384">
        <f>IF(TableRefills3[[#This Row],[prev_refill_end]]="","",TableRefills3[[#This Row],[refill_date]]-TableRefills3[[#This Row],[prev_refill_end]])</f>
        <v>0</v>
      </c>
      <c r="H3384" s="10">
        <f>IF(TableRefills3[[#This Row],[gap_days]]="",0,IF(TableRefills3[[#This Row],[gap_days]]&gt;2,1,0))</f>
        <v>0</v>
      </c>
      <c r="I3384">
        <f>_xlfn.MAXIFS(TableRefills3[discountinuation_flag], TableRefills3[patient_id], A3384)</f>
        <v>1</v>
      </c>
    </row>
    <row r="3385" spans="1:9" x14ac:dyDescent="0.25">
      <c r="A3385" t="s">
        <v>5373</v>
      </c>
      <c r="B3385" t="s">
        <v>5374</v>
      </c>
      <c r="C3385" s="3">
        <v>45941</v>
      </c>
      <c r="D3385">
        <v>21</v>
      </c>
      <c r="E3385" s="3">
        <f t="shared" si="52"/>
        <v>45923</v>
      </c>
      <c r="F3385" s="3">
        <f>IF(TableRefills3[[#This Row],[prev_refill_days]]="","",TableRefills3[[#This Row],[prev_refill_days]]+TableRefills3[[#This Row],[quantity_days]])</f>
        <v>45944</v>
      </c>
      <c r="G3385">
        <f>IF(TableRefills3[[#This Row],[prev_refill_end]]="","",TableRefills3[[#This Row],[refill_date]]-TableRefills3[[#This Row],[prev_refill_end]])</f>
        <v>-3</v>
      </c>
      <c r="H3385" s="10">
        <f>IF(TableRefills3[[#This Row],[gap_days]]="",0,IF(TableRefills3[[#This Row],[gap_days]]&gt;2,1,0))</f>
        <v>0</v>
      </c>
      <c r="I3385">
        <f>_xlfn.MAXIFS(TableRefills3[discountinuation_flag], TableRefills3[patient_id], A3385)</f>
        <v>1</v>
      </c>
    </row>
    <row r="3386" spans="1:9" x14ac:dyDescent="0.25">
      <c r="A3386" t="s">
        <v>5373</v>
      </c>
      <c r="B3386" t="s">
        <v>5374</v>
      </c>
      <c r="C3386" s="3">
        <v>45959</v>
      </c>
      <c r="D3386">
        <v>21</v>
      </c>
      <c r="E3386" s="3">
        <f t="shared" si="52"/>
        <v>45941</v>
      </c>
      <c r="F3386" s="3">
        <f>IF(TableRefills3[[#This Row],[prev_refill_days]]="","",TableRefills3[[#This Row],[prev_refill_days]]+TableRefills3[[#This Row],[quantity_days]])</f>
        <v>45962</v>
      </c>
      <c r="G3386">
        <f>IF(TableRefills3[[#This Row],[prev_refill_end]]="","",TableRefills3[[#This Row],[refill_date]]-TableRefills3[[#This Row],[prev_refill_end]])</f>
        <v>-3</v>
      </c>
      <c r="H3386" s="10">
        <f>IF(TableRefills3[[#This Row],[gap_days]]="",0,IF(TableRefills3[[#This Row],[gap_days]]&gt;2,1,0))</f>
        <v>0</v>
      </c>
      <c r="I3386">
        <f>_xlfn.MAXIFS(TableRefills3[discountinuation_flag], TableRefills3[patient_id], A3386)</f>
        <v>1</v>
      </c>
    </row>
    <row r="3387" spans="1:9" x14ac:dyDescent="0.25">
      <c r="A3387" t="s">
        <v>5383</v>
      </c>
      <c r="B3387" t="s">
        <v>5384</v>
      </c>
      <c r="C3387" s="3">
        <v>45809</v>
      </c>
      <c r="D3387">
        <v>28</v>
      </c>
      <c r="E3387" s="3" t="str">
        <f t="shared" si="52"/>
        <v/>
      </c>
      <c r="F3387" s="3" t="str">
        <f>IF(TableRefills3[[#This Row],[prev_refill_days]]="","",TableRefills3[[#This Row],[prev_refill_days]]+TableRefills3[[#This Row],[quantity_days]])</f>
        <v/>
      </c>
      <c r="G3387" t="str">
        <f>IF(TableRefills3[[#This Row],[prev_refill_end]]="","",TableRefills3[[#This Row],[refill_date]]-TableRefills3[[#This Row],[prev_refill_end]])</f>
        <v/>
      </c>
      <c r="H3387" s="10">
        <f>IF(TableRefills3[[#This Row],[gap_days]]="",0,IF(TableRefills3[[#This Row],[gap_days]]&gt;2,1,0))</f>
        <v>0</v>
      </c>
      <c r="I3387">
        <f>_xlfn.MAXIFS(TableRefills3[discountinuation_flag], TableRefills3[patient_id], A3387)</f>
        <v>0</v>
      </c>
    </row>
    <row r="3388" spans="1:9" x14ac:dyDescent="0.25">
      <c r="A3388" t="s">
        <v>5383</v>
      </c>
      <c r="B3388" t="s">
        <v>5384</v>
      </c>
      <c r="C3388" s="3">
        <v>45837</v>
      </c>
      <c r="D3388">
        <v>28</v>
      </c>
      <c r="E3388" s="3">
        <f t="shared" si="52"/>
        <v>45809</v>
      </c>
      <c r="F3388" s="3">
        <f>IF(TableRefills3[[#This Row],[prev_refill_days]]="","",TableRefills3[[#This Row],[prev_refill_days]]+TableRefills3[[#This Row],[quantity_days]])</f>
        <v>45837</v>
      </c>
      <c r="G3388">
        <f>IF(TableRefills3[[#This Row],[prev_refill_end]]="","",TableRefills3[[#This Row],[refill_date]]-TableRefills3[[#This Row],[prev_refill_end]])</f>
        <v>0</v>
      </c>
      <c r="H3388" s="10">
        <f>IF(TableRefills3[[#This Row],[gap_days]]="",0,IF(TableRefills3[[#This Row],[gap_days]]&gt;2,1,0))</f>
        <v>0</v>
      </c>
      <c r="I3388">
        <f>_xlfn.MAXIFS(TableRefills3[discountinuation_flag], TableRefills3[patient_id], A3388)</f>
        <v>0</v>
      </c>
    </row>
    <row r="3389" spans="1:9" x14ac:dyDescent="0.25">
      <c r="A3389" t="s">
        <v>5383</v>
      </c>
      <c r="B3389" t="s">
        <v>5384</v>
      </c>
      <c r="C3389" s="3">
        <v>45863</v>
      </c>
      <c r="D3389">
        <v>28</v>
      </c>
      <c r="E3389" s="3">
        <f t="shared" si="52"/>
        <v>45837</v>
      </c>
      <c r="F3389" s="3">
        <f>IF(TableRefills3[[#This Row],[prev_refill_days]]="","",TableRefills3[[#This Row],[prev_refill_days]]+TableRefills3[[#This Row],[quantity_days]])</f>
        <v>45865</v>
      </c>
      <c r="G3389">
        <f>IF(TableRefills3[[#This Row],[prev_refill_end]]="","",TableRefills3[[#This Row],[refill_date]]-TableRefills3[[#This Row],[prev_refill_end]])</f>
        <v>-2</v>
      </c>
      <c r="H3389" s="10">
        <f>IF(TableRefills3[[#This Row],[gap_days]]="",0,IF(TableRefills3[[#This Row],[gap_days]]&gt;2,1,0))</f>
        <v>0</v>
      </c>
      <c r="I3389">
        <f>_xlfn.MAXIFS(TableRefills3[discountinuation_flag], TableRefills3[patient_id], A3389)</f>
        <v>0</v>
      </c>
    </row>
    <row r="3390" spans="1:9" x14ac:dyDescent="0.25">
      <c r="A3390" t="s">
        <v>5388</v>
      </c>
      <c r="B3390" t="s">
        <v>5389</v>
      </c>
      <c r="C3390" s="3">
        <v>45876</v>
      </c>
      <c r="D3390">
        <v>28</v>
      </c>
      <c r="E3390" s="3" t="str">
        <f t="shared" si="52"/>
        <v/>
      </c>
      <c r="F3390" s="3" t="str">
        <f>IF(TableRefills3[[#This Row],[prev_refill_days]]="","",TableRefills3[[#This Row],[prev_refill_days]]+TableRefills3[[#This Row],[quantity_days]])</f>
        <v/>
      </c>
      <c r="G3390" t="str">
        <f>IF(TableRefills3[[#This Row],[prev_refill_end]]="","",TableRefills3[[#This Row],[refill_date]]-TableRefills3[[#This Row],[prev_refill_end]])</f>
        <v/>
      </c>
      <c r="H3390" s="10">
        <f>IF(TableRefills3[[#This Row],[gap_days]]="",0,IF(TableRefills3[[#This Row],[gap_days]]&gt;2,1,0))</f>
        <v>0</v>
      </c>
      <c r="I3390">
        <f>_xlfn.MAXIFS(TableRefills3[discountinuation_flag], TableRefills3[patient_id], A3390)</f>
        <v>0</v>
      </c>
    </row>
    <row r="3391" spans="1:9" x14ac:dyDescent="0.25">
      <c r="A3391" t="s">
        <v>5388</v>
      </c>
      <c r="B3391" t="s">
        <v>5389</v>
      </c>
      <c r="C3391" s="3">
        <v>45906</v>
      </c>
      <c r="D3391">
        <v>28</v>
      </c>
      <c r="E3391" s="3">
        <f t="shared" si="52"/>
        <v>45876</v>
      </c>
      <c r="F3391" s="3">
        <f>IF(TableRefills3[[#This Row],[prev_refill_days]]="","",TableRefills3[[#This Row],[prev_refill_days]]+TableRefills3[[#This Row],[quantity_days]])</f>
        <v>45904</v>
      </c>
      <c r="G3391">
        <f>IF(TableRefills3[[#This Row],[prev_refill_end]]="","",TableRefills3[[#This Row],[refill_date]]-TableRefills3[[#This Row],[prev_refill_end]])</f>
        <v>2</v>
      </c>
      <c r="H3391" s="10">
        <f>IF(TableRefills3[[#This Row],[gap_days]]="",0,IF(TableRefills3[[#This Row],[gap_days]]&gt;2,1,0))</f>
        <v>0</v>
      </c>
      <c r="I3391">
        <f>_xlfn.MAXIFS(TableRefills3[discountinuation_flag], TableRefills3[patient_id], A3391)</f>
        <v>0</v>
      </c>
    </row>
    <row r="3392" spans="1:9" x14ac:dyDescent="0.25">
      <c r="A3392" t="s">
        <v>5388</v>
      </c>
      <c r="B3392" t="s">
        <v>5389</v>
      </c>
      <c r="C3392" s="3">
        <v>45933</v>
      </c>
      <c r="D3392">
        <v>28</v>
      </c>
      <c r="E3392" s="3">
        <f t="shared" si="52"/>
        <v>45906</v>
      </c>
      <c r="F3392" s="3">
        <f>IF(TableRefills3[[#This Row],[prev_refill_days]]="","",TableRefills3[[#This Row],[prev_refill_days]]+TableRefills3[[#This Row],[quantity_days]])</f>
        <v>45934</v>
      </c>
      <c r="G3392">
        <f>IF(TableRefills3[[#This Row],[prev_refill_end]]="","",TableRefills3[[#This Row],[refill_date]]-TableRefills3[[#This Row],[prev_refill_end]])</f>
        <v>-1</v>
      </c>
      <c r="H3392" s="10">
        <f>IF(TableRefills3[[#This Row],[gap_days]]="",0,IF(TableRefills3[[#This Row],[gap_days]]&gt;2,1,0))</f>
        <v>0</v>
      </c>
      <c r="I3392">
        <f>_xlfn.MAXIFS(TableRefills3[discountinuation_flag], TableRefills3[patient_id], A3392)</f>
        <v>0</v>
      </c>
    </row>
    <row r="3393" spans="1:9" x14ac:dyDescent="0.25">
      <c r="A3393" t="s">
        <v>5388</v>
      </c>
      <c r="B3393" t="s">
        <v>5389</v>
      </c>
      <c r="C3393" s="3">
        <v>45958</v>
      </c>
      <c r="D3393">
        <v>28</v>
      </c>
      <c r="E3393" s="3">
        <f t="shared" si="52"/>
        <v>45933</v>
      </c>
      <c r="F3393" s="3">
        <f>IF(TableRefills3[[#This Row],[prev_refill_days]]="","",TableRefills3[[#This Row],[prev_refill_days]]+TableRefills3[[#This Row],[quantity_days]])</f>
        <v>45961</v>
      </c>
      <c r="G3393">
        <f>IF(TableRefills3[[#This Row],[prev_refill_end]]="","",TableRefills3[[#This Row],[refill_date]]-TableRefills3[[#This Row],[prev_refill_end]])</f>
        <v>-3</v>
      </c>
      <c r="H3393" s="10">
        <f>IF(TableRefills3[[#This Row],[gap_days]]="",0,IF(TableRefills3[[#This Row],[gap_days]]&gt;2,1,0))</f>
        <v>0</v>
      </c>
      <c r="I3393">
        <f>_xlfn.MAXIFS(TableRefills3[discountinuation_flag], TableRefills3[patient_id], A3393)</f>
        <v>0</v>
      </c>
    </row>
    <row r="3394" spans="1:9" x14ac:dyDescent="0.25">
      <c r="A3394" t="s">
        <v>5394</v>
      </c>
      <c r="B3394" t="s">
        <v>5395</v>
      </c>
      <c r="C3394" s="3">
        <v>45887</v>
      </c>
      <c r="D3394">
        <v>30</v>
      </c>
      <c r="E3394" s="3" t="str">
        <f t="shared" ref="E3394:E3404" si="53">IF(A3393=A3394,C3393,"")</f>
        <v/>
      </c>
      <c r="F3394" s="3" t="str">
        <f>IF(TableRefills3[[#This Row],[prev_refill_days]]="","",TableRefills3[[#This Row],[prev_refill_days]]+TableRefills3[[#This Row],[quantity_days]])</f>
        <v/>
      </c>
      <c r="G3394" t="str">
        <f>IF(TableRefills3[[#This Row],[prev_refill_end]]="","",TableRefills3[[#This Row],[refill_date]]-TableRefills3[[#This Row],[prev_refill_end]])</f>
        <v/>
      </c>
      <c r="H3394" s="10">
        <f>IF(TableRefills3[[#This Row],[gap_days]]="",0,IF(TableRefills3[[#This Row],[gap_days]]&gt;2,1,0))</f>
        <v>0</v>
      </c>
      <c r="I3394">
        <f>_xlfn.MAXIFS(TableRefills3[discountinuation_flag], TableRefills3[patient_id], A3394)</f>
        <v>1</v>
      </c>
    </row>
    <row r="3395" spans="1:9" x14ac:dyDescent="0.25">
      <c r="A3395" t="s">
        <v>5394</v>
      </c>
      <c r="B3395" t="s">
        <v>5395</v>
      </c>
      <c r="C3395" s="3">
        <v>45919</v>
      </c>
      <c r="D3395">
        <v>30</v>
      </c>
      <c r="E3395" s="3">
        <f t="shared" si="53"/>
        <v>45887</v>
      </c>
      <c r="F3395" s="3">
        <f>IF(TableRefills3[[#This Row],[prev_refill_days]]="","",TableRefills3[[#This Row],[prev_refill_days]]+TableRefills3[[#This Row],[quantity_days]])</f>
        <v>45917</v>
      </c>
      <c r="G3395">
        <f>IF(TableRefills3[[#This Row],[prev_refill_end]]="","",TableRefills3[[#This Row],[refill_date]]-TableRefills3[[#This Row],[prev_refill_end]])</f>
        <v>2</v>
      </c>
      <c r="H3395" s="10">
        <f>IF(TableRefills3[[#This Row],[gap_days]]="",0,IF(TableRefills3[[#This Row],[gap_days]]&gt;2,1,0))</f>
        <v>0</v>
      </c>
      <c r="I3395">
        <f>_xlfn.MAXIFS(TableRefills3[discountinuation_flag], TableRefills3[patient_id], A3395)</f>
        <v>1</v>
      </c>
    </row>
    <row r="3396" spans="1:9" x14ac:dyDescent="0.25">
      <c r="A3396" t="s">
        <v>5394</v>
      </c>
      <c r="B3396" t="s">
        <v>5395</v>
      </c>
      <c r="C3396" s="3">
        <v>45952</v>
      </c>
      <c r="D3396">
        <v>30</v>
      </c>
      <c r="E3396" s="3">
        <f t="shared" si="53"/>
        <v>45919</v>
      </c>
      <c r="F3396" s="3">
        <f>IF(TableRefills3[[#This Row],[prev_refill_days]]="","",TableRefills3[[#This Row],[prev_refill_days]]+TableRefills3[[#This Row],[quantity_days]])</f>
        <v>45949</v>
      </c>
      <c r="G3396">
        <f>IF(TableRefills3[[#This Row],[prev_refill_end]]="","",TableRefills3[[#This Row],[refill_date]]-TableRefills3[[#This Row],[prev_refill_end]])</f>
        <v>3</v>
      </c>
      <c r="H3396" s="10">
        <f>IF(TableRefills3[[#This Row],[gap_days]]="",0,IF(TableRefills3[[#This Row],[gap_days]]&gt;2,1,0))</f>
        <v>1</v>
      </c>
      <c r="I3396">
        <f>_xlfn.MAXIFS(TableRefills3[discountinuation_flag], TableRefills3[patient_id], A3396)</f>
        <v>1</v>
      </c>
    </row>
    <row r="3397" spans="1:9" x14ac:dyDescent="0.25">
      <c r="A3397" t="s">
        <v>5399</v>
      </c>
      <c r="B3397" t="s">
        <v>5400</v>
      </c>
      <c r="C3397" s="3">
        <v>45813</v>
      </c>
      <c r="D3397">
        <v>28</v>
      </c>
      <c r="E3397" s="3" t="str">
        <f t="shared" si="53"/>
        <v/>
      </c>
      <c r="F3397" s="3" t="str">
        <f>IF(TableRefills3[[#This Row],[prev_refill_days]]="","",TableRefills3[[#This Row],[prev_refill_days]]+TableRefills3[[#This Row],[quantity_days]])</f>
        <v/>
      </c>
      <c r="G3397" t="str">
        <f>IF(TableRefills3[[#This Row],[prev_refill_end]]="","",TableRefills3[[#This Row],[refill_date]]-TableRefills3[[#This Row],[prev_refill_end]])</f>
        <v/>
      </c>
      <c r="H3397" s="10">
        <f>IF(TableRefills3[[#This Row],[gap_days]]="",0,IF(TableRefills3[[#This Row],[gap_days]]&gt;2,1,0))</f>
        <v>0</v>
      </c>
      <c r="I3397">
        <f>_xlfn.MAXIFS(TableRefills3[discountinuation_flag], TableRefills3[patient_id], A3397)</f>
        <v>0</v>
      </c>
    </row>
    <row r="3398" spans="1:9" x14ac:dyDescent="0.25">
      <c r="A3398" t="s">
        <v>5399</v>
      </c>
      <c r="B3398" t="s">
        <v>5400</v>
      </c>
      <c r="C3398" s="3">
        <v>45841</v>
      </c>
      <c r="D3398">
        <v>28</v>
      </c>
      <c r="E3398" s="3">
        <f t="shared" si="53"/>
        <v>45813</v>
      </c>
      <c r="F3398" s="3">
        <f>IF(TableRefills3[[#This Row],[prev_refill_days]]="","",TableRefills3[[#This Row],[prev_refill_days]]+TableRefills3[[#This Row],[quantity_days]])</f>
        <v>45841</v>
      </c>
      <c r="G3398">
        <f>IF(TableRefills3[[#This Row],[prev_refill_end]]="","",TableRefills3[[#This Row],[refill_date]]-TableRefills3[[#This Row],[prev_refill_end]])</f>
        <v>0</v>
      </c>
      <c r="H3398" s="10">
        <f>IF(TableRefills3[[#This Row],[gap_days]]="",0,IF(TableRefills3[[#This Row],[gap_days]]&gt;2,1,0))</f>
        <v>0</v>
      </c>
      <c r="I3398">
        <f>_xlfn.MAXIFS(TableRefills3[discountinuation_flag], TableRefills3[patient_id], A3398)</f>
        <v>0</v>
      </c>
    </row>
    <row r="3399" spans="1:9" x14ac:dyDescent="0.25">
      <c r="A3399" t="s">
        <v>5399</v>
      </c>
      <c r="B3399" t="s">
        <v>5400</v>
      </c>
      <c r="C3399" s="3">
        <v>45868</v>
      </c>
      <c r="D3399">
        <v>28</v>
      </c>
      <c r="E3399" s="3">
        <f t="shared" si="53"/>
        <v>45841</v>
      </c>
      <c r="F3399" s="3">
        <f>IF(TableRefills3[[#This Row],[prev_refill_days]]="","",TableRefills3[[#This Row],[prev_refill_days]]+TableRefills3[[#This Row],[quantity_days]])</f>
        <v>45869</v>
      </c>
      <c r="G3399">
        <f>IF(TableRefills3[[#This Row],[prev_refill_end]]="","",TableRefills3[[#This Row],[refill_date]]-TableRefills3[[#This Row],[prev_refill_end]])</f>
        <v>-1</v>
      </c>
      <c r="H3399" s="10">
        <f>IF(TableRefills3[[#This Row],[gap_days]]="",0,IF(TableRefills3[[#This Row],[gap_days]]&gt;2,1,0))</f>
        <v>0</v>
      </c>
      <c r="I3399">
        <f>_xlfn.MAXIFS(TableRefills3[discountinuation_flag], TableRefills3[patient_id], A3399)</f>
        <v>0</v>
      </c>
    </row>
    <row r="3400" spans="1:9" x14ac:dyDescent="0.25">
      <c r="A3400" t="s">
        <v>5399</v>
      </c>
      <c r="B3400" t="s">
        <v>5400</v>
      </c>
      <c r="C3400" s="3">
        <v>45896</v>
      </c>
      <c r="D3400">
        <v>28</v>
      </c>
      <c r="E3400" s="3">
        <f t="shared" si="53"/>
        <v>45868</v>
      </c>
      <c r="F3400" s="3">
        <f>IF(TableRefills3[[#This Row],[prev_refill_days]]="","",TableRefills3[[#This Row],[prev_refill_days]]+TableRefills3[[#This Row],[quantity_days]])</f>
        <v>45896</v>
      </c>
      <c r="G3400">
        <f>IF(TableRefills3[[#This Row],[prev_refill_end]]="","",TableRefills3[[#This Row],[refill_date]]-TableRefills3[[#This Row],[prev_refill_end]])</f>
        <v>0</v>
      </c>
      <c r="H3400" s="10">
        <f>IF(TableRefills3[[#This Row],[gap_days]]="",0,IF(TableRefills3[[#This Row],[gap_days]]&gt;2,1,0))</f>
        <v>0</v>
      </c>
      <c r="I3400">
        <f>_xlfn.MAXIFS(TableRefills3[discountinuation_flag], TableRefills3[patient_id], A3400)</f>
        <v>0</v>
      </c>
    </row>
    <row r="3401" spans="1:9" x14ac:dyDescent="0.25">
      <c r="A3401" t="s">
        <v>5399</v>
      </c>
      <c r="B3401" t="s">
        <v>5400</v>
      </c>
      <c r="C3401" s="3">
        <v>45926</v>
      </c>
      <c r="D3401">
        <v>28</v>
      </c>
      <c r="E3401" s="3">
        <f t="shared" si="53"/>
        <v>45896</v>
      </c>
      <c r="F3401" s="3">
        <f>IF(TableRefills3[[#This Row],[prev_refill_days]]="","",TableRefills3[[#This Row],[prev_refill_days]]+TableRefills3[[#This Row],[quantity_days]])</f>
        <v>45924</v>
      </c>
      <c r="G3401" s="10">
        <f>IF(TableRefills3[[#This Row],[prev_refill_end]]="","",TableRefills3[[#This Row],[refill_date]]-TableRefills3[[#This Row],[prev_refill_end]])</f>
        <v>2</v>
      </c>
      <c r="H3401" s="10">
        <f>IF(TableRefills3[[#This Row],[gap_days]]="",0,IF(TableRefills3[[#This Row],[gap_days]]&gt;2,1,0))</f>
        <v>0</v>
      </c>
      <c r="I3401" s="10">
        <f>_xlfn.MAXIFS(TableRefills3[discountinuation_flag], TableRefills3[patient_id], A3401)</f>
        <v>0</v>
      </c>
    </row>
    <row r="3402" spans="1:9" x14ac:dyDescent="0.25">
      <c r="A3402" t="s">
        <v>5399</v>
      </c>
      <c r="B3402" t="s">
        <v>5400</v>
      </c>
      <c r="C3402" s="3">
        <v>45953</v>
      </c>
      <c r="D3402">
        <v>28</v>
      </c>
      <c r="E3402" s="3">
        <f t="shared" si="53"/>
        <v>45926</v>
      </c>
      <c r="F3402" s="3">
        <f>IF(TableRefills3[[#This Row],[prev_refill_days]]="","",TableRefills3[[#This Row],[prev_refill_days]]+TableRefills3[[#This Row],[quantity_days]])</f>
        <v>45954</v>
      </c>
      <c r="G3402" s="10">
        <f>IF(TableRefills3[[#This Row],[prev_refill_end]]="","",TableRefills3[[#This Row],[refill_date]]-TableRefills3[[#This Row],[prev_refill_end]])</f>
        <v>-1</v>
      </c>
      <c r="H3402" s="10">
        <f>IF(TableRefills3[[#This Row],[gap_days]]="",0,IF(TableRefills3[[#This Row],[gap_days]]&gt;2,1,0))</f>
        <v>0</v>
      </c>
      <c r="I3402" s="10">
        <f>_xlfn.MAXIFS(TableRefills3[discountinuation_flag], TableRefills3[patient_id], A3402)</f>
        <v>0</v>
      </c>
    </row>
    <row r="3403" spans="1:9" x14ac:dyDescent="0.25">
      <c r="A3403" t="s">
        <v>5407</v>
      </c>
      <c r="B3403" t="s">
        <v>5408</v>
      </c>
      <c r="C3403" s="3">
        <v>45848</v>
      </c>
      <c r="D3403">
        <v>21</v>
      </c>
      <c r="E3403" s="3" t="str">
        <f t="shared" si="53"/>
        <v/>
      </c>
      <c r="F3403" s="3" t="str">
        <f>IF(TableRefills3[[#This Row],[prev_refill_days]]="","",TableRefills3[[#This Row],[prev_refill_days]]+TableRefills3[[#This Row],[quantity_days]])</f>
        <v/>
      </c>
      <c r="G3403" s="10" t="str">
        <f>IF(TableRefills3[[#This Row],[prev_refill_end]]="","",TableRefills3[[#This Row],[refill_date]]-TableRefills3[[#This Row],[prev_refill_end]])</f>
        <v/>
      </c>
      <c r="H3403" s="10">
        <f>IF(TableRefills3[[#This Row],[gap_days]]="",0,IF(TableRefills3[[#This Row],[gap_days]]&gt;2,1,0))</f>
        <v>0</v>
      </c>
      <c r="I3403" s="10">
        <f>_xlfn.MAXIFS(TableRefills3[discountinuation_flag], TableRefills3[patient_id], A3403)</f>
        <v>1</v>
      </c>
    </row>
    <row r="3404" spans="1:9" x14ac:dyDescent="0.25">
      <c r="A3404" t="s">
        <v>5407</v>
      </c>
      <c r="B3404" t="s">
        <v>5408</v>
      </c>
      <c r="C3404" s="3">
        <v>45872</v>
      </c>
      <c r="D3404">
        <v>21</v>
      </c>
      <c r="E3404" s="3">
        <f t="shared" si="53"/>
        <v>45848</v>
      </c>
      <c r="F3404" s="3">
        <f>IF(TableRefills3[[#This Row],[prev_refill_days]]="","",TableRefills3[[#This Row],[prev_refill_days]]+TableRefills3[[#This Row],[quantity_days]])</f>
        <v>45869</v>
      </c>
      <c r="G3404" s="10">
        <f>IF(TableRefills3[[#This Row],[prev_refill_end]]="","",TableRefills3[[#This Row],[refill_date]]-TableRefills3[[#This Row],[prev_refill_end]])</f>
        <v>3</v>
      </c>
      <c r="H3404" s="10">
        <f>IF(TableRefills3[[#This Row],[gap_days]]="",0,IF(TableRefills3[[#This Row],[gap_days]]&gt;2,1,0))</f>
        <v>1</v>
      </c>
      <c r="I3404" s="10">
        <f>_xlfn.MAXIFS(TableRefills3[discountinuation_flag], TableRefills3[patient_id], A3404)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F9A0D-C09F-451A-9F91-9E17EEF59AD4}">
  <dimension ref="A1:D6"/>
  <sheetViews>
    <sheetView workbookViewId="0">
      <selection activeCell="E1" sqref="E1:E1048576"/>
    </sheetView>
  </sheetViews>
  <sheetFormatPr defaultRowHeight="15" x14ac:dyDescent="0.25"/>
  <cols>
    <col min="1" max="1" width="40.42578125" bestFit="1" customWidth="1"/>
    <col min="2" max="2" width="39.42578125" bestFit="1" customWidth="1"/>
    <col min="3" max="3" width="12.5703125" customWidth="1"/>
    <col min="4" max="4" width="8.5703125" customWidth="1"/>
  </cols>
  <sheetData>
    <row r="1" spans="1:4" x14ac:dyDescent="0.25">
      <c r="A1" t="s">
        <v>5782</v>
      </c>
      <c r="B1" t="s">
        <v>5783</v>
      </c>
      <c r="C1" t="s">
        <v>5784</v>
      </c>
      <c r="D1" t="s">
        <v>5785</v>
      </c>
    </row>
    <row r="2" spans="1:4" x14ac:dyDescent="0.25">
      <c r="A2" t="s">
        <v>5786</v>
      </c>
      <c r="B2" t="s">
        <v>5792</v>
      </c>
      <c r="C2">
        <f>COUNTIF(TableRefills[quantity_days],"")</f>
        <v>0</v>
      </c>
      <c r="D2" t="s">
        <v>5795</v>
      </c>
    </row>
    <row r="3" spans="1:4" x14ac:dyDescent="0.25">
      <c r="A3" t="s">
        <v>5787</v>
      </c>
      <c r="B3" t="s">
        <v>5792</v>
      </c>
      <c r="C3">
        <f>COUNTIF('RAW Data'!E:E,"&lt;=0")</f>
        <v>0</v>
      </c>
      <c r="D3" t="s">
        <v>5795</v>
      </c>
    </row>
    <row r="4" spans="1:4" x14ac:dyDescent="0.25">
      <c r="A4" t="s">
        <v>5788</v>
      </c>
      <c r="B4" t="s">
        <v>5793</v>
      </c>
      <c r="C4">
        <f>COUNTIF('Refill Gap Model'!G:G,"&lt;-30")</f>
        <v>0</v>
      </c>
      <c r="D4" t="s">
        <v>5795</v>
      </c>
    </row>
    <row r="5" spans="1:4" x14ac:dyDescent="0.25">
      <c r="A5" t="s">
        <v>5789</v>
      </c>
      <c r="B5" t="s">
        <v>5794</v>
      </c>
      <c r="C5">
        <f>SUM('Refill Gap Model'!H:H)</f>
        <v>348</v>
      </c>
      <c r="D5" t="s">
        <v>5795</v>
      </c>
    </row>
    <row r="6" spans="1:4" x14ac:dyDescent="0.25">
      <c r="A6" t="s">
        <v>5790</v>
      </c>
      <c r="B6" t="s">
        <v>5792</v>
      </c>
      <c r="C6">
        <f>COUNTIFS('Refill Gap Model'!I:I,"&gt;1")</f>
        <v>0</v>
      </c>
      <c r="D6" t="s">
        <v>5795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A140-6F49-4C97-92DE-5B3E98EC214C}">
  <dimension ref="A1:D6"/>
  <sheetViews>
    <sheetView workbookViewId="0">
      <selection activeCell="D5" sqref="D5"/>
    </sheetView>
  </sheetViews>
  <sheetFormatPr defaultRowHeight="15" x14ac:dyDescent="0.25"/>
  <cols>
    <col min="1" max="1" width="40.42578125" bestFit="1" customWidth="1"/>
    <col min="3" max="3" width="11" customWidth="1"/>
    <col min="4" max="4" width="18.140625" customWidth="1"/>
  </cols>
  <sheetData>
    <row r="1" spans="1:4" x14ac:dyDescent="0.25">
      <c r="A1" t="s">
        <v>5796</v>
      </c>
      <c r="B1" t="s">
        <v>5797</v>
      </c>
      <c r="C1" t="s">
        <v>5798</v>
      </c>
      <c r="D1" t="s">
        <v>5800</v>
      </c>
    </row>
    <row r="2" spans="1:4" x14ac:dyDescent="0.25">
      <c r="A2" s="4" t="s">
        <v>5786</v>
      </c>
      <c r="B2" s="5">
        <f>COUNTIF(TableRefills[quantity_days],"")</f>
        <v>0</v>
      </c>
      <c r="C2" t="str">
        <f>IF(B2=0,"Pass","Fail")</f>
        <v>Pass</v>
      </c>
    </row>
    <row r="3" spans="1:4" x14ac:dyDescent="0.25">
      <c r="A3" s="6" t="s">
        <v>5787</v>
      </c>
      <c r="B3" s="7">
        <f>COUNTIF('RAW Data'!D:D,"&lt;=0")</f>
        <v>0</v>
      </c>
      <c r="C3" t="str">
        <f t="shared" ref="C3:C6" si="0">IF(B3=0,"Pass","Fail")</f>
        <v>Pass</v>
      </c>
    </row>
    <row r="4" spans="1:4" x14ac:dyDescent="0.25">
      <c r="A4" s="4" t="s">
        <v>5788</v>
      </c>
      <c r="B4" s="5">
        <f>COUNTIF(TableRefills3[gap_days],"&lt;-30")</f>
        <v>0</v>
      </c>
      <c r="C4" t="str">
        <f t="shared" si="0"/>
        <v>Pass</v>
      </c>
    </row>
    <row r="5" spans="1:4" ht="75" x14ac:dyDescent="0.25">
      <c r="A5" s="6" t="s">
        <v>5789</v>
      </c>
      <c r="B5" s="7">
        <f>SUM(TableRefills3[discountinuation_flag])</f>
        <v>348</v>
      </c>
      <c r="C5" t="str">
        <f t="shared" si="0"/>
        <v>Fail</v>
      </c>
      <c r="D5" s="12" t="s">
        <v>5799</v>
      </c>
    </row>
    <row r="6" spans="1:4" x14ac:dyDescent="0.25">
      <c r="A6" s="8" t="s">
        <v>5790</v>
      </c>
      <c r="B6" s="9">
        <f>COUNTIFS('Refill Gap Model'!H:H,"&gt;1")</f>
        <v>0</v>
      </c>
      <c r="C6" t="str">
        <f t="shared" si="0"/>
        <v>Pass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1"/>
  <sheetViews>
    <sheetView tabSelected="1" workbookViewId="0">
      <selection activeCell="E14" sqref="E14"/>
    </sheetView>
  </sheetViews>
  <sheetFormatPr defaultRowHeight="15" x14ac:dyDescent="0.25"/>
  <cols>
    <col min="1" max="1" width="10.140625" bestFit="1" customWidth="1"/>
    <col min="2" max="2" width="4.140625" bestFit="1" customWidth="1"/>
    <col min="3" max="3" width="7.5703125" bestFit="1" customWidth="1"/>
    <col min="4" max="4" width="14.7109375" bestFit="1" customWidth="1"/>
    <col min="5" max="5" width="43.42578125" bestFit="1" customWidth="1"/>
    <col min="6" max="6" width="18.85546875" bestFit="1" customWidth="1"/>
    <col min="7" max="7" width="6" bestFit="1" customWidth="1"/>
    <col min="8" max="8" width="11.7109375" bestFit="1" customWidth="1"/>
    <col min="9" max="9" width="15" bestFit="1" customWidth="1"/>
    <col min="10" max="10" width="17.85546875" bestFit="1" customWidth="1"/>
    <col min="11" max="11" width="13.85546875" bestFit="1" customWidth="1"/>
  </cols>
  <sheetData>
    <row r="1" spans="1:11" x14ac:dyDescent="0.25">
      <c r="A1" s="1" t="s">
        <v>1</v>
      </c>
      <c r="B1" s="1" t="s">
        <v>5410</v>
      </c>
      <c r="C1" s="1" t="s">
        <v>5411</v>
      </c>
      <c r="D1" s="1" t="s">
        <v>5412</v>
      </c>
      <c r="E1" s="1" t="s">
        <v>5413</v>
      </c>
      <c r="F1" s="1" t="s">
        <v>5414</v>
      </c>
      <c r="G1" s="1" t="s">
        <v>5415</v>
      </c>
      <c r="H1" s="1" t="s">
        <v>5416</v>
      </c>
      <c r="I1" s="1" t="s">
        <v>5417</v>
      </c>
      <c r="J1" s="1" t="s">
        <v>5418</v>
      </c>
      <c r="K1" s="1" t="s">
        <v>5419</v>
      </c>
    </row>
    <row r="2" spans="1:11" x14ac:dyDescent="0.25">
      <c r="A2" t="s">
        <v>9</v>
      </c>
      <c r="B2">
        <v>60</v>
      </c>
      <c r="C2" t="s">
        <v>5420</v>
      </c>
      <c r="D2" t="s">
        <v>5421</v>
      </c>
      <c r="E2" t="s">
        <v>5422</v>
      </c>
      <c r="F2">
        <v>28</v>
      </c>
      <c r="G2">
        <v>0.152</v>
      </c>
      <c r="H2">
        <v>0.152</v>
      </c>
      <c r="I2">
        <v>0</v>
      </c>
      <c r="J2">
        <v>0</v>
      </c>
    </row>
    <row r="3" spans="1:11" x14ac:dyDescent="0.25">
      <c r="A3" t="s">
        <v>12</v>
      </c>
      <c r="B3">
        <v>65</v>
      </c>
      <c r="C3" t="s">
        <v>5423</v>
      </c>
      <c r="D3" t="s">
        <v>5424</v>
      </c>
      <c r="E3" t="s">
        <v>5425</v>
      </c>
      <c r="F3">
        <v>126</v>
      </c>
      <c r="G3">
        <v>0.68500000000000005</v>
      </c>
      <c r="H3">
        <v>0.68500000000000005</v>
      </c>
      <c r="I3">
        <v>0</v>
      </c>
      <c r="J3">
        <v>0</v>
      </c>
    </row>
    <row r="4" spans="1:11" x14ac:dyDescent="0.25">
      <c r="A4" t="s">
        <v>20</v>
      </c>
      <c r="B4">
        <v>69</v>
      </c>
      <c r="C4" t="s">
        <v>5423</v>
      </c>
      <c r="D4" t="s">
        <v>5426</v>
      </c>
      <c r="E4" t="s">
        <v>5427</v>
      </c>
      <c r="F4">
        <v>30</v>
      </c>
      <c r="G4">
        <v>0.16300000000000001</v>
      </c>
      <c r="H4">
        <v>0.16300000000000001</v>
      </c>
      <c r="I4">
        <v>0</v>
      </c>
      <c r="J4">
        <v>0</v>
      </c>
    </row>
    <row r="5" spans="1:11" x14ac:dyDescent="0.25">
      <c r="A5" t="s">
        <v>23</v>
      </c>
      <c r="B5">
        <v>52</v>
      </c>
      <c r="C5" t="s">
        <v>5420</v>
      </c>
      <c r="D5" t="s">
        <v>5424</v>
      </c>
      <c r="E5" t="s">
        <v>5422</v>
      </c>
      <c r="F5">
        <v>84</v>
      </c>
      <c r="G5">
        <v>0.45700000000000002</v>
      </c>
      <c r="H5">
        <v>0.45700000000000002</v>
      </c>
      <c r="I5">
        <v>0</v>
      </c>
      <c r="J5">
        <v>0</v>
      </c>
    </row>
    <row r="6" spans="1:11" x14ac:dyDescent="0.25">
      <c r="A6" t="s">
        <v>28</v>
      </c>
      <c r="B6">
        <v>52</v>
      </c>
      <c r="C6" t="s">
        <v>5423</v>
      </c>
      <c r="D6" t="s">
        <v>5426</v>
      </c>
      <c r="E6" t="s">
        <v>5428</v>
      </c>
      <c r="F6">
        <v>63</v>
      </c>
      <c r="G6">
        <v>0.34200000000000003</v>
      </c>
      <c r="H6">
        <v>0.34200000000000003</v>
      </c>
      <c r="I6">
        <v>0</v>
      </c>
      <c r="J6">
        <v>0</v>
      </c>
    </row>
    <row r="7" spans="1:11" x14ac:dyDescent="0.25">
      <c r="A7" t="s">
        <v>33</v>
      </c>
      <c r="B7">
        <v>56</v>
      </c>
      <c r="C7" t="s">
        <v>5423</v>
      </c>
      <c r="D7" t="s">
        <v>5429</v>
      </c>
      <c r="E7" t="s">
        <v>5430</v>
      </c>
      <c r="F7">
        <v>120</v>
      </c>
      <c r="G7">
        <v>0.65200000000000002</v>
      </c>
      <c r="H7">
        <v>0.65200000000000002</v>
      </c>
      <c r="I7">
        <v>0</v>
      </c>
      <c r="J7">
        <v>0</v>
      </c>
    </row>
    <row r="8" spans="1:11" x14ac:dyDescent="0.25">
      <c r="A8" t="s">
        <v>39</v>
      </c>
      <c r="B8">
        <v>51</v>
      </c>
      <c r="C8" t="s">
        <v>5420</v>
      </c>
      <c r="D8" t="s">
        <v>5421</v>
      </c>
      <c r="E8" t="s">
        <v>5422</v>
      </c>
      <c r="F8">
        <v>42</v>
      </c>
      <c r="G8">
        <v>0.22800000000000001</v>
      </c>
      <c r="H8">
        <v>0.22800000000000001</v>
      </c>
      <c r="I8">
        <v>0</v>
      </c>
      <c r="J8">
        <v>0</v>
      </c>
    </row>
    <row r="9" spans="1:11" x14ac:dyDescent="0.25">
      <c r="A9" t="s">
        <v>43</v>
      </c>
      <c r="B9">
        <v>66</v>
      </c>
      <c r="C9" t="s">
        <v>5420</v>
      </c>
      <c r="D9" t="s">
        <v>5429</v>
      </c>
      <c r="E9" t="s">
        <v>5430</v>
      </c>
      <c r="F9">
        <v>140</v>
      </c>
      <c r="G9">
        <v>0.76100000000000001</v>
      </c>
      <c r="H9">
        <v>0.76100000000000001</v>
      </c>
      <c r="I9">
        <v>0</v>
      </c>
      <c r="J9">
        <v>0</v>
      </c>
    </row>
    <row r="10" spans="1:11" x14ac:dyDescent="0.25">
      <c r="A10" t="s">
        <v>50</v>
      </c>
      <c r="B10">
        <v>70</v>
      </c>
      <c r="C10" t="s">
        <v>5423</v>
      </c>
      <c r="D10" t="s">
        <v>5426</v>
      </c>
      <c r="E10" t="s">
        <v>5427</v>
      </c>
      <c r="F10">
        <v>28</v>
      </c>
      <c r="G10">
        <v>0.152</v>
      </c>
      <c r="H10">
        <v>0.152</v>
      </c>
      <c r="I10">
        <v>0</v>
      </c>
      <c r="J10">
        <v>0</v>
      </c>
    </row>
    <row r="11" spans="1:11" x14ac:dyDescent="0.25">
      <c r="A11" t="s">
        <v>53</v>
      </c>
      <c r="B11">
        <v>49</v>
      </c>
      <c r="C11" t="s">
        <v>5420</v>
      </c>
      <c r="D11" t="s">
        <v>5424</v>
      </c>
      <c r="E11" t="s">
        <v>5428</v>
      </c>
      <c r="F11">
        <v>84</v>
      </c>
      <c r="G11">
        <v>0.45700000000000002</v>
      </c>
      <c r="H11">
        <v>0.45700000000000002</v>
      </c>
      <c r="I11">
        <v>0</v>
      </c>
      <c r="J11">
        <v>0</v>
      </c>
    </row>
    <row r="12" spans="1:11" x14ac:dyDescent="0.25">
      <c r="A12" t="s">
        <v>58</v>
      </c>
      <c r="B12">
        <v>64</v>
      </c>
      <c r="C12" t="s">
        <v>5420</v>
      </c>
      <c r="D12" t="s">
        <v>5426</v>
      </c>
      <c r="E12" t="s">
        <v>5431</v>
      </c>
      <c r="F12">
        <v>120</v>
      </c>
      <c r="G12">
        <v>0.65200000000000002</v>
      </c>
      <c r="H12">
        <v>0.65200000000000002</v>
      </c>
      <c r="I12">
        <v>0</v>
      </c>
      <c r="J12">
        <v>0</v>
      </c>
    </row>
    <row r="13" spans="1:11" x14ac:dyDescent="0.25">
      <c r="A13" t="s">
        <v>64</v>
      </c>
      <c r="B13">
        <v>69</v>
      </c>
      <c r="C13" t="s">
        <v>5423</v>
      </c>
      <c r="D13" t="s">
        <v>5424</v>
      </c>
      <c r="E13" t="s">
        <v>5430</v>
      </c>
      <c r="F13">
        <v>84</v>
      </c>
      <c r="G13">
        <v>0.45700000000000002</v>
      </c>
      <c r="H13">
        <v>0.45700000000000002</v>
      </c>
      <c r="I13">
        <v>0</v>
      </c>
      <c r="J13">
        <v>0</v>
      </c>
    </row>
    <row r="14" spans="1:11" x14ac:dyDescent="0.25">
      <c r="A14" t="s">
        <v>69</v>
      </c>
      <c r="B14">
        <v>55</v>
      </c>
      <c r="C14" t="s">
        <v>5423</v>
      </c>
      <c r="D14" t="s">
        <v>5426</v>
      </c>
      <c r="E14" t="s">
        <v>5422</v>
      </c>
      <c r="F14">
        <v>56</v>
      </c>
      <c r="G14">
        <v>0.30399999999999999</v>
      </c>
      <c r="H14">
        <v>0.30399999999999999</v>
      </c>
      <c r="I14">
        <v>0</v>
      </c>
      <c r="J14">
        <v>0</v>
      </c>
    </row>
    <row r="15" spans="1:11" x14ac:dyDescent="0.25">
      <c r="A15" t="s">
        <v>73</v>
      </c>
      <c r="B15">
        <v>64</v>
      </c>
      <c r="C15" t="s">
        <v>5420</v>
      </c>
      <c r="D15" t="s">
        <v>5426</v>
      </c>
      <c r="E15" t="s">
        <v>5427</v>
      </c>
      <c r="F15">
        <v>147</v>
      </c>
      <c r="G15">
        <v>0.79900000000000004</v>
      </c>
      <c r="H15">
        <v>0.79900000000000004</v>
      </c>
      <c r="I15">
        <v>0</v>
      </c>
      <c r="J15">
        <v>0</v>
      </c>
    </row>
    <row r="16" spans="1:11" x14ac:dyDescent="0.25">
      <c r="A16" t="s">
        <v>82</v>
      </c>
      <c r="B16">
        <v>80</v>
      </c>
      <c r="C16" t="s">
        <v>5420</v>
      </c>
      <c r="D16" t="s">
        <v>5426</v>
      </c>
      <c r="E16" t="s">
        <v>5427</v>
      </c>
      <c r="F16">
        <v>147</v>
      </c>
      <c r="G16">
        <v>0.79900000000000004</v>
      </c>
      <c r="H16">
        <v>0.79900000000000004</v>
      </c>
      <c r="I16">
        <v>0</v>
      </c>
      <c r="J16">
        <v>0</v>
      </c>
    </row>
    <row r="17" spans="1:11" x14ac:dyDescent="0.25">
      <c r="A17" t="s">
        <v>91</v>
      </c>
      <c r="B17">
        <v>66</v>
      </c>
      <c r="C17" t="s">
        <v>5420</v>
      </c>
      <c r="D17" t="s">
        <v>5426</v>
      </c>
      <c r="E17" t="s">
        <v>5427</v>
      </c>
      <c r="F17">
        <v>42</v>
      </c>
      <c r="G17">
        <v>0.22800000000000001</v>
      </c>
      <c r="H17">
        <v>0.22800000000000001</v>
      </c>
      <c r="I17">
        <v>0</v>
      </c>
      <c r="J17">
        <v>0</v>
      </c>
    </row>
    <row r="18" spans="1:11" x14ac:dyDescent="0.25">
      <c r="A18" t="s">
        <v>95</v>
      </c>
      <c r="B18">
        <v>71</v>
      </c>
      <c r="C18" t="s">
        <v>5423</v>
      </c>
      <c r="D18" t="s">
        <v>5429</v>
      </c>
      <c r="E18" t="s">
        <v>5430</v>
      </c>
      <c r="F18">
        <v>140</v>
      </c>
      <c r="G18">
        <v>0.76100000000000001</v>
      </c>
      <c r="H18">
        <v>0.76100000000000001</v>
      </c>
      <c r="I18">
        <v>0</v>
      </c>
      <c r="J18">
        <v>0</v>
      </c>
    </row>
    <row r="19" spans="1:11" x14ac:dyDescent="0.25">
      <c r="A19" t="s">
        <v>102</v>
      </c>
      <c r="B19">
        <v>66</v>
      </c>
      <c r="C19" t="s">
        <v>5420</v>
      </c>
      <c r="D19" t="s">
        <v>5429</v>
      </c>
      <c r="E19" t="s">
        <v>5431</v>
      </c>
      <c r="F19">
        <v>28</v>
      </c>
      <c r="G19">
        <v>0.152</v>
      </c>
      <c r="H19">
        <v>0.152</v>
      </c>
      <c r="I19">
        <v>0</v>
      </c>
      <c r="J19">
        <v>0</v>
      </c>
    </row>
    <row r="20" spans="1:11" x14ac:dyDescent="0.25">
      <c r="A20" t="s">
        <v>106</v>
      </c>
      <c r="B20">
        <v>61</v>
      </c>
      <c r="C20" t="s">
        <v>5423</v>
      </c>
      <c r="D20" t="s">
        <v>5424</v>
      </c>
      <c r="E20" t="s">
        <v>5430</v>
      </c>
      <c r="F20">
        <v>14</v>
      </c>
      <c r="G20">
        <v>7.5999999999999998E-2</v>
      </c>
      <c r="H20">
        <v>7.5999999999999998E-2</v>
      </c>
      <c r="I20">
        <v>0</v>
      </c>
      <c r="J20">
        <v>0</v>
      </c>
    </row>
    <row r="21" spans="1:11" x14ac:dyDescent="0.25">
      <c r="A21" t="s">
        <v>109</v>
      </c>
      <c r="B21">
        <v>65</v>
      </c>
      <c r="C21" t="s">
        <v>5423</v>
      </c>
      <c r="D21" t="s">
        <v>5432</v>
      </c>
      <c r="E21" t="s">
        <v>5428</v>
      </c>
      <c r="F21">
        <v>14</v>
      </c>
      <c r="G21">
        <v>7.5999999999999998E-2</v>
      </c>
      <c r="H21">
        <v>7.5999999999999998E-2</v>
      </c>
      <c r="I21">
        <v>0</v>
      </c>
      <c r="J21">
        <v>0</v>
      </c>
    </row>
    <row r="22" spans="1:11" x14ac:dyDescent="0.25">
      <c r="A22" t="s">
        <v>112</v>
      </c>
      <c r="B22">
        <v>68</v>
      </c>
      <c r="C22" t="s">
        <v>5420</v>
      </c>
      <c r="D22" t="s">
        <v>5426</v>
      </c>
      <c r="E22" t="s">
        <v>5431</v>
      </c>
      <c r="F22">
        <v>56</v>
      </c>
      <c r="G22">
        <v>0.30399999999999999</v>
      </c>
      <c r="H22">
        <v>0.30399999999999999</v>
      </c>
      <c r="I22">
        <v>0</v>
      </c>
      <c r="J22">
        <v>0</v>
      </c>
    </row>
    <row r="23" spans="1:11" x14ac:dyDescent="0.25">
      <c r="A23" t="s">
        <v>118</v>
      </c>
      <c r="B23">
        <v>53</v>
      </c>
      <c r="C23" t="s">
        <v>5423</v>
      </c>
      <c r="D23" t="s">
        <v>5421</v>
      </c>
      <c r="E23" t="s">
        <v>5430</v>
      </c>
      <c r="F23">
        <v>168</v>
      </c>
      <c r="G23">
        <v>0.91300000000000003</v>
      </c>
      <c r="H23">
        <v>0.91300000000000003</v>
      </c>
      <c r="I23">
        <v>0</v>
      </c>
      <c r="J23">
        <v>0</v>
      </c>
    </row>
    <row r="24" spans="1:11" x14ac:dyDescent="0.25">
      <c r="A24" t="s">
        <v>126</v>
      </c>
      <c r="B24">
        <v>59</v>
      </c>
      <c r="C24" t="s">
        <v>5423</v>
      </c>
      <c r="D24" t="s">
        <v>5432</v>
      </c>
      <c r="E24" t="s">
        <v>5431</v>
      </c>
      <c r="F24">
        <v>168</v>
      </c>
      <c r="G24">
        <v>0.91300000000000003</v>
      </c>
      <c r="H24">
        <v>0.91300000000000003</v>
      </c>
      <c r="I24">
        <v>0</v>
      </c>
      <c r="J24">
        <v>0</v>
      </c>
    </row>
    <row r="25" spans="1:11" x14ac:dyDescent="0.25">
      <c r="A25" t="s">
        <v>134</v>
      </c>
      <c r="B25">
        <v>69</v>
      </c>
      <c r="C25" t="s">
        <v>5423</v>
      </c>
      <c r="D25" t="s">
        <v>5424</v>
      </c>
      <c r="E25" t="s">
        <v>5433</v>
      </c>
      <c r="F25">
        <v>140</v>
      </c>
      <c r="G25">
        <v>0.76100000000000001</v>
      </c>
      <c r="H25">
        <v>0.76100000000000001</v>
      </c>
      <c r="I25">
        <v>0</v>
      </c>
      <c r="J25">
        <v>0</v>
      </c>
    </row>
    <row r="26" spans="1:11" x14ac:dyDescent="0.25">
      <c r="A26" t="s">
        <v>141</v>
      </c>
      <c r="B26">
        <v>53</v>
      </c>
      <c r="C26" t="s">
        <v>5420</v>
      </c>
      <c r="D26" t="s">
        <v>5429</v>
      </c>
      <c r="E26" t="s">
        <v>5422</v>
      </c>
      <c r="F26">
        <v>84</v>
      </c>
      <c r="G26">
        <v>0.45700000000000002</v>
      </c>
      <c r="H26">
        <v>0.45700000000000002</v>
      </c>
      <c r="I26">
        <v>0</v>
      </c>
      <c r="J26">
        <v>0</v>
      </c>
    </row>
    <row r="27" spans="1:11" x14ac:dyDescent="0.25">
      <c r="A27" t="s">
        <v>147</v>
      </c>
      <c r="B27">
        <v>46</v>
      </c>
      <c r="C27" t="s">
        <v>5423</v>
      </c>
      <c r="D27" t="s">
        <v>5426</v>
      </c>
      <c r="E27" t="s">
        <v>5427</v>
      </c>
      <c r="F27">
        <v>150</v>
      </c>
      <c r="G27">
        <v>0.81499999999999995</v>
      </c>
      <c r="H27">
        <v>0.81499999999999995</v>
      </c>
      <c r="I27">
        <v>0</v>
      </c>
      <c r="J27">
        <v>0</v>
      </c>
    </row>
    <row r="28" spans="1:11" x14ac:dyDescent="0.25">
      <c r="A28" t="s">
        <v>154</v>
      </c>
      <c r="B28">
        <v>53</v>
      </c>
      <c r="C28" t="s">
        <v>5434</v>
      </c>
      <c r="D28" t="s">
        <v>5429</v>
      </c>
      <c r="E28" t="s">
        <v>5425</v>
      </c>
      <c r="F28">
        <v>84</v>
      </c>
      <c r="G28">
        <v>0.45700000000000002</v>
      </c>
      <c r="H28">
        <v>0.45700000000000002</v>
      </c>
      <c r="I28">
        <v>0</v>
      </c>
      <c r="J28">
        <v>0</v>
      </c>
    </row>
    <row r="29" spans="1:11" x14ac:dyDescent="0.25">
      <c r="A29" t="s">
        <v>159</v>
      </c>
      <c r="B29">
        <v>63</v>
      </c>
      <c r="C29" t="s">
        <v>5423</v>
      </c>
      <c r="D29" t="s">
        <v>5426</v>
      </c>
      <c r="E29" t="s">
        <v>5431</v>
      </c>
      <c r="F29">
        <v>140</v>
      </c>
      <c r="G29">
        <v>0.76100000000000001</v>
      </c>
      <c r="H29">
        <v>0.76100000000000001</v>
      </c>
      <c r="I29">
        <v>0</v>
      </c>
      <c r="J29">
        <v>0</v>
      </c>
    </row>
    <row r="30" spans="1:11" x14ac:dyDescent="0.25">
      <c r="A30" t="s">
        <v>166</v>
      </c>
      <c r="B30">
        <v>72</v>
      </c>
      <c r="C30" t="s">
        <v>5420</v>
      </c>
      <c r="D30" t="s">
        <v>5424</v>
      </c>
      <c r="E30" t="s">
        <v>5427</v>
      </c>
      <c r="F30">
        <v>90</v>
      </c>
      <c r="G30">
        <v>0.48899999999999999</v>
      </c>
      <c r="H30">
        <v>0.48899999999999999</v>
      </c>
      <c r="I30">
        <v>0</v>
      </c>
      <c r="J30">
        <v>0</v>
      </c>
    </row>
    <row r="31" spans="1:11" x14ac:dyDescent="0.25">
      <c r="A31" t="s">
        <v>171</v>
      </c>
      <c r="B31">
        <v>72</v>
      </c>
      <c r="C31" t="s">
        <v>5423</v>
      </c>
      <c r="D31" t="s">
        <v>5421</v>
      </c>
      <c r="E31" t="s">
        <v>5428</v>
      </c>
      <c r="F31">
        <v>84</v>
      </c>
      <c r="G31">
        <v>0.45700000000000002</v>
      </c>
      <c r="H31">
        <v>0.45700000000000002</v>
      </c>
      <c r="I31">
        <v>0</v>
      </c>
      <c r="J31">
        <v>0</v>
      </c>
    </row>
    <row r="32" spans="1:11" x14ac:dyDescent="0.25">
      <c r="A32" t="s">
        <v>176</v>
      </c>
      <c r="B32">
        <v>67</v>
      </c>
      <c r="C32" t="s">
        <v>5423</v>
      </c>
      <c r="D32" t="s">
        <v>5426</v>
      </c>
      <c r="E32" t="s">
        <v>5430</v>
      </c>
      <c r="F32">
        <v>189</v>
      </c>
      <c r="G32">
        <v>1.0269999999999999</v>
      </c>
      <c r="H32">
        <v>1</v>
      </c>
      <c r="I32">
        <v>1</v>
      </c>
      <c r="J32">
        <v>0</v>
      </c>
      <c r="K32" t="s">
        <v>5435</v>
      </c>
    </row>
    <row r="33" spans="1:11" x14ac:dyDescent="0.25">
      <c r="A33" t="s">
        <v>187</v>
      </c>
      <c r="B33">
        <v>90</v>
      </c>
      <c r="C33" t="s">
        <v>5423</v>
      </c>
      <c r="D33" t="s">
        <v>5432</v>
      </c>
      <c r="E33" t="s">
        <v>5431</v>
      </c>
      <c r="F33">
        <v>84</v>
      </c>
      <c r="G33">
        <v>0.45700000000000002</v>
      </c>
      <c r="H33">
        <v>0.45700000000000002</v>
      </c>
      <c r="I33">
        <v>0</v>
      </c>
      <c r="J33">
        <v>0</v>
      </c>
    </row>
    <row r="34" spans="1:11" x14ac:dyDescent="0.25">
      <c r="A34" t="s">
        <v>192</v>
      </c>
      <c r="B34">
        <v>54</v>
      </c>
      <c r="C34" t="s">
        <v>5420</v>
      </c>
      <c r="D34" t="s">
        <v>5432</v>
      </c>
      <c r="E34" t="s">
        <v>5428</v>
      </c>
      <c r="F34">
        <v>168</v>
      </c>
      <c r="G34">
        <v>0.91300000000000003</v>
      </c>
      <c r="H34">
        <v>0.91300000000000003</v>
      </c>
      <c r="I34">
        <v>0</v>
      </c>
      <c r="J34">
        <v>0</v>
      </c>
    </row>
    <row r="35" spans="1:11" x14ac:dyDescent="0.25">
      <c r="A35" t="s">
        <v>197</v>
      </c>
      <c r="B35">
        <v>59</v>
      </c>
      <c r="C35" t="s">
        <v>5420</v>
      </c>
      <c r="D35" t="s">
        <v>5426</v>
      </c>
      <c r="E35" t="s">
        <v>5430</v>
      </c>
      <c r="F35">
        <v>56</v>
      </c>
      <c r="G35">
        <v>0.30399999999999999</v>
      </c>
      <c r="H35">
        <v>0.30399999999999999</v>
      </c>
      <c r="I35">
        <v>0</v>
      </c>
      <c r="J35">
        <v>0</v>
      </c>
    </row>
    <row r="36" spans="1:11" x14ac:dyDescent="0.25">
      <c r="A36" t="s">
        <v>201</v>
      </c>
      <c r="B36">
        <v>57</v>
      </c>
      <c r="C36" t="s">
        <v>5423</v>
      </c>
      <c r="D36" t="s">
        <v>5424</v>
      </c>
      <c r="E36" t="s">
        <v>5425</v>
      </c>
      <c r="F36">
        <v>150</v>
      </c>
      <c r="G36">
        <v>0.81499999999999995</v>
      </c>
      <c r="H36">
        <v>0.81499999999999995</v>
      </c>
      <c r="I36">
        <v>0</v>
      </c>
      <c r="J36">
        <v>0</v>
      </c>
    </row>
    <row r="37" spans="1:11" x14ac:dyDescent="0.25">
      <c r="A37" t="s">
        <v>208</v>
      </c>
      <c r="B37">
        <v>72</v>
      </c>
      <c r="C37" t="s">
        <v>5423</v>
      </c>
      <c r="D37" t="s">
        <v>5429</v>
      </c>
      <c r="E37" t="s">
        <v>5427</v>
      </c>
      <c r="F37">
        <v>120</v>
      </c>
      <c r="G37">
        <v>0.65200000000000002</v>
      </c>
      <c r="H37">
        <v>0.65200000000000002</v>
      </c>
      <c r="I37">
        <v>0</v>
      </c>
      <c r="J37">
        <v>0</v>
      </c>
    </row>
    <row r="38" spans="1:11" x14ac:dyDescent="0.25">
      <c r="A38" t="s">
        <v>214</v>
      </c>
      <c r="B38">
        <v>62</v>
      </c>
      <c r="C38" t="s">
        <v>5423</v>
      </c>
      <c r="D38" t="s">
        <v>5426</v>
      </c>
      <c r="E38" t="s">
        <v>5427</v>
      </c>
      <c r="F38">
        <v>28</v>
      </c>
      <c r="G38">
        <v>0.152</v>
      </c>
      <c r="H38">
        <v>0.152</v>
      </c>
      <c r="I38">
        <v>0</v>
      </c>
      <c r="J38">
        <v>0</v>
      </c>
    </row>
    <row r="39" spans="1:11" x14ac:dyDescent="0.25">
      <c r="A39" t="s">
        <v>217</v>
      </c>
      <c r="B39">
        <v>55</v>
      </c>
      <c r="C39" t="s">
        <v>5423</v>
      </c>
      <c r="D39" t="s">
        <v>5432</v>
      </c>
      <c r="E39" t="s">
        <v>5436</v>
      </c>
      <c r="F39">
        <v>112</v>
      </c>
      <c r="G39">
        <v>0.60899999999999999</v>
      </c>
      <c r="H39">
        <v>0.60899999999999999</v>
      </c>
      <c r="I39">
        <v>0</v>
      </c>
      <c r="J39">
        <v>0</v>
      </c>
    </row>
    <row r="40" spans="1:11" x14ac:dyDescent="0.25">
      <c r="A40" t="s">
        <v>223</v>
      </c>
      <c r="B40">
        <v>55</v>
      </c>
      <c r="C40" t="s">
        <v>5420</v>
      </c>
      <c r="D40" t="s">
        <v>5429</v>
      </c>
      <c r="E40" t="s">
        <v>5430</v>
      </c>
      <c r="F40">
        <v>180</v>
      </c>
      <c r="G40">
        <v>0.97799999999999998</v>
      </c>
      <c r="H40">
        <v>0.97799999999999998</v>
      </c>
      <c r="I40">
        <v>0</v>
      </c>
      <c r="J40">
        <v>0</v>
      </c>
    </row>
    <row r="41" spans="1:11" x14ac:dyDescent="0.25">
      <c r="A41" t="s">
        <v>231</v>
      </c>
      <c r="B41">
        <v>70</v>
      </c>
      <c r="C41" t="s">
        <v>5423</v>
      </c>
      <c r="D41" t="s">
        <v>5426</v>
      </c>
      <c r="E41" t="s">
        <v>5437</v>
      </c>
      <c r="F41">
        <v>56</v>
      </c>
      <c r="G41">
        <v>0.30399999999999999</v>
      </c>
      <c r="H41">
        <v>0.30399999999999999</v>
      </c>
      <c r="I41">
        <v>0</v>
      </c>
      <c r="J41">
        <v>0</v>
      </c>
    </row>
    <row r="42" spans="1:11" x14ac:dyDescent="0.25">
      <c r="A42" t="s">
        <v>235</v>
      </c>
      <c r="B42">
        <v>49</v>
      </c>
      <c r="C42" t="s">
        <v>5420</v>
      </c>
      <c r="D42" t="s">
        <v>5426</v>
      </c>
      <c r="E42" t="s">
        <v>5427</v>
      </c>
      <c r="F42">
        <v>90</v>
      </c>
      <c r="G42">
        <v>0.48899999999999999</v>
      </c>
      <c r="H42">
        <v>0.48899999999999999</v>
      </c>
      <c r="I42">
        <v>0</v>
      </c>
      <c r="J42">
        <v>0</v>
      </c>
    </row>
    <row r="43" spans="1:11" x14ac:dyDescent="0.25">
      <c r="A43" t="s">
        <v>240</v>
      </c>
      <c r="B43">
        <v>58</v>
      </c>
      <c r="C43" t="s">
        <v>5423</v>
      </c>
      <c r="D43" t="s">
        <v>5432</v>
      </c>
      <c r="E43" t="s">
        <v>5427</v>
      </c>
      <c r="F43">
        <v>168</v>
      </c>
      <c r="G43">
        <v>0.91300000000000003</v>
      </c>
      <c r="H43">
        <v>0.91300000000000003</v>
      </c>
      <c r="I43">
        <v>0</v>
      </c>
      <c r="J43">
        <v>0</v>
      </c>
    </row>
    <row r="44" spans="1:11" x14ac:dyDescent="0.25">
      <c r="A44" t="s">
        <v>248</v>
      </c>
      <c r="B44">
        <v>83</v>
      </c>
      <c r="C44" t="s">
        <v>5420</v>
      </c>
      <c r="D44" t="s">
        <v>5432</v>
      </c>
      <c r="E44" t="s">
        <v>5431</v>
      </c>
      <c r="F44">
        <v>28</v>
      </c>
      <c r="G44">
        <v>0.152</v>
      </c>
      <c r="H44">
        <v>0.152</v>
      </c>
      <c r="I44">
        <v>0</v>
      </c>
      <c r="J44">
        <v>0</v>
      </c>
    </row>
    <row r="45" spans="1:11" x14ac:dyDescent="0.25">
      <c r="A45" t="s">
        <v>251</v>
      </c>
      <c r="B45">
        <v>72</v>
      </c>
      <c r="C45" t="s">
        <v>5420</v>
      </c>
      <c r="D45" t="s">
        <v>5429</v>
      </c>
      <c r="E45" t="s">
        <v>5422</v>
      </c>
      <c r="F45">
        <v>84</v>
      </c>
      <c r="G45">
        <v>0.45700000000000002</v>
      </c>
      <c r="H45">
        <v>0.45700000000000002</v>
      </c>
      <c r="I45">
        <v>0</v>
      </c>
      <c r="J45">
        <v>0</v>
      </c>
    </row>
    <row r="46" spans="1:11" x14ac:dyDescent="0.25">
      <c r="A46" t="s">
        <v>256</v>
      </c>
      <c r="B46">
        <v>66</v>
      </c>
      <c r="C46" t="s">
        <v>5420</v>
      </c>
      <c r="D46" t="s">
        <v>5432</v>
      </c>
      <c r="E46" t="s">
        <v>5428</v>
      </c>
      <c r="F46">
        <v>196</v>
      </c>
      <c r="G46">
        <v>1.0649999999999999</v>
      </c>
      <c r="H46">
        <v>1</v>
      </c>
      <c r="I46">
        <v>1</v>
      </c>
      <c r="J46">
        <v>0</v>
      </c>
      <c r="K46" t="s">
        <v>5435</v>
      </c>
    </row>
    <row r="47" spans="1:11" x14ac:dyDescent="0.25">
      <c r="A47" t="s">
        <v>265</v>
      </c>
      <c r="B47">
        <v>69</v>
      </c>
      <c r="C47" t="s">
        <v>5420</v>
      </c>
      <c r="D47" t="s">
        <v>5432</v>
      </c>
      <c r="E47" t="s">
        <v>5422</v>
      </c>
      <c r="F47">
        <v>180</v>
      </c>
      <c r="G47">
        <v>0.97799999999999998</v>
      </c>
      <c r="H47">
        <v>0.97799999999999998</v>
      </c>
      <c r="I47">
        <v>0</v>
      </c>
      <c r="J47">
        <v>0</v>
      </c>
    </row>
    <row r="48" spans="1:11" x14ac:dyDescent="0.25">
      <c r="A48" t="s">
        <v>273</v>
      </c>
      <c r="B48">
        <v>78</v>
      </c>
      <c r="C48" t="s">
        <v>5420</v>
      </c>
      <c r="D48" t="s">
        <v>5432</v>
      </c>
      <c r="E48" t="s">
        <v>5422</v>
      </c>
      <c r="F48">
        <v>150</v>
      </c>
      <c r="G48">
        <v>0.81499999999999995</v>
      </c>
      <c r="H48">
        <v>0.81499999999999995</v>
      </c>
      <c r="I48">
        <v>0</v>
      </c>
      <c r="J48">
        <v>0</v>
      </c>
    </row>
    <row r="49" spans="1:11" x14ac:dyDescent="0.25">
      <c r="A49" t="s">
        <v>280</v>
      </c>
      <c r="B49">
        <v>47</v>
      </c>
      <c r="C49" t="s">
        <v>5423</v>
      </c>
      <c r="D49" t="s">
        <v>5424</v>
      </c>
      <c r="E49" t="s">
        <v>5431</v>
      </c>
      <c r="F49">
        <v>90</v>
      </c>
      <c r="G49">
        <v>0.48899999999999999</v>
      </c>
      <c r="H49">
        <v>0.48899999999999999</v>
      </c>
      <c r="I49">
        <v>0</v>
      </c>
      <c r="J49">
        <v>0</v>
      </c>
    </row>
    <row r="50" spans="1:11" x14ac:dyDescent="0.25">
      <c r="A50" t="s">
        <v>285</v>
      </c>
      <c r="B50">
        <v>52</v>
      </c>
      <c r="C50" t="s">
        <v>5423</v>
      </c>
      <c r="D50" t="s">
        <v>5429</v>
      </c>
      <c r="E50" t="s">
        <v>5431</v>
      </c>
      <c r="F50">
        <v>28</v>
      </c>
      <c r="G50">
        <v>0.152</v>
      </c>
      <c r="H50">
        <v>0.152</v>
      </c>
      <c r="I50">
        <v>0</v>
      </c>
      <c r="J50">
        <v>0</v>
      </c>
    </row>
    <row r="51" spans="1:11" x14ac:dyDescent="0.25">
      <c r="A51" t="s">
        <v>288</v>
      </c>
      <c r="B51">
        <v>66</v>
      </c>
      <c r="C51" t="s">
        <v>5423</v>
      </c>
      <c r="D51" t="s">
        <v>5426</v>
      </c>
      <c r="E51" t="s">
        <v>5427</v>
      </c>
      <c r="F51">
        <v>84</v>
      </c>
      <c r="G51">
        <v>0.45700000000000002</v>
      </c>
      <c r="H51">
        <v>0.45700000000000002</v>
      </c>
      <c r="I51">
        <v>0</v>
      </c>
      <c r="J51">
        <v>0</v>
      </c>
    </row>
    <row r="52" spans="1:11" x14ac:dyDescent="0.25">
      <c r="A52" t="s">
        <v>293</v>
      </c>
      <c r="B52">
        <v>77</v>
      </c>
      <c r="C52" t="s">
        <v>5423</v>
      </c>
      <c r="D52" t="s">
        <v>5421</v>
      </c>
      <c r="E52" t="s">
        <v>5428</v>
      </c>
      <c r="F52">
        <v>112</v>
      </c>
      <c r="G52">
        <v>0.60899999999999999</v>
      </c>
      <c r="H52">
        <v>0.60899999999999999</v>
      </c>
      <c r="I52">
        <v>0</v>
      </c>
      <c r="J52">
        <v>0</v>
      </c>
    </row>
    <row r="53" spans="1:11" x14ac:dyDescent="0.25">
      <c r="A53" t="s">
        <v>297</v>
      </c>
      <c r="B53">
        <v>49</v>
      </c>
      <c r="C53" t="s">
        <v>5423</v>
      </c>
      <c r="D53" t="s">
        <v>5421</v>
      </c>
      <c r="E53" t="s">
        <v>5422</v>
      </c>
      <c r="F53">
        <v>28</v>
      </c>
      <c r="G53">
        <v>0.152</v>
      </c>
      <c r="H53">
        <v>0.152</v>
      </c>
      <c r="I53">
        <v>0</v>
      </c>
      <c r="J53">
        <v>0</v>
      </c>
    </row>
    <row r="54" spans="1:11" x14ac:dyDescent="0.25">
      <c r="A54" t="s">
        <v>300</v>
      </c>
      <c r="B54">
        <v>64</v>
      </c>
      <c r="C54" t="s">
        <v>5420</v>
      </c>
      <c r="D54" t="s">
        <v>5424</v>
      </c>
      <c r="E54" t="s">
        <v>5425</v>
      </c>
      <c r="F54">
        <v>196</v>
      </c>
      <c r="G54">
        <v>1.0649999999999999</v>
      </c>
      <c r="H54">
        <v>1</v>
      </c>
      <c r="I54">
        <v>1</v>
      </c>
      <c r="J54">
        <v>0</v>
      </c>
      <c r="K54" t="s">
        <v>5435</v>
      </c>
    </row>
    <row r="55" spans="1:11" x14ac:dyDescent="0.25">
      <c r="A55" t="s">
        <v>309</v>
      </c>
      <c r="B55">
        <v>55</v>
      </c>
      <c r="C55" t="s">
        <v>5423</v>
      </c>
      <c r="D55" t="s">
        <v>5432</v>
      </c>
      <c r="E55" t="s">
        <v>5430</v>
      </c>
      <c r="F55">
        <v>84</v>
      </c>
      <c r="G55">
        <v>0.45700000000000002</v>
      </c>
      <c r="H55">
        <v>0.45700000000000002</v>
      </c>
      <c r="I55">
        <v>0</v>
      </c>
      <c r="J55">
        <v>0</v>
      </c>
    </row>
    <row r="56" spans="1:11" x14ac:dyDescent="0.25">
      <c r="A56" t="s">
        <v>314</v>
      </c>
      <c r="B56">
        <v>65</v>
      </c>
      <c r="C56" t="s">
        <v>5423</v>
      </c>
      <c r="D56" t="s">
        <v>5426</v>
      </c>
      <c r="E56" t="s">
        <v>5427</v>
      </c>
      <c r="F56">
        <v>28</v>
      </c>
      <c r="G56">
        <v>0.152</v>
      </c>
      <c r="H56">
        <v>0.152</v>
      </c>
      <c r="I56">
        <v>0</v>
      </c>
      <c r="J56">
        <v>0</v>
      </c>
    </row>
    <row r="57" spans="1:11" x14ac:dyDescent="0.25">
      <c r="A57" t="s">
        <v>317</v>
      </c>
      <c r="B57">
        <v>55</v>
      </c>
      <c r="C57" t="s">
        <v>5420</v>
      </c>
      <c r="D57" t="s">
        <v>5429</v>
      </c>
      <c r="E57" t="s">
        <v>5422</v>
      </c>
      <c r="F57">
        <v>168</v>
      </c>
      <c r="G57">
        <v>0.91300000000000003</v>
      </c>
      <c r="H57">
        <v>0.91300000000000003</v>
      </c>
      <c r="I57">
        <v>0</v>
      </c>
      <c r="J57">
        <v>0</v>
      </c>
    </row>
    <row r="58" spans="1:11" x14ac:dyDescent="0.25">
      <c r="A58" t="s">
        <v>325</v>
      </c>
      <c r="B58">
        <v>69</v>
      </c>
      <c r="C58" t="s">
        <v>5420</v>
      </c>
      <c r="D58" t="s">
        <v>5432</v>
      </c>
      <c r="E58" t="s">
        <v>5436</v>
      </c>
      <c r="F58">
        <v>84</v>
      </c>
      <c r="G58">
        <v>0.45700000000000002</v>
      </c>
      <c r="H58">
        <v>0.45700000000000002</v>
      </c>
      <c r="I58">
        <v>0</v>
      </c>
      <c r="J58">
        <v>0</v>
      </c>
    </row>
    <row r="59" spans="1:11" x14ac:dyDescent="0.25">
      <c r="A59" t="s">
        <v>330</v>
      </c>
      <c r="B59">
        <v>68</v>
      </c>
      <c r="C59" t="s">
        <v>5420</v>
      </c>
      <c r="D59" t="s">
        <v>5421</v>
      </c>
      <c r="E59" t="s">
        <v>5428</v>
      </c>
      <c r="F59">
        <v>56</v>
      </c>
      <c r="G59">
        <v>0.30399999999999999</v>
      </c>
      <c r="H59">
        <v>0.30399999999999999</v>
      </c>
      <c r="I59">
        <v>0</v>
      </c>
      <c r="J59">
        <v>0</v>
      </c>
    </row>
    <row r="60" spans="1:11" x14ac:dyDescent="0.25">
      <c r="A60" t="s">
        <v>334</v>
      </c>
      <c r="B60">
        <v>59</v>
      </c>
      <c r="C60" t="s">
        <v>5423</v>
      </c>
      <c r="D60" t="s">
        <v>5429</v>
      </c>
      <c r="E60" t="s">
        <v>5422</v>
      </c>
      <c r="F60">
        <v>28</v>
      </c>
      <c r="G60">
        <v>0.152</v>
      </c>
      <c r="H60">
        <v>0.152</v>
      </c>
      <c r="I60">
        <v>0</v>
      </c>
      <c r="J60">
        <v>0</v>
      </c>
    </row>
    <row r="61" spans="1:11" x14ac:dyDescent="0.25">
      <c r="A61" t="s">
        <v>337</v>
      </c>
      <c r="B61">
        <v>72</v>
      </c>
      <c r="C61" t="s">
        <v>5423</v>
      </c>
      <c r="D61" t="s">
        <v>5424</v>
      </c>
      <c r="E61" t="s">
        <v>5428</v>
      </c>
      <c r="F61">
        <v>56</v>
      </c>
      <c r="G61">
        <v>0.30399999999999999</v>
      </c>
      <c r="H61">
        <v>0.30399999999999999</v>
      </c>
      <c r="I61">
        <v>0</v>
      </c>
      <c r="J61">
        <v>0</v>
      </c>
    </row>
    <row r="62" spans="1:11" x14ac:dyDescent="0.25">
      <c r="A62" t="s">
        <v>341</v>
      </c>
      <c r="B62">
        <v>68</v>
      </c>
      <c r="C62" t="s">
        <v>5420</v>
      </c>
      <c r="D62" t="s">
        <v>5421</v>
      </c>
      <c r="E62" t="s">
        <v>5431</v>
      </c>
      <c r="F62">
        <v>30</v>
      </c>
      <c r="G62">
        <v>0.16300000000000001</v>
      </c>
      <c r="H62">
        <v>0.16300000000000001</v>
      </c>
      <c r="I62">
        <v>0</v>
      </c>
      <c r="J62">
        <v>0</v>
      </c>
    </row>
    <row r="63" spans="1:11" x14ac:dyDescent="0.25">
      <c r="A63" t="s">
        <v>344</v>
      </c>
      <c r="B63">
        <v>58</v>
      </c>
      <c r="C63" t="s">
        <v>5420</v>
      </c>
      <c r="D63" t="s">
        <v>5421</v>
      </c>
      <c r="E63" t="s">
        <v>5422</v>
      </c>
      <c r="F63">
        <v>112</v>
      </c>
      <c r="G63">
        <v>0.60899999999999999</v>
      </c>
      <c r="H63">
        <v>0.60899999999999999</v>
      </c>
      <c r="I63">
        <v>0</v>
      </c>
      <c r="J63">
        <v>0</v>
      </c>
    </row>
    <row r="64" spans="1:11" x14ac:dyDescent="0.25">
      <c r="A64" t="s">
        <v>350</v>
      </c>
      <c r="B64">
        <v>62</v>
      </c>
      <c r="C64" t="s">
        <v>5420</v>
      </c>
      <c r="D64" t="s">
        <v>5432</v>
      </c>
      <c r="E64" t="s">
        <v>5428</v>
      </c>
      <c r="F64">
        <v>56</v>
      </c>
      <c r="G64">
        <v>0.30399999999999999</v>
      </c>
      <c r="H64">
        <v>0.30399999999999999</v>
      </c>
      <c r="I64">
        <v>0</v>
      </c>
      <c r="J64">
        <v>0</v>
      </c>
    </row>
    <row r="65" spans="1:11" x14ac:dyDescent="0.25">
      <c r="A65" t="s">
        <v>354</v>
      </c>
      <c r="B65">
        <v>67</v>
      </c>
      <c r="C65" t="s">
        <v>5423</v>
      </c>
      <c r="D65" t="s">
        <v>5424</v>
      </c>
      <c r="E65" t="s">
        <v>5422</v>
      </c>
      <c r="F65">
        <v>120</v>
      </c>
      <c r="G65">
        <v>0.65200000000000002</v>
      </c>
      <c r="H65">
        <v>0.65200000000000002</v>
      </c>
      <c r="I65">
        <v>0</v>
      </c>
      <c r="J65">
        <v>0</v>
      </c>
    </row>
    <row r="66" spans="1:11" x14ac:dyDescent="0.25">
      <c r="A66" t="s">
        <v>360</v>
      </c>
      <c r="B66">
        <v>68</v>
      </c>
      <c r="C66" t="s">
        <v>5423</v>
      </c>
      <c r="D66" t="s">
        <v>5429</v>
      </c>
      <c r="E66" t="s">
        <v>5428</v>
      </c>
      <c r="F66">
        <v>56</v>
      </c>
      <c r="G66">
        <v>0.30399999999999999</v>
      </c>
      <c r="H66">
        <v>0.30399999999999999</v>
      </c>
      <c r="I66">
        <v>0</v>
      </c>
      <c r="J66">
        <v>0</v>
      </c>
    </row>
    <row r="67" spans="1:11" x14ac:dyDescent="0.25">
      <c r="A67" t="s">
        <v>364</v>
      </c>
      <c r="B67">
        <v>68</v>
      </c>
      <c r="C67" t="s">
        <v>5420</v>
      </c>
      <c r="D67" t="s">
        <v>5424</v>
      </c>
      <c r="E67" t="s">
        <v>5431</v>
      </c>
      <c r="F67">
        <v>168</v>
      </c>
      <c r="G67">
        <v>0.91300000000000003</v>
      </c>
      <c r="H67">
        <v>0.91300000000000003</v>
      </c>
      <c r="I67">
        <v>0</v>
      </c>
      <c r="J67">
        <v>0</v>
      </c>
    </row>
    <row r="68" spans="1:11" x14ac:dyDescent="0.25">
      <c r="A68" t="s">
        <v>372</v>
      </c>
      <c r="B68">
        <v>53</v>
      </c>
      <c r="C68" t="s">
        <v>5423</v>
      </c>
      <c r="D68" t="s">
        <v>5426</v>
      </c>
      <c r="E68" t="s">
        <v>5428</v>
      </c>
      <c r="F68">
        <v>28</v>
      </c>
      <c r="G68">
        <v>0.152</v>
      </c>
      <c r="H68">
        <v>0.152</v>
      </c>
      <c r="I68">
        <v>0</v>
      </c>
      <c r="J68">
        <v>0</v>
      </c>
    </row>
    <row r="69" spans="1:11" x14ac:dyDescent="0.25">
      <c r="A69" t="s">
        <v>375</v>
      </c>
      <c r="B69">
        <v>58</v>
      </c>
      <c r="C69" t="s">
        <v>5420</v>
      </c>
      <c r="D69" t="s">
        <v>5426</v>
      </c>
      <c r="E69" t="s">
        <v>5427</v>
      </c>
      <c r="F69">
        <v>63</v>
      </c>
      <c r="G69">
        <v>0.34200000000000003</v>
      </c>
      <c r="H69">
        <v>0.34200000000000003</v>
      </c>
      <c r="I69">
        <v>0</v>
      </c>
      <c r="J69">
        <v>0</v>
      </c>
    </row>
    <row r="70" spans="1:11" x14ac:dyDescent="0.25">
      <c r="A70" t="s">
        <v>380</v>
      </c>
      <c r="B70">
        <v>57</v>
      </c>
      <c r="C70" t="s">
        <v>5434</v>
      </c>
      <c r="D70" t="s">
        <v>5432</v>
      </c>
      <c r="E70" t="s">
        <v>5422</v>
      </c>
      <c r="F70">
        <v>90</v>
      </c>
      <c r="G70">
        <v>0.48899999999999999</v>
      </c>
      <c r="H70">
        <v>0.48899999999999999</v>
      </c>
      <c r="I70">
        <v>0</v>
      </c>
      <c r="J70">
        <v>0</v>
      </c>
    </row>
    <row r="71" spans="1:11" x14ac:dyDescent="0.25">
      <c r="A71" t="s">
        <v>385</v>
      </c>
      <c r="B71">
        <v>64</v>
      </c>
      <c r="C71" t="s">
        <v>5423</v>
      </c>
      <c r="D71" t="s">
        <v>5421</v>
      </c>
      <c r="E71" t="s">
        <v>5422</v>
      </c>
      <c r="F71">
        <v>56</v>
      </c>
      <c r="G71">
        <v>0.30399999999999999</v>
      </c>
      <c r="H71">
        <v>0.30399999999999999</v>
      </c>
      <c r="I71">
        <v>0</v>
      </c>
      <c r="J71">
        <v>0</v>
      </c>
    </row>
    <row r="72" spans="1:11" x14ac:dyDescent="0.25">
      <c r="A72" t="s">
        <v>389</v>
      </c>
      <c r="B72">
        <v>54</v>
      </c>
      <c r="C72" t="s">
        <v>5423</v>
      </c>
      <c r="D72" t="s">
        <v>5432</v>
      </c>
      <c r="E72" t="s">
        <v>5431</v>
      </c>
      <c r="F72">
        <v>84</v>
      </c>
      <c r="G72">
        <v>0.45700000000000002</v>
      </c>
      <c r="H72">
        <v>0.45700000000000002</v>
      </c>
      <c r="I72">
        <v>0</v>
      </c>
      <c r="J72">
        <v>0</v>
      </c>
    </row>
    <row r="73" spans="1:11" x14ac:dyDescent="0.25">
      <c r="A73" t="s">
        <v>394</v>
      </c>
      <c r="B73">
        <v>59</v>
      </c>
      <c r="C73" t="s">
        <v>5420</v>
      </c>
      <c r="D73" t="s">
        <v>5432</v>
      </c>
      <c r="E73" t="s">
        <v>5428</v>
      </c>
      <c r="F73">
        <v>196</v>
      </c>
      <c r="G73">
        <v>1.0649999999999999</v>
      </c>
      <c r="H73">
        <v>1</v>
      </c>
      <c r="I73">
        <v>1</v>
      </c>
      <c r="J73">
        <v>0</v>
      </c>
      <c r="K73" t="s">
        <v>5435</v>
      </c>
    </row>
    <row r="74" spans="1:11" x14ac:dyDescent="0.25">
      <c r="A74" t="s">
        <v>403</v>
      </c>
      <c r="B74">
        <v>61</v>
      </c>
      <c r="C74" t="s">
        <v>5420</v>
      </c>
      <c r="D74" t="s">
        <v>5429</v>
      </c>
      <c r="E74" t="s">
        <v>5431</v>
      </c>
      <c r="F74">
        <v>84</v>
      </c>
      <c r="G74">
        <v>0.45700000000000002</v>
      </c>
      <c r="H74">
        <v>0.45700000000000002</v>
      </c>
      <c r="I74">
        <v>0</v>
      </c>
      <c r="J74">
        <v>0</v>
      </c>
    </row>
    <row r="75" spans="1:11" x14ac:dyDescent="0.25">
      <c r="A75" t="s">
        <v>408</v>
      </c>
      <c r="B75">
        <v>59</v>
      </c>
      <c r="C75" t="s">
        <v>5423</v>
      </c>
      <c r="D75" t="s">
        <v>5426</v>
      </c>
      <c r="E75" t="s">
        <v>5428</v>
      </c>
      <c r="F75">
        <v>28</v>
      </c>
      <c r="G75">
        <v>0.152</v>
      </c>
      <c r="H75">
        <v>0.152</v>
      </c>
      <c r="I75">
        <v>0</v>
      </c>
      <c r="J75">
        <v>0</v>
      </c>
    </row>
    <row r="76" spans="1:11" x14ac:dyDescent="0.25">
      <c r="A76" t="s">
        <v>411</v>
      </c>
      <c r="B76">
        <v>60</v>
      </c>
      <c r="C76" t="s">
        <v>5423</v>
      </c>
      <c r="D76" t="s">
        <v>5429</v>
      </c>
      <c r="E76" t="s">
        <v>5431</v>
      </c>
      <c r="F76">
        <v>21</v>
      </c>
      <c r="G76">
        <v>0.114</v>
      </c>
      <c r="H76">
        <v>0.114</v>
      </c>
      <c r="I76">
        <v>0</v>
      </c>
      <c r="J76">
        <v>0</v>
      </c>
    </row>
    <row r="77" spans="1:11" x14ac:dyDescent="0.25">
      <c r="A77" t="s">
        <v>414</v>
      </c>
      <c r="B77">
        <v>66</v>
      </c>
      <c r="C77" t="s">
        <v>5420</v>
      </c>
      <c r="D77" t="s">
        <v>5421</v>
      </c>
      <c r="E77" t="s">
        <v>5438</v>
      </c>
      <c r="F77">
        <v>28</v>
      </c>
      <c r="G77">
        <v>0.152</v>
      </c>
      <c r="H77">
        <v>0.152</v>
      </c>
      <c r="I77">
        <v>0</v>
      </c>
      <c r="J77">
        <v>0</v>
      </c>
    </row>
    <row r="78" spans="1:11" x14ac:dyDescent="0.25">
      <c r="A78" t="s">
        <v>418</v>
      </c>
      <c r="B78">
        <v>64</v>
      </c>
      <c r="C78" t="s">
        <v>5423</v>
      </c>
      <c r="D78" t="s">
        <v>5421</v>
      </c>
      <c r="E78" t="s">
        <v>5431</v>
      </c>
      <c r="F78">
        <v>168</v>
      </c>
      <c r="G78">
        <v>0.91300000000000003</v>
      </c>
      <c r="H78">
        <v>0.91300000000000003</v>
      </c>
      <c r="I78">
        <v>0</v>
      </c>
      <c r="J78">
        <v>0</v>
      </c>
    </row>
    <row r="79" spans="1:11" x14ac:dyDescent="0.25">
      <c r="A79" t="s">
        <v>426</v>
      </c>
      <c r="B79">
        <v>62</v>
      </c>
      <c r="C79" t="s">
        <v>5423</v>
      </c>
      <c r="D79" t="s">
        <v>5426</v>
      </c>
      <c r="E79" t="s">
        <v>5422</v>
      </c>
      <c r="F79">
        <v>150</v>
      </c>
      <c r="G79">
        <v>0.81499999999999995</v>
      </c>
      <c r="H79">
        <v>0.81499999999999995</v>
      </c>
      <c r="I79">
        <v>0</v>
      </c>
      <c r="J79">
        <v>0</v>
      </c>
    </row>
    <row r="80" spans="1:11" x14ac:dyDescent="0.25">
      <c r="A80" t="s">
        <v>433</v>
      </c>
      <c r="B80">
        <v>83</v>
      </c>
      <c r="C80" t="s">
        <v>5423</v>
      </c>
      <c r="D80" t="s">
        <v>5429</v>
      </c>
      <c r="E80" t="s">
        <v>5422</v>
      </c>
      <c r="F80">
        <v>28</v>
      </c>
      <c r="G80">
        <v>0.152</v>
      </c>
      <c r="H80">
        <v>0.152</v>
      </c>
      <c r="I80">
        <v>0</v>
      </c>
      <c r="J80">
        <v>0</v>
      </c>
    </row>
    <row r="81" spans="1:10" x14ac:dyDescent="0.25">
      <c r="A81" t="s">
        <v>436</v>
      </c>
      <c r="B81">
        <v>54</v>
      </c>
      <c r="C81" t="s">
        <v>5423</v>
      </c>
      <c r="D81" t="s">
        <v>5424</v>
      </c>
      <c r="E81" t="s">
        <v>5431</v>
      </c>
      <c r="F81">
        <v>168</v>
      </c>
      <c r="G81">
        <v>0.91300000000000003</v>
      </c>
      <c r="H81">
        <v>0.91300000000000003</v>
      </c>
      <c r="I81">
        <v>0</v>
      </c>
      <c r="J81">
        <v>0</v>
      </c>
    </row>
    <row r="82" spans="1:10" x14ac:dyDescent="0.25">
      <c r="A82" t="s">
        <v>444</v>
      </c>
      <c r="B82">
        <v>83</v>
      </c>
      <c r="C82" t="s">
        <v>5420</v>
      </c>
      <c r="D82" t="s">
        <v>5432</v>
      </c>
      <c r="E82" t="s">
        <v>5430</v>
      </c>
      <c r="F82">
        <v>30</v>
      </c>
      <c r="G82">
        <v>0.16300000000000001</v>
      </c>
      <c r="H82">
        <v>0.16300000000000001</v>
      </c>
      <c r="I82">
        <v>0</v>
      </c>
      <c r="J82">
        <v>0</v>
      </c>
    </row>
    <row r="83" spans="1:10" x14ac:dyDescent="0.25">
      <c r="A83" t="s">
        <v>447</v>
      </c>
      <c r="B83">
        <v>53</v>
      </c>
      <c r="C83" t="s">
        <v>5423</v>
      </c>
      <c r="D83" t="s">
        <v>5429</v>
      </c>
      <c r="E83" t="s">
        <v>5425</v>
      </c>
      <c r="F83">
        <v>120</v>
      </c>
      <c r="G83">
        <v>0.65200000000000002</v>
      </c>
      <c r="H83">
        <v>0.65200000000000002</v>
      </c>
      <c r="I83">
        <v>0</v>
      </c>
      <c r="J83">
        <v>0</v>
      </c>
    </row>
    <row r="84" spans="1:10" x14ac:dyDescent="0.25">
      <c r="A84" t="s">
        <v>453</v>
      </c>
      <c r="B84">
        <v>65</v>
      </c>
      <c r="C84" t="s">
        <v>5423</v>
      </c>
      <c r="D84" t="s">
        <v>5426</v>
      </c>
      <c r="E84" t="s">
        <v>5422</v>
      </c>
      <c r="F84">
        <v>56</v>
      </c>
      <c r="G84">
        <v>0.30399999999999999</v>
      </c>
      <c r="H84">
        <v>0.30399999999999999</v>
      </c>
      <c r="I84">
        <v>0</v>
      </c>
      <c r="J84">
        <v>0</v>
      </c>
    </row>
    <row r="85" spans="1:10" x14ac:dyDescent="0.25">
      <c r="A85" t="s">
        <v>457</v>
      </c>
      <c r="B85">
        <v>80</v>
      </c>
      <c r="C85" t="s">
        <v>5423</v>
      </c>
      <c r="D85" t="s">
        <v>5424</v>
      </c>
      <c r="E85" t="s">
        <v>5430</v>
      </c>
      <c r="F85">
        <v>56</v>
      </c>
      <c r="G85">
        <v>0.30399999999999999</v>
      </c>
      <c r="H85">
        <v>0.30399999999999999</v>
      </c>
      <c r="I85">
        <v>0</v>
      </c>
      <c r="J85">
        <v>0</v>
      </c>
    </row>
    <row r="86" spans="1:10" x14ac:dyDescent="0.25">
      <c r="A86" t="s">
        <v>460</v>
      </c>
      <c r="B86">
        <v>48</v>
      </c>
      <c r="C86" t="s">
        <v>5423</v>
      </c>
      <c r="D86" t="s">
        <v>5429</v>
      </c>
      <c r="E86" t="s">
        <v>5439</v>
      </c>
      <c r="F86">
        <v>30</v>
      </c>
      <c r="G86">
        <v>0.16300000000000001</v>
      </c>
      <c r="H86">
        <v>0.16300000000000001</v>
      </c>
      <c r="I86">
        <v>0</v>
      </c>
      <c r="J86">
        <v>0</v>
      </c>
    </row>
    <row r="87" spans="1:10" x14ac:dyDescent="0.25">
      <c r="A87" t="s">
        <v>463</v>
      </c>
      <c r="B87">
        <v>80</v>
      </c>
      <c r="C87" t="s">
        <v>5420</v>
      </c>
      <c r="D87" t="s">
        <v>5424</v>
      </c>
      <c r="E87" t="s">
        <v>5422</v>
      </c>
      <c r="F87">
        <v>30</v>
      </c>
      <c r="G87">
        <v>0.16300000000000001</v>
      </c>
      <c r="H87">
        <v>0.16300000000000001</v>
      </c>
      <c r="I87">
        <v>0</v>
      </c>
      <c r="J87">
        <v>0</v>
      </c>
    </row>
    <row r="88" spans="1:10" x14ac:dyDescent="0.25">
      <c r="A88" t="s">
        <v>466</v>
      </c>
      <c r="B88">
        <v>44</v>
      </c>
      <c r="C88" t="s">
        <v>5423</v>
      </c>
      <c r="D88" t="s">
        <v>5424</v>
      </c>
      <c r="E88" t="s">
        <v>5440</v>
      </c>
      <c r="F88">
        <v>28</v>
      </c>
      <c r="G88">
        <v>0.152</v>
      </c>
      <c r="H88">
        <v>0.152</v>
      </c>
      <c r="I88">
        <v>0</v>
      </c>
      <c r="J88">
        <v>0</v>
      </c>
    </row>
    <row r="89" spans="1:10" x14ac:dyDescent="0.25">
      <c r="A89" t="s">
        <v>469</v>
      </c>
      <c r="B89">
        <v>75</v>
      </c>
      <c r="C89" t="s">
        <v>5420</v>
      </c>
      <c r="D89" t="s">
        <v>5432</v>
      </c>
      <c r="E89" t="s">
        <v>5431</v>
      </c>
      <c r="F89">
        <v>28</v>
      </c>
      <c r="G89">
        <v>0.152</v>
      </c>
      <c r="H89">
        <v>0.152</v>
      </c>
      <c r="I89">
        <v>0</v>
      </c>
      <c r="J89">
        <v>0</v>
      </c>
    </row>
    <row r="90" spans="1:10" x14ac:dyDescent="0.25">
      <c r="A90" t="s">
        <v>472</v>
      </c>
      <c r="B90">
        <v>62</v>
      </c>
      <c r="C90" t="s">
        <v>5423</v>
      </c>
      <c r="D90" t="s">
        <v>5424</v>
      </c>
      <c r="E90" t="s">
        <v>5427</v>
      </c>
      <c r="F90">
        <v>168</v>
      </c>
      <c r="G90">
        <v>0.91300000000000003</v>
      </c>
      <c r="H90">
        <v>0.91300000000000003</v>
      </c>
      <c r="I90">
        <v>0</v>
      </c>
      <c r="J90">
        <v>0</v>
      </c>
    </row>
    <row r="91" spans="1:10" x14ac:dyDescent="0.25">
      <c r="A91" t="s">
        <v>477</v>
      </c>
      <c r="B91">
        <v>62</v>
      </c>
      <c r="C91" t="s">
        <v>5420</v>
      </c>
      <c r="D91" t="s">
        <v>5429</v>
      </c>
      <c r="E91" t="s">
        <v>5425</v>
      </c>
      <c r="F91">
        <v>28</v>
      </c>
      <c r="G91">
        <v>0.152</v>
      </c>
      <c r="H91">
        <v>0.152</v>
      </c>
      <c r="I91">
        <v>0</v>
      </c>
      <c r="J91">
        <v>0</v>
      </c>
    </row>
    <row r="92" spans="1:10" x14ac:dyDescent="0.25">
      <c r="A92" t="s">
        <v>480</v>
      </c>
      <c r="B92">
        <v>63</v>
      </c>
      <c r="C92" t="s">
        <v>5423</v>
      </c>
      <c r="D92" t="s">
        <v>5426</v>
      </c>
      <c r="E92" t="s">
        <v>5428</v>
      </c>
      <c r="F92">
        <v>84</v>
      </c>
      <c r="G92">
        <v>0.45700000000000002</v>
      </c>
      <c r="H92">
        <v>0.45700000000000002</v>
      </c>
      <c r="I92">
        <v>0</v>
      </c>
      <c r="J92">
        <v>0</v>
      </c>
    </row>
    <row r="93" spans="1:10" x14ac:dyDescent="0.25">
      <c r="A93" t="s">
        <v>485</v>
      </c>
      <c r="B93">
        <v>67</v>
      </c>
      <c r="C93" t="s">
        <v>5420</v>
      </c>
      <c r="D93" t="s">
        <v>5426</v>
      </c>
      <c r="E93" t="s">
        <v>5431</v>
      </c>
      <c r="F93">
        <v>84</v>
      </c>
      <c r="G93">
        <v>0.45700000000000002</v>
      </c>
      <c r="H93">
        <v>0.45700000000000002</v>
      </c>
      <c r="I93">
        <v>0</v>
      </c>
      <c r="J93">
        <v>0</v>
      </c>
    </row>
    <row r="94" spans="1:10" x14ac:dyDescent="0.25">
      <c r="A94" t="s">
        <v>490</v>
      </c>
      <c r="B94">
        <v>77</v>
      </c>
      <c r="C94" t="s">
        <v>5423</v>
      </c>
      <c r="D94" t="s">
        <v>5426</v>
      </c>
      <c r="E94" t="s">
        <v>5430</v>
      </c>
      <c r="F94">
        <v>168</v>
      </c>
      <c r="G94">
        <v>0.91300000000000003</v>
      </c>
      <c r="H94">
        <v>0.91300000000000003</v>
      </c>
      <c r="I94">
        <v>0</v>
      </c>
      <c r="J94">
        <v>0</v>
      </c>
    </row>
    <row r="95" spans="1:10" x14ac:dyDescent="0.25">
      <c r="A95" t="s">
        <v>498</v>
      </c>
      <c r="B95">
        <v>63</v>
      </c>
      <c r="C95" t="s">
        <v>5423</v>
      </c>
      <c r="D95" t="s">
        <v>5432</v>
      </c>
      <c r="E95" t="s">
        <v>5430</v>
      </c>
      <c r="F95">
        <v>28</v>
      </c>
      <c r="G95">
        <v>0.152</v>
      </c>
      <c r="H95">
        <v>0.152</v>
      </c>
      <c r="I95">
        <v>0</v>
      </c>
      <c r="J95">
        <v>0</v>
      </c>
    </row>
    <row r="96" spans="1:10" x14ac:dyDescent="0.25">
      <c r="A96" t="s">
        <v>501</v>
      </c>
      <c r="B96">
        <v>68</v>
      </c>
      <c r="C96" t="s">
        <v>5420</v>
      </c>
      <c r="D96" t="s">
        <v>5429</v>
      </c>
      <c r="E96" t="s">
        <v>5425</v>
      </c>
      <c r="F96">
        <v>112</v>
      </c>
      <c r="G96">
        <v>0.60899999999999999</v>
      </c>
      <c r="H96">
        <v>0.60899999999999999</v>
      </c>
      <c r="I96">
        <v>0</v>
      </c>
      <c r="J96">
        <v>0</v>
      </c>
    </row>
    <row r="97" spans="1:10" x14ac:dyDescent="0.25">
      <c r="A97" t="s">
        <v>507</v>
      </c>
      <c r="B97">
        <v>75</v>
      </c>
      <c r="C97" t="s">
        <v>5420</v>
      </c>
      <c r="D97" t="s">
        <v>5426</v>
      </c>
      <c r="E97" t="s">
        <v>5430</v>
      </c>
      <c r="F97">
        <v>60</v>
      </c>
      <c r="G97">
        <v>0.32600000000000001</v>
      </c>
      <c r="H97">
        <v>0.32600000000000001</v>
      </c>
      <c r="I97">
        <v>0</v>
      </c>
      <c r="J97">
        <v>0</v>
      </c>
    </row>
    <row r="98" spans="1:10" x14ac:dyDescent="0.25">
      <c r="A98" t="s">
        <v>511</v>
      </c>
      <c r="B98">
        <v>50</v>
      </c>
      <c r="C98" t="s">
        <v>5420</v>
      </c>
      <c r="D98" t="s">
        <v>5426</v>
      </c>
      <c r="E98" t="s">
        <v>5428</v>
      </c>
      <c r="F98">
        <v>56</v>
      </c>
      <c r="G98">
        <v>0.30399999999999999</v>
      </c>
      <c r="H98">
        <v>0.30399999999999999</v>
      </c>
      <c r="I98">
        <v>0</v>
      </c>
      <c r="J98">
        <v>0</v>
      </c>
    </row>
    <row r="99" spans="1:10" x14ac:dyDescent="0.25">
      <c r="A99" t="s">
        <v>515</v>
      </c>
      <c r="B99">
        <v>41</v>
      </c>
      <c r="C99" t="s">
        <v>5420</v>
      </c>
      <c r="D99" t="s">
        <v>5426</v>
      </c>
      <c r="E99" t="s">
        <v>5427</v>
      </c>
      <c r="F99">
        <v>140</v>
      </c>
      <c r="G99">
        <v>0.76100000000000001</v>
      </c>
      <c r="H99">
        <v>0.76100000000000001</v>
      </c>
      <c r="I99">
        <v>0</v>
      </c>
      <c r="J99">
        <v>0</v>
      </c>
    </row>
    <row r="100" spans="1:10" x14ac:dyDescent="0.25">
      <c r="A100" t="s">
        <v>522</v>
      </c>
      <c r="B100">
        <v>44</v>
      </c>
      <c r="C100" t="s">
        <v>5434</v>
      </c>
      <c r="D100" t="s">
        <v>5432</v>
      </c>
      <c r="E100" t="s">
        <v>5422</v>
      </c>
      <c r="F100">
        <v>28</v>
      </c>
      <c r="G100">
        <v>0.152</v>
      </c>
      <c r="H100">
        <v>0.152</v>
      </c>
      <c r="I100">
        <v>0</v>
      </c>
      <c r="J100">
        <v>0</v>
      </c>
    </row>
    <row r="101" spans="1:10" x14ac:dyDescent="0.25">
      <c r="A101" t="s">
        <v>525</v>
      </c>
      <c r="B101">
        <v>61</v>
      </c>
      <c r="C101" t="s">
        <v>5423</v>
      </c>
      <c r="D101" t="s">
        <v>5429</v>
      </c>
      <c r="E101" t="s">
        <v>5430</v>
      </c>
      <c r="F101">
        <v>28</v>
      </c>
      <c r="G101">
        <v>0.152</v>
      </c>
      <c r="H101">
        <v>0.152</v>
      </c>
      <c r="I101">
        <v>0</v>
      </c>
      <c r="J101">
        <v>0</v>
      </c>
    </row>
    <row r="102" spans="1:10" x14ac:dyDescent="0.25">
      <c r="A102" t="s">
        <v>528</v>
      </c>
      <c r="B102">
        <v>65</v>
      </c>
      <c r="C102" t="s">
        <v>5420</v>
      </c>
      <c r="D102" t="s">
        <v>5424</v>
      </c>
      <c r="E102" t="s">
        <v>5428</v>
      </c>
      <c r="F102">
        <v>180</v>
      </c>
      <c r="G102">
        <v>0.97799999999999998</v>
      </c>
      <c r="H102">
        <v>0.97799999999999998</v>
      </c>
      <c r="I102">
        <v>0</v>
      </c>
      <c r="J102">
        <v>0</v>
      </c>
    </row>
    <row r="103" spans="1:10" x14ac:dyDescent="0.25">
      <c r="A103" t="s">
        <v>536</v>
      </c>
      <c r="B103">
        <v>52</v>
      </c>
      <c r="C103" t="s">
        <v>5423</v>
      </c>
      <c r="D103" t="s">
        <v>5429</v>
      </c>
      <c r="E103" t="s">
        <v>5428</v>
      </c>
      <c r="F103">
        <v>112</v>
      </c>
      <c r="G103">
        <v>0.60899999999999999</v>
      </c>
      <c r="H103">
        <v>0.60899999999999999</v>
      </c>
      <c r="I103">
        <v>0</v>
      </c>
      <c r="J103">
        <v>0</v>
      </c>
    </row>
    <row r="104" spans="1:10" x14ac:dyDescent="0.25">
      <c r="A104" t="s">
        <v>542</v>
      </c>
      <c r="B104">
        <v>56</v>
      </c>
      <c r="C104" t="s">
        <v>5420</v>
      </c>
      <c r="D104" t="s">
        <v>5429</v>
      </c>
      <c r="E104" t="s">
        <v>5428</v>
      </c>
      <c r="F104">
        <v>180</v>
      </c>
      <c r="G104">
        <v>0.97799999999999998</v>
      </c>
      <c r="H104">
        <v>0.97799999999999998</v>
      </c>
      <c r="I104">
        <v>0</v>
      </c>
      <c r="J104">
        <v>0</v>
      </c>
    </row>
    <row r="105" spans="1:10" x14ac:dyDescent="0.25">
      <c r="A105" t="s">
        <v>550</v>
      </c>
      <c r="B105">
        <v>54</v>
      </c>
      <c r="C105" t="s">
        <v>5420</v>
      </c>
      <c r="D105" t="s">
        <v>5432</v>
      </c>
      <c r="E105" t="s">
        <v>5425</v>
      </c>
      <c r="F105">
        <v>112</v>
      </c>
      <c r="G105">
        <v>0.60899999999999999</v>
      </c>
      <c r="H105">
        <v>0.60899999999999999</v>
      </c>
      <c r="I105">
        <v>0</v>
      </c>
      <c r="J105">
        <v>0</v>
      </c>
    </row>
    <row r="106" spans="1:10" x14ac:dyDescent="0.25">
      <c r="A106" t="s">
        <v>556</v>
      </c>
      <c r="B106">
        <v>81</v>
      </c>
      <c r="C106" t="s">
        <v>5423</v>
      </c>
      <c r="D106" t="s">
        <v>5426</v>
      </c>
      <c r="E106" t="s">
        <v>5427</v>
      </c>
      <c r="F106">
        <v>112</v>
      </c>
      <c r="G106">
        <v>0.60899999999999999</v>
      </c>
      <c r="H106">
        <v>0.60899999999999999</v>
      </c>
      <c r="I106">
        <v>0</v>
      </c>
      <c r="J106">
        <v>0</v>
      </c>
    </row>
    <row r="107" spans="1:10" x14ac:dyDescent="0.25">
      <c r="A107" t="s">
        <v>562</v>
      </c>
      <c r="B107">
        <v>62</v>
      </c>
      <c r="C107" t="s">
        <v>5423</v>
      </c>
      <c r="D107" t="s">
        <v>5421</v>
      </c>
      <c r="E107" t="s">
        <v>5430</v>
      </c>
      <c r="F107">
        <v>56</v>
      </c>
      <c r="G107">
        <v>0.30399999999999999</v>
      </c>
      <c r="H107">
        <v>0.30399999999999999</v>
      </c>
      <c r="I107">
        <v>0</v>
      </c>
      <c r="J107">
        <v>0</v>
      </c>
    </row>
    <row r="108" spans="1:10" x14ac:dyDescent="0.25">
      <c r="A108" t="s">
        <v>566</v>
      </c>
      <c r="B108">
        <v>60</v>
      </c>
      <c r="C108" t="s">
        <v>5423</v>
      </c>
      <c r="D108" t="s">
        <v>5429</v>
      </c>
      <c r="E108" t="s">
        <v>5431</v>
      </c>
      <c r="F108">
        <v>112</v>
      </c>
      <c r="G108">
        <v>0.60899999999999999</v>
      </c>
      <c r="H108">
        <v>0.60899999999999999</v>
      </c>
      <c r="I108">
        <v>0</v>
      </c>
      <c r="J108">
        <v>0</v>
      </c>
    </row>
    <row r="109" spans="1:10" x14ac:dyDescent="0.25">
      <c r="A109" t="s">
        <v>572</v>
      </c>
      <c r="B109">
        <v>59</v>
      </c>
      <c r="C109" t="s">
        <v>5420</v>
      </c>
      <c r="D109" t="s">
        <v>5432</v>
      </c>
      <c r="E109" t="s">
        <v>5431</v>
      </c>
      <c r="F109">
        <v>84</v>
      </c>
      <c r="G109">
        <v>0.45700000000000002</v>
      </c>
      <c r="H109">
        <v>0.45700000000000002</v>
      </c>
      <c r="I109">
        <v>0</v>
      </c>
      <c r="J109">
        <v>0</v>
      </c>
    </row>
    <row r="110" spans="1:10" x14ac:dyDescent="0.25">
      <c r="A110" t="s">
        <v>577</v>
      </c>
      <c r="B110">
        <v>46</v>
      </c>
      <c r="C110" t="s">
        <v>5423</v>
      </c>
      <c r="D110" t="s">
        <v>5429</v>
      </c>
      <c r="E110" t="s">
        <v>5422</v>
      </c>
      <c r="F110">
        <v>60</v>
      </c>
      <c r="G110">
        <v>0.32600000000000001</v>
      </c>
      <c r="H110">
        <v>0.32600000000000001</v>
      </c>
      <c r="I110">
        <v>0</v>
      </c>
      <c r="J110">
        <v>0</v>
      </c>
    </row>
    <row r="111" spans="1:10" x14ac:dyDescent="0.25">
      <c r="A111" t="s">
        <v>581</v>
      </c>
      <c r="B111">
        <v>75</v>
      </c>
      <c r="C111" t="s">
        <v>5423</v>
      </c>
      <c r="D111" t="s">
        <v>5424</v>
      </c>
      <c r="E111" t="s">
        <v>5428</v>
      </c>
      <c r="F111">
        <v>60</v>
      </c>
      <c r="G111">
        <v>0.32600000000000001</v>
      </c>
      <c r="H111">
        <v>0.32600000000000001</v>
      </c>
      <c r="I111">
        <v>0</v>
      </c>
      <c r="J111">
        <v>0</v>
      </c>
    </row>
    <row r="112" spans="1:10" x14ac:dyDescent="0.25">
      <c r="A112" t="s">
        <v>585</v>
      </c>
      <c r="B112">
        <v>90</v>
      </c>
      <c r="C112" t="s">
        <v>5420</v>
      </c>
      <c r="D112" t="s">
        <v>5426</v>
      </c>
      <c r="E112" t="s">
        <v>5431</v>
      </c>
      <c r="F112">
        <v>168</v>
      </c>
      <c r="G112">
        <v>0.91300000000000003</v>
      </c>
      <c r="H112">
        <v>0.91300000000000003</v>
      </c>
      <c r="I112">
        <v>0</v>
      </c>
      <c r="J112">
        <v>0</v>
      </c>
    </row>
    <row r="113" spans="1:11" x14ac:dyDescent="0.25">
      <c r="A113" t="s">
        <v>593</v>
      </c>
      <c r="B113">
        <v>73</v>
      </c>
      <c r="C113" t="s">
        <v>5420</v>
      </c>
      <c r="D113" t="s">
        <v>5432</v>
      </c>
      <c r="E113" t="s">
        <v>5431</v>
      </c>
      <c r="F113">
        <v>84</v>
      </c>
      <c r="G113">
        <v>0.45700000000000002</v>
      </c>
      <c r="H113">
        <v>0.45700000000000002</v>
      </c>
      <c r="I113">
        <v>0</v>
      </c>
      <c r="J113">
        <v>0</v>
      </c>
    </row>
    <row r="114" spans="1:11" x14ac:dyDescent="0.25">
      <c r="A114" t="s">
        <v>598</v>
      </c>
      <c r="B114">
        <v>55</v>
      </c>
      <c r="C114" t="s">
        <v>5423</v>
      </c>
      <c r="D114" t="s">
        <v>5426</v>
      </c>
      <c r="E114" t="s">
        <v>5425</v>
      </c>
      <c r="F114">
        <v>84</v>
      </c>
      <c r="G114">
        <v>0.45700000000000002</v>
      </c>
      <c r="H114">
        <v>0.45700000000000002</v>
      </c>
      <c r="I114">
        <v>0</v>
      </c>
      <c r="J114">
        <v>0</v>
      </c>
    </row>
    <row r="115" spans="1:11" x14ac:dyDescent="0.25">
      <c r="A115" t="s">
        <v>603</v>
      </c>
      <c r="B115">
        <v>51</v>
      </c>
      <c r="C115" t="s">
        <v>5423</v>
      </c>
      <c r="D115" t="s">
        <v>5432</v>
      </c>
      <c r="E115" t="s">
        <v>5425</v>
      </c>
      <c r="F115">
        <v>140</v>
      </c>
      <c r="G115">
        <v>0.76100000000000001</v>
      </c>
      <c r="H115">
        <v>0.76100000000000001</v>
      </c>
      <c r="I115">
        <v>0</v>
      </c>
      <c r="J115">
        <v>0</v>
      </c>
    </row>
    <row r="116" spans="1:11" x14ac:dyDescent="0.25">
      <c r="A116" t="s">
        <v>610</v>
      </c>
      <c r="B116">
        <v>62</v>
      </c>
      <c r="C116" t="s">
        <v>5423</v>
      </c>
      <c r="D116" t="s">
        <v>5432</v>
      </c>
      <c r="E116" t="s">
        <v>5431</v>
      </c>
      <c r="F116">
        <v>60</v>
      </c>
      <c r="G116">
        <v>0.32600000000000001</v>
      </c>
      <c r="H116">
        <v>0.32600000000000001</v>
      </c>
      <c r="I116">
        <v>0</v>
      </c>
      <c r="J116">
        <v>0</v>
      </c>
    </row>
    <row r="117" spans="1:11" x14ac:dyDescent="0.25">
      <c r="A117" t="s">
        <v>614</v>
      </c>
      <c r="B117">
        <v>53</v>
      </c>
      <c r="C117" t="s">
        <v>5420</v>
      </c>
      <c r="D117" t="s">
        <v>5432</v>
      </c>
      <c r="E117" t="s">
        <v>5427</v>
      </c>
      <c r="F117">
        <v>168</v>
      </c>
      <c r="G117">
        <v>0.91300000000000003</v>
      </c>
      <c r="H117">
        <v>0.91300000000000003</v>
      </c>
      <c r="I117">
        <v>0</v>
      </c>
      <c r="J117">
        <v>0</v>
      </c>
    </row>
    <row r="118" spans="1:11" x14ac:dyDescent="0.25">
      <c r="A118" t="s">
        <v>628</v>
      </c>
      <c r="B118">
        <v>71</v>
      </c>
      <c r="C118" t="s">
        <v>5434</v>
      </c>
      <c r="D118" t="s">
        <v>5426</v>
      </c>
      <c r="E118" t="s">
        <v>5425</v>
      </c>
      <c r="F118">
        <v>28</v>
      </c>
      <c r="G118">
        <v>0.152</v>
      </c>
      <c r="H118">
        <v>0.152</v>
      </c>
      <c r="I118">
        <v>0</v>
      </c>
      <c r="J118">
        <v>0</v>
      </c>
    </row>
    <row r="119" spans="1:11" x14ac:dyDescent="0.25">
      <c r="A119" t="s">
        <v>631</v>
      </c>
      <c r="B119">
        <v>81</v>
      </c>
      <c r="C119" t="s">
        <v>5420</v>
      </c>
      <c r="D119" t="s">
        <v>5429</v>
      </c>
      <c r="E119" t="s">
        <v>5422</v>
      </c>
      <c r="F119">
        <v>112</v>
      </c>
      <c r="G119">
        <v>0.60899999999999999</v>
      </c>
      <c r="H119">
        <v>0.60899999999999999</v>
      </c>
      <c r="I119">
        <v>0</v>
      </c>
      <c r="J119">
        <v>0</v>
      </c>
    </row>
    <row r="120" spans="1:11" x14ac:dyDescent="0.25">
      <c r="A120" t="s">
        <v>637</v>
      </c>
      <c r="B120">
        <v>55</v>
      </c>
      <c r="C120" t="s">
        <v>5420</v>
      </c>
      <c r="D120" t="s">
        <v>5429</v>
      </c>
      <c r="E120" t="s">
        <v>5428</v>
      </c>
      <c r="F120">
        <v>90</v>
      </c>
      <c r="G120">
        <v>0.48899999999999999</v>
      </c>
      <c r="H120">
        <v>0.48899999999999999</v>
      </c>
      <c r="I120">
        <v>0</v>
      </c>
      <c r="J120">
        <v>0</v>
      </c>
    </row>
    <row r="121" spans="1:11" x14ac:dyDescent="0.25">
      <c r="A121" t="s">
        <v>642</v>
      </c>
      <c r="B121">
        <v>57</v>
      </c>
      <c r="C121" t="s">
        <v>5420</v>
      </c>
      <c r="D121" t="s">
        <v>5426</v>
      </c>
      <c r="E121" t="s">
        <v>5422</v>
      </c>
      <c r="F121">
        <v>28</v>
      </c>
      <c r="G121">
        <v>0.152</v>
      </c>
      <c r="H121">
        <v>0.152</v>
      </c>
      <c r="I121">
        <v>0</v>
      </c>
      <c r="J121">
        <v>0</v>
      </c>
    </row>
    <row r="122" spans="1:11" x14ac:dyDescent="0.25">
      <c r="A122" t="s">
        <v>645</v>
      </c>
      <c r="B122">
        <v>64</v>
      </c>
      <c r="C122" t="s">
        <v>5420</v>
      </c>
      <c r="D122" t="s">
        <v>5421</v>
      </c>
      <c r="E122" t="s">
        <v>5430</v>
      </c>
      <c r="F122">
        <v>140</v>
      </c>
      <c r="G122">
        <v>0.76100000000000001</v>
      </c>
      <c r="H122">
        <v>0.76100000000000001</v>
      </c>
      <c r="I122">
        <v>0</v>
      </c>
      <c r="J122">
        <v>0</v>
      </c>
    </row>
    <row r="123" spans="1:11" x14ac:dyDescent="0.25">
      <c r="A123" t="s">
        <v>652</v>
      </c>
      <c r="B123">
        <v>61</v>
      </c>
      <c r="C123" t="s">
        <v>5423</v>
      </c>
      <c r="D123" t="s">
        <v>5432</v>
      </c>
      <c r="E123" t="s">
        <v>5431</v>
      </c>
      <c r="F123">
        <v>84</v>
      </c>
      <c r="G123">
        <v>0.45700000000000002</v>
      </c>
      <c r="H123">
        <v>0.45700000000000002</v>
      </c>
      <c r="I123">
        <v>0</v>
      </c>
      <c r="J123">
        <v>0</v>
      </c>
    </row>
    <row r="124" spans="1:11" x14ac:dyDescent="0.25">
      <c r="A124" t="s">
        <v>657</v>
      </c>
      <c r="B124">
        <v>67</v>
      </c>
      <c r="C124" t="s">
        <v>5423</v>
      </c>
      <c r="D124" t="s">
        <v>5426</v>
      </c>
      <c r="E124" t="s">
        <v>5441</v>
      </c>
      <c r="F124">
        <v>84</v>
      </c>
      <c r="G124">
        <v>0.45700000000000002</v>
      </c>
      <c r="H124">
        <v>0.45700000000000002</v>
      </c>
      <c r="I124">
        <v>0</v>
      </c>
      <c r="J124">
        <v>0</v>
      </c>
    </row>
    <row r="125" spans="1:11" x14ac:dyDescent="0.25">
      <c r="A125" t="s">
        <v>662</v>
      </c>
      <c r="B125">
        <v>52</v>
      </c>
      <c r="C125" t="s">
        <v>5423</v>
      </c>
      <c r="D125" t="s">
        <v>5429</v>
      </c>
      <c r="E125" t="s">
        <v>5431</v>
      </c>
      <c r="F125">
        <v>112</v>
      </c>
      <c r="G125">
        <v>0.60899999999999999</v>
      </c>
      <c r="H125">
        <v>0.60899999999999999</v>
      </c>
      <c r="I125">
        <v>0</v>
      </c>
      <c r="J125">
        <v>0</v>
      </c>
    </row>
    <row r="126" spans="1:11" x14ac:dyDescent="0.25">
      <c r="A126" t="s">
        <v>668</v>
      </c>
      <c r="B126">
        <v>54</v>
      </c>
      <c r="C126" t="s">
        <v>5420</v>
      </c>
      <c r="D126" t="s">
        <v>5429</v>
      </c>
      <c r="E126" t="s">
        <v>5425</v>
      </c>
      <c r="F126">
        <v>84</v>
      </c>
      <c r="G126">
        <v>0.45700000000000002</v>
      </c>
      <c r="H126">
        <v>0.45700000000000002</v>
      </c>
      <c r="I126">
        <v>0</v>
      </c>
      <c r="J126">
        <v>0</v>
      </c>
    </row>
    <row r="127" spans="1:11" x14ac:dyDescent="0.25">
      <c r="A127" t="s">
        <v>676</v>
      </c>
      <c r="B127">
        <v>43</v>
      </c>
      <c r="C127" t="s">
        <v>5420</v>
      </c>
      <c r="D127" t="s">
        <v>5426</v>
      </c>
      <c r="E127" t="s">
        <v>5430</v>
      </c>
      <c r="F127">
        <v>28</v>
      </c>
      <c r="G127">
        <v>0.152</v>
      </c>
      <c r="H127">
        <v>0.152</v>
      </c>
      <c r="I127">
        <v>0</v>
      </c>
      <c r="J127">
        <v>0</v>
      </c>
    </row>
    <row r="128" spans="1:11" x14ac:dyDescent="0.25">
      <c r="A128" t="s">
        <v>679</v>
      </c>
      <c r="B128">
        <v>61</v>
      </c>
      <c r="C128" t="s">
        <v>5420</v>
      </c>
      <c r="D128" t="s">
        <v>5432</v>
      </c>
      <c r="E128" t="s">
        <v>5430</v>
      </c>
      <c r="F128">
        <v>196</v>
      </c>
      <c r="G128">
        <v>1.0649999999999999</v>
      </c>
      <c r="H128">
        <v>1</v>
      </c>
      <c r="I128">
        <v>1</v>
      </c>
      <c r="J128">
        <v>0</v>
      </c>
      <c r="K128" t="s">
        <v>5435</v>
      </c>
    </row>
    <row r="129" spans="1:10" x14ac:dyDescent="0.25">
      <c r="A129" t="s">
        <v>688</v>
      </c>
      <c r="B129">
        <v>49</v>
      </c>
      <c r="C129" t="s">
        <v>5420</v>
      </c>
      <c r="D129" t="s">
        <v>5421</v>
      </c>
      <c r="E129" t="s">
        <v>5425</v>
      </c>
      <c r="F129">
        <v>30</v>
      </c>
      <c r="G129">
        <v>0.16300000000000001</v>
      </c>
      <c r="H129">
        <v>0.16300000000000001</v>
      </c>
      <c r="I129">
        <v>0</v>
      </c>
      <c r="J129">
        <v>0</v>
      </c>
    </row>
    <row r="130" spans="1:10" x14ac:dyDescent="0.25">
      <c r="A130" t="s">
        <v>691</v>
      </c>
      <c r="B130">
        <v>72</v>
      </c>
      <c r="C130" t="s">
        <v>5423</v>
      </c>
      <c r="D130" t="s">
        <v>5424</v>
      </c>
      <c r="E130" t="s">
        <v>5425</v>
      </c>
      <c r="F130">
        <v>112</v>
      </c>
      <c r="G130">
        <v>0.60899999999999999</v>
      </c>
      <c r="H130">
        <v>0.60899999999999999</v>
      </c>
      <c r="I130">
        <v>0</v>
      </c>
      <c r="J130">
        <v>0</v>
      </c>
    </row>
    <row r="131" spans="1:10" x14ac:dyDescent="0.25">
      <c r="A131" t="s">
        <v>695</v>
      </c>
      <c r="B131">
        <v>56</v>
      </c>
      <c r="C131" t="s">
        <v>5420</v>
      </c>
      <c r="D131" t="s">
        <v>5432</v>
      </c>
      <c r="E131" t="s">
        <v>5431</v>
      </c>
      <c r="F131">
        <v>56</v>
      </c>
      <c r="G131">
        <v>0.30399999999999999</v>
      </c>
      <c r="H131">
        <v>0.30399999999999999</v>
      </c>
      <c r="I131">
        <v>0</v>
      </c>
      <c r="J131">
        <v>0</v>
      </c>
    </row>
    <row r="132" spans="1:10" x14ac:dyDescent="0.25">
      <c r="A132" t="s">
        <v>699</v>
      </c>
      <c r="B132">
        <v>67</v>
      </c>
      <c r="C132" t="s">
        <v>5423</v>
      </c>
      <c r="D132" t="s">
        <v>5429</v>
      </c>
      <c r="E132" t="s">
        <v>5425</v>
      </c>
      <c r="F132">
        <v>28</v>
      </c>
      <c r="G132">
        <v>0.152</v>
      </c>
      <c r="H132">
        <v>0.152</v>
      </c>
      <c r="I132">
        <v>0</v>
      </c>
      <c r="J132">
        <v>0</v>
      </c>
    </row>
    <row r="133" spans="1:10" x14ac:dyDescent="0.25">
      <c r="A133" t="s">
        <v>702</v>
      </c>
      <c r="B133">
        <v>59</v>
      </c>
      <c r="C133" t="s">
        <v>5423</v>
      </c>
      <c r="D133" t="s">
        <v>5429</v>
      </c>
      <c r="E133" t="s">
        <v>5422</v>
      </c>
      <c r="F133">
        <v>168</v>
      </c>
      <c r="G133">
        <v>0.91300000000000003</v>
      </c>
      <c r="H133">
        <v>0.91300000000000003</v>
      </c>
      <c r="I133">
        <v>0</v>
      </c>
      <c r="J133">
        <v>0</v>
      </c>
    </row>
    <row r="134" spans="1:10" x14ac:dyDescent="0.25">
      <c r="A134" t="s">
        <v>710</v>
      </c>
      <c r="B134">
        <v>62</v>
      </c>
      <c r="C134" t="s">
        <v>5423</v>
      </c>
      <c r="D134" t="s">
        <v>5429</v>
      </c>
      <c r="E134" t="s">
        <v>5428</v>
      </c>
      <c r="F134">
        <v>28</v>
      </c>
      <c r="G134">
        <v>0.152</v>
      </c>
      <c r="H134">
        <v>0.152</v>
      </c>
      <c r="I134">
        <v>0</v>
      </c>
      <c r="J134">
        <v>0</v>
      </c>
    </row>
    <row r="135" spans="1:10" x14ac:dyDescent="0.25">
      <c r="A135" t="s">
        <v>713</v>
      </c>
      <c r="B135">
        <v>60</v>
      </c>
      <c r="C135" t="s">
        <v>5420</v>
      </c>
      <c r="D135" t="s">
        <v>5429</v>
      </c>
      <c r="E135" t="s">
        <v>5431</v>
      </c>
      <c r="F135">
        <v>84</v>
      </c>
      <c r="G135">
        <v>0.45700000000000002</v>
      </c>
      <c r="H135">
        <v>0.45700000000000002</v>
      </c>
      <c r="I135">
        <v>0</v>
      </c>
      <c r="J135">
        <v>0</v>
      </c>
    </row>
    <row r="136" spans="1:10" x14ac:dyDescent="0.25">
      <c r="A136" t="s">
        <v>718</v>
      </c>
      <c r="B136">
        <v>65</v>
      </c>
      <c r="C136" t="s">
        <v>5423</v>
      </c>
      <c r="D136" t="s">
        <v>5432</v>
      </c>
      <c r="E136" t="s">
        <v>5427</v>
      </c>
      <c r="F136">
        <v>168</v>
      </c>
      <c r="G136">
        <v>0.91300000000000003</v>
      </c>
      <c r="H136">
        <v>0.91300000000000003</v>
      </c>
      <c r="I136">
        <v>0</v>
      </c>
      <c r="J136">
        <v>0</v>
      </c>
    </row>
    <row r="137" spans="1:10" x14ac:dyDescent="0.25">
      <c r="A137" t="s">
        <v>726</v>
      </c>
      <c r="B137">
        <v>57</v>
      </c>
      <c r="C137" t="s">
        <v>5420</v>
      </c>
      <c r="D137" t="s">
        <v>5424</v>
      </c>
      <c r="E137" t="s">
        <v>5430</v>
      </c>
      <c r="F137">
        <v>60</v>
      </c>
      <c r="G137">
        <v>0.32600000000000001</v>
      </c>
      <c r="H137">
        <v>0.32600000000000001</v>
      </c>
      <c r="I137">
        <v>0</v>
      </c>
      <c r="J137">
        <v>0</v>
      </c>
    </row>
    <row r="138" spans="1:10" x14ac:dyDescent="0.25">
      <c r="A138" t="s">
        <v>730</v>
      </c>
      <c r="B138">
        <v>41</v>
      </c>
      <c r="C138" t="s">
        <v>5420</v>
      </c>
      <c r="D138" t="s">
        <v>5426</v>
      </c>
      <c r="E138" t="s">
        <v>5430</v>
      </c>
      <c r="F138">
        <v>30</v>
      </c>
      <c r="G138">
        <v>0.16300000000000001</v>
      </c>
      <c r="H138">
        <v>0.16300000000000001</v>
      </c>
      <c r="I138">
        <v>0</v>
      </c>
      <c r="J138">
        <v>0</v>
      </c>
    </row>
    <row r="139" spans="1:10" x14ac:dyDescent="0.25">
      <c r="A139" t="s">
        <v>733</v>
      </c>
      <c r="B139">
        <v>51</v>
      </c>
      <c r="C139" t="s">
        <v>5420</v>
      </c>
      <c r="D139" t="s">
        <v>5424</v>
      </c>
      <c r="E139" t="s">
        <v>5425</v>
      </c>
      <c r="F139">
        <v>112</v>
      </c>
      <c r="G139">
        <v>0.60899999999999999</v>
      </c>
      <c r="H139">
        <v>0.60899999999999999</v>
      </c>
      <c r="I139">
        <v>0</v>
      </c>
      <c r="J139">
        <v>0</v>
      </c>
    </row>
    <row r="140" spans="1:10" x14ac:dyDescent="0.25">
      <c r="A140" t="s">
        <v>739</v>
      </c>
      <c r="B140">
        <v>70</v>
      </c>
      <c r="C140" t="s">
        <v>5423</v>
      </c>
      <c r="D140" t="s">
        <v>5429</v>
      </c>
      <c r="E140" t="s">
        <v>5428</v>
      </c>
      <c r="F140">
        <v>30</v>
      </c>
      <c r="G140">
        <v>0.16300000000000001</v>
      </c>
      <c r="H140">
        <v>0.16300000000000001</v>
      </c>
      <c r="I140">
        <v>0</v>
      </c>
      <c r="J140">
        <v>0</v>
      </c>
    </row>
    <row r="141" spans="1:10" x14ac:dyDescent="0.25">
      <c r="A141" t="s">
        <v>742</v>
      </c>
      <c r="B141">
        <v>39</v>
      </c>
      <c r="C141" t="s">
        <v>5423</v>
      </c>
      <c r="D141" t="s">
        <v>5432</v>
      </c>
      <c r="E141" t="s">
        <v>5428</v>
      </c>
      <c r="F141">
        <v>56</v>
      </c>
      <c r="G141">
        <v>0.30399999999999999</v>
      </c>
      <c r="H141">
        <v>0.30399999999999999</v>
      </c>
      <c r="I141">
        <v>0</v>
      </c>
      <c r="J141">
        <v>0</v>
      </c>
    </row>
    <row r="142" spans="1:10" x14ac:dyDescent="0.25">
      <c r="A142" t="s">
        <v>746</v>
      </c>
      <c r="B142">
        <v>65</v>
      </c>
      <c r="C142" t="s">
        <v>5423</v>
      </c>
      <c r="D142" t="s">
        <v>5424</v>
      </c>
      <c r="E142" t="s">
        <v>5431</v>
      </c>
      <c r="F142">
        <v>28</v>
      </c>
      <c r="G142">
        <v>0.152</v>
      </c>
      <c r="H142">
        <v>0.152</v>
      </c>
      <c r="I142">
        <v>0</v>
      </c>
      <c r="J142">
        <v>0</v>
      </c>
    </row>
    <row r="143" spans="1:10" x14ac:dyDescent="0.25">
      <c r="A143" t="s">
        <v>749</v>
      </c>
      <c r="B143">
        <v>57</v>
      </c>
      <c r="C143" t="s">
        <v>5420</v>
      </c>
      <c r="D143" t="s">
        <v>5432</v>
      </c>
      <c r="E143" t="s">
        <v>5427</v>
      </c>
      <c r="F143">
        <v>112</v>
      </c>
      <c r="G143">
        <v>0.60899999999999999</v>
      </c>
      <c r="H143">
        <v>0.60899999999999999</v>
      </c>
      <c r="I143">
        <v>0</v>
      </c>
      <c r="J143">
        <v>0</v>
      </c>
    </row>
    <row r="144" spans="1:10" x14ac:dyDescent="0.25">
      <c r="A144" t="s">
        <v>755</v>
      </c>
      <c r="B144">
        <v>70</v>
      </c>
      <c r="C144" t="s">
        <v>5423</v>
      </c>
      <c r="D144" t="s">
        <v>5424</v>
      </c>
      <c r="E144" t="s">
        <v>5431</v>
      </c>
      <c r="F144">
        <v>90</v>
      </c>
      <c r="G144">
        <v>0.48899999999999999</v>
      </c>
      <c r="H144">
        <v>0.48899999999999999</v>
      </c>
      <c r="I144">
        <v>0</v>
      </c>
      <c r="J144">
        <v>0</v>
      </c>
    </row>
    <row r="145" spans="1:10" x14ac:dyDescent="0.25">
      <c r="A145" t="s">
        <v>760</v>
      </c>
      <c r="B145">
        <v>53</v>
      </c>
      <c r="C145" t="s">
        <v>5420</v>
      </c>
      <c r="D145" t="s">
        <v>5424</v>
      </c>
      <c r="E145" t="s">
        <v>5425</v>
      </c>
      <c r="F145">
        <v>60</v>
      </c>
      <c r="G145">
        <v>0.32600000000000001</v>
      </c>
      <c r="H145">
        <v>0.32600000000000001</v>
      </c>
      <c r="I145">
        <v>0</v>
      </c>
      <c r="J145">
        <v>0</v>
      </c>
    </row>
    <row r="146" spans="1:10" x14ac:dyDescent="0.25">
      <c r="A146" t="s">
        <v>764</v>
      </c>
      <c r="B146">
        <v>59</v>
      </c>
      <c r="C146" t="s">
        <v>5420</v>
      </c>
      <c r="D146" t="s">
        <v>5429</v>
      </c>
      <c r="E146" t="s">
        <v>5422</v>
      </c>
      <c r="F146">
        <v>168</v>
      </c>
      <c r="G146">
        <v>0.91300000000000003</v>
      </c>
      <c r="H146">
        <v>0.91300000000000003</v>
      </c>
      <c r="I146">
        <v>0</v>
      </c>
      <c r="J146">
        <v>0</v>
      </c>
    </row>
    <row r="147" spans="1:10" x14ac:dyDescent="0.25">
      <c r="A147" t="s">
        <v>772</v>
      </c>
      <c r="B147">
        <v>52</v>
      </c>
      <c r="C147" t="s">
        <v>5423</v>
      </c>
      <c r="D147" t="s">
        <v>5426</v>
      </c>
      <c r="E147" t="s">
        <v>5427</v>
      </c>
      <c r="F147">
        <v>112</v>
      </c>
      <c r="G147">
        <v>0.60899999999999999</v>
      </c>
      <c r="H147">
        <v>0.60899999999999999</v>
      </c>
      <c r="I147">
        <v>0</v>
      </c>
      <c r="J147">
        <v>0</v>
      </c>
    </row>
    <row r="148" spans="1:10" x14ac:dyDescent="0.25">
      <c r="A148" t="s">
        <v>778</v>
      </c>
      <c r="B148">
        <v>66</v>
      </c>
      <c r="C148" t="s">
        <v>5420</v>
      </c>
      <c r="D148" t="s">
        <v>5429</v>
      </c>
      <c r="E148" t="s">
        <v>5425</v>
      </c>
      <c r="F148">
        <v>112</v>
      </c>
      <c r="G148">
        <v>0.60899999999999999</v>
      </c>
      <c r="H148">
        <v>0.60899999999999999</v>
      </c>
      <c r="I148">
        <v>0</v>
      </c>
      <c r="J148">
        <v>0</v>
      </c>
    </row>
    <row r="149" spans="1:10" x14ac:dyDescent="0.25">
      <c r="A149" t="s">
        <v>784</v>
      </c>
      <c r="B149">
        <v>80</v>
      </c>
      <c r="C149" t="s">
        <v>5423</v>
      </c>
      <c r="D149" t="s">
        <v>5432</v>
      </c>
      <c r="E149" t="s">
        <v>5442</v>
      </c>
      <c r="F149">
        <v>84</v>
      </c>
      <c r="G149">
        <v>0.45700000000000002</v>
      </c>
      <c r="H149">
        <v>0.45700000000000002</v>
      </c>
      <c r="I149">
        <v>0</v>
      </c>
      <c r="J149">
        <v>0</v>
      </c>
    </row>
    <row r="150" spans="1:10" x14ac:dyDescent="0.25">
      <c r="A150" t="s">
        <v>789</v>
      </c>
      <c r="B150">
        <v>68</v>
      </c>
      <c r="C150" t="s">
        <v>5423</v>
      </c>
      <c r="D150" t="s">
        <v>5426</v>
      </c>
      <c r="E150" t="s">
        <v>5428</v>
      </c>
      <c r="F150">
        <v>56</v>
      </c>
      <c r="G150">
        <v>0.30399999999999999</v>
      </c>
      <c r="H150">
        <v>0.30399999999999999</v>
      </c>
      <c r="I150">
        <v>0</v>
      </c>
      <c r="J150">
        <v>0</v>
      </c>
    </row>
    <row r="151" spans="1:10" x14ac:dyDescent="0.25">
      <c r="A151" t="s">
        <v>793</v>
      </c>
      <c r="B151">
        <v>61</v>
      </c>
      <c r="C151" t="s">
        <v>5420</v>
      </c>
      <c r="D151" t="s">
        <v>5424</v>
      </c>
      <c r="E151" t="s">
        <v>5425</v>
      </c>
      <c r="F151">
        <v>42</v>
      </c>
      <c r="G151">
        <v>0.22800000000000001</v>
      </c>
      <c r="H151">
        <v>0.22800000000000001</v>
      </c>
      <c r="I151">
        <v>0</v>
      </c>
      <c r="J151">
        <v>0</v>
      </c>
    </row>
    <row r="152" spans="1:10" x14ac:dyDescent="0.25">
      <c r="A152" t="s">
        <v>797</v>
      </c>
      <c r="B152">
        <v>63</v>
      </c>
      <c r="C152" t="s">
        <v>5423</v>
      </c>
      <c r="D152" t="s">
        <v>5426</v>
      </c>
      <c r="E152" t="s">
        <v>5431</v>
      </c>
      <c r="F152">
        <v>56</v>
      </c>
      <c r="G152">
        <v>0.30399999999999999</v>
      </c>
      <c r="H152">
        <v>0.30399999999999999</v>
      </c>
      <c r="I152">
        <v>0</v>
      </c>
      <c r="J152">
        <v>0</v>
      </c>
    </row>
    <row r="153" spans="1:10" x14ac:dyDescent="0.25">
      <c r="A153" t="s">
        <v>801</v>
      </c>
      <c r="B153">
        <v>69</v>
      </c>
      <c r="C153" t="s">
        <v>5423</v>
      </c>
      <c r="D153" t="s">
        <v>5426</v>
      </c>
      <c r="E153" t="s">
        <v>5430</v>
      </c>
      <c r="F153">
        <v>63</v>
      </c>
      <c r="G153">
        <v>0.34200000000000003</v>
      </c>
      <c r="H153">
        <v>0.34200000000000003</v>
      </c>
      <c r="I153">
        <v>0</v>
      </c>
      <c r="J153">
        <v>0</v>
      </c>
    </row>
    <row r="154" spans="1:10" x14ac:dyDescent="0.25">
      <c r="A154" t="s">
        <v>806</v>
      </c>
      <c r="B154">
        <v>77</v>
      </c>
      <c r="C154" t="s">
        <v>5423</v>
      </c>
      <c r="D154" t="s">
        <v>5432</v>
      </c>
      <c r="E154" t="s">
        <v>5428</v>
      </c>
      <c r="F154">
        <v>140</v>
      </c>
      <c r="G154">
        <v>0.76100000000000001</v>
      </c>
      <c r="H154">
        <v>0.76100000000000001</v>
      </c>
      <c r="I154">
        <v>0</v>
      </c>
      <c r="J154">
        <v>0</v>
      </c>
    </row>
    <row r="155" spans="1:10" x14ac:dyDescent="0.25">
      <c r="A155" t="s">
        <v>813</v>
      </c>
      <c r="B155">
        <v>56</v>
      </c>
      <c r="C155" t="s">
        <v>5434</v>
      </c>
      <c r="D155" t="s">
        <v>5424</v>
      </c>
      <c r="E155" t="s">
        <v>5428</v>
      </c>
      <c r="F155">
        <v>28</v>
      </c>
      <c r="G155">
        <v>0.152</v>
      </c>
      <c r="H155">
        <v>0.152</v>
      </c>
      <c r="I155">
        <v>0</v>
      </c>
      <c r="J155">
        <v>0</v>
      </c>
    </row>
    <row r="156" spans="1:10" x14ac:dyDescent="0.25">
      <c r="A156" t="s">
        <v>816</v>
      </c>
      <c r="B156">
        <v>62</v>
      </c>
      <c r="C156" t="s">
        <v>5420</v>
      </c>
      <c r="D156" t="s">
        <v>5429</v>
      </c>
      <c r="E156" t="s">
        <v>5427</v>
      </c>
      <c r="F156">
        <v>84</v>
      </c>
      <c r="G156">
        <v>0.45700000000000002</v>
      </c>
      <c r="H156">
        <v>0.45700000000000002</v>
      </c>
      <c r="I156">
        <v>0</v>
      </c>
      <c r="J156">
        <v>0</v>
      </c>
    </row>
    <row r="157" spans="1:10" x14ac:dyDescent="0.25">
      <c r="A157" t="s">
        <v>821</v>
      </c>
      <c r="B157">
        <v>72</v>
      </c>
      <c r="C157" t="s">
        <v>5423</v>
      </c>
      <c r="D157" t="s">
        <v>5429</v>
      </c>
      <c r="E157" t="s">
        <v>5425</v>
      </c>
      <c r="F157">
        <v>28</v>
      </c>
      <c r="G157">
        <v>0.152</v>
      </c>
      <c r="H157">
        <v>0.152</v>
      </c>
      <c r="I157">
        <v>0</v>
      </c>
      <c r="J157">
        <v>0</v>
      </c>
    </row>
    <row r="158" spans="1:10" x14ac:dyDescent="0.25">
      <c r="A158" t="s">
        <v>824</v>
      </c>
      <c r="B158">
        <v>51</v>
      </c>
      <c r="C158" t="s">
        <v>5423</v>
      </c>
      <c r="D158" t="s">
        <v>5432</v>
      </c>
      <c r="E158" t="s">
        <v>5431</v>
      </c>
      <c r="F158">
        <v>28</v>
      </c>
      <c r="G158">
        <v>0.152</v>
      </c>
      <c r="H158">
        <v>0.152</v>
      </c>
      <c r="I158">
        <v>0</v>
      </c>
      <c r="J158">
        <v>0</v>
      </c>
    </row>
    <row r="159" spans="1:10" x14ac:dyDescent="0.25">
      <c r="A159" t="s">
        <v>827</v>
      </c>
      <c r="B159">
        <v>45</v>
      </c>
      <c r="C159" t="s">
        <v>5423</v>
      </c>
      <c r="D159" t="s">
        <v>5432</v>
      </c>
      <c r="E159" t="s">
        <v>5422</v>
      </c>
      <c r="F159">
        <v>140</v>
      </c>
      <c r="G159">
        <v>0.76100000000000001</v>
      </c>
      <c r="H159">
        <v>0.76100000000000001</v>
      </c>
      <c r="I159">
        <v>0</v>
      </c>
      <c r="J159">
        <v>0</v>
      </c>
    </row>
    <row r="160" spans="1:10" x14ac:dyDescent="0.25">
      <c r="A160" t="s">
        <v>834</v>
      </c>
      <c r="B160">
        <v>59</v>
      </c>
      <c r="C160" t="s">
        <v>5420</v>
      </c>
      <c r="D160" t="s">
        <v>5432</v>
      </c>
      <c r="E160" t="s">
        <v>5430</v>
      </c>
      <c r="F160">
        <v>168</v>
      </c>
      <c r="G160">
        <v>0.91300000000000003</v>
      </c>
      <c r="H160">
        <v>0.91300000000000003</v>
      </c>
      <c r="I160">
        <v>0</v>
      </c>
      <c r="J160">
        <v>0</v>
      </c>
    </row>
    <row r="161" spans="1:10" x14ac:dyDescent="0.25">
      <c r="A161" t="s">
        <v>842</v>
      </c>
      <c r="B161">
        <v>46</v>
      </c>
      <c r="C161" t="s">
        <v>5423</v>
      </c>
      <c r="D161" t="s">
        <v>5432</v>
      </c>
      <c r="E161" t="s">
        <v>5427</v>
      </c>
      <c r="F161">
        <v>168</v>
      </c>
      <c r="G161">
        <v>0.91300000000000003</v>
      </c>
      <c r="H161">
        <v>0.91300000000000003</v>
      </c>
      <c r="I161">
        <v>0</v>
      </c>
      <c r="J161">
        <v>0</v>
      </c>
    </row>
    <row r="162" spans="1:10" x14ac:dyDescent="0.25">
      <c r="A162" t="s">
        <v>850</v>
      </c>
      <c r="B162">
        <v>80</v>
      </c>
      <c r="C162" t="s">
        <v>5423</v>
      </c>
      <c r="D162" t="s">
        <v>5429</v>
      </c>
      <c r="E162" t="s">
        <v>5431</v>
      </c>
      <c r="F162">
        <v>168</v>
      </c>
      <c r="G162">
        <v>0.91300000000000003</v>
      </c>
      <c r="H162">
        <v>0.91300000000000003</v>
      </c>
      <c r="I162">
        <v>0</v>
      </c>
      <c r="J162">
        <v>0</v>
      </c>
    </row>
    <row r="163" spans="1:10" x14ac:dyDescent="0.25">
      <c r="A163" t="s">
        <v>858</v>
      </c>
      <c r="B163">
        <v>73</v>
      </c>
      <c r="C163" t="s">
        <v>5420</v>
      </c>
      <c r="D163" t="s">
        <v>5432</v>
      </c>
      <c r="E163" t="s">
        <v>5443</v>
      </c>
      <c r="F163">
        <v>56</v>
      </c>
      <c r="G163">
        <v>0.30399999999999999</v>
      </c>
      <c r="H163">
        <v>0.30399999999999999</v>
      </c>
      <c r="I163">
        <v>0</v>
      </c>
      <c r="J163">
        <v>0</v>
      </c>
    </row>
    <row r="164" spans="1:10" x14ac:dyDescent="0.25">
      <c r="A164" t="s">
        <v>862</v>
      </c>
      <c r="B164">
        <v>87</v>
      </c>
      <c r="C164" t="s">
        <v>5423</v>
      </c>
      <c r="D164" t="s">
        <v>5429</v>
      </c>
      <c r="E164" t="s">
        <v>5428</v>
      </c>
      <c r="F164">
        <v>30</v>
      </c>
      <c r="G164">
        <v>0.16300000000000001</v>
      </c>
      <c r="H164">
        <v>0.16300000000000001</v>
      </c>
      <c r="I164">
        <v>0</v>
      </c>
      <c r="J164">
        <v>0</v>
      </c>
    </row>
    <row r="165" spans="1:10" x14ac:dyDescent="0.25">
      <c r="A165" t="s">
        <v>865</v>
      </c>
      <c r="B165">
        <v>62</v>
      </c>
      <c r="C165" t="s">
        <v>5420</v>
      </c>
      <c r="D165" t="s">
        <v>5429</v>
      </c>
      <c r="E165" t="s">
        <v>5428</v>
      </c>
      <c r="F165">
        <v>112</v>
      </c>
      <c r="G165">
        <v>0.60899999999999999</v>
      </c>
      <c r="H165">
        <v>0.60899999999999999</v>
      </c>
      <c r="I165">
        <v>0</v>
      </c>
      <c r="J165">
        <v>0</v>
      </c>
    </row>
    <row r="166" spans="1:10" x14ac:dyDescent="0.25">
      <c r="A166" t="s">
        <v>871</v>
      </c>
      <c r="B166">
        <v>61</v>
      </c>
      <c r="C166" t="s">
        <v>5420</v>
      </c>
      <c r="D166" t="s">
        <v>5424</v>
      </c>
      <c r="E166" t="s">
        <v>5422</v>
      </c>
      <c r="F166">
        <v>112</v>
      </c>
      <c r="G166">
        <v>0.60899999999999999</v>
      </c>
      <c r="H166">
        <v>0.60899999999999999</v>
      </c>
      <c r="I166">
        <v>0</v>
      </c>
      <c r="J166">
        <v>0</v>
      </c>
    </row>
    <row r="167" spans="1:10" x14ac:dyDescent="0.25">
      <c r="A167" t="s">
        <v>875</v>
      </c>
      <c r="B167">
        <v>56</v>
      </c>
      <c r="C167" t="s">
        <v>5423</v>
      </c>
      <c r="D167" t="s">
        <v>5432</v>
      </c>
      <c r="E167" t="s">
        <v>5430</v>
      </c>
      <c r="F167">
        <v>180</v>
      </c>
      <c r="G167">
        <v>0.97799999999999998</v>
      </c>
      <c r="H167">
        <v>0.97799999999999998</v>
      </c>
      <c r="I167">
        <v>0</v>
      </c>
      <c r="J167">
        <v>0</v>
      </c>
    </row>
    <row r="168" spans="1:10" x14ac:dyDescent="0.25">
      <c r="A168" t="s">
        <v>883</v>
      </c>
      <c r="B168">
        <v>74</v>
      </c>
      <c r="C168" t="s">
        <v>5420</v>
      </c>
      <c r="D168" t="s">
        <v>5424</v>
      </c>
      <c r="E168" t="s">
        <v>5422</v>
      </c>
      <c r="F168">
        <v>56</v>
      </c>
      <c r="G168">
        <v>0.30399999999999999</v>
      </c>
      <c r="H168">
        <v>0.30399999999999999</v>
      </c>
      <c r="I168">
        <v>0</v>
      </c>
      <c r="J168">
        <v>0</v>
      </c>
    </row>
    <row r="169" spans="1:10" x14ac:dyDescent="0.25">
      <c r="A169" t="s">
        <v>887</v>
      </c>
      <c r="B169">
        <v>41</v>
      </c>
      <c r="C169" t="s">
        <v>5420</v>
      </c>
      <c r="D169" t="s">
        <v>5432</v>
      </c>
      <c r="E169" t="s">
        <v>5437</v>
      </c>
      <c r="F169">
        <v>120</v>
      </c>
      <c r="G169">
        <v>0.65200000000000002</v>
      </c>
      <c r="H169">
        <v>0.65200000000000002</v>
      </c>
      <c r="I169">
        <v>0</v>
      </c>
      <c r="J169">
        <v>0</v>
      </c>
    </row>
    <row r="170" spans="1:10" x14ac:dyDescent="0.25">
      <c r="A170" t="s">
        <v>893</v>
      </c>
      <c r="B170">
        <v>50</v>
      </c>
      <c r="C170" t="s">
        <v>5420</v>
      </c>
      <c r="D170" t="s">
        <v>5426</v>
      </c>
      <c r="E170" t="s">
        <v>5428</v>
      </c>
      <c r="F170">
        <v>84</v>
      </c>
      <c r="G170">
        <v>0.45700000000000002</v>
      </c>
      <c r="H170">
        <v>0.45700000000000002</v>
      </c>
      <c r="I170">
        <v>0</v>
      </c>
      <c r="J170">
        <v>0</v>
      </c>
    </row>
    <row r="171" spans="1:10" x14ac:dyDescent="0.25">
      <c r="A171" t="s">
        <v>898</v>
      </c>
      <c r="B171">
        <v>79</v>
      </c>
      <c r="C171" t="s">
        <v>5420</v>
      </c>
      <c r="D171" t="s">
        <v>5429</v>
      </c>
      <c r="E171" t="s">
        <v>5430</v>
      </c>
      <c r="F171">
        <v>30</v>
      </c>
      <c r="G171">
        <v>0.16300000000000001</v>
      </c>
      <c r="H171">
        <v>0.16300000000000001</v>
      </c>
      <c r="I171">
        <v>0</v>
      </c>
      <c r="J171">
        <v>0</v>
      </c>
    </row>
    <row r="172" spans="1:10" x14ac:dyDescent="0.25">
      <c r="A172" t="s">
        <v>901</v>
      </c>
      <c r="B172">
        <v>69</v>
      </c>
      <c r="C172" t="s">
        <v>5420</v>
      </c>
      <c r="D172" t="s">
        <v>5424</v>
      </c>
      <c r="E172" t="s">
        <v>5428</v>
      </c>
      <c r="F172">
        <v>28</v>
      </c>
      <c r="G172">
        <v>0.152</v>
      </c>
      <c r="H172">
        <v>0.152</v>
      </c>
      <c r="I172">
        <v>0</v>
      </c>
      <c r="J172">
        <v>0</v>
      </c>
    </row>
    <row r="173" spans="1:10" x14ac:dyDescent="0.25">
      <c r="A173" t="s">
        <v>904</v>
      </c>
      <c r="B173">
        <v>50</v>
      </c>
      <c r="C173" t="s">
        <v>5423</v>
      </c>
      <c r="D173" t="s">
        <v>5429</v>
      </c>
      <c r="E173" t="s">
        <v>5430</v>
      </c>
      <c r="F173">
        <v>112</v>
      </c>
      <c r="G173">
        <v>0.60899999999999999</v>
      </c>
      <c r="H173">
        <v>0.60899999999999999</v>
      </c>
      <c r="I173">
        <v>0</v>
      </c>
      <c r="J173">
        <v>0</v>
      </c>
    </row>
    <row r="174" spans="1:10" x14ac:dyDescent="0.25">
      <c r="A174" t="s">
        <v>910</v>
      </c>
      <c r="B174">
        <v>59</v>
      </c>
      <c r="C174" t="s">
        <v>5423</v>
      </c>
      <c r="D174" t="s">
        <v>5424</v>
      </c>
      <c r="E174" t="s">
        <v>5422</v>
      </c>
      <c r="F174">
        <v>28</v>
      </c>
      <c r="G174">
        <v>0.152</v>
      </c>
      <c r="H174">
        <v>0.152</v>
      </c>
      <c r="I174">
        <v>0</v>
      </c>
      <c r="J174">
        <v>0</v>
      </c>
    </row>
    <row r="175" spans="1:10" x14ac:dyDescent="0.25">
      <c r="A175" t="s">
        <v>913</v>
      </c>
      <c r="B175">
        <v>58</v>
      </c>
      <c r="C175" t="s">
        <v>5423</v>
      </c>
      <c r="D175" t="s">
        <v>5429</v>
      </c>
      <c r="E175" t="s">
        <v>5428</v>
      </c>
      <c r="F175">
        <v>140</v>
      </c>
      <c r="G175">
        <v>0.76100000000000001</v>
      </c>
      <c r="H175">
        <v>0.76100000000000001</v>
      </c>
      <c r="I175">
        <v>0</v>
      </c>
      <c r="J175">
        <v>0</v>
      </c>
    </row>
    <row r="176" spans="1:10" x14ac:dyDescent="0.25">
      <c r="A176" t="s">
        <v>925</v>
      </c>
      <c r="B176">
        <v>67</v>
      </c>
      <c r="C176" t="s">
        <v>5420</v>
      </c>
      <c r="D176" t="s">
        <v>5429</v>
      </c>
      <c r="E176" t="s">
        <v>5425</v>
      </c>
      <c r="F176">
        <v>168</v>
      </c>
      <c r="G176">
        <v>0.91300000000000003</v>
      </c>
      <c r="H176">
        <v>0.91300000000000003</v>
      </c>
      <c r="I176">
        <v>0</v>
      </c>
      <c r="J176">
        <v>0</v>
      </c>
    </row>
    <row r="177" spans="1:10" x14ac:dyDescent="0.25">
      <c r="A177" t="s">
        <v>933</v>
      </c>
      <c r="B177">
        <v>58</v>
      </c>
      <c r="C177" t="s">
        <v>5420</v>
      </c>
      <c r="D177" t="s">
        <v>5426</v>
      </c>
      <c r="E177" t="s">
        <v>5431</v>
      </c>
      <c r="F177">
        <v>56</v>
      </c>
      <c r="G177">
        <v>0.30399999999999999</v>
      </c>
      <c r="H177">
        <v>0.30399999999999999</v>
      </c>
      <c r="I177">
        <v>0</v>
      </c>
      <c r="J177">
        <v>0</v>
      </c>
    </row>
    <row r="178" spans="1:10" x14ac:dyDescent="0.25">
      <c r="A178" t="s">
        <v>939</v>
      </c>
      <c r="B178">
        <v>71</v>
      </c>
      <c r="C178" t="s">
        <v>5420</v>
      </c>
      <c r="D178" t="s">
        <v>5432</v>
      </c>
      <c r="E178" t="s">
        <v>5431</v>
      </c>
      <c r="F178">
        <v>98</v>
      </c>
      <c r="G178">
        <v>0.53300000000000003</v>
      </c>
      <c r="H178">
        <v>0.53300000000000003</v>
      </c>
      <c r="I178">
        <v>0</v>
      </c>
      <c r="J178">
        <v>0</v>
      </c>
    </row>
    <row r="179" spans="1:10" x14ac:dyDescent="0.25">
      <c r="A179" t="s">
        <v>948</v>
      </c>
      <c r="B179">
        <v>60</v>
      </c>
      <c r="C179" t="s">
        <v>5423</v>
      </c>
      <c r="D179" t="s">
        <v>5432</v>
      </c>
      <c r="E179" t="s">
        <v>5430</v>
      </c>
      <c r="F179">
        <v>56</v>
      </c>
      <c r="G179">
        <v>0.30399999999999999</v>
      </c>
      <c r="H179">
        <v>0.30399999999999999</v>
      </c>
      <c r="I179">
        <v>0</v>
      </c>
      <c r="J179">
        <v>0</v>
      </c>
    </row>
    <row r="180" spans="1:10" x14ac:dyDescent="0.25">
      <c r="A180" t="s">
        <v>952</v>
      </c>
      <c r="B180">
        <v>49</v>
      </c>
      <c r="C180" t="s">
        <v>5420</v>
      </c>
      <c r="D180" t="s">
        <v>5432</v>
      </c>
      <c r="E180" t="s">
        <v>5428</v>
      </c>
      <c r="F180">
        <v>84</v>
      </c>
      <c r="G180">
        <v>0.45700000000000002</v>
      </c>
      <c r="H180">
        <v>0.45700000000000002</v>
      </c>
      <c r="I180">
        <v>0</v>
      </c>
      <c r="J180">
        <v>0</v>
      </c>
    </row>
    <row r="181" spans="1:10" x14ac:dyDescent="0.25">
      <c r="A181" t="s">
        <v>957</v>
      </c>
      <c r="B181">
        <v>79</v>
      </c>
      <c r="C181" t="s">
        <v>5423</v>
      </c>
      <c r="D181" t="s">
        <v>5429</v>
      </c>
      <c r="E181" t="s">
        <v>5444</v>
      </c>
      <c r="F181">
        <v>63</v>
      </c>
      <c r="G181">
        <v>0.34200000000000003</v>
      </c>
      <c r="H181">
        <v>0.34200000000000003</v>
      </c>
      <c r="I181">
        <v>0</v>
      </c>
      <c r="J181">
        <v>0</v>
      </c>
    </row>
    <row r="182" spans="1:10" x14ac:dyDescent="0.25">
      <c r="A182" t="s">
        <v>962</v>
      </c>
      <c r="B182">
        <v>61</v>
      </c>
      <c r="C182" t="s">
        <v>5423</v>
      </c>
      <c r="D182" t="s">
        <v>5432</v>
      </c>
      <c r="E182" t="s">
        <v>5431</v>
      </c>
      <c r="F182">
        <v>28</v>
      </c>
      <c r="G182">
        <v>0.152</v>
      </c>
      <c r="H182">
        <v>0.152</v>
      </c>
      <c r="I182">
        <v>0</v>
      </c>
      <c r="J182">
        <v>0</v>
      </c>
    </row>
    <row r="183" spans="1:10" x14ac:dyDescent="0.25">
      <c r="A183" t="s">
        <v>965</v>
      </c>
      <c r="B183">
        <v>73</v>
      </c>
      <c r="C183" t="s">
        <v>5420</v>
      </c>
      <c r="D183" t="s">
        <v>5426</v>
      </c>
      <c r="E183" t="s">
        <v>5427</v>
      </c>
      <c r="F183">
        <v>168</v>
      </c>
      <c r="G183">
        <v>0.91300000000000003</v>
      </c>
      <c r="H183">
        <v>0.91300000000000003</v>
      </c>
      <c r="I183">
        <v>0</v>
      </c>
      <c r="J183">
        <v>0</v>
      </c>
    </row>
    <row r="184" spans="1:10" x14ac:dyDescent="0.25">
      <c r="A184" t="s">
        <v>975</v>
      </c>
      <c r="B184">
        <v>48</v>
      </c>
      <c r="C184" t="s">
        <v>5423</v>
      </c>
      <c r="D184" t="s">
        <v>5421</v>
      </c>
      <c r="E184" t="s">
        <v>5431</v>
      </c>
      <c r="F184">
        <v>84</v>
      </c>
      <c r="G184">
        <v>0.45700000000000002</v>
      </c>
      <c r="H184">
        <v>0.45700000000000002</v>
      </c>
      <c r="I184">
        <v>0</v>
      </c>
      <c r="J184">
        <v>0</v>
      </c>
    </row>
    <row r="185" spans="1:10" x14ac:dyDescent="0.25">
      <c r="A185" t="s">
        <v>980</v>
      </c>
      <c r="B185">
        <v>69</v>
      </c>
      <c r="C185" t="s">
        <v>5420</v>
      </c>
      <c r="D185" t="s">
        <v>5432</v>
      </c>
      <c r="E185" t="s">
        <v>5431</v>
      </c>
      <c r="F185">
        <v>70</v>
      </c>
      <c r="G185">
        <v>0.38</v>
      </c>
      <c r="H185">
        <v>0.38</v>
      </c>
      <c r="I185">
        <v>0</v>
      </c>
      <c r="J185">
        <v>0</v>
      </c>
    </row>
    <row r="186" spans="1:10" x14ac:dyDescent="0.25">
      <c r="A186" t="s">
        <v>987</v>
      </c>
      <c r="B186">
        <v>63</v>
      </c>
      <c r="C186" t="s">
        <v>5423</v>
      </c>
      <c r="D186" t="s">
        <v>5426</v>
      </c>
      <c r="E186" t="s">
        <v>5431</v>
      </c>
      <c r="F186">
        <v>90</v>
      </c>
      <c r="G186">
        <v>0.48899999999999999</v>
      </c>
      <c r="H186">
        <v>0.48899999999999999</v>
      </c>
      <c r="I186">
        <v>0</v>
      </c>
      <c r="J186">
        <v>0</v>
      </c>
    </row>
    <row r="187" spans="1:10" x14ac:dyDescent="0.25">
      <c r="A187" t="s">
        <v>992</v>
      </c>
      <c r="B187">
        <v>52</v>
      </c>
      <c r="C187" t="s">
        <v>5420</v>
      </c>
      <c r="D187" t="s">
        <v>5429</v>
      </c>
      <c r="E187" t="s">
        <v>5430</v>
      </c>
      <c r="F187">
        <v>90</v>
      </c>
      <c r="G187">
        <v>0.48899999999999999</v>
      </c>
      <c r="H187">
        <v>0.48899999999999999</v>
      </c>
      <c r="I187">
        <v>0</v>
      </c>
      <c r="J187">
        <v>0</v>
      </c>
    </row>
    <row r="188" spans="1:10" x14ac:dyDescent="0.25">
      <c r="A188" t="s">
        <v>997</v>
      </c>
      <c r="B188">
        <v>64</v>
      </c>
      <c r="C188" t="s">
        <v>5423</v>
      </c>
      <c r="D188" t="s">
        <v>5429</v>
      </c>
      <c r="E188" t="s">
        <v>5427</v>
      </c>
      <c r="F188">
        <v>56</v>
      </c>
      <c r="G188">
        <v>0.30399999999999999</v>
      </c>
      <c r="H188">
        <v>0.30399999999999999</v>
      </c>
      <c r="I188">
        <v>0</v>
      </c>
      <c r="J188">
        <v>0</v>
      </c>
    </row>
    <row r="189" spans="1:10" x14ac:dyDescent="0.25">
      <c r="A189" t="s">
        <v>1000</v>
      </c>
      <c r="B189">
        <v>71</v>
      </c>
      <c r="C189" t="s">
        <v>5420</v>
      </c>
      <c r="D189" t="s">
        <v>5432</v>
      </c>
      <c r="E189" t="s">
        <v>5428</v>
      </c>
      <c r="F189">
        <v>150</v>
      </c>
      <c r="G189">
        <v>0.81499999999999995</v>
      </c>
      <c r="H189">
        <v>0.81499999999999995</v>
      </c>
      <c r="I189">
        <v>0</v>
      </c>
      <c r="J189">
        <v>0</v>
      </c>
    </row>
    <row r="190" spans="1:10" x14ac:dyDescent="0.25">
      <c r="A190" t="s">
        <v>1007</v>
      </c>
      <c r="B190">
        <v>55</v>
      </c>
      <c r="C190" t="s">
        <v>5423</v>
      </c>
      <c r="D190" t="s">
        <v>5429</v>
      </c>
      <c r="E190" t="s">
        <v>5428</v>
      </c>
      <c r="F190">
        <v>30</v>
      </c>
      <c r="G190">
        <v>0.16300000000000001</v>
      </c>
      <c r="H190">
        <v>0.16300000000000001</v>
      </c>
      <c r="I190">
        <v>0</v>
      </c>
      <c r="J190">
        <v>0</v>
      </c>
    </row>
    <row r="191" spans="1:10" x14ac:dyDescent="0.25">
      <c r="A191" t="s">
        <v>1010</v>
      </c>
      <c r="B191">
        <v>62</v>
      </c>
      <c r="C191" t="s">
        <v>5420</v>
      </c>
      <c r="D191" t="s">
        <v>5432</v>
      </c>
      <c r="E191" t="s">
        <v>5427</v>
      </c>
      <c r="F191">
        <v>90</v>
      </c>
      <c r="G191">
        <v>0.48899999999999999</v>
      </c>
      <c r="H191">
        <v>0.48899999999999999</v>
      </c>
      <c r="I191">
        <v>0</v>
      </c>
      <c r="J191">
        <v>0</v>
      </c>
    </row>
    <row r="192" spans="1:10" x14ac:dyDescent="0.25">
      <c r="A192" t="s">
        <v>1015</v>
      </c>
      <c r="B192">
        <v>52</v>
      </c>
      <c r="C192" t="s">
        <v>5420</v>
      </c>
      <c r="D192" t="s">
        <v>5426</v>
      </c>
      <c r="E192" t="s">
        <v>5425</v>
      </c>
      <c r="F192">
        <v>28</v>
      </c>
      <c r="G192">
        <v>0.152</v>
      </c>
      <c r="H192">
        <v>0.152</v>
      </c>
      <c r="I192">
        <v>0</v>
      </c>
      <c r="J192">
        <v>0</v>
      </c>
    </row>
    <row r="193" spans="1:10" x14ac:dyDescent="0.25">
      <c r="A193" t="s">
        <v>1018</v>
      </c>
      <c r="B193">
        <v>48</v>
      </c>
      <c r="C193" t="s">
        <v>5423</v>
      </c>
      <c r="D193" t="s">
        <v>5421</v>
      </c>
      <c r="E193" t="s">
        <v>5430</v>
      </c>
      <c r="F193">
        <v>120</v>
      </c>
      <c r="G193">
        <v>0.65200000000000002</v>
      </c>
      <c r="H193">
        <v>0.65200000000000002</v>
      </c>
      <c r="I193">
        <v>0</v>
      </c>
      <c r="J193">
        <v>0</v>
      </c>
    </row>
    <row r="194" spans="1:10" x14ac:dyDescent="0.25">
      <c r="A194" t="s">
        <v>1024</v>
      </c>
      <c r="B194">
        <v>53</v>
      </c>
      <c r="C194" t="s">
        <v>5420</v>
      </c>
      <c r="D194" t="s">
        <v>5426</v>
      </c>
      <c r="E194" t="s">
        <v>5425</v>
      </c>
      <c r="F194">
        <v>42</v>
      </c>
      <c r="G194">
        <v>0.22800000000000001</v>
      </c>
      <c r="H194">
        <v>0.22800000000000001</v>
      </c>
      <c r="I194">
        <v>0</v>
      </c>
      <c r="J194">
        <v>0</v>
      </c>
    </row>
    <row r="195" spans="1:10" x14ac:dyDescent="0.25">
      <c r="A195" t="s">
        <v>1028</v>
      </c>
      <c r="B195">
        <v>69</v>
      </c>
      <c r="C195" t="s">
        <v>5423</v>
      </c>
      <c r="D195" t="s">
        <v>5426</v>
      </c>
      <c r="E195" t="s">
        <v>5431</v>
      </c>
      <c r="F195">
        <v>56</v>
      </c>
      <c r="G195">
        <v>0.30399999999999999</v>
      </c>
      <c r="H195">
        <v>0.30399999999999999</v>
      </c>
      <c r="I195">
        <v>0</v>
      </c>
      <c r="J195">
        <v>0</v>
      </c>
    </row>
    <row r="196" spans="1:10" x14ac:dyDescent="0.25">
      <c r="A196" t="s">
        <v>1032</v>
      </c>
      <c r="B196">
        <v>73</v>
      </c>
      <c r="C196" t="s">
        <v>5420</v>
      </c>
      <c r="D196" t="s">
        <v>5426</v>
      </c>
      <c r="E196" t="s">
        <v>5425</v>
      </c>
      <c r="F196">
        <v>28</v>
      </c>
      <c r="G196">
        <v>0.152</v>
      </c>
      <c r="H196">
        <v>0.152</v>
      </c>
      <c r="I196">
        <v>0</v>
      </c>
      <c r="J196">
        <v>0</v>
      </c>
    </row>
    <row r="197" spans="1:10" x14ac:dyDescent="0.25">
      <c r="A197" t="s">
        <v>1035</v>
      </c>
      <c r="B197">
        <v>54</v>
      </c>
      <c r="C197" t="s">
        <v>5423</v>
      </c>
      <c r="D197" t="s">
        <v>5432</v>
      </c>
      <c r="E197" t="s">
        <v>5422</v>
      </c>
      <c r="F197">
        <v>56</v>
      </c>
      <c r="G197">
        <v>0.30399999999999999</v>
      </c>
      <c r="H197">
        <v>0.30399999999999999</v>
      </c>
      <c r="I197">
        <v>0</v>
      </c>
      <c r="J197">
        <v>0</v>
      </c>
    </row>
    <row r="198" spans="1:10" x14ac:dyDescent="0.25">
      <c r="A198" t="s">
        <v>1039</v>
      </c>
      <c r="B198">
        <v>69</v>
      </c>
      <c r="C198" t="s">
        <v>5423</v>
      </c>
      <c r="D198" t="s">
        <v>5432</v>
      </c>
      <c r="E198" t="s">
        <v>5430</v>
      </c>
      <c r="F198">
        <v>168</v>
      </c>
      <c r="G198">
        <v>0.91300000000000003</v>
      </c>
      <c r="H198">
        <v>0.91300000000000003</v>
      </c>
      <c r="I198">
        <v>0</v>
      </c>
      <c r="J198">
        <v>0</v>
      </c>
    </row>
    <row r="199" spans="1:10" x14ac:dyDescent="0.25">
      <c r="A199" t="s">
        <v>1044</v>
      </c>
      <c r="B199">
        <v>56</v>
      </c>
      <c r="C199" t="s">
        <v>5420</v>
      </c>
      <c r="D199" t="s">
        <v>5429</v>
      </c>
      <c r="E199" t="s">
        <v>5428</v>
      </c>
      <c r="F199">
        <v>21</v>
      </c>
      <c r="G199">
        <v>0.114</v>
      </c>
      <c r="H199">
        <v>0.114</v>
      </c>
      <c r="I199">
        <v>0</v>
      </c>
      <c r="J199">
        <v>0</v>
      </c>
    </row>
    <row r="200" spans="1:10" x14ac:dyDescent="0.25">
      <c r="A200" t="s">
        <v>1047</v>
      </c>
      <c r="B200">
        <v>61</v>
      </c>
      <c r="C200" t="s">
        <v>5423</v>
      </c>
      <c r="D200" t="s">
        <v>5424</v>
      </c>
      <c r="E200" t="s">
        <v>5422</v>
      </c>
      <c r="F200">
        <v>140</v>
      </c>
      <c r="G200">
        <v>0.76100000000000001</v>
      </c>
      <c r="H200">
        <v>0.76100000000000001</v>
      </c>
      <c r="I200">
        <v>0</v>
      </c>
      <c r="J200">
        <v>0</v>
      </c>
    </row>
    <row r="201" spans="1:10" x14ac:dyDescent="0.25">
      <c r="A201" t="s">
        <v>1054</v>
      </c>
      <c r="B201">
        <v>68</v>
      </c>
      <c r="C201" t="s">
        <v>5423</v>
      </c>
      <c r="D201" t="s">
        <v>5426</v>
      </c>
      <c r="E201" t="s">
        <v>5428</v>
      </c>
      <c r="F201">
        <v>112</v>
      </c>
      <c r="G201">
        <v>0.60899999999999999</v>
      </c>
      <c r="H201">
        <v>0.60899999999999999</v>
      </c>
      <c r="I201">
        <v>0</v>
      </c>
      <c r="J201">
        <v>0</v>
      </c>
    </row>
    <row r="202" spans="1:10" x14ac:dyDescent="0.25">
      <c r="A202" t="s">
        <v>1060</v>
      </c>
      <c r="B202">
        <v>70</v>
      </c>
      <c r="C202" t="s">
        <v>5420</v>
      </c>
      <c r="D202" t="s">
        <v>5429</v>
      </c>
      <c r="E202" t="s">
        <v>5425</v>
      </c>
      <c r="F202">
        <v>140</v>
      </c>
      <c r="G202">
        <v>0.76100000000000001</v>
      </c>
      <c r="H202">
        <v>0.76100000000000001</v>
      </c>
      <c r="I202">
        <v>0</v>
      </c>
      <c r="J202">
        <v>0</v>
      </c>
    </row>
    <row r="203" spans="1:10" x14ac:dyDescent="0.25">
      <c r="A203" t="s">
        <v>1067</v>
      </c>
      <c r="B203">
        <v>66</v>
      </c>
      <c r="C203" t="s">
        <v>5423</v>
      </c>
      <c r="D203" t="s">
        <v>5429</v>
      </c>
      <c r="E203" t="s">
        <v>5445</v>
      </c>
      <c r="F203">
        <v>56</v>
      </c>
      <c r="G203">
        <v>0.30399999999999999</v>
      </c>
      <c r="H203">
        <v>0.30399999999999999</v>
      </c>
      <c r="I203">
        <v>0</v>
      </c>
      <c r="J203">
        <v>0</v>
      </c>
    </row>
    <row r="204" spans="1:10" x14ac:dyDescent="0.25">
      <c r="A204" t="s">
        <v>1071</v>
      </c>
      <c r="B204">
        <v>66</v>
      </c>
      <c r="C204" t="s">
        <v>5423</v>
      </c>
      <c r="D204" t="s">
        <v>5421</v>
      </c>
      <c r="E204" t="s">
        <v>5428</v>
      </c>
      <c r="F204">
        <v>168</v>
      </c>
      <c r="G204">
        <v>0.91300000000000003</v>
      </c>
      <c r="H204">
        <v>0.91300000000000003</v>
      </c>
      <c r="I204">
        <v>0</v>
      </c>
      <c r="J204">
        <v>0</v>
      </c>
    </row>
    <row r="205" spans="1:10" x14ac:dyDescent="0.25">
      <c r="A205" t="s">
        <v>1081</v>
      </c>
      <c r="B205">
        <v>64</v>
      </c>
      <c r="C205" t="s">
        <v>5423</v>
      </c>
      <c r="D205" t="s">
        <v>5432</v>
      </c>
      <c r="E205" t="s">
        <v>5422</v>
      </c>
      <c r="F205">
        <v>42</v>
      </c>
      <c r="G205">
        <v>0.22800000000000001</v>
      </c>
      <c r="H205">
        <v>0.22800000000000001</v>
      </c>
      <c r="I205">
        <v>0</v>
      </c>
      <c r="J205">
        <v>0</v>
      </c>
    </row>
    <row r="206" spans="1:10" x14ac:dyDescent="0.25">
      <c r="A206" t="s">
        <v>1085</v>
      </c>
      <c r="B206">
        <v>61</v>
      </c>
      <c r="C206" t="s">
        <v>5423</v>
      </c>
      <c r="D206" t="s">
        <v>5432</v>
      </c>
      <c r="E206" t="s">
        <v>5422</v>
      </c>
      <c r="F206">
        <v>56</v>
      </c>
      <c r="G206">
        <v>0.30399999999999999</v>
      </c>
      <c r="H206">
        <v>0.30399999999999999</v>
      </c>
      <c r="I206">
        <v>0</v>
      </c>
      <c r="J206">
        <v>0</v>
      </c>
    </row>
    <row r="207" spans="1:10" x14ac:dyDescent="0.25">
      <c r="A207" t="s">
        <v>1089</v>
      </c>
      <c r="B207">
        <v>68</v>
      </c>
      <c r="C207" t="s">
        <v>5420</v>
      </c>
      <c r="D207" t="s">
        <v>5426</v>
      </c>
      <c r="E207" t="s">
        <v>5425</v>
      </c>
      <c r="F207">
        <v>168</v>
      </c>
      <c r="G207">
        <v>0.91300000000000003</v>
      </c>
      <c r="H207">
        <v>0.91300000000000003</v>
      </c>
      <c r="I207">
        <v>0</v>
      </c>
      <c r="J207">
        <v>0</v>
      </c>
    </row>
    <row r="208" spans="1:10" x14ac:dyDescent="0.25">
      <c r="A208" t="s">
        <v>1097</v>
      </c>
      <c r="B208">
        <v>57</v>
      </c>
      <c r="C208" t="s">
        <v>5423</v>
      </c>
      <c r="D208" t="s">
        <v>5432</v>
      </c>
      <c r="E208" t="s">
        <v>5428</v>
      </c>
      <c r="F208">
        <v>120</v>
      </c>
      <c r="G208">
        <v>0.65200000000000002</v>
      </c>
      <c r="H208">
        <v>0.65200000000000002</v>
      </c>
      <c r="I208">
        <v>0</v>
      </c>
      <c r="J208">
        <v>0</v>
      </c>
    </row>
    <row r="209" spans="1:11" x14ac:dyDescent="0.25">
      <c r="A209" t="s">
        <v>1103</v>
      </c>
      <c r="B209">
        <v>58</v>
      </c>
      <c r="C209" t="s">
        <v>5420</v>
      </c>
      <c r="D209" t="s">
        <v>5432</v>
      </c>
      <c r="E209" t="s">
        <v>5430</v>
      </c>
      <c r="F209">
        <v>56</v>
      </c>
      <c r="G209">
        <v>0.30399999999999999</v>
      </c>
      <c r="H209">
        <v>0.30399999999999999</v>
      </c>
      <c r="I209">
        <v>0</v>
      </c>
      <c r="J209">
        <v>0</v>
      </c>
    </row>
    <row r="210" spans="1:11" x14ac:dyDescent="0.25">
      <c r="A210" t="s">
        <v>1106</v>
      </c>
      <c r="B210">
        <v>76</v>
      </c>
      <c r="C210" t="s">
        <v>5423</v>
      </c>
      <c r="D210" t="s">
        <v>5424</v>
      </c>
      <c r="E210" t="s">
        <v>5430</v>
      </c>
      <c r="F210">
        <v>56</v>
      </c>
      <c r="G210">
        <v>0.30399999999999999</v>
      </c>
      <c r="H210">
        <v>0.30399999999999999</v>
      </c>
      <c r="I210">
        <v>0</v>
      </c>
      <c r="J210">
        <v>0</v>
      </c>
    </row>
    <row r="211" spans="1:11" x14ac:dyDescent="0.25">
      <c r="A211" t="s">
        <v>1110</v>
      </c>
      <c r="B211">
        <v>63</v>
      </c>
      <c r="C211" t="s">
        <v>5420</v>
      </c>
      <c r="D211" t="s">
        <v>5429</v>
      </c>
      <c r="E211" t="s">
        <v>5431</v>
      </c>
      <c r="F211">
        <v>168</v>
      </c>
      <c r="G211">
        <v>0.91300000000000003</v>
      </c>
      <c r="H211">
        <v>0.91300000000000003</v>
      </c>
      <c r="I211">
        <v>0</v>
      </c>
      <c r="J211">
        <v>0</v>
      </c>
    </row>
    <row r="212" spans="1:11" x14ac:dyDescent="0.25">
      <c r="A212" t="s">
        <v>1118</v>
      </c>
      <c r="B212">
        <v>62</v>
      </c>
      <c r="C212" t="s">
        <v>5423</v>
      </c>
      <c r="D212" t="s">
        <v>5421</v>
      </c>
      <c r="E212" t="s">
        <v>5446</v>
      </c>
      <c r="F212">
        <v>60</v>
      </c>
      <c r="G212">
        <v>0.32600000000000001</v>
      </c>
      <c r="H212">
        <v>0.32600000000000001</v>
      </c>
      <c r="I212">
        <v>0</v>
      </c>
      <c r="J212">
        <v>0</v>
      </c>
    </row>
    <row r="213" spans="1:11" x14ac:dyDescent="0.25">
      <c r="A213" t="s">
        <v>1122</v>
      </c>
      <c r="B213">
        <v>72</v>
      </c>
      <c r="C213" t="s">
        <v>5423</v>
      </c>
      <c r="D213" t="s">
        <v>5432</v>
      </c>
      <c r="E213" t="s">
        <v>5427</v>
      </c>
      <c r="F213">
        <v>168</v>
      </c>
      <c r="G213">
        <v>0.91300000000000003</v>
      </c>
      <c r="H213">
        <v>0.91300000000000003</v>
      </c>
      <c r="I213">
        <v>0</v>
      </c>
      <c r="J213">
        <v>0</v>
      </c>
    </row>
    <row r="214" spans="1:11" x14ac:dyDescent="0.25">
      <c r="A214" t="s">
        <v>1130</v>
      </c>
      <c r="B214">
        <v>84</v>
      </c>
      <c r="C214" t="s">
        <v>5434</v>
      </c>
      <c r="D214" t="s">
        <v>5424</v>
      </c>
      <c r="E214" t="s">
        <v>5425</v>
      </c>
      <c r="F214">
        <v>28</v>
      </c>
      <c r="G214">
        <v>0.152</v>
      </c>
      <c r="H214">
        <v>0.152</v>
      </c>
      <c r="I214">
        <v>0</v>
      </c>
      <c r="J214">
        <v>0</v>
      </c>
    </row>
    <row r="215" spans="1:11" x14ac:dyDescent="0.25">
      <c r="A215" t="s">
        <v>1133</v>
      </c>
      <c r="B215">
        <v>58</v>
      </c>
      <c r="C215" t="s">
        <v>5420</v>
      </c>
      <c r="D215" t="s">
        <v>5426</v>
      </c>
      <c r="E215" t="s">
        <v>5428</v>
      </c>
      <c r="F215">
        <v>56</v>
      </c>
      <c r="G215">
        <v>0.30399999999999999</v>
      </c>
      <c r="H215">
        <v>0.30399999999999999</v>
      </c>
      <c r="I215">
        <v>0</v>
      </c>
      <c r="J215">
        <v>0</v>
      </c>
    </row>
    <row r="216" spans="1:11" x14ac:dyDescent="0.25">
      <c r="A216" t="s">
        <v>1137</v>
      </c>
      <c r="B216">
        <v>57</v>
      </c>
      <c r="C216" t="s">
        <v>5420</v>
      </c>
      <c r="D216" t="s">
        <v>5432</v>
      </c>
      <c r="E216" t="s">
        <v>5425</v>
      </c>
      <c r="F216">
        <v>28</v>
      </c>
      <c r="G216">
        <v>0.152</v>
      </c>
      <c r="H216">
        <v>0.152</v>
      </c>
      <c r="I216">
        <v>0</v>
      </c>
      <c r="J216">
        <v>0</v>
      </c>
    </row>
    <row r="217" spans="1:11" x14ac:dyDescent="0.25">
      <c r="A217" t="s">
        <v>1140</v>
      </c>
      <c r="B217">
        <v>59</v>
      </c>
      <c r="C217" t="s">
        <v>5420</v>
      </c>
      <c r="D217" t="s">
        <v>5429</v>
      </c>
      <c r="E217" t="s">
        <v>5427</v>
      </c>
      <c r="F217">
        <v>210</v>
      </c>
      <c r="G217">
        <v>1.141</v>
      </c>
      <c r="H217">
        <v>1</v>
      </c>
      <c r="I217">
        <v>1</v>
      </c>
      <c r="J217">
        <v>0</v>
      </c>
      <c r="K217" t="s">
        <v>5435</v>
      </c>
    </row>
    <row r="218" spans="1:11" x14ac:dyDescent="0.25">
      <c r="A218" t="s">
        <v>1149</v>
      </c>
      <c r="B218">
        <v>61</v>
      </c>
      <c r="C218" t="s">
        <v>5423</v>
      </c>
      <c r="D218" t="s">
        <v>5429</v>
      </c>
      <c r="E218" t="s">
        <v>5425</v>
      </c>
      <c r="F218">
        <v>30</v>
      </c>
      <c r="G218">
        <v>0.16300000000000001</v>
      </c>
      <c r="H218">
        <v>0.16300000000000001</v>
      </c>
      <c r="I218">
        <v>0</v>
      </c>
      <c r="J218">
        <v>0</v>
      </c>
    </row>
    <row r="219" spans="1:11" x14ac:dyDescent="0.25">
      <c r="A219" t="s">
        <v>1152</v>
      </c>
      <c r="B219">
        <v>64</v>
      </c>
      <c r="C219" t="s">
        <v>5423</v>
      </c>
      <c r="D219" t="s">
        <v>5429</v>
      </c>
      <c r="E219" t="s">
        <v>5447</v>
      </c>
      <c r="F219">
        <v>56</v>
      </c>
      <c r="G219">
        <v>0.30399999999999999</v>
      </c>
      <c r="H219">
        <v>0.30399999999999999</v>
      </c>
      <c r="I219">
        <v>0</v>
      </c>
      <c r="J219">
        <v>0</v>
      </c>
    </row>
    <row r="220" spans="1:11" x14ac:dyDescent="0.25">
      <c r="A220" t="s">
        <v>1156</v>
      </c>
      <c r="B220">
        <v>71</v>
      </c>
      <c r="C220" t="s">
        <v>5420</v>
      </c>
      <c r="D220" t="s">
        <v>5426</v>
      </c>
      <c r="E220" t="s">
        <v>5445</v>
      </c>
      <c r="F220">
        <v>28</v>
      </c>
      <c r="G220">
        <v>0.152</v>
      </c>
      <c r="H220">
        <v>0.152</v>
      </c>
      <c r="I220">
        <v>0</v>
      </c>
      <c r="J220">
        <v>0</v>
      </c>
    </row>
    <row r="221" spans="1:11" x14ac:dyDescent="0.25">
      <c r="A221" t="s">
        <v>1159</v>
      </c>
      <c r="B221">
        <v>59</v>
      </c>
      <c r="C221" t="s">
        <v>5434</v>
      </c>
      <c r="D221" t="s">
        <v>5429</v>
      </c>
      <c r="E221" t="s">
        <v>5430</v>
      </c>
      <c r="F221">
        <v>42</v>
      </c>
      <c r="G221">
        <v>0.22800000000000001</v>
      </c>
      <c r="H221">
        <v>0.22800000000000001</v>
      </c>
      <c r="I221">
        <v>0</v>
      </c>
      <c r="J221">
        <v>0</v>
      </c>
    </row>
    <row r="222" spans="1:11" x14ac:dyDescent="0.25">
      <c r="A222" t="s">
        <v>1163</v>
      </c>
      <c r="B222">
        <v>63</v>
      </c>
      <c r="C222" t="s">
        <v>5423</v>
      </c>
      <c r="D222" t="s">
        <v>5429</v>
      </c>
      <c r="E222" t="s">
        <v>5427</v>
      </c>
      <c r="F222">
        <v>30</v>
      </c>
      <c r="G222">
        <v>0.16300000000000001</v>
      </c>
      <c r="H222">
        <v>0.16300000000000001</v>
      </c>
      <c r="I222">
        <v>0</v>
      </c>
      <c r="J222">
        <v>0</v>
      </c>
    </row>
    <row r="223" spans="1:11" x14ac:dyDescent="0.25">
      <c r="A223" t="s">
        <v>1166</v>
      </c>
      <c r="B223">
        <v>66</v>
      </c>
      <c r="C223" t="s">
        <v>5420</v>
      </c>
      <c r="D223" t="s">
        <v>5429</v>
      </c>
      <c r="E223" t="s">
        <v>5430</v>
      </c>
      <c r="F223">
        <v>224</v>
      </c>
      <c r="G223">
        <v>1.2170000000000001</v>
      </c>
      <c r="H223">
        <v>1</v>
      </c>
      <c r="I223">
        <v>1</v>
      </c>
      <c r="J223">
        <v>0</v>
      </c>
      <c r="K223" t="s">
        <v>5435</v>
      </c>
    </row>
    <row r="224" spans="1:11" x14ac:dyDescent="0.25">
      <c r="A224" t="s">
        <v>1172</v>
      </c>
      <c r="B224">
        <v>55</v>
      </c>
      <c r="C224" t="s">
        <v>5423</v>
      </c>
      <c r="D224" t="s">
        <v>5424</v>
      </c>
      <c r="E224" t="s">
        <v>5427</v>
      </c>
      <c r="F224">
        <v>42</v>
      </c>
      <c r="G224">
        <v>0.22800000000000001</v>
      </c>
      <c r="H224">
        <v>0.22800000000000001</v>
      </c>
      <c r="I224">
        <v>0</v>
      </c>
      <c r="J224">
        <v>0</v>
      </c>
    </row>
    <row r="225" spans="1:10" x14ac:dyDescent="0.25">
      <c r="A225" t="s">
        <v>1176</v>
      </c>
      <c r="B225">
        <v>73</v>
      </c>
      <c r="C225" t="s">
        <v>5434</v>
      </c>
      <c r="D225" t="s">
        <v>5429</v>
      </c>
      <c r="E225" t="s">
        <v>5448</v>
      </c>
      <c r="F225">
        <v>112</v>
      </c>
      <c r="G225">
        <v>0.60899999999999999</v>
      </c>
      <c r="H225">
        <v>0.60899999999999999</v>
      </c>
      <c r="I225">
        <v>0</v>
      </c>
      <c r="J225">
        <v>0</v>
      </c>
    </row>
    <row r="226" spans="1:10" x14ac:dyDescent="0.25">
      <c r="A226" t="s">
        <v>1182</v>
      </c>
      <c r="B226">
        <v>76</v>
      </c>
      <c r="C226" t="s">
        <v>5420</v>
      </c>
      <c r="D226" t="s">
        <v>5424</v>
      </c>
      <c r="E226" t="s">
        <v>5425</v>
      </c>
      <c r="F226">
        <v>112</v>
      </c>
      <c r="G226">
        <v>0.60899999999999999</v>
      </c>
      <c r="H226">
        <v>0.60899999999999999</v>
      </c>
      <c r="I226">
        <v>0</v>
      </c>
      <c r="J226">
        <v>0</v>
      </c>
    </row>
    <row r="227" spans="1:10" x14ac:dyDescent="0.25">
      <c r="A227" t="s">
        <v>1188</v>
      </c>
      <c r="B227">
        <v>56</v>
      </c>
      <c r="C227" t="s">
        <v>5420</v>
      </c>
      <c r="D227" t="s">
        <v>5426</v>
      </c>
      <c r="E227" t="s">
        <v>5431</v>
      </c>
      <c r="F227">
        <v>140</v>
      </c>
      <c r="G227">
        <v>0.76100000000000001</v>
      </c>
      <c r="H227">
        <v>0.76100000000000001</v>
      </c>
      <c r="I227">
        <v>0</v>
      </c>
      <c r="J227">
        <v>0</v>
      </c>
    </row>
    <row r="228" spans="1:10" x14ac:dyDescent="0.25">
      <c r="A228" t="s">
        <v>1195</v>
      </c>
      <c r="B228">
        <v>77</v>
      </c>
      <c r="C228" t="s">
        <v>5423</v>
      </c>
      <c r="D228" t="s">
        <v>5432</v>
      </c>
      <c r="E228" t="s">
        <v>5431</v>
      </c>
      <c r="F228">
        <v>21</v>
      </c>
      <c r="G228">
        <v>0.114</v>
      </c>
      <c r="H228">
        <v>0.114</v>
      </c>
      <c r="I228">
        <v>0</v>
      </c>
      <c r="J228">
        <v>0</v>
      </c>
    </row>
    <row r="229" spans="1:10" x14ac:dyDescent="0.25">
      <c r="A229" t="s">
        <v>1198</v>
      </c>
      <c r="B229">
        <v>79</v>
      </c>
      <c r="C229" t="s">
        <v>5423</v>
      </c>
      <c r="D229" t="s">
        <v>5421</v>
      </c>
      <c r="E229" t="s">
        <v>5428</v>
      </c>
      <c r="F229">
        <v>112</v>
      </c>
      <c r="G229">
        <v>0.60899999999999999</v>
      </c>
      <c r="H229">
        <v>0.60899999999999999</v>
      </c>
      <c r="I229">
        <v>0</v>
      </c>
      <c r="J229">
        <v>0</v>
      </c>
    </row>
    <row r="230" spans="1:10" x14ac:dyDescent="0.25">
      <c r="A230" t="s">
        <v>1204</v>
      </c>
      <c r="B230">
        <v>64</v>
      </c>
      <c r="C230" t="s">
        <v>5423</v>
      </c>
      <c r="D230" t="s">
        <v>5429</v>
      </c>
      <c r="E230" t="s">
        <v>5425</v>
      </c>
      <c r="F230">
        <v>168</v>
      </c>
      <c r="G230">
        <v>0.91300000000000003</v>
      </c>
      <c r="H230">
        <v>0.91300000000000003</v>
      </c>
      <c r="I230">
        <v>0</v>
      </c>
      <c r="J230">
        <v>0</v>
      </c>
    </row>
    <row r="231" spans="1:10" x14ac:dyDescent="0.25">
      <c r="A231" t="s">
        <v>1212</v>
      </c>
      <c r="B231">
        <v>65</v>
      </c>
      <c r="C231" t="s">
        <v>5420</v>
      </c>
      <c r="D231" t="s">
        <v>5432</v>
      </c>
      <c r="E231" t="s">
        <v>5428</v>
      </c>
      <c r="F231">
        <v>168</v>
      </c>
      <c r="G231">
        <v>0.91300000000000003</v>
      </c>
      <c r="H231">
        <v>0.91300000000000003</v>
      </c>
      <c r="I231">
        <v>0</v>
      </c>
      <c r="J231">
        <v>0</v>
      </c>
    </row>
    <row r="232" spans="1:10" x14ac:dyDescent="0.25">
      <c r="A232" t="s">
        <v>1220</v>
      </c>
      <c r="B232">
        <v>61</v>
      </c>
      <c r="C232" t="s">
        <v>5420</v>
      </c>
      <c r="D232" t="s">
        <v>5426</v>
      </c>
      <c r="E232" t="s">
        <v>5428</v>
      </c>
      <c r="F232">
        <v>84</v>
      </c>
      <c r="G232">
        <v>0.45700000000000002</v>
      </c>
      <c r="H232">
        <v>0.45700000000000002</v>
      </c>
      <c r="I232">
        <v>0</v>
      </c>
      <c r="J232">
        <v>0</v>
      </c>
    </row>
    <row r="233" spans="1:10" x14ac:dyDescent="0.25">
      <c r="A233" t="s">
        <v>1225</v>
      </c>
      <c r="B233">
        <v>79</v>
      </c>
      <c r="C233" t="s">
        <v>5423</v>
      </c>
      <c r="D233" t="s">
        <v>5432</v>
      </c>
      <c r="E233" t="s">
        <v>5431</v>
      </c>
      <c r="F233">
        <v>84</v>
      </c>
      <c r="G233">
        <v>0.45700000000000002</v>
      </c>
      <c r="H233">
        <v>0.45700000000000002</v>
      </c>
      <c r="I233">
        <v>0</v>
      </c>
      <c r="J233">
        <v>0</v>
      </c>
    </row>
    <row r="234" spans="1:10" x14ac:dyDescent="0.25">
      <c r="A234" t="s">
        <v>1230</v>
      </c>
      <c r="B234">
        <v>87</v>
      </c>
      <c r="C234" t="s">
        <v>5420</v>
      </c>
      <c r="D234" t="s">
        <v>5426</v>
      </c>
      <c r="E234" t="s">
        <v>5427</v>
      </c>
      <c r="F234">
        <v>147</v>
      </c>
      <c r="G234">
        <v>0.79900000000000004</v>
      </c>
      <c r="H234">
        <v>0.79900000000000004</v>
      </c>
      <c r="I234">
        <v>0</v>
      </c>
      <c r="J234">
        <v>0</v>
      </c>
    </row>
    <row r="235" spans="1:10" x14ac:dyDescent="0.25">
      <c r="A235" t="s">
        <v>1239</v>
      </c>
      <c r="B235">
        <v>56</v>
      </c>
      <c r="C235" t="s">
        <v>5420</v>
      </c>
      <c r="D235" t="s">
        <v>5424</v>
      </c>
      <c r="E235" t="s">
        <v>5427</v>
      </c>
      <c r="F235">
        <v>30</v>
      </c>
      <c r="G235">
        <v>0.16300000000000001</v>
      </c>
      <c r="H235">
        <v>0.16300000000000001</v>
      </c>
      <c r="I235">
        <v>0</v>
      </c>
      <c r="J235">
        <v>0</v>
      </c>
    </row>
    <row r="236" spans="1:10" x14ac:dyDescent="0.25">
      <c r="A236" t="s">
        <v>1242</v>
      </c>
      <c r="B236">
        <v>67</v>
      </c>
      <c r="C236" t="s">
        <v>5423</v>
      </c>
      <c r="D236" t="s">
        <v>5426</v>
      </c>
      <c r="E236" t="s">
        <v>5430</v>
      </c>
      <c r="F236">
        <v>112</v>
      </c>
      <c r="G236">
        <v>0.60899999999999999</v>
      </c>
      <c r="H236">
        <v>0.60899999999999999</v>
      </c>
      <c r="I236">
        <v>0</v>
      </c>
      <c r="J236">
        <v>0</v>
      </c>
    </row>
    <row r="237" spans="1:10" x14ac:dyDescent="0.25">
      <c r="A237" t="s">
        <v>1248</v>
      </c>
      <c r="B237">
        <v>73</v>
      </c>
      <c r="C237" t="s">
        <v>5423</v>
      </c>
      <c r="D237" t="s">
        <v>5426</v>
      </c>
      <c r="E237" t="s">
        <v>5422</v>
      </c>
      <c r="F237">
        <v>112</v>
      </c>
      <c r="G237">
        <v>0.60899999999999999</v>
      </c>
      <c r="H237">
        <v>0.60899999999999999</v>
      </c>
      <c r="I237">
        <v>0</v>
      </c>
      <c r="J237">
        <v>0</v>
      </c>
    </row>
    <row r="238" spans="1:10" x14ac:dyDescent="0.25">
      <c r="A238" t="s">
        <v>1254</v>
      </c>
      <c r="B238">
        <v>75</v>
      </c>
      <c r="C238" t="s">
        <v>5423</v>
      </c>
      <c r="D238" t="s">
        <v>5424</v>
      </c>
      <c r="E238" t="s">
        <v>5425</v>
      </c>
      <c r="F238">
        <v>112</v>
      </c>
      <c r="G238">
        <v>0.60899999999999999</v>
      </c>
      <c r="H238">
        <v>0.60899999999999999</v>
      </c>
      <c r="I238">
        <v>0</v>
      </c>
      <c r="J238">
        <v>0</v>
      </c>
    </row>
    <row r="239" spans="1:10" x14ac:dyDescent="0.25">
      <c r="A239" t="s">
        <v>1260</v>
      </c>
      <c r="B239">
        <v>68</v>
      </c>
      <c r="C239" t="s">
        <v>5423</v>
      </c>
      <c r="D239" t="s">
        <v>5429</v>
      </c>
      <c r="E239" t="s">
        <v>5430</v>
      </c>
      <c r="F239">
        <v>168</v>
      </c>
      <c r="G239">
        <v>0.91300000000000003</v>
      </c>
      <c r="H239">
        <v>0.91300000000000003</v>
      </c>
      <c r="I239">
        <v>0</v>
      </c>
      <c r="J239">
        <v>0</v>
      </c>
    </row>
    <row r="240" spans="1:10" x14ac:dyDescent="0.25">
      <c r="A240" t="s">
        <v>1268</v>
      </c>
      <c r="B240">
        <v>74</v>
      </c>
      <c r="C240" t="s">
        <v>5423</v>
      </c>
      <c r="D240" t="s">
        <v>5424</v>
      </c>
      <c r="E240" t="s">
        <v>5428</v>
      </c>
      <c r="F240">
        <v>120</v>
      </c>
      <c r="G240">
        <v>0.65200000000000002</v>
      </c>
      <c r="H240">
        <v>0.65200000000000002</v>
      </c>
      <c r="I240">
        <v>0</v>
      </c>
      <c r="J240">
        <v>0</v>
      </c>
    </row>
    <row r="241" spans="1:10" x14ac:dyDescent="0.25">
      <c r="A241" t="s">
        <v>1274</v>
      </c>
      <c r="B241">
        <v>53</v>
      </c>
      <c r="C241" t="s">
        <v>5420</v>
      </c>
      <c r="D241" t="s">
        <v>5432</v>
      </c>
      <c r="E241" t="s">
        <v>5430</v>
      </c>
      <c r="F241">
        <v>56</v>
      </c>
      <c r="G241">
        <v>0.30399999999999999</v>
      </c>
      <c r="H241">
        <v>0.30399999999999999</v>
      </c>
      <c r="I241">
        <v>0</v>
      </c>
      <c r="J241">
        <v>0</v>
      </c>
    </row>
    <row r="242" spans="1:10" x14ac:dyDescent="0.25">
      <c r="A242" t="s">
        <v>1278</v>
      </c>
      <c r="B242">
        <v>63</v>
      </c>
      <c r="C242" t="s">
        <v>5420</v>
      </c>
      <c r="D242" t="s">
        <v>5426</v>
      </c>
      <c r="E242" t="s">
        <v>5428</v>
      </c>
      <c r="F242">
        <v>105</v>
      </c>
      <c r="G242">
        <v>0.57099999999999995</v>
      </c>
      <c r="H242">
        <v>0.57099999999999995</v>
      </c>
      <c r="I242">
        <v>0</v>
      </c>
      <c r="J242">
        <v>0</v>
      </c>
    </row>
    <row r="243" spans="1:10" x14ac:dyDescent="0.25">
      <c r="A243" t="s">
        <v>1285</v>
      </c>
      <c r="B243">
        <v>62</v>
      </c>
      <c r="C243" t="s">
        <v>5423</v>
      </c>
      <c r="D243" t="s">
        <v>5429</v>
      </c>
      <c r="E243" t="s">
        <v>5422</v>
      </c>
      <c r="F243">
        <v>84</v>
      </c>
      <c r="G243">
        <v>0.45700000000000002</v>
      </c>
      <c r="H243">
        <v>0.45700000000000002</v>
      </c>
      <c r="I243">
        <v>0</v>
      </c>
      <c r="J243">
        <v>0</v>
      </c>
    </row>
    <row r="244" spans="1:10" x14ac:dyDescent="0.25">
      <c r="A244" t="s">
        <v>1290</v>
      </c>
      <c r="B244">
        <v>64</v>
      </c>
      <c r="C244" t="s">
        <v>5420</v>
      </c>
      <c r="D244" t="s">
        <v>5426</v>
      </c>
      <c r="E244" t="s">
        <v>5449</v>
      </c>
      <c r="F244">
        <v>60</v>
      </c>
      <c r="G244">
        <v>0.32600000000000001</v>
      </c>
      <c r="H244">
        <v>0.32600000000000001</v>
      </c>
      <c r="I244">
        <v>0</v>
      </c>
      <c r="J244">
        <v>0</v>
      </c>
    </row>
    <row r="245" spans="1:10" x14ac:dyDescent="0.25">
      <c r="A245" t="s">
        <v>1294</v>
      </c>
      <c r="B245">
        <v>77</v>
      </c>
      <c r="C245" t="s">
        <v>5420</v>
      </c>
      <c r="D245" t="s">
        <v>5421</v>
      </c>
      <c r="E245" t="s">
        <v>5450</v>
      </c>
      <c r="F245">
        <v>140</v>
      </c>
      <c r="G245">
        <v>0.76100000000000001</v>
      </c>
      <c r="H245">
        <v>0.76100000000000001</v>
      </c>
      <c r="I245">
        <v>0</v>
      </c>
      <c r="J245">
        <v>0</v>
      </c>
    </row>
    <row r="246" spans="1:10" x14ac:dyDescent="0.25">
      <c r="A246" t="s">
        <v>1301</v>
      </c>
      <c r="B246">
        <v>57</v>
      </c>
      <c r="C246" t="s">
        <v>5423</v>
      </c>
      <c r="D246" t="s">
        <v>5429</v>
      </c>
      <c r="E246" t="s">
        <v>5428</v>
      </c>
      <c r="F246">
        <v>56</v>
      </c>
      <c r="G246">
        <v>0.30399999999999999</v>
      </c>
      <c r="H246">
        <v>0.30399999999999999</v>
      </c>
      <c r="I246">
        <v>0</v>
      </c>
      <c r="J246">
        <v>0</v>
      </c>
    </row>
    <row r="247" spans="1:10" x14ac:dyDescent="0.25">
      <c r="A247" t="s">
        <v>1305</v>
      </c>
      <c r="B247">
        <v>63</v>
      </c>
      <c r="C247" t="s">
        <v>5420</v>
      </c>
      <c r="D247" t="s">
        <v>5426</v>
      </c>
      <c r="E247" t="s">
        <v>5430</v>
      </c>
      <c r="F247">
        <v>112</v>
      </c>
      <c r="G247">
        <v>0.60899999999999999</v>
      </c>
      <c r="H247">
        <v>0.60899999999999999</v>
      </c>
      <c r="I247">
        <v>0</v>
      </c>
      <c r="J247">
        <v>0</v>
      </c>
    </row>
    <row r="248" spans="1:10" x14ac:dyDescent="0.25">
      <c r="A248" t="s">
        <v>1309</v>
      </c>
      <c r="B248">
        <v>56</v>
      </c>
      <c r="C248" t="s">
        <v>5420</v>
      </c>
      <c r="D248" t="s">
        <v>5429</v>
      </c>
      <c r="E248" t="s">
        <v>5431</v>
      </c>
      <c r="F248">
        <v>30</v>
      </c>
      <c r="G248">
        <v>0.16300000000000001</v>
      </c>
      <c r="H248">
        <v>0.16300000000000001</v>
      </c>
      <c r="I248">
        <v>0</v>
      </c>
      <c r="J248">
        <v>0</v>
      </c>
    </row>
    <row r="249" spans="1:10" x14ac:dyDescent="0.25">
      <c r="A249" t="s">
        <v>1312</v>
      </c>
      <c r="B249">
        <v>65</v>
      </c>
      <c r="C249" t="s">
        <v>5420</v>
      </c>
      <c r="D249" t="s">
        <v>5424</v>
      </c>
      <c r="E249" t="s">
        <v>5428</v>
      </c>
      <c r="F249">
        <v>126</v>
      </c>
      <c r="G249">
        <v>0.68500000000000005</v>
      </c>
      <c r="H249">
        <v>0.68500000000000005</v>
      </c>
      <c r="I249">
        <v>0</v>
      </c>
      <c r="J249">
        <v>0</v>
      </c>
    </row>
    <row r="250" spans="1:10" x14ac:dyDescent="0.25">
      <c r="A250" t="s">
        <v>1323</v>
      </c>
      <c r="B250">
        <v>56</v>
      </c>
      <c r="C250" t="s">
        <v>5434</v>
      </c>
      <c r="D250" t="s">
        <v>5432</v>
      </c>
      <c r="E250" t="s">
        <v>5428</v>
      </c>
      <c r="F250">
        <v>28</v>
      </c>
      <c r="G250">
        <v>0.152</v>
      </c>
      <c r="H250">
        <v>0.152</v>
      </c>
      <c r="I250">
        <v>0</v>
      </c>
      <c r="J250">
        <v>0</v>
      </c>
    </row>
    <row r="251" spans="1:10" x14ac:dyDescent="0.25">
      <c r="A251" t="s">
        <v>1326</v>
      </c>
      <c r="B251">
        <v>80</v>
      </c>
      <c r="C251" t="s">
        <v>5420</v>
      </c>
      <c r="D251" t="s">
        <v>5424</v>
      </c>
      <c r="E251" t="s">
        <v>5431</v>
      </c>
      <c r="F251">
        <v>112</v>
      </c>
      <c r="G251">
        <v>0.60899999999999999</v>
      </c>
      <c r="H251">
        <v>0.60899999999999999</v>
      </c>
      <c r="I251">
        <v>0</v>
      </c>
      <c r="J251">
        <v>0</v>
      </c>
    </row>
    <row r="252" spans="1:10" x14ac:dyDescent="0.25">
      <c r="A252" t="s">
        <v>1336</v>
      </c>
      <c r="B252">
        <v>51</v>
      </c>
      <c r="C252" t="s">
        <v>5423</v>
      </c>
      <c r="D252" t="s">
        <v>5426</v>
      </c>
      <c r="E252" t="s">
        <v>5430</v>
      </c>
      <c r="F252">
        <v>168</v>
      </c>
      <c r="G252">
        <v>0.91300000000000003</v>
      </c>
      <c r="H252">
        <v>0.91300000000000003</v>
      </c>
      <c r="I252">
        <v>0</v>
      </c>
      <c r="J252">
        <v>0</v>
      </c>
    </row>
    <row r="253" spans="1:10" x14ac:dyDescent="0.25">
      <c r="A253" t="s">
        <v>1344</v>
      </c>
      <c r="B253">
        <v>69</v>
      </c>
      <c r="C253" t="s">
        <v>5423</v>
      </c>
      <c r="D253" t="s">
        <v>5429</v>
      </c>
      <c r="E253" t="s">
        <v>5428</v>
      </c>
      <c r="F253">
        <v>56</v>
      </c>
      <c r="G253">
        <v>0.30399999999999999</v>
      </c>
      <c r="H253">
        <v>0.30399999999999999</v>
      </c>
      <c r="I253">
        <v>0</v>
      </c>
      <c r="J253">
        <v>0</v>
      </c>
    </row>
    <row r="254" spans="1:10" x14ac:dyDescent="0.25">
      <c r="A254" t="s">
        <v>1348</v>
      </c>
      <c r="B254">
        <v>68</v>
      </c>
      <c r="C254" t="s">
        <v>5423</v>
      </c>
      <c r="D254" t="s">
        <v>5432</v>
      </c>
      <c r="E254" t="s">
        <v>5427</v>
      </c>
      <c r="F254">
        <v>112</v>
      </c>
      <c r="G254">
        <v>0.60899999999999999</v>
      </c>
      <c r="H254">
        <v>0.60899999999999999</v>
      </c>
      <c r="I254">
        <v>0</v>
      </c>
      <c r="J254">
        <v>0</v>
      </c>
    </row>
    <row r="255" spans="1:10" x14ac:dyDescent="0.25">
      <c r="A255" t="s">
        <v>1352</v>
      </c>
      <c r="B255">
        <v>61</v>
      </c>
      <c r="C255" t="s">
        <v>5434</v>
      </c>
      <c r="D255" t="s">
        <v>5432</v>
      </c>
      <c r="E255" t="s">
        <v>5428</v>
      </c>
      <c r="F255">
        <v>84</v>
      </c>
      <c r="G255">
        <v>0.45700000000000002</v>
      </c>
      <c r="H255">
        <v>0.45700000000000002</v>
      </c>
      <c r="I255">
        <v>0</v>
      </c>
      <c r="J255">
        <v>0</v>
      </c>
    </row>
    <row r="256" spans="1:10" x14ac:dyDescent="0.25">
      <c r="A256" t="s">
        <v>1357</v>
      </c>
      <c r="B256">
        <v>59</v>
      </c>
      <c r="C256" t="s">
        <v>5420</v>
      </c>
      <c r="D256" t="s">
        <v>5426</v>
      </c>
      <c r="E256" t="s">
        <v>5422</v>
      </c>
      <c r="F256">
        <v>168</v>
      </c>
      <c r="G256">
        <v>0.91300000000000003</v>
      </c>
      <c r="H256">
        <v>0.91300000000000003</v>
      </c>
      <c r="I256">
        <v>0</v>
      </c>
      <c r="J256">
        <v>0</v>
      </c>
    </row>
    <row r="257" spans="1:11" x14ac:dyDescent="0.25">
      <c r="A257" t="s">
        <v>1365</v>
      </c>
      <c r="B257">
        <v>65</v>
      </c>
      <c r="C257" t="s">
        <v>5423</v>
      </c>
      <c r="D257" t="s">
        <v>5432</v>
      </c>
      <c r="E257" t="s">
        <v>5427</v>
      </c>
      <c r="F257">
        <v>60</v>
      </c>
      <c r="G257">
        <v>0.32600000000000001</v>
      </c>
      <c r="H257">
        <v>0.32600000000000001</v>
      </c>
      <c r="I257">
        <v>0</v>
      </c>
      <c r="J257">
        <v>0</v>
      </c>
    </row>
    <row r="258" spans="1:11" x14ac:dyDescent="0.25">
      <c r="A258" t="s">
        <v>1369</v>
      </c>
      <c r="B258">
        <v>65</v>
      </c>
      <c r="C258" t="s">
        <v>5423</v>
      </c>
      <c r="D258" t="s">
        <v>5424</v>
      </c>
      <c r="E258" t="s">
        <v>5427</v>
      </c>
      <c r="F258">
        <v>126</v>
      </c>
      <c r="G258">
        <v>0.68500000000000005</v>
      </c>
      <c r="H258">
        <v>0.68500000000000005</v>
      </c>
      <c r="I258">
        <v>0</v>
      </c>
      <c r="J258">
        <v>0</v>
      </c>
    </row>
    <row r="259" spans="1:11" x14ac:dyDescent="0.25">
      <c r="A259" t="s">
        <v>1377</v>
      </c>
      <c r="B259">
        <v>66</v>
      </c>
      <c r="C259" t="s">
        <v>5420</v>
      </c>
      <c r="D259" t="s">
        <v>5429</v>
      </c>
      <c r="E259" t="s">
        <v>5431</v>
      </c>
      <c r="F259">
        <v>42</v>
      </c>
      <c r="G259">
        <v>0.22800000000000001</v>
      </c>
      <c r="H259">
        <v>0.22800000000000001</v>
      </c>
      <c r="I259">
        <v>0</v>
      </c>
      <c r="J259">
        <v>0</v>
      </c>
    </row>
    <row r="260" spans="1:11" x14ac:dyDescent="0.25">
      <c r="A260" t="s">
        <v>1382</v>
      </c>
      <c r="B260">
        <v>63</v>
      </c>
      <c r="C260" t="s">
        <v>5420</v>
      </c>
      <c r="D260" t="s">
        <v>5429</v>
      </c>
      <c r="E260" t="s">
        <v>5428</v>
      </c>
      <c r="F260">
        <v>196</v>
      </c>
      <c r="G260">
        <v>1.0649999999999999</v>
      </c>
      <c r="H260">
        <v>1</v>
      </c>
      <c r="I260">
        <v>1</v>
      </c>
      <c r="J260">
        <v>0</v>
      </c>
      <c r="K260" t="s">
        <v>5435</v>
      </c>
    </row>
    <row r="261" spans="1:11" x14ac:dyDescent="0.25">
      <c r="A261" t="s">
        <v>1391</v>
      </c>
      <c r="B261">
        <v>69</v>
      </c>
      <c r="C261" t="s">
        <v>5423</v>
      </c>
      <c r="D261" t="s">
        <v>5432</v>
      </c>
      <c r="E261" t="s">
        <v>5422</v>
      </c>
      <c r="F261">
        <v>90</v>
      </c>
      <c r="G261">
        <v>0.48899999999999999</v>
      </c>
      <c r="H261">
        <v>0.48899999999999999</v>
      </c>
      <c r="I261">
        <v>0</v>
      </c>
      <c r="J261">
        <v>0</v>
      </c>
    </row>
    <row r="262" spans="1:11" x14ac:dyDescent="0.25">
      <c r="A262" t="s">
        <v>1396</v>
      </c>
      <c r="B262">
        <v>61</v>
      </c>
      <c r="C262" t="s">
        <v>5423</v>
      </c>
      <c r="D262" t="s">
        <v>5432</v>
      </c>
      <c r="E262" t="s">
        <v>5425</v>
      </c>
      <c r="F262">
        <v>56</v>
      </c>
      <c r="G262">
        <v>0.30399999999999999</v>
      </c>
      <c r="H262">
        <v>0.30399999999999999</v>
      </c>
      <c r="I262">
        <v>0</v>
      </c>
      <c r="J262">
        <v>0</v>
      </c>
    </row>
    <row r="263" spans="1:11" x14ac:dyDescent="0.25">
      <c r="A263" t="s">
        <v>1400</v>
      </c>
      <c r="B263">
        <v>47</v>
      </c>
      <c r="C263" t="s">
        <v>5420</v>
      </c>
      <c r="D263" t="s">
        <v>5432</v>
      </c>
      <c r="E263" t="s">
        <v>5428</v>
      </c>
      <c r="F263">
        <v>28</v>
      </c>
      <c r="G263">
        <v>0.152</v>
      </c>
      <c r="H263">
        <v>0.152</v>
      </c>
      <c r="I263">
        <v>0</v>
      </c>
      <c r="J263">
        <v>0</v>
      </c>
    </row>
    <row r="264" spans="1:11" x14ac:dyDescent="0.25">
      <c r="A264" t="s">
        <v>1403</v>
      </c>
      <c r="B264">
        <v>57</v>
      </c>
      <c r="C264" t="s">
        <v>5420</v>
      </c>
      <c r="D264" t="s">
        <v>5426</v>
      </c>
      <c r="E264" t="s">
        <v>5427</v>
      </c>
      <c r="F264">
        <v>28</v>
      </c>
      <c r="G264">
        <v>0.152</v>
      </c>
      <c r="H264">
        <v>0.152</v>
      </c>
      <c r="I264">
        <v>0</v>
      </c>
      <c r="J264">
        <v>0</v>
      </c>
    </row>
    <row r="265" spans="1:11" x14ac:dyDescent="0.25">
      <c r="A265" t="s">
        <v>1406</v>
      </c>
      <c r="B265">
        <v>37</v>
      </c>
      <c r="C265" t="s">
        <v>5423</v>
      </c>
      <c r="D265" t="s">
        <v>5429</v>
      </c>
      <c r="E265" t="s">
        <v>5428</v>
      </c>
      <c r="F265">
        <v>28</v>
      </c>
      <c r="G265">
        <v>0.152</v>
      </c>
      <c r="H265">
        <v>0.152</v>
      </c>
      <c r="I265">
        <v>0</v>
      </c>
      <c r="J265">
        <v>0</v>
      </c>
    </row>
    <row r="266" spans="1:11" x14ac:dyDescent="0.25">
      <c r="A266" t="s">
        <v>1409</v>
      </c>
      <c r="B266">
        <v>52</v>
      </c>
      <c r="C266" t="s">
        <v>5434</v>
      </c>
      <c r="D266" t="s">
        <v>5429</v>
      </c>
      <c r="E266" t="s">
        <v>5430</v>
      </c>
      <c r="F266">
        <v>168</v>
      </c>
      <c r="G266">
        <v>0.91300000000000003</v>
      </c>
      <c r="H266">
        <v>0.91300000000000003</v>
      </c>
      <c r="I266">
        <v>0</v>
      </c>
      <c r="J266">
        <v>0</v>
      </c>
    </row>
    <row r="267" spans="1:11" x14ac:dyDescent="0.25">
      <c r="A267" t="s">
        <v>1417</v>
      </c>
      <c r="B267">
        <v>61</v>
      </c>
      <c r="C267" t="s">
        <v>5423</v>
      </c>
      <c r="D267" t="s">
        <v>5426</v>
      </c>
      <c r="E267" t="s">
        <v>5427</v>
      </c>
      <c r="F267">
        <v>168</v>
      </c>
      <c r="G267">
        <v>0.91300000000000003</v>
      </c>
      <c r="H267">
        <v>0.91300000000000003</v>
      </c>
      <c r="I267">
        <v>0</v>
      </c>
      <c r="J267">
        <v>0</v>
      </c>
    </row>
    <row r="268" spans="1:11" x14ac:dyDescent="0.25">
      <c r="A268" t="s">
        <v>1425</v>
      </c>
      <c r="B268">
        <v>59</v>
      </c>
      <c r="C268" t="s">
        <v>5423</v>
      </c>
      <c r="D268" t="s">
        <v>5429</v>
      </c>
      <c r="E268" t="s">
        <v>5428</v>
      </c>
      <c r="F268">
        <v>63</v>
      </c>
      <c r="G268">
        <v>0.34200000000000003</v>
      </c>
      <c r="H268">
        <v>0.34200000000000003</v>
      </c>
      <c r="I268">
        <v>0</v>
      </c>
      <c r="J268">
        <v>0</v>
      </c>
    </row>
    <row r="269" spans="1:11" x14ac:dyDescent="0.25">
      <c r="A269" t="s">
        <v>1430</v>
      </c>
      <c r="B269">
        <v>62</v>
      </c>
      <c r="C269" t="s">
        <v>5420</v>
      </c>
      <c r="D269" t="s">
        <v>5429</v>
      </c>
      <c r="E269" t="s">
        <v>5422</v>
      </c>
      <c r="F269">
        <v>98</v>
      </c>
      <c r="G269">
        <v>0.53300000000000003</v>
      </c>
      <c r="H269">
        <v>0.53300000000000003</v>
      </c>
      <c r="I269">
        <v>0</v>
      </c>
      <c r="J269">
        <v>0</v>
      </c>
    </row>
    <row r="270" spans="1:11" x14ac:dyDescent="0.25">
      <c r="A270" t="s">
        <v>1439</v>
      </c>
      <c r="B270">
        <v>51</v>
      </c>
      <c r="C270" t="s">
        <v>5423</v>
      </c>
      <c r="D270" t="s">
        <v>5424</v>
      </c>
      <c r="E270" t="s">
        <v>5430</v>
      </c>
      <c r="F270">
        <v>180</v>
      </c>
      <c r="G270">
        <v>0.97799999999999998</v>
      </c>
      <c r="H270">
        <v>0.97799999999999998</v>
      </c>
      <c r="I270">
        <v>0</v>
      </c>
      <c r="J270">
        <v>0</v>
      </c>
    </row>
    <row r="271" spans="1:11" x14ac:dyDescent="0.25">
      <c r="A271" t="s">
        <v>1447</v>
      </c>
      <c r="B271">
        <v>59</v>
      </c>
      <c r="C271" t="s">
        <v>5420</v>
      </c>
      <c r="D271" t="s">
        <v>5429</v>
      </c>
      <c r="E271" t="s">
        <v>5427</v>
      </c>
      <c r="F271">
        <v>168</v>
      </c>
      <c r="G271">
        <v>0.91300000000000003</v>
      </c>
      <c r="H271">
        <v>0.91300000000000003</v>
      </c>
      <c r="I271">
        <v>0</v>
      </c>
      <c r="J271">
        <v>0</v>
      </c>
    </row>
    <row r="272" spans="1:11" x14ac:dyDescent="0.25">
      <c r="A272" t="s">
        <v>1455</v>
      </c>
      <c r="B272">
        <v>75</v>
      </c>
      <c r="C272" t="s">
        <v>5423</v>
      </c>
      <c r="D272" t="s">
        <v>5429</v>
      </c>
      <c r="E272" t="s">
        <v>5422</v>
      </c>
      <c r="F272">
        <v>56</v>
      </c>
      <c r="G272">
        <v>0.30399999999999999</v>
      </c>
      <c r="H272">
        <v>0.30399999999999999</v>
      </c>
      <c r="I272">
        <v>0</v>
      </c>
      <c r="J272">
        <v>0</v>
      </c>
    </row>
    <row r="273" spans="1:11" x14ac:dyDescent="0.25">
      <c r="A273" t="s">
        <v>1459</v>
      </c>
      <c r="B273">
        <v>71</v>
      </c>
      <c r="C273" t="s">
        <v>5423</v>
      </c>
      <c r="D273" t="s">
        <v>5424</v>
      </c>
      <c r="E273" t="s">
        <v>5428</v>
      </c>
      <c r="F273">
        <v>98</v>
      </c>
      <c r="G273">
        <v>0.53300000000000003</v>
      </c>
      <c r="H273">
        <v>0.53300000000000003</v>
      </c>
      <c r="I273">
        <v>0</v>
      </c>
      <c r="J273">
        <v>0</v>
      </c>
    </row>
    <row r="274" spans="1:11" x14ac:dyDescent="0.25">
      <c r="A274" t="s">
        <v>1468</v>
      </c>
      <c r="B274">
        <v>70</v>
      </c>
      <c r="C274" t="s">
        <v>5423</v>
      </c>
      <c r="D274" t="s">
        <v>5429</v>
      </c>
      <c r="E274" t="s">
        <v>5425</v>
      </c>
      <c r="F274">
        <v>112</v>
      </c>
      <c r="G274">
        <v>0.60899999999999999</v>
      </c>
      <c r="H274">
        <v>0.60899999999999999</v>
      </c>
      <c r="I274">
        <v>0</v>
      </c>
      <c r="J274">
        <v>0</v>
      </c>
    </row>
    <row r="275" spans="1:11" x14ac:dyDescent="0.25">
      <c r="A275" t="s">
        <v>1474</v>
      </c>
      <c r="B275">
        <v>68</v>
      </c>
      <c r="C275" t="s">
        <v>5423</v>
      </c>
      <c r="D275" t="s">
        <v>5424</v>
      </c>
      <c r="E275" t="s">
        <v>5425</v>
      </c>
      <c r="F275">
        <v>90</v>
      </c>
      <c r="G275">
        <v>0.48899999999999999</v>
      </c>
      <c r="H275">
        <v>0.48899999999999999</v>
      </c>
      <c r="I275">
        <v>0</v>
      </c>
      <c r="J275">
        <v>0</v>
      </c>
    </row>
    <row r="276" spans="1:11" x14ac:dyDescent="0.25">
      <c r="A276" t="s">
        <v>1479</v>
      </c>
      <c r="B276">
        <v>82</v>
      </c>
      <c r="C276" t="s">
        <v>5423</v>
      </c>
      <c r="D276" t="s">
        <v>5429</v>
      </c>
      <c r="E276" t="s">
        <v>5425</v>
      </c>
      <c r="F276">
        <v>90</v>
      </c>
      <c r="G276">
        <v>0.48899999999999999</v>
      </c>
      <c r="H276">
        <v>0.48899999999999999</v>
      </c>
      <c r="I276">
        <v>0</v>
      </c>
      <c r="J276">
        <v>0</v>
      </c>
    </row>
    <row r="277" spans="1:11" x14ac:dyDescent="0.25">
      <c r="A277" t="s">
        <v>1484</v>
      </c>
      <c r="B277">
        <v>55</v>
      </c>
      <c r="C277" t="s">
        <v>5420</v>
      </c>
      <c r="D277" t="s">
        <v>5429</v>
      </c>
      <c r="E277" t="s">
        <v>5430</v>
      </c>
      <c r="F277">
        <v>56</v>
      </c>
      <c r="G277">
        <v>0.30399999999999999</v>
      </c>
      <c r="H277">
        <v>0.30399999999999999</v>
      </c>
      <c r="I277">
        <v>0</v>
      </c>
      <c r="J277">
        <v>0</v>
      </c>
    </row>
    <row r="278" spans="1:11" x14ac:dyDescent="0.25">
      <c r="A278" t="s">
        <v>1488</v>
      </c>
      <c r="B278">
        <v>58</v>
      </c>
      <c r="C278" t="s">
        <v>5420</v>
      </c>
      <c r="D278" t="s">
        <v>5429</v>
      </c>
      <c r="E278" t="s">
        <v>5433</v>
      </c>
      <c r="F278">
        <v>28</v>
      </c>
      <c r="G278">
        <v>0.152</v>
      </c>
      <c r="H278">
        <v>0.152</v>
      </c>
      <c r="I278">
        <v>0</v>
      </c>
      <c r="J278">
        <v>0</v>
      </c>
    </row>
    <row r="279" spans="1:11" x14ac:dyDescent="0.25">
      <c r="A279" t="s">
        <v>1491</v>
      </c>
      <c r="B279">
        <v>66</v>
      </c>
      <c r="C279" t="s">
        <v>5423</v>
      </c>
      <c r="D279" t="s">
        <v>5432</v>
      </c>
      <c r="E279" t="s">
        <v>5428</v>
      </c>
      <c r="F279">
        <v>42</v>
      </c>
      <c r="G279">
        <v>0.22800000000000001</v>
      </c>
      <c r="H279">
        <v>0.22800000000000001</v>
      </c>
      <c r="I279">
        <v>0</v>
      </c>
      <c r="J279">
        <v>0</v>
      </c>
    </row>
    <row r="280" spans="1:11" x14ac:dyDescent="0.25">
      <c r="A280" t="s">
        <v>1495</v>
      </c>
      <c r="B280">
        <v>79</v>
      </c>
      <c r="C280" t="s">
        <v>5434</v>
      </c>
      <c r="D280" t="s">
        <v>5421</v>
      </c>
      <c r="E280" t="s">
        <v>5427</v>
      </c>
      <c r="F280">
        <v>168</v>
      </c>
      <c r="G280">
        <v>0.91300000000000003</v>
      </c>
      <c r="H280">
        <v>0.91300000000000003</v>
      </c>
      <c r="I280">
        <v>0</v>
      </c>
      <c r="J280">
        <v>0</v>
      </c>
    </row>
    <row r="281" spans="1:11" x14ac:dyDescent="0.25">
      <c r="A281" t="s">
        <v>1503</v>
      </c>
      <c r="B281">
        <v>66</v>
      </c>
      <c r="C281" t="s">
        <v>5420</v>
      </c>
      <c r="D281" t="s">
        <v>5426</v>
      </c>
      <c r="E281" t="s">
        <v>5422</v>
      </c>
      <c r="F281">
        <v>105</v>
      </c>
      <c r="G281">
        <v>0.57099999999999995</v>
      </c>
      <c r="H281">
        <v>0.57099999999999995</v>
      </c>
      <c r="I281">
        <v>0</v>
      </c>
      <c r="J281">
        <v>0</v>
      </c>
    </row>
    <row r="282" spans="1:11" x14ac:dyDescent="0.25">
      <c r="A282" t="s">
        <v>1510</v>
      </c>
      <c r="B282">
        <v>59</v>
      </c>
      <c r="C282" t="s">
        <v>5423</v>
      </c>
      <c r="D282" t="s">
        <v>5426</v>
      </c>
      <c r="E282" t="s">
        <v>5430</v>
      </c>
      <c r="F282">
        <v>120</v>
      </c>
      <c r="G282">
        <v>0.65200000000000002</v>
      </c>
      <c r="H282">
        <v>0.65200000000000002</v>
      </c>
      <c r="I282">
        <v>0</v>
      </c>
      <c r="J282">
        <v>0</v>
      </c>
    </row>
    <row r="283" spans="1:11" x14ac:dyDescent="0.25">
      <c r="A283" t="s">
        <v>1516</v>
      </c>
      <c r="B283">
        <v>45</v>
      </c>
      <c r="C283" t="s">
        <v>5420</v>
      </c>
      <c r="D283" t="s">
        <v>5432</v>
      </c>
      <c r="E283" t="s">
        <v>5428</v>
      </c>
      <c r="F283">
        <v>112</v>
      </c>
      <c r="G283">
        <v>0.60899999999999999</v>
      </c>
      <c r="H283">
        <v>0.60899999999999999</v>
      </c>
      <c r="I283">
        <v>0</v>
      </c>
      <c r="J283">
        <v>0</v>
      </c>
    </row>
    <row r="284" spans="1:11" x14ac:dyDescent="0.25">
      <c r="A284" t="s">
        <v>1522</v>
      </c>
      <c r="B284">
        <v>64</v>
      </c>
      <c r="C284" t="s">
        <v>5423</v>
      </c>
      <c r="D284" t="s">
        <v>5432</v>
      </c>
      <c r="E284" t="s">
        <v>5428</v>
      </c>
      <c r="F284">
        <v>168</v>
      </c>
      <c r="G284">
        <v>0.91300000000000003</v>
      </c>
      <c r="H284">
        <v>0.91300000000000003</v>
      </c>
      <c r="I284">
        <v>0</v>
      </c>
      <c r="J284">
        <v>0</v>
      </c>
    </row>
    <row r="285" spans="1:11" x14ac:dyDescent="0.25">
      <c r="A285" t="s">
        <v>1530</v>
      </c>
      <c r="B285">
        <v>72</v>
      </c>
      <c r="C285" t="s">
        <v>5423</v>
      </c>
      <c r="D285" t="s">
        <v>5432</v>
      </c>
      <c r="E285" t="s">
        <v>5425</v>
      </c>
      <c r="F285">
        <v>56</v>
      </c>
      <c r="G285">
        <v>0.30399999999999999</v>
      </c>
      <c r="H285">
        <v>0.30399999999999999</v>
      </c>
      <c r="I285">
        <v>0</v>
      </c>
      <c r="J285">
        <v>0</v>
      </c>
    </row>
    <row r="286" spans="1:11" x14ac:dyDescent="0.25">
      <c r="A286" t="s">
        <v>1533</v>
      </c>
      <c r="B286">
        <v>68</v>
      </c>
      <c r="C286" t="s">
        <v>5420</v>
      </c>
      <c r="D286" t="s">
        <v>5426</v>
      </c>
      <c r="E286" t="s">
        <v>5428</v>
      </c>
      <c r="F286">
        <v>90</v>
      </c>
      <c r="G286">
        <v>0.48899999999999999</v>
      </c>
      <c r="H286">
        <v>0.48899999999999999</v>
      </c>
      <c r="I286">
        <v>0</v>
      </c>
      <c r="J286">
        <v>0</v>
      </c>
    </row>
    <row r="287" spans="1:11" x14ac:dyDescent="0.25">
      <c r="A287" t="s">
        <v>1538</v>
      </c>
      <c r="B287">
        <v>46</v>
      </c>
      <c r="C287" t="s">
        <v>5423</v>
      </c>
      <c r="D287" t="s">
        <v>5429</v>
      </c>
      <c r="E287" t="s">
        <v>5431</v>
      </c>
      <c r="F287">
        <v>210</v>
      </c>
      <c r="G287">
        <v>1.141</v>
      </c>
      <c r="H287">
        <v>1</v>
      </c>
      <c r="I287">
        <v>1</v>
      </c>
      <c r="J287">
        <v>0</v>
      </c>
      <c r="K287" t="s">
        <v>5435</v>
      </c>
    </row>
    <row r="288" spans="1:11" x14ac:dyDescent="0.25">
      <c r="A288" t="s">
        <v>1547</v>
      </c>
      <c r="B288">
        <v>66</v>
      </c>
      <c r="C288" t="s">
        <v>5420</v>
      </c>
      <c r="D288" t="s">
        <v>5421</v>
      </c>
      <c r="E288" t="s">
        <v>5428</v>
      </c>
      <c r="F288">
        <v>196</v>
      </c>
      <c r="G288">
        <v>1.0649999999999999</v>
      </c>
      <c r="H288">
        <v>1</v>
      </c>
      <c r="I288">
        <v>1</v>
      </c>
      <c r="J288">
        <v>0</v>
      </c>
      <c r="K288" t="s">
        <v>5435</v>
      </c>
    </row>
    <row r="289" spans="1:11" x14ac:dyDescent="0.25">
      <c r="A289" t="s">
        <v>1556</v>
      </c>
      <c r="B289">
        <v>64</v>
      </c>
      <c r="C289" t="s">
        <v>5423</v>
      </c>
      <c r="D289" t="s">
        <v>5432</v>
      </c>
      <c r="E289" t="s">
        <v>5430</v>
      </c>
      <c r="F289">
        <v>30</v>
      </c>
      <c r="G289">
        <v>0.16300000000000001</v>
      </c>
      <c r="H289">
        <v>0.16300000000000001</v>
      </c>
      <c r="I289">
        <v>0</v>
      </c>
      <c r="J289">
        <v>0</v>
      </c>
    </row>
    <row r="290" spans="1:11" x14ac:dyDescent="0.25">
      <c r="A290" t="s">
        <v>1559</v>
      </c>
      <c r="B290">
        <v>67</v>
      </c>
      <c r="C290" t="s">
        <v>5423</v>
      </c>
      <c r="D290" t="s">
        <v>5432</v>
      </c>
      <c r="E290" t="s">
        <v>5425</v>
      </c>
      <c r="F290">
        <v>30</v>
      </c>
      <c r="G290">
        <v>0.16300000000000001</v>
      </c>
      <c r="H290">
        <v>0.16300000000000001</v>
      </c>
      <c r="I290">
        <v>0</v>
      </c>
      <c r="J290">
        <v>0</v>
      </c>
    </row>
    <row r="291" spans="1:11" x14ac:dyDescent="0.25">
      <c r="A291" t="s">
        <v>1562</v>
      </c>
      <c r="B291">
        <v>58</v>
      </c>
      <c r="C291" t="s">
        <v>5420</v>
      </c>
      <c r="D291" t="s">
        <v>5432</v>
      </c>
      <c r="E291" t="s">
        <v>5425</v>
      </c>
      <c r="F291">
        <v>90</v>
      </c>
      <c r="G291">
        <v>0.48899999999999999</v>
      </c>
      <c r="H291">
        <v>0.48899999999999999</v>
      </c>
      <c r="I291">
        <v>0</v>
      </c>
      <c r="J291">
        <v>0</v>
      </c>
    </row>
    <row r="292" spans="1:11" x14ac:dyDescent="0.25">
      <c r="A292" t="s">
        <v>1567</v>
      </c>
      <c r="B292">
        <v>49</v>
      </c>
      <c r="C292" t="s">
        <v>5420</v>
      </c>
      <c r="D292" t="s">
        <v>5421</v>
      </c>
      <c r="E292" t="s">
        <v>5428</v>
      </c>
      <c r="F292">
        <v>30</v>
      </c>
      <c r="G292">
        <v>0.16300000000000001</v>
      </c>
      <c r="H292">
        <v>0.16300000000000001</v>
      </c>
      <c r="I292">
        <v>0</v>
      </c>
      <c r="J292">
        <v>0</v>
      </c>
    </row>
    <row r="293" spans="1:11" x14ac:dyDescent="0.25">
      <c r="A293" t="s">
        <v>1570</v>
      </c>
      <c r="B293">
        <v>73</v>
      </c>
      <c r="C293" t="s">
        <v>5420</v>
      </c>
      <c r="D293" t="s">
        <v>5429</v>
      </c>
      <c r="E293" t="s">
        <v>5431</v>
      </c>
      <c r="F293">
        <v>84</v>
      </c>
      <c r="G293">
        <v>0.45700000000000002</v>
      </c>
      <c r="H293">
        <v>0.45700000000000002</v>
      </c>
      <c r="I293">
        <v>0</v>
      </c>
      <c r="J293">
        <v>0</v>
      </c>
    </row>
    <row r="294" spans="1:11" x14ac:dyDescent="0.25">
      <c r="A294" t="s">
        <v>1575</v>
      </c>
      <c r="B294">
        <v>62</v>
      </c>
      <c r="C294" t="s">
        <v>5423</v>
      </c>
      <c r="D294" t="s">
        <v>5432</v>
      </c>
      <c r="E294" t="s">
        <v>5422</v>
      </c>
      <c r="F294">
        <v>28</v>
      </c>
      <c r="G294">
        <v>0.152</v>
      </c>
      <c r="H294">
        <v>0.152</v>
      </c>
      <c r="I294">
        <v>0</v>
      </c>
      <c r="J294">
        <v>0</v>
      </c>
    </row>
    <row r="295" spans="1:11" x14ac:dyDescent="0.25">
      <c r="A295" t="s">
        <v>1578</v>
      </c>
      <c r="B295">
        <v>49</v>
      </c>
      <c r="C295" t="s">
        <v>5423</v>
      </c>
      <c r="D295" t="s">
        <v>5426</v>
      </c>
      <c r="E295" t="s">
        <v>5428</v>
      </c>
      <c r="F295">
        <v>56</v>
      </c>
      <c r="G295">
        <v>0.30399999999999999</v>
      </c>
      <c r="H295">
        <v>0.30399999999999999</v>
      </c>
      <c r="I295">
        <v>0</v>
      </c>
      <c r="J295">
        <v>0</v>
      </c>
    </row>
    <row r="296" spans="1:11" x14ac:dyDescent="0.25">
      <c r="A296" t="s">
        <v>1582</v>
      </c>
      <c r="B296">
        <v>58</v>
      </c>
      <c r="C296" t="s">
        <v>5423</v>
      </c>
      <c r="D296" t="s">
        <v>5426</v>
      </c>
      <c r="E296" t="s">
        <v>5427</v>
      </c>
      <c r="F296">
        <v>28</v>
      </c>
      <c r="G296">
        <v>0.152</v>
      </c>
      <c r="H296">
        <v>0.152</v>
      </c>
      <c r="I296">
        <v>0</v>
      </c>
      <c r="J296">
        <v>0</v>
      </c>
    </row>
    <row r="297" spans="1:11" x14ac:dyDescent="0.25">
      <c r="A297" t="s">
        <v>1585</v>
      </c>
      <c r="B297">
        <v>58</v>
      </c>
      <c r="C297" t="s">
        <v>5423</v>
      </c>
      <c r="D297" t="s">
        <v>5424</v>
      </c>
      <c r="E297" t="s">
        <v>5422</v>
      </c>
      <c r="F297">
        <v>42</v>
      </c>
      <c r="G297">
        <v>0.22800000000000001</v>
      </c>
      <c r="H297">
        <v>0.22800000000000001</v>
      </c>
      <c r="I297">
        <v>0</v>
      </c>
      <c r="J297">
        <v>0</v>
      </c>
    </row>
    <row r="298" spans="1:11" x14ac:dyDescent="0.25">
      <c r="A298" t="s">
        <v>1589</v>
      </c>
      <c r="B298">
        <v>72</v>
      </c>
      <c r="C298" t="s">
        <v>5420</v>
      </c>
      <c r="D298" t="s">
        <v>5432</v>
      </c>
      <c r="E298" t="s">
        <v>5431</v>
      </c>
      <c r="F298">
        <v>112</v>
      </c>
      <c r="G298">
        <v>0.60899999999999999</v>
      </c>
      <c r="H298">
        <v>0.60899999999999999</v>
      </c>
      <c r="I298">
        <v>0</v>
      </c>
      <c r="J298">
        <v>0</v>
      </c>
    </row>
    <row r="299" spans="1:11" x14ac:dyDescent="0.25">
      <c r="A299" t="s">
        <v>1595</v>
      </c>
      <c r="B299">
        <v>64</v>
      </c>
      <c r="C299" t="s">
        <v>5423</v>
      </c>
      <c r="D299" t="s">
        <v>5421</v>
      </c>
      <c r="E299" t="s">
        <v>5425</v>
      </c>
      <c r="F299">
        <v>63</v>
      </c>
      <c r="G299">
        <v>0.34200000000000003</v>
      </c>
      <c r="H299">
        <v>0.34200000000000003</v>
      </c>
      <c r="I299">
        <v>0</v>
      </c>
      <c r="J299">
        <v>0</v>
      </c>
    </row>
    <row r="300" spans="1:11" x14ac:dyDescent="0.25">
      <c r="A300" t="s">
        <v>1600</v>
      </c>
      <c r="B300">
        <v>69</v>
      </c>
      <c r="C300" t="s">
        <v>5423</v>
      </c>
      <c r="D300" t="s">
        <v>5429</v>
      </c>
      <c r="E300" t="s">
        <v>5430</v>
      </c>
      <c r="F300">
        <v>56</v>
      </c>
      <c r="G300">
        <v>0.30399999999999999</v>
      </c>
      <c r="H300">
        <v>0.30399999999999999</v>
      </c>
      <c r="I300">
        <v>0</v>
      </c>
      <c r="J300">
        <v>0</v>
      </c>
    </row>
    <row r="301" spans="1:11" x14ac:dyDescent="0.25">
      <c r="A301" t="s">
        <v>1606</v>
      </c>
      <c r="B301">
        <v>61</v>
      </c>
      <c r="C301" t="s">
        <v>5434</v>
      </c>
      <c r="D301" t="s">
        <v>5421</v>
      </c>
      <c r="E301" t="s">
        <v>5425</v>
      </c>
      <c r="F301">
        <v>60</v>
      </c>
      <c r="G301">
        <v>0.32600000000000001</v>
      </c>
      <c r="H301">
        <v>0.32600000000000001</v>
      </c>
      <c r="I301">
        <v>0</v>
      </c>
      <c r="J301">
        <v>0</v>
      </c>
    </row>
    <row r="302" spans="1:11" x14ac:dyDescent="0.25">
      <c r="A302" t="s">
        <v>1610</v>
      </c>
      <c r="B302">
        <v>71</v>
      </c>
      <c r="C302" t="s">
        <v>5423</v>
      </c>
      <c r="D302" t="s">
        <v>5432</v>
      </c>
      <c r="E302" t="s">
        <v>5427</v>
      </c>
      <c r="F302">
        <v>84</v>
      </c>
      <c r="G302">
        <v>0.45700000000000002</v>
      </c>
      <c r="H302">
        <v>0.45700000000000002</v>
      </c>
      <c r="I302">
        <v>0</v>
      </c>
      <c r="J302">
        <v>0</v>
      </c>
    </row>
    <row r="303" spans="1:11" x14ac:dyDescent="0.25">
      <c r="A303" t="s">
        <v>1615</v>
      </c>
      <c r="B303">
        <v>65</v>
      </c>
      <c r="C303" t="s">
        <v>5420</v>
      </c>
      <c r="D303" t="s">
        <v>5429</v>
      </c>
      <c r="E303" t="s">
        <v>5422</v>
      </c>
      <c r="F303">
        <v>189</v>
      </c>
      <c r="G303">
        <v>1.0269999999999999</v>
      </c>
      <c r="H303">
        <v>1</v>
      </c>
      <c r="I303">
        <v>1</v>
      </c>
      <c r="J303">
        <v>0</v>
      </c>
      <c r="K303" t="s">
        <v>5435</v>
      </c>
    </row>
    <row r="304" spans="1:11" x14ac:dyDescent="0.25">
      <c r="A304" t="s">
        <v>1626</v>
      </c>
      <c r="B304">
        <v>73</v>
      </c>
      <c r="C304" t="s">
        <v>5423</v>
      </c>
      <c r="D304" t="s">
        <v>5421</v>
      </c>
      <c r="E304" t="s">
        <v>5431</v>
      </c>
      <c r="F304">
        <v>42</v>
      </c>
      <c r="G304">
        <v>0.22800000000000001</v>
      </c>
      <c r="H304">
        <v>0.22800000000000001</v>
      </c>
      <c r="I304">
        <v>0</v>
      </c>
      <c r="J304">
        <v>0</v>
      </c>
    </row>
    <row r="305" spans="1:11" x14ac:dyDescent="0.25">
      <c r="A305" t="s">
        <v>1630</v>
      </c>
      <c r="B305">
        <v>51</v>
      </c>
      <c r="C305" t="s">
        <v>5423</v>
      </c>
      <c r="D305" t="s">
        <v>5432</v>
      </c>
      <c r="E305" t="s">
        <v>5431</v>
      </c>
      <c r="F305">
        <v>180</v>
      </c>
      <c r="G305">
        <v>0.97799999999999998</v>
      </c>
      <c r="H305">
        <v>0.97799999999999998</v>
      </c>
      <c r="I305">
        <v>0</v>
      </c>
      <c r="J305">
        <v>0</v>
      </c>
    </row>
    <row r="306" spans="1:11" x14ac:dyDescent="0.25">
      <c r="A306" t="s">
        <v>1638</v>
      </c>
      <c r="B306">
        <v>60</v>
      </c>
      <c r="C306" t="s">
        <v>5423</v>
      </c>
      <c r="D306" t="s">
        <v>5421</v>
      </c>
      <c r="E306" t="s">
        <v>5428</v>
      </c>
      <c r="F306">
        <v>56</v>
      </c>
      <c r="G306">
        <v>0.30399999999999999</v>
      </c>
      <c r="H306">
        <v>0.30399999999999999</v>
      </c>
      <c r="I306">
        <v>0</v>
      </c>
      <c r="J306">
        <v>0</v>
      </c>
    </row>
    <row r="307" spans="1:11" x14ac:dyDescent="0.25">
      <c r="A307" t="s">
        <v>1642</v>
      </c>
      <c r="B307">
        <v>64</v>
      </c>
      <c r="C307" t="s">
        <v>5423</v>
      </c>
      <c r="D307" t="s">
        <v>5426</v>
      </c>
      <c r="E307" t="s">
        <v>5425</v>
      </c>
      <c r="F307">
        <v>28</v>
      </c>
      <c r="G307">
        <v>0.152</v>
      </c>
      <c r="H307">
        <v>0.152</v>
      </c>
      <c r="I307">
        <v>0</v>
      </c>
      <c r="J307">
        <v>0</v>
      </c>
    </row>
    <row r="308" spans="1:11" x14ac:dyDescent="0.25">
      <c r="A308" t="s">
        <v>1645</v>
      </c>
      <c r="B308">
        <v>64</v>
      </c>
      <c r="C308" t="s">
        <v>5423</v>
      </c>
      <c r="D308" t="s">
        <v>5426</v>
      </c>
      <c r="E308" t="s">
        <v>5422</v>
      </c>
      <c r="F308">
        <v>196</v>
      </c>
      <c r="G308">
        <v>1.0649999999999999</v>
      </c>
      <c r="H308">
        <v>1</v>
      </c>
      <c r="I308">
        <v>1</v>
      </c>
      <c r="J308">
        <v>0</v>
      </c>
      <c r="K308" t="s">
        <v>5435</v>
      </c>
    </row>
    <row r="309" spans="1:11" x14ac:dyDescent="0.25">
      <c r="A309" t="s">
        <v>1654</v>
      </c>
      <c r="B309">
        <v>72</v>
      </c>
      <c r="C309" t="s">
        <v>5420</v>
      </c>
      <c r="D309" t="s">
        <v>5426</v>
      </c>
      <c r="E309" t="s">
        <v>5428</v>
      </c>
      <c r="F309">
        <v>84</v>
      </c>
      <c r="G309">
        <v>0.45700000000000002</v>
      </c>
      <c r="H309">
        <v>0.45700000000000002</v>
      </c>
      <c r="I309">
        <v>0</v>
      </c>
      <c r="J309">
        <v>0</v>
      </c>
    </row>
    <row r="310" spans="1:11" x14ac:dyDescent="0.25">
      <c r="A310" t="s">
        <v>1659</v>
      </c>
      <c r="B310">
        <v>78</v>
      </c>
      <c r="C310" t="s">
        <v>5423</v>
      </c>
      <c r="D310" t="s">
        <v>5421</v>
      </c>
      <c r="E310" t="s">
        <v>5431</v>
      </c>
      <c r="F310">
        <v>21</v>
      </c>
      <c r="G310">
        <v>0.114</v>
      </c>
      <c r="H310">
        <v>0.114</v>
      </c>
      <c r="I310">
        <v>0</v>
      </c>
      <c r="J310">
        <v>0</v>
      </c>
    </row>
    <row r="311" spans="1:11" x14ac:dyDescent="0.25">
      <c r="A311" t="s">
        <v>1662</v>
      </c>
      <c r="B311">
        <v>50</v>
      </c>
      <c r="C311" t="s">
        <v>5423</v>
      </c>
      <c r="D311" t="s">
        <v>5432</v>
      </c>
      <c r="E311" t="s">
        <v>5427</v>
      </c>
      <c r="F311">
        <v>60</v>
      </c>
      <c r="G311">
        <v>0.32600000000000001</v>
      </c>
      <c r="H311">
        <v>0.32600000000000001</v>
      </c>
      <c r="I311">
        <v>0</v>
      </c>
      <c r="J311">
        <v>0</v>
      </c>
    </row>
    <row r="312" spans="1:11" x14ac:dyDescent="0.25">
      <c r="A312" t="s">
        <v>1666</v>
      </c>
      <c r="B312">
        <v>65</v>
      </c>
      <c r="C312" t="s">
        <v>5423</v>
      </c>
      <c r="D312" t="s">
        <v>5424</v>
      </c>
      <c r="E312" t="s">
        <v>5422</v>
      </c>
      <c r="F312">
        <v>56</v>
      </c>
      <c r="G312">
        <v>0.30399999999999999</v>
      </c>
      <c r="H312">
        <v>0.30399999999999999</v>
      </c>
      <c r="I312">
        <v>0</v>
      </c>
      <c r="J312">
        <v>0</v>
      </c>
    </row>
    <row r="313" spans="1:11" x14ac:dyDescent="0.25">
      <c r="A313" t="s">
        <v>1670</v>
      </c>
      <c r="B313">
        <v>66</v>
      </c>
      <c r="C313" t="s">
        <v>5420</v>
      </c>
      <c r="D313" t="s">
        <v>5426</v>
      </c>
      <c r="E313" t="s">
        <v>5427</v>
      </c>
      <c r="F313">
        <v>84</v>
      </c>
      <c r="G313">
        <v>0.45700000000000002</v>
      </c>
      <c r="H313">
        <v>0.45700000000000002</v>
      </c>
      <c r="I313">
        <v>0</v>
      </c>
      <c r="J313">
        <v>0</v>
      </c>
    </row>
    <row r="314" spans="1:11" x14ac:dyDescent="0.25">
      <c r="A314" t="s">
        <v>1675</v>
      </c>
      <c r="B314">
        <v>67</v>
      </c>
      <c r="C314" t="s">
        <v>5420</v>
      </c>
      <c r="D314" t="s">
        <v>5424</v>
      </c>
      <c r="E314" t="s">
        <v>5428</v>
      </c>
      <c r="F314">
        <v>56</v>
      </c>
      <c r="G314">
        <v>0.30399999999999999</v>
      </c>
      <c r="H314">
        <v>0.30399999999999999</v>
      </c>
      <c r="I314">
        <v>0</v>
      </c>
      <c r="J314">
        <v>0</v>
      </c>
    </row>
    <row r="315" spans="1:11" x14ac:dyDescent="0.25">
      <c r="A315" t="s">
        <v>1679</v>
      </c>
      <c r="B315">
        <v>69</v>
      </c>
      <c r="C315" t="s">
        <v>5423</v>
      </c>
      <c r="D315" t="s">
        <v>5429</v>
      </c>
      <c r="E315" t="s">
        <v>5425</v>
      </c>
      <c r="F315">
        <v>63</v>
      </c>
      <c r="G315">
        <v>0.34200000000000003</v>
      </c>
      <c r="H315">
        <v>0.34200000000000003</v>
      </c>
      <c r="I315">
        <v>0</v>
      </c>
      <c r="J315">
        <v>0</v>
      </c>
    </row>
    <row r="316" spans="1:11" x14ac:dyDescent="0.25">
      <c r="A316" t="s">
        <v>1684</v>
      </c>
      <c r="B316">
        <v>51</v>
      </c>
      <c r="C316" t="s">
        <v>5423</v>
      </c>
      <c r="D316" t="s">
        <v>5432</v>
      </c>
      <c r="E316" t="s">
        <v>5428</v>
      </c>
      <c r="F316">
        <v>42</v>
      </c>
      <c r="G316">
        <v>0.22800000000000001</v>
      </c>
      <c r="H316">
        <v>0.22800000000000001</v>
      </c>
      <c r="I316">
        <v>0</v>
      </c>
      <c r="J316">
        <v>0</v>
      </c>
    </row>
    <row r="317" spans="1:11" x14ac:dyDescent="0.25">
      <c r="A317" t="s">
        <v>1688</v>
      </c>
      <c r="B317">
        <v>47</v>
      </c>
      <c r="C317" t="s">
        <v>5420</v>
      </c>
      <c r="D317" t="s">
        <v>5432</v>
      </c>
      <c r="E317" t="s">
        <v>5428</v>
      </c>
      <c r="F317">
        <v>112</v>
      </c>
      <c r="G317">
        <v>0.60899999999999999</v>
      </c>
      <c r="H317">
        <v>0.60899999999999999</v>
      </c>
      <c r="I317">
        <v>0</v>
      </c>
      <c r="J317">
        <v>0</v>
      </c>
    </row>
    <row r="318" spans="1:11" x14ac:dyDescent="0.25">
      <c r="A318" t="s">
        <v>1692</v>
      </c>
      <c r="B318">
        <v>78</v>
      </c>
      <c r="C318" t="s">
        <v>5420</v>
      </c>
      <c r="D318" t="s">
        <v>5432</v>
      </c>
      <c r="E318" t="s">
        <v>5430</v>
      </c>
      <c r="F318">
        <v>56</v>
      </c>
      <c r="G318">
        <v>0.30399999999999999</v>
      </c>
      <c r="H318">
        <v>0.30399999999999999</v>
      </c>
      <c r="I318">
        <v>0</v>
      </c>
      <c r="J318">
        <v>0</v>
      </c>
    </row>
    <row r="319" spans="1:11" x14ac:dyDescent="0.25">
      <c r="A319" t="s">
        <v>1695</v>
      </c>
      <c r="B319">
        <v>72</v>
      </c>
      <c r="C319" t="s">
        <v>5423</v>
      </c>
      <c r="D319" t="s">
        <v>5432</v>
      </c>
      <c r="E319" t="s">
        <v>5425</v>
      </c>
      <c r="F319">
        <v>196</v>
      </c>
      <c r="G319">
        <v>1.0649999999999999</v>
      </c>
      <c r="H319">
        <v>1</v>
      </c>
      <c r="I319">
        <v>1</v>
      </c>
      <c r="J319">
        <v>0</v>
      </c>
      <c r="K319" t="s">
        <v>5435</v>
      </c>
    </row>
    <row r="320" spans="1:11" x14ac:dyDescent="0.25">
      <c r="A320" t="s">
        <v>1704</v>
      </c>
      <c r="B320">
        <v>48</v>
      </c>
      <c r="C320" t="s">
        <v>5423</v>
      </c>
      <c r="D320" t="s">
        <v>5426</v>
      </c>
      <c r="E320" t="s">
        <v>5428</v>
      </c>
      <c r="F320">
        <v>28</v>
      </c>
      <c r="G320">
        <v>0.152</v>
      </c>
      <c r="H320">
        <v>0.152</v>
      </c>
      <c r="I320">
        <v>0</v>
      </c>
      <c r="J320">
        <v>0</v>
      </c>
    </row>
    <row r="321" spans="1:10" x14ac:dyDescent="0.25">
      <c r="A321" t="s">
        <v>1707</v>
      </c>
      <c r="B321">
        <v>45</v>
      </c>
      <c r="C321" t="s">
        <v>5423</v>
      </c>
      <c r="D321" t="s">
        <v>5426</v>
      </c>
      <c r="E321" t="s">
        <v>5427</v>
      </c>
      <c r="F321">
        <v>140</v>
      </c>
      <c r="G321">
        <v>0.76100000000000001</v>
      </c>
      <c r="H321">
        <v>0.76100000000000001</v>
      </c>
      <c r="I321">
        <v>0</v>
      </c>
      <c r="J321">
        <v>0</v>
      </c>
    </row>
    <row r="322" spans="1:10" x14ac:dyDescent="0.25">
      <c r="A322" t="s">
        <v>1714</v>
      </c>
      <c r="B322">
        <v>69</v>
      </c>
      <c r="C322" t="s">
        <v>5423</v>
      </c>
      <c r="D322" t="s">
        <v>5429</v>
      </c>
      <c r="E322" t="s">
        <v>5431</v>
      </c>
      <c r="F322">
        <v>90</v>
      </c>
      <c r="G322">
        <v>0.48899999999999999</v>
      </c>
      <c r="H322">
        <v>0.48899999999999999</v>
      </c>
      <c r="I322">
        <v>0</v>
      </c>
      <c r="J322">
        <v>0</v>
      </c>
    </row>
    <row r="323" spans="1:10" x14ac:dyDescent="0.25">
      <c r="A323" t="s">
        <v>1719</v>
      </c>
      <c r="B323">
        <v>64</v>
      </c>
      <c r="C323" t="s">
        <v>5420</v>
      </c>
      <c r="D323" t="s">
        <v>5429</v>
      </c>
      <c r="E323" t="s">
        <v>5428</v>
      </c>
      <c r="F323">
        <v>90</v>
      </c>
      <c r="G323">
        <v>0.48899999999999999</v>
      </c>
      <c r="H323">
        <v>0.48899999999999999</v>
      </c>
      <c r="I323">
        <v>0</v>
      </c>
      <c r="J323">
        <v>0</v>
      </c>
    </row>
    <row r="324" spans="1:10" x14ac:dyDescent="0.25">
      <c r="A324" t="s">
        <v>1724</v>
      </c>
      <c r="B324">
        <v>45</v>
      </c>
      <c r="C324" t="s">
        <v>5420</v>
      </c>
      <c r="D324" t="s">
        <v>5424</v>
      </c>
      <c r="E324" t="s">
        <v>5430</v>
      </c>
      <c r="F324">
        <v>84</v>
      </c>
      <c r="G324">
        <v>0.45700000000000002</v>
      </c>
      <c r="H324">
        <v>0.45700000000000002</v>
      </c>
      <c r="I324">
        <v>0</v>
      </c>
      <c r="J324">
        <v>0</v>
      </c>
    </row>
    <row r="325" spans="1:10" x14ac:dyDescent="0.25">
      <c r="A325" t="s">
        <v>1729</v>
      </c>
      <c r="B325">
        <v>61</v>
      </c>
      <c r="C325" t="s">
        <v>5420</v>
      </c>
      <c r="D325" t="s">
        <v>5426</v>
      </c>
      <c r="E325" t="s">
        <v>5425</v>
      </c>
      <c r="F325">
        <v>150</v>
      </c>
      <c r="G325">
        <v>0.81499999999999995</v>
      </c>
      <c r="H325">
        <v>0.81499999999999995</v>
      </c>
      <c r="I325">
        <v>0</v>
      </c>
      <c r="J325">
        <v>0</v>
      </c>
    </row>
    <row r="326" spans="1:10" x14ac:dyDescent="0.25">
      <c r="A326" t="s">
        <v>1736</v>
      </c>
      <c r="B326">
        <v>52</v>
      </c>
      <c r="C326" t="s">
        <v>5420</v>
      </c>
      <c r="D326" t="s">
        <v>5429</v>
      </c>
      <c r="E326" t="s">
        <v>5430</v>
      </c>
      <c r="F326">
        <v>84</v>
      </c>
      <c r="G326">
        <v>0.45700000000000002</v>
      </c>
      <c r="H326">
        <v>0.45700000000000002</v>
      </c>
      <c r="I326">
        <v>0</v>
      </c>
      <c r="J326">
        <v>0</v>
      </c>
    </row>
    <row r="327" spans="1:10" x14ac:dyDescent="0.25">
      <c r="A327" t="s">
        <v>1741</v>
      </c>
      <c r="B327">
        <v>71</v>
      </c>
      <c r="C327" t="s">
        <v>5420</v>
      </c>
      <c r="D327" t="s">
        <v>5426</v>
      </c>
      <c r="E327" t="s">
        <v>5425</v>
      </c>
      <c r="F327">
        <v>56</v>
      </c>
      <c r="G327">
        <v>0.30399999999999999</v>
      </c>
      <c r="H327">
        <v>0.30399999999999999</v>
      </c>
      <c r="I327">
        <v>0</v>
      </c>
      <c r="J327">
        <v>0</v>
      </c>
    </row>
    <row r="328" spans="1:10" x14ac:dyDescent="0.25">
      <c r="A328" t="s">
        <v>1745</v>
      </c>
      <c r="B328">
        <v>55</v>
      </c>
      <c r="C328" t="s">
        <v>5420</v>
      </c>
      <c r="D328" t="s">
        <v>5421</v>
      </c>
      <c r="E328" t="s">
        <v>5428</v>
      </c>
      <c r="F328">
        <v>180</v>
      </c>
      <c r="G328">
        <v>0.97799999999999998</v>
      </c>
      <c r="H328">
        <v>0.97799999999999998</v>
      </c>
      <c r="I328">
        <v>0</v>
      </c>
      <c r="J328">
        <v>0</v>
      </c>
    </row>
    <row r="329" spans="1:10" x14ac:dyDescent="0.25">
      <c r="A329" t="s">
        <v>1753</v>
      </c>
      <c r="B329">
        <v>65</v>
      </c>
      <c r="C329" t="s">
        <v>5423</v>
      </c>
      <c r="D329" t="s">
        <v>5426</v>
      </c>
      <c r="E329" t="s">
        <v>5431</v>
      </c>
      <c r="F329">
        <v>56</v>
      </c>
      <c r="G329">
        <v>0.30399999999999999</v>
      </c>
      <c r="H329">
        <v>0.30399999999999999</v>
      </c>
      <c r="I329">
        <v>0</v>
      </c>
      <c r="J329">
        <v>0</v>
      </c>
    </row>
    <row r="330" spans="1:10" x14ac:dyDescent="0.25">
      <c r="A330" t="s">
        <v>1757</v>
      </c>
      <c r="B330">
        <v>63</v>
      </c>
      <c r="C330" t="s">
        <v>5423</v>
      </c>
      <c r="D330" t="s">
        <v>5424</v>
      </c>
      <c r="E330" t="s">
        <v>5428</v>
      </c>
      <c r="F330">
        <v>140</v>
      </c>
      <c r="G330">
        <v>0.76100000000000001</v>
      </c>
      <c r="H330">
        <v>0.76100000000000001</v>
      </c>
      <c r="I330">
        <v>0</v>
      </c>
      <c r="J330">
        <v>0</v>
      </c>
    </row>
    <row r="331" spans="1:10" x14ac:dyDescent="0.25">
      <c r="A331" t="s">
        <v>1764</v>
      </c>
      <c r="B331">
        <v>57</v>
      </c>
      <c r="C331" t="s">
        <v>5420</v>
      </c>
      <c r="D331" t="s">
        <v>5429</v>
      </c>
      <c r="E331" t="s">
        <v>5431</v>
      </c>
      <c r="F331">
        <v>112</v>
      </c>
      <c r="G331">
        <v>0.60899999999999999</v>
      </c>
      <c r="H331">
        <v>0.60899999999999999</v>
      </c>
      <c r="I331">
        <v>0</v>
      </c>
      <c r="J331">
        <v>0</v>
      </c>
    </row>
    <row r="332" spans="1:10" x14ac:dyDescent="0.25">
      <c r="A332" t="s">
        <v>1770</v>
      </c>
      <c r="B332">
        <v>47</v>
      </c>
      <c r="C332" t="s">
        <v>5423</v>
      </c>
      <c r="D332" t="s">
        <v>5432</v>
      </c>
      <c r="E332" t="s">
        <v>5427</v>
      </c>
      <c r="F332">
        <v>84</v>
      </c>
      <c r="G332">
        <v>0.45700000000000002</v>
      </c>
      <c r="H332">
        <v>0.45700000000000002</v>
      </c>
      <c r="I332">
        <v>0</v>
      </c>
      <c r="J332">
        <v>0</v>
      </c>
    </row>
    <row r="333" spans="1:10" x14ac:dyDescent="0.25">
      <c r="A333" t="s">
        <v>1775</v>
      </c>
      <c r="B333">
        <v>79</v>
      </c>
      <c r="C333" t="s">
        <v>5423</v>
      </c>
      <c r="D333" t="s">
        <v>5432</v>
      </c>
      <c r="E333" t="s">
        <v>5431</v>
      </c>
      <c r="F333">
        <v>98</v>
      </c>
      <c r="G333">
        <v>0.53300000000000003</v>
      </c>
      <c r="H333">
        <v>0.53300000000000003</v>
      </c>
      <c r="I333">
        <v>0</v>
      </c>
      <c r="J333">
        <v>0</v>
      </c>
    </row>
    <row r="334" spans="1:10" x14ac:dyDescent="0.25">
      <c r="A334" t="s">
        <v>1784</v>
      </c>
      <c r="B334">
        <v>59</v>
      </c>
      <c r="C334" t="s">
        <v>5420</v>
      </c>
      <c r="D334" t="s">
        <v>5426</v>
      </c>
      <c r="E334" t="s">
        <v>5427</v>
      </c>
      <c r="F334">
        <v>150</v>
      </c>
      <c r="G334">
        <v>0.81499999999999995</v>
      </c>
      <c r="H334">
        <v>0.81499999999999995</v>
      </c>
      <c r="I334">
        <v>0</v>
      </c>
      <c r="J334">
        <v>0</v>
      </c>
    </row>
    <row r="335" spans="1:10" x14ac:dyDescent="0.25">
      <c r="A335" t="s">
        <v>1791</v>
      </c>
      <c r="B335">
        <v>74</v>
      </c>
      <c r="C335" t="s">
        <v>5423</v>
      </c>
      <c r="D335" t="s">
        <v>5429</v>
      </c>
      <c r="E335" t="s">
        <v>5430</v>
      </c>
      <c r="F335">
        <v>56</v>
      </c>
      <c r="G335">
        <v>0.30399999999999999</v>
      </c>
      <c r="H335">
        <v>0.30399999999999999</v>
      </c>
      <c r="I335">
        <v>0</v>
      </c>
      <c r="J335">
        <v>0</v>
      </c>
    </row>
    <row r="336" spans="1:10" x14ac:dyDescent="0.25">
      <c r="A336" t="s">
        <v>1795</v>
      </c>
      <c r="B336">
        <v>68</v>
      </c>
      <c r="C336" t="s">
        <v>5420</v>
      </c>
      <c r="D336" t="s">
        <v>5429</v>
      </c>
      <c r="E336" t="s">
        <v>5428</v>
      </c>
      <c r="F336">
        <v>56</v>
      </c>
      <c r="G336">
        <v>0.30399999999999999</v>
      </c>
      <c r="H336">
        <v>0.30399999999999999</v>
      </c>
      <c r="I336">
        <v>0</v>
      </c>
      <c r="J336">
        <v>0</v>
      </c>
    </row>
    <row r="337" spans="1:10" x14ac:dyDescent="0.25">
      <c r="A337" t="s">
        <v>1799</v>
      </c>
      <c r="B337">
        <v>66</v>
      </c>
      <c r="C337" t="s">
        <v>5423</v>
      </c>
      <c r="D337" t="s">
        <v>5426</v>
      </c>
      <c r="E337" t="s">
        <v>5431</v>
      </c>
      <c r="F337">
        <v>28</v>
      </c>
      <c r="G337">
        <v>0.152</v>
      </c>
      <c r="H337">
        <v>0.152</v>
      </c>
      <c r="I337">
        <v>0</v>
      </c>
      <c r="J337">
        <v>0</v>
      </c>
    </row>
    <row r="338" spans="1:10" x14ac:dyDescent="0.25">
      <c r="A338" t="s">
        <v>1802</v>
      </c>
      <c r="B338">
        <v>56</v>
      </c>
      <c r="C338" t="s">
        <v>5423</v>
      </c>
      <c r="D338" t="s">
        <v>5421</v>
      </c>
      <c r="E338" t="s">
        <v>5431</v>
      </c>
      <c r="F338">
        <v>21</v>
      </c>
      <c r="G338">
        <v>0.114</v>
      </c>
      <c r="H338">
        <v>0.114</v>
      </c>
      <c r="I338">
        <v>0</v>
      </c>
      <c r="J338">
        <v>0</v>
      </c>
    </row>
    <row r="339" spans="1:10" x14ac:dyDescent="0.25">
      <c r="A339" t="s">
        <v>1805</v>
      </c>
      <c r="B339">
        <v>48</v>
      </c>
      <c r="C339" t="s">
        <v>5423</v>
      </c>
      <c r="D339" t="s">
        <v>5432</v>
      </c>
      <c r="E339" t="s">
        <v>5425</v>
      </c>
      <c r="F339">
        <v>28</v>
      </c>
      <c r="G339">
        <v>0.152</v>
      </c>
      <c r="H339">
        <v>0.152</v>
      </c>
      <c r="I339">
        <v>0</v>
      </c>
      <c r="J339">
        <v>0</v>
      </c>
    </row>
    <row r="340" spans="1:10" x14ac:dyDescent="0.25">
      <c r="A340" t="s">
        <v>1808</v>
      </c>
      <c r="B340">
        <v>78</v>
      </c>
      <c r="C340" t="s">
        <v>5434</v>
      </c>
      <c r="D340" t="s">
        <v>5429</v>
      </c>
      <c r="E340" t="s">
        <v>5428</v>
      </c>
      <c r="F340">
        <v>30</v>
      </c>
      <c r="G340">
        <v>0.16300000000000001</v>
      </c>
      <c r="H340">
        <v>0.16300000000000001</v>
      </c>
      <c r="I340">
        <v>0</v>
      </c>
      <c r="J340">
        <v>0</v>
      </c>
    </row>
    <row r="341" spans="1:10" x14ac:dyDescent="0.25">
      <c r="A341" t="s">
        <v>1811</v>
      </c>
      <c r="B341">
        <v>56</v>
      </c>
      <c r="C341" t="s">
        <v>5423</v>
      </c>
      <c r="D341" t="s">
        <v>5426</v>
      </c>
      <c r="E341" t="s">
        <v>5422</v>
      </c>
      <c r="F341">
        <v>140</v>
      </c>
      <c r="G341">
        <v>0.76100000000000001</v>
      </c>
      <c r="H341">
        <v>0.76100000000000001</v>
      </c>
      <c r="I341">
        <v>0</v>
      </c>
      <c r="J341">
        <v>0</v>
      </c>
    </row>
    <row r="342" spans="1:10" x14ac:dyDescent="0.25">
      <c r="A342" t="s">
        <v>1818</v>
      </c>
      <c r="B342">
        <v>58</v>
      </c>
      <c r="C342" t="s">
        <v>5423</v>
      </c>
      <c r="D342" t="s">
        <v>5429</v>
      </c>
      <c r="E342" t="s">
        <v>5430</v>
      </c>
      <c r="F342">
        <v>120</v>
      </c>
      <c r="G342">
        <v>0.65200000000000002</v>
      </c>
      <c r="H342">
        <v>0.65200000000000002</v>
      </c>
      <c r="I342">
        <v>0</v>
      </c>
      <c r="J342">
        <v>0</v>
      </c>
    </row>
    <row r="343" spans="1:10" x14ac:dyDescent="0.25">
      <c r="A343" t="s">
        <v>1824</v>
      </c>
      <c r="B343">
        <v>59</v>
      </c>
      <c r="C343" t="s">
        <v>5420</v>
      </c>
      <c r="D343" t="s">
        <v>5432</v>
      </c>
      <c r="E343" t="s">
        <v>5431</v>
      </c>
      <c r="F343">
        <v>60</v>
      </c>
      <c r="G343">
        <v>0.32600000000000001</v>
      </c>
      <c r="H343">
        <v>0.32600000000000001</v>
      </c>
      <c r="I343">
        <v>0</v>
      </c>
      <c r="J343">
        <v>0</v>
      </c>
    </row>
    <row r="344" spans="1:10" x14ac:dyDescent="0.25">
      <c r="A344" t="s">
        <v>1828</v>
      </c>
      <c r="B344">
        <v>62</v>
      </c>
      <c r="C344" t="s">
        <v>5423</v>
      </c>
      <c r="D344" t="s">
        <v>5429</v>
      </c>
      <c r="E344" t="s">
        <v>5427</v>
      </c>
      <c r="F344">
        <v>28</v>
      </c>
      <c r="G344">
        <v>0.152</v>
      </c>
      <c r="H344">
        <v>0.152</v>
      </c>
      <c r="I344">
        <v>0</v>
      </c>
      <c r="J344">
        <v>0</v>
      </c>
    </row>
    <row r="345" spans="1:10" x14ac:dyDescent="0.25">
      <c r="A345" t="s">
        <v>1831</v>
      </c>
      <c r="B345">
        <v>54</v>
      </c>
      <c r="C345" t="s">
        <v>5423</v>
      </c>
      <c r="D345" t="s">
        <v>5426</v>
      </c>
      <c r="E345" t="s">
        <v>5431</v>
      </c>
      <c r="F345">
        <v>140</v>
      </c>
      <c r="G345">
        <v>0.76100000000000001</v>
      </c>
      <c r="H345">
        <v>0.76100000000000001</v>
      </c>
      <c r="I345">
        <v>0</v>
      </c>
      <c r="J345">
        <v>0</v>
      </c>
    </row>
    <row r="346" spans="1:10" x14ac:dyDescent="0.25">
      <c r="A346" t="s">
        <v>1838</v>
      </c>
      <c r="B346">
        <v>42</v>
      </c>
      <c r="C346" t="s">
        <v>5423</v>
      </c>
      <c r="D346" t="s">
        <v>5421</v>
      </c>
      <c r="E346" t="s">
        <v>5431</v>
      </c>
      <c r="F346">
        <v>84</v>
      </c>
      <c r="G346">
        <v>0.45700000000000002</v>
      </c>
      <c r="H346">
        <v>0.45700000000000002</v>
      </c>
      <c r="I346">
        <v>0</v>
      </c>
      <c r="J346">
        <v>0</v>
      </c>
    </row>
    <row r="347" spans="1:10" x14ac:dyDescent="0.25">
      <c r="A347" t="s">
        <v>1843</v>
      </c>
      <c r="B347">
        <v>65</v>
      </c>
      <c r="C347" t="s">
        <v>5423</v>
      </c>
      <c r="D347" t="s">
        <v>5426</v>
      </c>
      <c r="E347" t="s">
        <v>5431</v>
      </c>
      <c r="F347">
        <v>56</v>
      </c>
      <c r="G347">
        <v>0.30399999999999999</v>
      </c>
      <c r="H347">
        <v>0.30399999999999999</v>
      </c>
      <c r="I347">
        <v>0</v>
      </c>
      <c r="J347">
        <v>0</v>
      </c>
    </row>
    <row r="348" spans="1:10" x14ac:dyDescent="0.25">
      <c r="A348" t="s">
        <v>1846</v>
      </c>
      <c r="B348">
        <v>54</v>
      </c>
      <c r="C348" t="s">
        <v>5423</v>
      </c>
      <c r="D348" t="s">
        <v>5429</v>
      </c>
      <c r="E348" t="s">
        <v>5427</v>
      </c>
      <c r="F348">
        <v>120</v>
      </c>
      <c r="G348">
        <v>0.65200000000000002</v>
      </c>
      <c r="H348">
        <v>0.65200000000000002</v>
      </c>
      <c r="I348">
        <v>0</v>
      </c>
      <c r="J348">
        <v>0</v>
      </c>
    </row>
    <row r="349" spans="1:10" x14ac:dyDescent="0.25">
      <c r="A349" t="s">
        <v>1852</v>
      </c>
      <c r="B349">
        <v>61</v>
      </c>
      <c r="C349" t="s">
        <v>5420</v>
      </c>
      <c r="D349" t="s">
        <v>5426</v>
      </c>
      <c r="E349" t="s">
        <v>5430</v>
      </c>
      <c r="F349">
        <v>63</v>
      </c>
      <c r="G349">
        <v>0.34200000000000003</v>
      </c>
      <c r="H349">
        <v>0.34200000000000003</v>
      </c>
      <c r="I349">
        <v>0</v>
      </c>
      <c r="J349">
        <v>0</v>
      </c>
    </row>
    <row r="350" spans="1:10" x14ac:dyDescent="0.25">
      <c r="A350" t="s">
        <v>1857</v>
      </c>
      <c r="B350">
        <v>60</v>
      </c>
      <c r="C350" t="s">
        <v>5420</v>
      </c>
      <c r="D350" t="s">
        <v>5426</v>
      </c>
      <c r="E350" t="s">
        <v>5431</v>
      </c>
      <c r="F350">
        <v>140</v>
      </c>
      <c r="G350">
        <v>0.76100000000000001</v>
      </c>
      <c r="H350">
        <v>0.76100000000000001</v>
      </c>
      <c r="I350">
        <v>0</v>
      </c>
      <c r="J350">
        <v>0</v>
      </c>
    </row>
    <row r="351" spans="1:10" x14ac:dyDescent="0.25">
      <c r="A351" t="s">
        <v>1864</v>
      </c>
      <c r="B351">
        <v>52</v>
      </c>
      <c r="C351" t="s">
        <v>5423</v>
      </c>
      <c r="D351" t="s">
        <v>5429</v>
      </c>
      <c r="E351" t="s">
        <v>5422</v>
      </c>
      <c r="F351">
        <v>168</v>
      </c>
      <c r="G351">
        <v>0.91300000000000003</v>
      </c>
      <c r="H351">
        <v>0.91300000000000003</v>
      </c>
      <c r="I351">
        <v>0</v>
      </c>
      <c r="J351">
        <v>0</v>
      </c>
    </row>
    <row r="352" spans="1:10" x14ac:dyDescent="0.25">
      <c r="A352" t="s">
        <v>1872</v>
      </c>
      <c r="B352">
        <v>51</v>
      </c>
      <c r="C352" t="s">
        <v>5423</v>
      </c>
      <c r="D352" t="s">
        <v>5426</v>
      </c>
      <c r="E352" t="s">
        <v>5428</v>
      </c>
      <c r="F352">
        <v>28</v>
      </c>
      <c r="G352">
        <v>0.152</v>
      </c>
      <c r="H352">
        <v>0.152</v>
      </c>
      <c r="I352">
        <v>0</v>
      </c>
      <c r="J352">
        <v>0</v>
      </c>
    </row>
    <row r="353" spans="1:11" x14ac:dyDescent="0.25">
      <c r="A353" t="s">
        <v>1875</v>
      </c>
      <c r="B353">
        <v>58</v>
      </c>
      <c r="C353" t="s">
        <v>5423</v>
      </c>
      <c r="D353" t="s">
        <v>5426</v>
      </c>
      <c r="E353" t="s">
        <v>5427</v>
      </c>
      <c r="F353">
        <v>28</v>
      </c>
      <c r="G353">
        <v>0.152</v>
      </c>
      <c r="H353">
        <v>0.152</v>
      </c>
      <c r="I353">
        <v>0</v>
      </c>
      <c r="J353">
        <v>0</v>
      </c>
    </row>
    <row r="354" spans="1:11" x14ac:dyDescent="0.25">
      <c r="A354" t="s">
        <v>1878</v>
      </c>
      <c r="B354">
        <v>63</v>
      </c>
      <c r="C354" t="s">
        <v>5423</v>
      </c>
      <c r="D354" t="s">
        <v>5424</v>
      </c>
      <c r="E354" t="s">
        <v>5422</v>
      </c>
      <c r="F354">
        <v>120</v>
      </c>
      <c r="G354">
        <v>0.65200000000000002</v>
      </c>
      <c r="H354">
        <v>0.65200000000000002</v>
      </c>
      <c r="I354">
        <v>0</v>
      </c>
      <c r="J354">
        <v>0</v>
      </c>
    </row>
    <row r="355" spans="1:11" x14ac:dyDescent="0.25">
      <c r="A355" t="s">
        <v>1884</v>
      </c>
      <c r="B355">
        <v>58</v>
      </c>
      <c r="C355" t="s">
        <v>5420</v>
      </c>
      <c r="D355" t="s">
        <v>5432</v>
      </c>
      <c r="E355" t="s">
        <v>5425</v>
      </c>
      <c r="F355">
        <v>147</v>
      </c>
      <c r="G355">
        <v>0.79900000000000004</v>
      </c>
      <c r="H355">
        <v>0.79900000000000004</v>
      </c>
      <c r="I355">
        <v>0</v>
      </c>
      <c r="J355">
        <v>0</v>
      </c>
    </row>
    <row r="356" spans="1:11" x14ac:dyDescent="0.25">
      <c r="A356" t="s">
        <v>1893</v>
      </c>
      <c r="B356">
        <v>54</v>
      </c>
      <c r="C356" t="s">
        <v>5423</v>
      </c>
      <c r="D356" t="s">
        <v>5426</v>
      </c>
      <c r="E356" t="s">
        <v>5422</v>
      </c>
      <c r="F356">
        <v>196</v>
      </c>
      <c r="G356">
        <v>1.0649999999999999</v>
      </c>
      <c r="H356">
        <v>1</v>
      </c>
      <c r="I356">
        <v>1</v>
      </c>
      <c r="J356">
        <v>0</v>
      </c>
      <c r="K356" t="s">
        <v>5435</v>
      </c>
    </row>
    <row r="357" spans="1:11" x14ac:dyDescent="0.25">
      <c r="A357" t="s">
        <v>1902</v>
      </c>
      <c r="B357">
        <v>48</v>
      </c>
      <c r="C357" t="s">
        <v>5420</v>
      </c>
      <c r="D357" t="s">
        <v>5432</v>
      </c>
      <c r="E357" t="s">
        <v>5430</v>
      </c>
      <c r="F357">
        <v>30</v>
      </c>
      <c r="G357">
        <v>0.16300000000000001</v>
      </c>
      <c r="H357">
        <v>0.16300000000000001</v>
      </c>
      <c r="I357">
        <v>0</v>
      </c>
      <c r="J357">
        <v>0</v>
      </c>
    </row>
    <row r="358" spans="1:11" x14ac:dyDescent="0.25">
      <c r="A358" t="s">
        <v>1905</v>
      </c>
      <c r="B358">
        <v>65</v>
      </c>
      <c r="C358" t="s">
        <v>5423</v>
      </c>
      <c r="D358" t="s">
        <v>5421</v>
      </c>
      <c r="E358" t="s">
        <v>5451</v>
      </c>
      <c r="F358">
        <v>98</v>
      </c>
      <c r="G358">
        <v>0.53300000000000003</v>
      </c>
      <c r="H358">
        <v>0.53300000000000003</v>
      </c>
      <c r="I358">
        <v>0</v>
      </c>
      <c r="J358">
        <v>0</v>
      </c>
    </row>
    <row r="359" spans="1:11" x14ac:dyDescent="0.25">
      <c r="A359" t="s">
        <v>1914</v>
      </c>
      <c r="B359">
        <v>86</v>
      </c>
      <c r="C359" t="s">
        <v>5420</v>
      </c>
      <c r="D359" t="s">
        <v>5421</v>
      </c>
      <c r="E359" t="s">
        <v>5431</v>
      </c>
      <c r="F359">
        <v>30</v>
      </c>
      <c r="G359">
        <v>0.16300000000000001</v>
      </c>
      <c r="H359">
        <v>0.16300000000000001</v>
      </c>
      <c r="I359">
        <v>0</v>
      </c>
      <c r="J359">
        <v>0</v>
      </c>
    </row>
    <row r="360" spans="1:11" x14ac:dyDescent="0.25">
      <c r="A360" t="s">
        <v>1917</v>
      </c>
      <c r="B360">
        <v>62</v>
      </c>
      <c r="C360" t="s">
        <v>5423</v>
      </c>
      <c r="D360" t="s">
        <v>5424</v>
      </c>
      <c r="E360" t="s">
        <v>5427</v>
      </c>
      <c r="F360">
        <v>84</v>
      </c>
      <c r="G360">
        <v>0.45700000000000002</v>
      </c>
      <c r="H360">
        <v>0.45700000000000002</v>
      </c>
      <c r="I360">
        <v>0</v>
      </c>
      <c r="J360">
        <v>0</v>
      </c>
    </row>
    <row r="361" spans="1:11" x14ac:dyDescent="0.25">
      <c r="A361" t="s">
        <v>1922</v>
      </c>
      <c r="B361">
        <v>61</v>
      </c>
      <c r="C361" t="s">
        <v>5423</v>
      </c>
      <c r="D361" t="s">
        <v>5432</v>
      </c>
      <c r="E361" t="s">
        <v>5422</v>
      </c>
      <c r="F361">
        <v>60</v>
      </c>
      <c r="G361">
        <v>0.32600000000000001</v>
      </c>
      <c r="H361">
        <v>0.32600000000000001</v>
      </c>
      <c r="I361">
        <v>0</v>
      </c>
      <c r="J361">
        <v>0</v>
      </c>
    </row>
    <row r="362" spans="1:11" x14ac:dyDescent="0.25">
      <c r="A362" t="s">
        <v>1926</v>
      </c>
      <c r="B362">
        <v>60</v>
      </c>
      <c r="C362" t="s">
        <v>5423</v>
      </c>
      <c r="D362" t="s">
        <v>5432</v>
      </c>
      <c r="E362" t="s">
        <v>5425</v>
      </c>
      <c r="F362">
        <v>56</v>
      </c>
      <c r="G362">
        <v>0.30399999999999999</v>
      </c>
      <c r="H362">
        <v>0.30399999999999999</v>
      </c>
      <c r="I362">
        <v>0</v>
      </c>
      <c r="J362">
        <v>0</v>
      </c>
    </row>
    <row r="363" spans="1:11" x14ac:dyDescent="0.25">
      <c r="A363" t="s">
        <v>1930</v>
      </c>
      <c r="B363">
        <v>54</v>
      </c>
      <c r="C363" t="s">
        <v>5423</v>
      </c>
      <c r="D363" t="s">
        <v>5424</v>
      </c>
      <c r="E363" t="s">
        <v>5428</v>
      </c>
      <c r="F363">
        <v>42</v>
      </c>
      <c r="G363">
        <v>0.22800000000000001</v>
      </c>
      <c r="H363">
        <v>0.22800000000000001</v>
      </c>
      <c r="I363">
        <v>0</v>
      </c>
      <c r="J363">
        <v>0</v>
      </c>
    </row>
    <row r="364" spans="1:11" x14ac:dyDescent="0.25">
      <c r="A364" t="s">
        <v>1934</v>
      </c>
      <c r="B364">
        <v>61</v>
      </c>
      <c r="C364" t="s">
        <v>5423</v>
      </c>
      <c r="D364" t="s">
        <v>5429</v>
      </c>
      <c r="E364" t="s">
        <v>5427</v>
      </c>
      <c r="F364">
        <v>126</v>
      </c>
      <c r="G364">
        <v>0.68500000000000005</v>
      </c>
      <c r="H364">
        <v>0.68500000000000005</v>
      </c>
      <c r="I364">
        <v>0</v>
      </c>
      <c r="J364">
        <v>0</v>
      </c>
    </row>
    <row r="365" spans="1:11" x14ac:dyDescent="0.25">
      <c r="A365" t="s">
        <v>1942</v>
      </c>
      <c r="B365">
        <v>70</v>
      </c>
      <c r="C365" t="s">
        <v>5420</v>
      </c>
      <c r="D365" t="s">
        <v>5429</v>
      </c>
      <c r="E365" t="s">
        <v>5430</v>
      </c>
      <c r="F365">
        <v>56</v>
      </c>
      <c r="G365">
        <v>0.30399999999999999</v>
      </c>
      <c r="H365">
        <v>0.30399999999999999</v>
      </c>
      <c r="I365">
        <v>0</v>
      </c>
      <c r="J365">
        <v>0</v>
      </c>
    </row>
    <row r="366" spans="1:11" x14ac:dyDescent="0.25">
      <c r="A366" t="s">
        <v>1946</v>
      </c>
      <c r="B366">
        <v>55</v>
      </c>
      <c r="C366" t="s">
        <v>5420</v>
      </c>
      <c r="D366" t="s">
        <v>5421</v>
      </c>
      <c r="E366" t="s">
        <v>5427</v>
      </c>
      <c r="F366">
        <v>60</v>
      </c>
      <c r="G366">
        <v>0.32600000000000001</v>
      </c>
      <c r="H366">
        <v>0.32600000000000001</v>
      </c>
      <c r="I366">
        <v>0</v>
      </c>
      <c r="J366">
        <v>0</v>
      </c>
    </row>
    <row r="367" spans="1:11" x14ac:dyDescent="0.25">
      <c r="A367" t="s">
        <v>1950</v>
      </c>
      <c r="B367">
        <v>60</v>
      </c>
      <c r="C367" t="s">
        <v>5423</v>
      </c>
      <c r="D367" t="s">
        <v>5432</v>
      </c>
      <c r="E367" t="s">
        <v>5427</v>
      </c>
      <c r="F367">
        <v>120</v>
      </c>
      <c r="G367">
        <v>0.65200000000000002</v>
      </c>
      <c r="H367">
        <v>0.65200000000000002</v>
      </c>
      <c r="I367">
        <v>0</v>
      </c>
      <c r="J367">
        <v>0</v>
      </c>
    </row>
    <row r="368" spans="1:11" x14ac:dyDescent="0.25">
      <c r="A368" t="s">
        <v>1956</v>
      </c>
      <c r="B368">
        <v>62</v>
      </c>
      <c r="C368" t="s">
        <v>5420</v>
      </c>
      <c r="D368" t="s">
        <v>5426</v>
      </c>
      <c r="E368" t="s">
        <v>5430</v>
      </c>
      <c r="F368">
        <v>28</v>
      </c>
      <c r="G368">
        <v>0.152</v>
      </c>
      <c r="H368">
        <v>0.152</v>
      </c>
      <c r="I368">
        <v>0</v>
      </c>
      <c r="J368">
        <v>0</v>
      </c>
    </row>
    <row r="369" spans="1:10" x14ac:dyDescent="0.25">
      <c r="A369" t="s">
        <v>1959</v>
      </c>
      <c r="B369">
        <v>42</v>
      </c>
      <c r="C369" t="s">
        <v>5423</v>
      </c>
      <c r="D369" t="s">
        <v>5426</v>
      </c>
      <c r="E369" t="s">
        <v>5431</v>
      </c>
      <c r="F369">
        <v>126</v>
      </c>
      <c r="G369">
        <v>0.68500000000000005</v>
      </c>
      <c r="H369">
        <v>0.68500000000000005</v>
      </c>
      <c r="I369">
        <v>0</v>
      </c>
      <c r="J369">
        <v>0</v>
      </c>
    </row>
    <row r="370" spans="1:10" x14ac:dyDescent="0.25">
      <c r="A370" t="s">
        <v>1970</v>
      </c>
      <c r="B370">
        <v>59</v>
      </c>
      <c r="C370" t="s">
        <v>5434</v>
      </c>
      <c r="D370" t="s">
        <v>5429</v>
      </c>
      <c r="E370" t="s">
        <v>5422</v>
      </c>
      <c r="F370">
        <v>56</v>
      </c>
      <c r="G370">
        <v>0.30399999999999999</v>
      </c>
      <c r="H370">
        <v>0.30399999999999999</v>
      </c>
      <c r="I370">
        <v>0</v>
      </c>
      <c r="J370">
        <v>0</v>
      </c>
    </row>
    <row r="371" spans="1:10" x14ac:dyDescent="0.25">
      <c r="A371" t="s">
        <v>1974</v>
      </c>
      <c r="B371">
        <v>76</v>
      </c>
      <c r="C371" t="s">
        <v>5434</v>
      </c>
      <c r="D371" t="s">
        <v>5429</v>
      </c>
      <c r="E371" t="s">
        <v>5427</v>
      </c>
      <c r="F371">
        <v>168</v>
      </c>
      <c r="G371">
        <v>0.91300000000000003</v>
      </c>
      <c r="H371">
        <v>0.91300000000000003</v>
      </c>
      <c r="I371">
        <v>0</v>
      </c>
      <c r="J371">
        <v>0</v>
      </c>
    </row>
    <row r="372" spans="1:10" x14ac:dyDescent="0.25">
      <c r="A372" t="s">
        <v>1979</v>
      </c>
      <c r="B372">
        <v>55</v>
      </c>
      <c r="C372" t="s">
        <v>5420</v>
      </c>
      <c r="D372" t="s">
        <v>5426</v>
      </c>
      <c r="E372" t="s">
        <v>5428</v>
      </c>
      <c r="F372">
        <v>112</v>
      </c>
      <c r="G372">
        <v>0.60899999999999999</v>
      </c>
      <c r="H372">
        <v>0.60899999999999999</v>
      </c>
      <c r="I372">
        <v>0</v>
      </c>
      <c r="J372">
        <v>0</v>
      </c>
    </row>
    <row r="373" spans="1:10" x14ac:dyDescent="0.25">
      <c r="A373" t="s">
        <v>1985</v>
      </c>
      <c r="B373">
        <v>58</v>
      </c>
      <c r="C373" t="s">
        <v>5423</v>
      </c>
      <c r="D373" t="s">
        <v>5426</v>
      </c>
      <c r="E373" t="s">
        <v>5428</v>
      </c>
      <c r="F373">
        <v>84</v>
      </c>
      <c r="G373">
        <v>0.45700000000000002</v>
      </c>
      <c r="H373">
        <v>0.45700000000000002</v>
      </c>
      <c r="I373">
        <v>0</v>
      </c>
      <c r="J373">
        <v>0</v>
      </c>
    </row>
    <row r="374" spans="1:10" x14ac:dyDescent="0.25">
      <c r="A374" t="s">
        <v>1990</v>
      </c>
      <c r="B374">
        <v>71</v>
      </c>
      <c r="C374" t="s">
        <v>5420</v>
      </c>
      <c r="D374" t="s">
        <v>5429</v>
      </c>
      <c r="E374" t="s">
        <v>5431</v>
      </c>
      <c r="F374">
        <v>28</v>
      </c>
      <c r="G374">
        <v>0.152</v>
      </c>
      <c r="H374">
        <v>0.152</v>
      </c>
      <c r="I374">
        <v>0</v>
      </c>
      <c r="J374">
        <v>0</v>
      </c>
    </row>
    <row r="375" spans="1:10" x14ac:dyDescent="0.25">
      <c r="A375" t="s">
        <v>1993</v>
      </c>
      <c r="B375">
        <v>47</v>
      </c>
      <c r="C375" t="s">
        <v>5420</v>
      </c>
      <c r="D375" t="s">
        <v>5429</v>
      </c>
      <c r="E375" t="s">
        <v>5430</v>
      </c>
      <c r="F375">
        <v>154</v>
      </c>
      <c r="G375">
        <v>0.83699999999999997</v>
      </c>
      <c r="H375">
        <v>0.83699999999999997</v>
      </c>
      <c r="I375">
        <v>0</v>
      </c>
      <c r="J375">
        <v>0</v>
      </c>
    </row>
    <row r="376" spans="1:10" x14ac:dyDescent="0.25">
      <c r="A376" t="s">
        <v>2006</v>
      </c>
      <c r="B376">
        <v>50</v>
      </c>
      <c r="C376" t="s">
        <v>5423</v>
      </c>
      <c r="D376" t="s">
        <v>5424</v>
      </c>
      <c r="E376" t="s">
        <v>5425</v>
      </c>
      <c r="F376">
        <v>56</v>
      </c>
      <c r="G376">
        <v>0.30399999999999999</v>
      </c>
      <c r="H376">
        <v>0.30399999999999999</v>
      </c>
      <c r="I376">
        <v>0</v>
      </c>
      <c r="J376">
        <v>0</v>
      </c>
    </row>
    <row r="377" spans="1:10" x14ac:dyDescent="0.25">
      <c r="A377" t="s">
        <v>2010</v>
      </c>
      <c r="B377">
        <v>43</v>
      </c>
      <c r="C377" t="s">
        <v>5420</v>
      </c>
      <c r="D377" t="s">
        <v>5432</v>
      </c>
      <c r="E377" t="s">
        <v>5425</v>
      </c>
      <c r="F377">
        <v>84</v>
      </c>
      <c r="G377">
        <v>0.45700000000000002</v>
      </c>
      <c r="H377">
        <v>0.45700000000000002</v>
      </c>
      <c r="I377">
        <v>0</v>
      </c>
      <c r="J377">
        <v>0</v>
      </c>
    </row>
    <row r="378" spans="1:10" x14ac:dyDescent="0.25">
      <c r="A378" t="s">
        <v>2015</v>
      </c>
      <c r="B378">
        <v>56</v>
      </c>
      <c r="C378" t="s">
        <v>5420</v>
      </c>
      <c r="D378" t="s">
        <v>5429</v>
      </c>
      <c r="E378" t="s">
        <v>5422</v>
      </c>
      <c r="F378">
        <v>84</v>
      </c>
      <c r="G378">
        <v>0.45700000000000002</v>
      </c>
      <c r="H378">
        <v>0.45700000000000002</v>
      </c>
      <c r="I378">
        <v>0</v>
      </c>
      <c r="J378">
        <v>0</v>
      </c>
    </row>
    <row r="379" spans="1:10" x14ac:dyDescent="0.25">
      <c r="A379" t="s">
        <v>2020</v>
      </c>
      <c r="B379">
        <v>65</v>
      </c>
      <c r="C379" t="s">
        <v>5423</v>
      </c>
      <c r="D379" t="s">
        <v>5424</v>
      </c>
      <c r="E379" t="s">
        <v>5422</v>
      </c>
      <c r="F379">
        <v>28</v>
      </c>
      <c r="G379">
        <v>0.152</v>
      </c>
      <c r="H379">
        <v>0.152</v>
      </c>
      <c r="I379">
        <v>0</v>
      </c>
      <c r="J379">
        <v>0</v>
      </c>
    </row>
    <row r="380" spans="1:10" x14ac:dyDescent="0.25">
      <c r="A380" t="s">
        <v>2024</v>
      </c>
      <c r="B380">
        <v>61</v>
      </c>
      <c r="C380" t="s">
        <v>5423</v>
      </c>
      <c r="D380" t="s">
        <v>5432</v>
      </c>
      <c r="E380" t="s">
        <v>5431</v>
      </c>
      <c r="F380">
        <v>112</v>
      </c>
      <c r="G380">
        <v>0.60899999999999999</v>
      </c>
      <c r="H380">
        <v>0.60899999999999999</v>
      </c>
      <c r="I380">
        <v>0</v>
      </c>
      <c r="J380">
        <v>0</v>
      </c>
    </row>
    <row r="381" spans="1:10" x14ac:dyDescent="0.25">
      <c r="A381" t="s">
        <v>2030</v>
      </c>
      <c r="B381">
        <v>67</v>
      </c>
      <c r="C381" t="s">
        <v>5420</v>
      </c>
      <c r="D381" t="s">
        <v>5432</v>
      </c>
      <c r="E381" t="s">
        <v>5430</v>
      </c>
      <c r="F381">
        <v>112</v>
      </c>
      <c r="G381">
        <v>0.60899999999999999</v>
      </c>
      <c r="H381">
        <v>0.60899999999999999</v>
      </c>
      <c r="I381">
        <v>0</v>
      </c>
      <c r="J381">
        <v>0</v>
      </c>
    </row>
    <row r="382" spans="1:10" x14ac:dyDescent="0.25">
      <c r="A382" t="s">
        <v>2036</v>
      </c>
      <c r="B382">
        <v>57</v>
      </c>
      <c r="C382" t="s">
        <v>5420</v>
      </c>
      <c r="D382" t="s">
        <v>5432</v>
      </c>
      <c r="E382" t="s">
        <v>5430</v>
      </c>
      <c r="F382">
        <v>168</v>
      </c>
      <c r="G382">
        <v>0.91300000000000003</v>
      </c>
      <c r="H382">
        <v>0.91300000000000003</v>
      </c>
      <c r="I382">
        <v>0</v>
      </c>
      <c r="J382">
        <v>0</v>
      </c>
    </row>
    <row r="383" spans="1:10" x14ac:dyDescent="0.25">
      <c r="A383" t="s">
        <v>2044</v>
      </c>
      <c r="B383">
        <v>53</v>
      </c>
      <c r="C383" t="s">
        <v>5420</v>
      </c>
      <c r="D383" t="s">
        <v>5424</v>
      </c>
      <c r="E383" t="s">
        <v>5428</v>
      </c>
      <c r="F383">
        <v>168</v>
      </c>
      <c r="G383">
        <v>0.91300000000000003</v>
      </c>
      <c r="H383">
        <v>0.91300000000000003</v>
      </c>
      <c r="I383">
        <v>0</v>
      </c>
      <c r="J383">
        <v>0</v>
      </c>
    </row>
    <row r="384" spans="1:10" x14ac:dyDescent="0.25">
      <c r="A384" t="s">
        <v>2052</v>
      </c>
      <c r="B384">
        <v>55</v>
      </c>
      <c r="C384" t="s">
        <v>5420</v>
      </c>
      <c r="D384" t="s">
        <v>5432</v>
      </c>
      <c r="E384" t="s">
        <v>5422</v>
      </c>
      <c r="F384">
        <v>56</v>
      </c>
      <c r="G384">
        <v>0.30399999999999999</v>
      </c>
      <c r="H384">
        <v>0.30399999999999999</v>
      </c>
      <c r="I384">
        <v>0</v>
      </c>
      <c r="J384">
        <v>0</v>
      </c>
    </row>
    <row r="385" spans="1:11" x14ac:dyDescent="0.25">
      <c r="A385" t="s">
        <v>2056</v>
      </c>
      <c r="B385">
        <v>72</v>
      </c>
      <c r="C385" t="s">
        <v>5420</v>
      </c>
      <c r="D385" t="s">
        <v>5421</v>
      </c>
      <c r="E385" t="s">
        <v>5431</v>
      </c>
      <c r="F385">
        <v>60</v>
      </c>
      <c r="G385">
        <v>0.32600000000000001</v>
      </c>
      <c r="H385">
        <v>0.32600000000000001</v>
      </c>
      <c r="I385">
        <v>0</v>
      </c>
      <c r="J385">
        <v>0</v>
      </c>
    </row>
    <row r="386" spans="1:11" x14ac:dyDescent="0.25">
      <c r="A386" t="s">
        <v>2060</v>
      </c>
      <c r="B386">
        <v>83</v>
      </c>
      <c r="C386" t="s">
        <v>5423</v>
      </c>
      <c r="D386" t="s">
        <v>5426</v>
      </c>
      <c r="E386" t="s">
        <v>5431</v>
      </c>
      <c r="F386">
        <v>196</v>
      </c>
      <c r="G386">
        <v>1.0649999999999999</v>
      </c>
      <c r="H386">
        <v>1</v>
      </c>
      <c r="I386">
        <v>1</v>
      </c>
      <c r="J386">
        <v>0</v>
      </c>
      <c r="K386" t="s">
        <v>5435</v>
      </c>
    </row>
    <row r="387" spans="1:11" x14ac:dyDescent="0.25">
      <c r="A387" t="s">
        <v>2069</v>
      </c>
      <c r="B387">
        <v>55</v>
      </c>
      <c r="C387" t="s">
        <v>5420</v>
      </c>
      <c r="D387" t="s">
        <v>5426</v>
      </c>
      <c r="E387" t="s">
        <v>5430</v>
      </c>
      <c r="F387">
        <v>90</v>
      </c>
      <c r="G387">
        <v>0.48899999999999999</v>
      </c>
      <c r="H387">
        <v>0.48899999999999999</v>
      </c>
      <c r="I387">
        <v>0</v>
      </c>
      <c r="J387">
        <v>0</v>
      </c>
    </row>
    <row r="388" spans="1:11" x14ac:dyDescent="0.25">
      <c r="A388" t="s">
        <v>2074</v>
      </c>
      <c r="B388">
        <v>66</v>
      </c>
      <c r="C388" t="s">
        <v>5423</v>
      </c>
      <c r="D388" t="s">
        <v>5429</v>
      </c>
      <c r="E388" t="s">
        <v>5427</v>
      </c>
      <c r="F388">
        <v>140</v>
      </c>
      <c r="G388">
        <v>0.76100000000000001</v>
      </c>
      <c r="H388">
        <v>0.76100000000000001</v>
      </c>
      <c r="I388">
        <v>0</v>
      </c>
      <c r="J388">
        <v>0</v>
      </c>
    </row>
    <row r="389" spans="1:11" x14ac:dyDescent="0.25">
      <c r="A389" t="s">
        <v>2081</v>
      </c>
      <c r="B389">
        <v>55</v>
      </c>
      <c r="C389" t="s">
        <v>5423</v>
      </c>
      <c r="D389" t="s">
        <v>5429</v>
      </c>
      <c r="E389" t="s">
        <v>5431</v>
      </c>
      <c r="F389">
        <v>14</v>
      </c>
      <c r="G389">
        <v>7.5999999999999998E-2</v>
      </c>
      <c r="H389">
        <v>7.5999999999999998E-2</v>
      </c>
      <c r="I389">
        <v>0</v>
      </c>
      <c r="J389">
        <v>0</v>
      </c>
    </row>
    <row r="390" spans="1:11" x14ac:dyDescent="0.25">
      <c r="A390" t="s">
        <v>2084</v>
      </c>
      <c r="B390">
        <v>48</v>
      </c>
      <c r="C390" t="s">
        <v>5423</v>
      </c>
      <c r="D390" t="s">
        <v>5426</v>
      </c>
      <c r="E390" t="s">
        <v>5427</v>
      </c>
      <c r="F390">
        <v>90</v>
      </c>
      <c r="G390">
        <v>0.48899999999999999</v>
      </c>
      <c r="H390">
        <v>0.48899999999999999</v>
      </c>
      <c r="I390">
        <v>0</v>
      </c>
      <c r="J390">
        <v>0</v>
      </c>
    </row>
    <row r="391" spans="1:11" x14ac:dyDescent="0.25">
      <c r="A391" t="s">
        <v>2089</v>
      </c>
      <c r="B391">
        <v>52</v>
      </c>
      <c r="C391" t="s">
        <v>5420</v>
      </c>
      <c r="D391" t="s">
        <v>5429</v>
      </c>
      <c r="E391" t="s">
        <v>5427</v>
      </c>
      <c r="F391">
        <v>112</v>
      </c>
      <c r="G391">
        <v>0.60899999999999999</v>
      </c>
      <c r="H391">
        <v>0.60899999999999999</v>
      </c>
      <c r="I391">
        <v>0</v>
      </c>
      <c r="J391">
        <v>0</v>
      </c>
    </row>
    <row r="392" spans="1:11" x14ac:dyDescent="0.25">
      <c r="A392" t="s">
        <v>2095</v>
      </c>
      <c r="B392">
        <v>73</v>
      </c>
      <c r="C392" t="s">
        <v>5420</v>
      </c>
      <c r="D392" t="s">
        <v>5429</v>
      </c>
      <c r="E392" t="s">
        <v>5425</v>
      </c>
      <c r="F392">
        <v>210</v>
      </c>
      <c r="G392">
        <v>1.141</v>
      </c>
      <c r="H392">
        <v>1</v>
      </c>
      <c r="I392">
        <v>1</v>
      </c>
      <c r="J392">
        <v>0</v>
      </c>
      <c r="K392" t="s">
        <v>5435</v>
      </c>
    </row>
    <row r="393" spans="1:11" x14ac:dyDescent="0.25">
      <c r="A393" t="s">
        <v>2107</v>
      </c>
      <c r="B393">
        <v>69</v>
      </c>
      <c r="C393" t="s">
        <v>5420</v>
      </c>
      <c r="D393" t="s">
        <v>5424</v>
      </c>
      <c r="E393" t="s">
        <v>5442</v>
      </c>
      <c r="F393">
        <v>42</v>
      </c>
      <c r="G393">
        <v>0.22800000000000001</v>
      </c>
      <c r="H393">
        <v>0.22800000000000001</v>
      </c>
      <c r="I393">
        <v>0</v>
      </c>
      <c r="J393">
        <v>0</v>
      </c>
    </row>
    <row r="394" spans="1:11" x14ac:dyDescent="0.25">
      <c r="A394" t="s">
        <v>2111</v>
      </c>
      <c r="B394">
        <v>47</v>
      </c>
      <c r="C394" t="s">
        <v>5420</v>
      </c>
      <c r="D394" t="s">
        <v>5426</v>
      </c>
      <c r="E394" t="s">
        <v>5431</v>
      </c>
      <c r="F394">
        <v>56</v>
      </c>
      <c r="G394">
        <v>0.30399999999999999</v>
      </c>
      <c r="H394">
        <v>0.30399999999999999</v>
      </c>
      <c r="I394">
        <v>0</v>
      </c>
      <c r="J394">
        <v>0</v>
      </c>
    </row>
    <row r="395" spans="1:11" x14ac:dyDescent="0.25">
      <c r="A395" t="s">
        <v>2115</v>
      </c>
      <c r="B395">
        <v>77</v>
      </c>
      <c r="C395" t="s">
        <v>5423</v>
      </c>
      <c r="D395" t="s">
        <v>5426</v>
      </c>
      <c r="E395" t="s">
        <v>5428</v>
      </c>
      <c r="F395">
        <v>120</v>
      </c>
      <c r="G395">
        <v>0.65200000000000002</v>
      </c>
      <c r="H395">
        <v>0.65200000000000002</v>
      </c>
      <c r="I395">
        <v>0</v>
      </c>
      <c r="J395">
        <v>0</v>
      </c>
    </row>
    <row r="396" spans="1:11" x14ac:dyDescent="0.25">
      <c r="A396" t="s">
        <v>2121</v>
      </c>
      <c r="B396">
        <v>55</v>
      </c>
      <c r="C396" t="s">
        <v>5423</v>
      </c>
      <c r="D396" t="s">
        <v>5426</v>
      </c>
      <c r="E396" t="s">
        <v>5428</v>
      </c>
      <c r="F396">
        <v>28</v>
      </c>
      <c r="G396">
        <v>0.152</v>
      </c>
      <c r="H396">
        <v>0.152</v>
      </c>
      <c r="I396">
        <v>0</v>
      </c>
      <c r="J396">
        <v>0</v>
      </c>
    </row>
    <row r="397" spans="1:11" x14ac:dyDescent="0.25">
      <c r="A397" t="s">
        <v>2124</v>
      </c>
      <c r="B397">
        <v>71</v>
      </c>
      <c r="C397" t="s">
        <v>5423</v>
      </c>
      <c r="D397" t="s">
        <v>5426</v>
      </c>
      <c r="E397" t="s">
        <v>5428</v>
      </c>
      <c r="F397">
        <v>56</v>
      </c>
      <c r="G397">
        <v>0.30399999999999999</v>
      </c>
      <c r="H397">
        <v>0.30399999999999999</v>
      </c>
      <c r="I397">
        <v>0</v>
      </c>
      <c r="J397">
        <v>0</v>
      </c>
    </row>
    <row r="398" spans="1:11" x14ac:dyDescent="0.25">
      <c r="A398" t="s">
        <v>2128</v>
      </c>
      <c r="B398">
        <v>58</v>
      </c>
      <c r="C398" t="s">
        <v>5420</v>
      </c>
      <c r="D398" t="s">
        <v>5432</v>
      </c>
      <c r="E398" t="s">
        <v>5428</v>
      </c>
      <c r="F398">
        <v>56</v>
      </c>
      <c r="G398">
        <v>0.30399999999999999</v>
      </c>
      <c r="H398">
        <v>0.30399999999999999</v>
      </c>
      <c r="I398">
        <v>0</v>
      </c>
      <c r="J398">
        <v>0</v>
      </c>
    </row>
    <row r="399" spans="1:11" x14ac:dyDescent="0.25">
      <c r="A399" t="s">
        <v>2132</v>
      </c>
      <c r="B399">
        <v>53</v>
      </c>
      <c r="C399" t="s">
        <v>5420</v>
      </c>
      <c r="D399" t="s">
        <v>5426</v>
      </c>
      <c r="E399" t="s">
        <v>5430</v>
      </c>
      <c r="F399">
        <v>84</v>
      </c>
      <c r="G399">
        <v>0.45700000000000002</v>
      </c>
      <c r="H399">
        <v>0.45700000000000002</v>
      </c>
      <c r="I399">
        <v>0</v>
      </c>
      <c r="J399">
        <v>0</v>
      </c>
    </row>
    <row r="400" spans="1:11" x14ac:dyDescent="0.25">
      <c r="A400" t="s">
        <v>2137</v>
      </c>
      <c r="B400">
        <v>59</v>
      </c>
      <c r="C400" t="s">
        <v>5423</v>
      </c>
      <c r="D400" t="s">
        <v>5432</v>
      </c>
      <c r="E400" t="s">
        <v>5430</v>
      </c>
      <c r="F400">
        <v>140</v>
      </c>
      <c r="G400">
        <v>0.76100000000000001</v>
      </c>
      <c r="H400">
        <v>0.76100000000000001</v>
      </c>
      <c r="I400">
        <v>0</v>
      </c>
      <c r="J400">
        <v>0</v>
      </c>
    </row>
    <row r="401" spans="1:10" x14ac:dyDescent="0.25">
      <c r="A401" t="s">
        <v>2144</v>
      </c>
      <c r="B401">
        <v>59</v>
      </c>
      <c r="C401" t="s">
        <v>5423</v>
      </c>
      <c r="D401" t="s">
        <v>5424</v>
      </c>
      <c r="E401" t="s">
        <v>5422</v>
      </c>
      <c r="F401">
        <v>168</v>
      </c>
      <c r="G401">
        <v>0.91300000000000003</v>
      </c>
      <c r="H401">
        <v>0.91300000000000003</v>
      </c>
      <c r="I401">
        <v>0</v>
      </c>
      <c r="J401">
        <v>0</v>
      </c>
    </row>
    <row r="402" spans="1:10" x14ac:dyDescent="0.25">
      <c r="A402" t="s">
        <v>2152</v>
      </c>
      <c r="B402">
        <v>60</v>
      </c>
      <c r="C402" t="s">
        <v>5420</v>
      </c>
      <c r="D402" t="s">
        <v>5424</v>
      </c>
      <c r="E402" t="s">
        <v>5425</v>
      </c>
      <c r="F402">
        <v>168</v>
      </c>
      <c r="G402">
        <v>0.91300000000000003</v>
      </c>
      <c r="H402">
        <v>0.91300000000000003</v>
      </c>
      <c r="I402">
        <v>0</v>
      </c>
      <c r="J402">
        <v>0</v>
      </c>
    </row>
    <row r="403" spans="1:10" x14ac:dyDescent="0.25">
      <c r="A403" t="s">
        <v>2162</v>
      </c>
      <c r="B403">
        <v>64</v>
      </c>
      <c r="C403" t="s">
        <v>5423</v>
      </c>
      <c r="D403" t="s">
        <v>5426</v>
      </c>
      <c r="E403" t="s">
        <v>5430</v>
      </c>
      <c r="F403">
        <v>84</v>
      </c>
      <c r="G403">
        <v>0.45700000000000002</v>
      </c>
      <c r="H403">
        <v>0.45700000000000002</v>
      </c>
      <c r="I403">
        <v>0</v>
      </c>
      <c r="J403">
        <v>0</v>
      </c>
    </row>
    <row r="404" spans="1:10" x14ac:dyDescent="0.25">
      <c r="A404" t="s">
        <v>2167</v>
      </c>
      <c r="B404">
        <v>63</v>
      </c>
      <c r="C404" t="s">
        <v>5423</v>
      </c>
      <c r="D404" t="s">
        <v>5429</v>
      </c>
      <c r="E404" t="s">
        <v>5452</v>
      </c>
      <c r="F404">
        <v>140</v>
      </c>
      <c r="G404">
        <v>0.76100000000000001</v>
      </c>
      <c r="H404">
        <v>0.76100000000000001</v>
      </c>
      <c r="I404">
        <v>0</v>
      </c>
      <c r="J404">
        <v>0</v>
      </c>
    </row>
    <row r="405" spans="1:10" x14ac:dyDescent="0.25">
      <c r="A405" t="s">
        <v>2174</v>
      </c>
      <c r="B405">
        <v>49</v>
      </c>
      <c r="C405" t="s">
        <v>5420</v>
      </c>
      <c r="D405" t="s">
        <v>5426</v>
      </c>
      <c r="E405" t="s">
        <v>5428</v>
      </c>
      <c r="F405">
        <v>56</v>
      </c>
      <c r="G405">
        <v>0.30399999999999999</v>
      </c>
      <c r="H405">
        <v>0.30399999999999999</v>
      </c>
      <c r="I405">
        <v>0</v>
      </c>
      <c r="J405">
        <v>0</v>
      </c>
    </row>
    <row r="406" spans="1:10" x14ac:dyDescent="0.25">
      <c r="A406" t="s">
        <v>2178</v>
      </c>
      <c r="B406">
        <v>56</v>
      </c>
      <c r="C406" t="s">
        <v>5423</v>
      </c>
      <c r="D406" t="s">
        <v>5426</v>
      </c>
      <c r="E406" t="s">
        <v>5427</v>
      </c>
      <c r="F406">
        <v>120</v>
      </c>
      <c r="G406">
        <v>0.65200000000000002</v>
      </c>
      <c r="H406">
        <v>0.65200000000000002</v>
      </c>
      <c r="I406">
        <v>0</v>
      </c>
      <c r="J406">
        <v>0</v>
      </c>
    </row>
    <row r="407" spans="1:10" x14ac:dyDescent="0.25">
      <c r="A407" t="s">
        <v>2184</v>
      </c>
      <c r="B407">
        <v>67</v>
      </c>
      <c r="C407" t="s">
        <v>5423</v>
      </c>
      <c r="D407" t="s">
        <v>5426</v>
      </c>
      <c r="E407" t="s">
        <v>5427</v>
      </c>
      <c r="F407">
        <v>28</v>
      </c>
      <c r="G407">
        <v>0.152</v>
      </c>
      <c r="H407">
        <v>0.152</v>
      </c>
      <c r="I407">
        <v>0</v>
      </c>
      <c r="J407">
        <v>0</v>
      </c>
    </row>
    <row r="408" spans="1:10" x14ac:dyDescent="0.25">
      <c r="A408" t="s">
        <v>2188</v>
      </c>
      <c r="B408">
        <v>67</v>
      </c>
      <c r="C408" t="s">
        <v>5423</v>
      </c>
      <c r="D408" t="s">
        <v>5426</v>
      </c>
      <c r="E408" t="s">
        <v>5431</v>
      </c>
      <c r="F408">
        <v>14</v>
      </c>
      <c r="G408">
        <v>7.5999999999999998E-2</v>
      </c>
      <c r="H408">
        <v>7.5999999999999998E-2</v>
      </c>
      <c r="I408">
        <v>0</v>
      </c>
      <c r="J408">
        <v>0</v>
      </c>
    </row>
    <row r="409" spans="1:10" x14ac:dyDescent="0.25">
      <c r="A409" t="s">
        <v>2191</v>
      </c>
      <c r="B409">
        <v>44</v>
      </c>
      <c r="C409" t="s">
        <v>5420</v>
      </c>
      <c r="D409" t="s">
        <v>5432</v>
      </c>
      <c r="E409" t="s">
        <v>5428</v>
      </c>
      <c r="F409">
        <v>21</v>
      </c>
      <c r="G409">
        <v>0.114</v>
      </c>
      <c r="H409">
        <v>0.114</v>
      </c>
      <c r="I409">
        <v>0</v>
      </c>
      <c r="J409">
        <v>0</v>
      </c>
    </row>
    <row r="410" spans="1:10" x14ac:dyDescent="0.25">
      <c r="A410" t="s">
        <v>2194</v>
      </c>
      <c r="B410">
        <v>59</v>
      </c>
      <c r="C410" t="s">
        <v>5420</v>
      </c>
      <c r="D410" t="s">
        <v>5426</v>
      </c>
      <c r="E410" t="s">
        <v>5430</v>
      </c>
      <c r="F410">
        <v>28</v>
      </c>
      <c r="G410">
        <v>0.152</v>
      </c>
      <c r="H410">
        <v>0.152</v>
      </c>
      <c r="I410">
        <v>0</v>
      </c>
      <c r="J410">
        <v>0</v>
      </c>
    </row>
    <row r="411" spans="1:10" x14ac:dyDescent="0.25">
      <c r="A411" t="s">
        <v>2197</v>
      </c>
      <c r="B411">
        <v>53</v>
      </c>
      <c r="C411" t="s">
        <v>5423</v>
      </c>
      <c r="D411" t="s">
        <v>5429</v>
      </c>
      <c r="E411" t="s">
        <v>5431</v>
      </c>
      <c r="F411">
        <v>28</v>
      </c>
      <c r="G411">
        <v>0.152</v>
      </c>
      <c r="H411">
        <v>0.152</v>
      </c>
      <c r="I411">
        <v>0</v>
      </c>
      <c r="J411">
        <v>0</v>
      </c>
    </row>
    <row r="412" spans="1:10" x14ac:dyDescent="0.25">
      <c r="A412" t="s">
        <v>2201</v>
      </c>
      <c r="B412">
        <v>73</v>
      </c>
      <c r="C412" t="s">
        <v>5420</v>
      </c>
      <c r="D412" t="s">
        <v>5424</v>
      </c>
      <c r="E412" t="s">
        <v>5427</v>
      </c>
      <c r="F412">
        <v>84</v>
      </c>
      <c r="G412">
        <v>0.45700000000000002</v>
      </c>
      <c r="H412">
        <v>0.45700000000000002</v>
      </c>
      <c r="I412">
        <v>0</v>
      </c>
      <c r="J412">
        <v>0</v>
      </c>
    </row>
    <row r="413" spans="1:10" x14ac:dyDescent="0.25">
      <c r="A413" t="s">
        <v>2206</v>
      </c>
      <c r="B413">
        <v>55</v>
      </c>
      <c r="C413" t="s">
        <v>5423</v>
      </c>
      <c r="D413" t="s">
        <v>5429</v>
      </c>
      <c r="E413" t="s">
        <v>5428</v>
      </c>
      <c r="F413">
        <v>112</v>
      </c>
      <c r="G413">
        <v>0.60899999999999999</v>
      </c>
      <c r="H413">
        <v>0.60899999999999999</v>
      </c>
      <c r="I413">
        <v>0</v>
      </c>
      <c r="J413">
        <v>0</v>
      </c>
    </row>
    <row r="414" spans="1:10" x14ac:dyDescent="0.25">
      <c r="A414" t="s">
        <v>2212</v>
      </c>
      <c r="B414">
        <v>60</v>
      </c>
      <c r="C414" t="s">
        <v>5420</v>
      </c>
      <c r="D414" t="s">
        <v>5432</v>
      </c>
      <c r="E414" t="s">
        <v>5428</v>
      </c>
      <c r="F414">
        <v>84</v>
      </c>
      <c r="G414">
        <v>0.45700000000000002</v>
      </c>
      <c r="H414">
        <v>0.45700000000000002</v>
      </c>
      <c r="I414">
        <v>0</v>
      </c>
      <c r="J414">
        <v>0</v>
      </c>
    </row>
    <row r="415" spans="1:10" x14ac:dyDescent="0.25">
      <c r="A415" t="s">
        <v>2217</v>
      </c>
      <c r="B415">
        <v>66</v>
      </c>
      <c r="C415" t="s">
        <v>5434</v>
      </c>
      <c r="D415" t="s">
        <v>5432</v>
      </c>
      <c r="E415" t="s">
        <v>5422</v>
      </c>
      <c r="F415">
        <v>168</v>
      </c>
      <c r="G415">
        <v>0.91300000000000003</v>
      </c>
      <c r="H415">
        <v>0.91300000000000003</v>
      </c>
      <c r="I415">
        <v>0</v>
      </c>
      <c r="J415">
        <v>0</v>
      </c>
    </row>
    <row r="416" spans="1:10" x14ac:dyDescent="0.25">
      <c r="A416" t="s">
        <v>2225</v>
      </c>
      <c r="B416">
        <v>79</v>
      </c>
      <c r="C416" t="s">
        <v>5423</v>
      </c>
      <c r="D416" t="s">
        <v>5432</v>
      </c>
      <c r="E416" t="s">
        <v>5430</v>
      </c>
      <c r="F416">
        <v>56</v>
      </c>
      <c r="G416">
        <v>0.30399999999999999</v>
      </c>
      <c r="H416">
        <v>0.30399999999999999</v>
      </c>
      <c r="I416">
        <v>0</v>
      </c>
      <c r="J416">
        <v>0</v>
      </c>
    </row>
    <row r="417" spans="1:11" x14ac:dyDescent="0.25">
      <c r="A417" t="s">
        <v>2229</v>
      </c>
      <c r="B417">
        <v>58</v>
      </c>
      <c r="C417" t="s">
        <v>5423</v>
      </c>
      <c r="D417" t="s">
        <v>5429</v>
      </c>
      <c r="E417" t="s">
        <v>5425</v>
      </c>
      <c r="F417">
        <v>112</v>
      </c>
      <c r="G417">
        <v>0.60899999999999999</v>
      </c>
      <c r="H417">
        <v>0.60899999999999999</v>
      </c>
      <c r="I417">
        <v>0</v>
      </c>
      <c r="J417">
        <v>0</v>
      </c>
    </row>
    <row r="418" spans="1:11" x14ac:dyDescent="0.25">
      <c r="A418" t="s">
        <v>2235</v>
      </c>
      <c r="B418">
        <v>46</v>
      </c>
      <c r="C418" t="s">
        <v>5420</v>
      </c>
      <c r="D418" t="s">
        <v>5426</v>
      </c>
      <c r="E418" t="s">
        <v>5427</v>
      </c>
      <c r="F418">
        <v>196</v>
      </c>
      <c r="G418">
        <v>1.0649999999999999</v>
      </c>
      <c r="H418">
        <v>1</v>
      </c>
      <c r="I418">
        <v>1</v>
      </c>
      <c r="J418">
        <v>0</v>
      </c>
      <c r="K418" t="s">
        <v>5435</v>
      </c>
    </row>
    <row r="419" spans="1:11" x14ac:dyDescent="0.25">
      <c r="A419" t="s">
        <v>2244</v>
      </c>
      <c r="B419">
        <v>74</v>
      </c>
      <c r="C419" t="s">
        <v>5423</v>
      </c>
      <c r="D419" t="s">
        <v>5429</v>
      </c>
      <c r="E419" t="s">
        <v>5427</v>
      </c>
      <c r="F419">
        <v>112</v>
      </c>
      <c r="G419">
        <v>0.60899999999999999</v>
      </c>
      <c r="H419">
        <v>0.60899999999999999</v>
      </c>
      <c r="I419">
        <v>0</v>
      </c>
      <c r="J419">
        <v>0</v>
      </c>
    </row>
    <row r="420" spans="1:11" x14ac:dyDescent="0.25">
      <c r="A420" t="s">
        <v>2250</v>
      </c>
      <c r="B420">
        <v>77</v>
      </c>
      <c r="C420" t="s">
        <v>5423</v>
      </c>
      <c r="D420" t="s">
        <v>5426</v>
      </c>
      <c r="E420" t="s">
        <v>5425</v>
      </c>
      <c r="F420">
        <v>28</v>
      </c>
      <c r="G420">
        <v>0.152</v>
      </c>
      <c r="H420">
        <v>0.152</v>
      </c>
      <c r="I420">
        <v>0</v>
      </c>
      <c r="J420">
        <v>0</v>
      </c>
    </row>
    <row r="421" spans="1:11" x14ac:dyDescent="0.25">
      <c r="A421" t="s">
        <v>2253</v>
      </c>
      <c r="B421">
        <v>82</v>
      </c>
      <c r="C421" t="s">
        <v>5420</v>
      </c>
      <c r="D421" t="s">
        <v>5424</v>
      </c>
      <c r="E421" t="s">
        <v>5431</v>
      </c>
      <c r="F421">
        <v>56</v>
      </c>
      <c r="G421">
        <v>0.30399999999999999</v>
      </c>
      <c r="H421">
        <v>0.30399999999999999</v>
      </c>
      <c r="I421">
        <v>0</v>
      </c>
      <c r="J421">
        <v>0</v>
      </c>
    </row>
    <row r="422" spans="1:11" x14ac:dyDescent="0.25">
      <c r="A422" t="s">
        <v>2257</v>
      </c>
      <c r="B422">
        <v>53</v>
      </c>
      <c r="C422" t="s">
        <v>5420</v>
      </c>
      <c r="D422" t="s">
        <v>5424</v>
      </c>
      <c r="E422" t="s">
        <v>5431</v>
      </c>
      <c r="F422">
        <v>112</v>
      </c>
      <c r="G422">
        <v>0.60899999999999999</v>
      </c>
      <c r="H422">
        <v>0.60899999999999999</v>
      </c>
      <c r="I422">
        <v>0</v>
      </c>
      <c r="J422">
        <v>0</v>
      </c>
    </row>
    <row r="423" spans="1:11" x14ac:dyDescent="0.25">
      <c r="A423" t="s">
        <v>2263</v>
      </c>
      <c r="B423">
        <v>61</v>
      </c>
      <c r="C423" t="s">
        <v>5423</v>
      </c>
      <c r="D423" t="s">
        <v>5426</v>
      </c>
      <c r="E423" t="s">
        <v>5427</v>
      </c>
      <c r="F423">
        <v>42</v>
      </c>
      <c r="G423">
        <v>0.22800000000000001</v>
      </c>
      <c r="H423">
        <v>0.22800000000000001</v>
      </c>
      <c r="I423">
        <v>0</v>
      </c>
      <c r="J423">
        <v>0</v>
      </c>
    </row>
    <row r="424" spans="1:11" x14ac:dyDescent="0.25">
      <c r="A424" t="s">
        <v>2267</v>
      </c>
      <c r="B424">
        <v>50</v>
      </c>
      <c r="C424" t="s">
        <v>5420</v>
      </c>
      <c r="D424" t="s">
        <v>5429</v>
      </c>
      <c r="E424" t="s">
        <v>5422</v>
      </c>
      <c r="F424">
        <v>120</v>
      </c>
      <c r="G424">
        <v>0.65200000000000002</v>
      </c>
      <c r="H424">
        <v>0.65200000000000002</v>
      </c>
      <c r="I424">
        <v>0</v>
      </c>
      <c r="J424">
        <v>0</v>
      </c>
    </row>
    <row r="425" spans="1:11" x14ac:dyDescent="0.25">
      <c r="A425" t="s">
        <v>2273</v>
      </c>
      <c r="B425">
        <v>60</v>
      </c>
      <c r="C425" t="s">
        <v>5423</v>
      </c>
      <c r="D425" t="s">
        <v>5426</v>
      </c>
      <c r="E425" t="s">
        <v>5422</v>
      </c>
      <c r="F425">
        <v>98</v>
      </c>
      <c r="G425">
        <v>0.53300000000000003</v>
      </c>
      <c r="H425">
        <v>0.53300000000000003</v>
      </c>
      <c r="I425">
        <v>0</v>
      </c>
      <c r="J425">
        <v>0</v>
      </c>
    </row>
    <row r="426" spans="1:11" x14ac:dyDescent="0.25">
      <c r="A426" t="s">
        <v>2282</v>
      </c>
      <c r="B426">
        <v>51</v>
      </c>
      <c r="C426" t="s">
        <v>5423</v>
      </c>
      <c r="D426" t="s">
        <v>5429</v>
      </c>
      <c r="E426" t="s">
        <v>5430</v>
      </c>
      <c r="F426">
        <v>150</v>
      </c>
      <c r="G426">
        <v>0.81499999999999995</v>
      </c>
      <c r="H426">
        <v>0.81499999999999995</v>
      </c>
      <c r="I426">
        <v>0</v>
      </c>
      <c r="J426">
        <v>0</v>
      </c>
    </row>
    <row r="427" spans="1:11" x14ac:dyDescent="0.25">
      <c r="A427" t="s">
        <v>2289</v>
      </c>
      <c r="B427">
        <v>80</v>
      </c>
      <c r="C427" t="s">
        <v>5423</v>
      </c>
      <c r="D427" t="s">
        <v>5432</v>
      </c>
      <c r="E427" t="s">
        <v>5422</v>
      </c>
      <c r="F427">
        <v>30</v>
      </c>
      <c r="G427">
        <v>0.16300000000000001</v>
      </c>
      <c r="H427">
        <v>0.16300000000000001</v>
      </c>
      <c r="I427">
        <v>0</v>
      </c>
      <c r="J427">
        <v>0</v>
      </c>
    </row>
    <row r="428" spans="1:11" x14ac:dyDescent="0.25">
      <c r="A428" t="s">
        <v>2292</v>
      </c>
      <c r="B428">
        <v>80</v>
      </c>
      <c r="C428" t="s">
        <v>5420</v>
      </c>
      <c r="D428" t="s">
        <v>5432</v>
      </c>
      <c r="E428" t="s">
        <v>5422</v>
      </c>
      <c r="F428">
        <v>84</v>
      </c>
      <c r="G428">
        <v>0.45700000000000002</v>
      </c>
      <c r="H428">
        <v>0.45700000000000002</v>
      </c>
      <c r="I428">
        <v>0</v>
      </c>
      <c r="J428">
        <v>0</v>
      </c>
    </row>
    <row r="429" spans="1:11" x14ac:dyDescent="0.25">
      <c r="A429" t="s">
        <v>2297</v>
      </c>
      <c r="B429">
        <v>77</v>
      </c>
      <c r="C429" t="s">
        <v>5420</v>
      </c>
      <c r="D429" t="s">
        <v>5424</v>
      </c>
      <c r="E429" t="s">
        <v>5428</v>
      </c>
      <c r="F429">
        <v>147</v>
      </c>
      <c r="G429">
        <v>0.79900000000000004</v>
      </c>
      <c r="H429">
        <v>0.79900000000000004</v>
      </c>
      <c r="I429">
        <v>0</v>
      </c>
      <c r="J429">
        <v>0</v>
      </c>
    </row>
    <row r="430" spans="1:11" x14ac:dyDescent="0.25">
      <c r="A430" t="s">
        <v>2306</v>
      </c>
      <c r="B430">
        <v>63</v>
      </c>
      <c r="C430" t="s">
        <v>5423</v>
      </c>
      <c r="D430" t="s">
        <v>5432</v>
      </c>
      <c r="E430" t="s">
        <v>5431</v>
      </c>
      <c r="F430">
        <v>28</v>
      </c>
      <c r="G430">
        <v>0.152</v>
      </c>
      <c r="H430">
        <v>0.152</v>
      </c>
      <c r="I430">
        <v>0</v>
      </c>
      <c r="J430">
        <v>0</v>
      </c>
    </row>
    <row r="431" spans="1:11" x14ac:dyDescent="0.25">
      <c r="A431" t="s">
        <v>2309</v>
      </c>
      <c r="B431">
        <v>44</v>
      </c>
      <c r="C431" t="s">
        <v>5423</v>
      </c>
      <c r="D431" t="s">
        <v>5424</v>
      </c>
      <c r="E431" t="s">
        <v>5427</v>
      </c>
      <c r="F431">
        <v>21</v>
      </c>
      <c r="G431">
        <v>0.114</v>
      </c>
      <c r="H431">
        <v>0.114</v>
      </c>
      <c r="I431">
        <v>0</v>
      </c>
      <c r="J431">
        <v>0</v>
      </c>
    </row>
    <row r="432" spans="1:11" x14ac:dyDescent="0.25">
      <c r="A432" t="s">
        <v>2312</v>
      </c>
      <c r="B432">
        <v>67</v>
      </c>
      <c r="C432" t="s">
        <v>5420</v>
      </c>
      <c r="D432" t="s">
        <v>5429</v>
      </c>
      <c r="E432" t="s">
        <v>5428</v>
      </c>
      <c r="F432">
        <v>112</v>
      </c>
      <c r="G432">
        <v>0.60899999999999999</v>
      </c>
      <c r="H432">
        <v>0.60899999999999999</v>
      </c>
      <c r="I432">
        <v>0</v>
      </c>
      <c r="J432">
        <v>0</v>
      </c>
    </row>
    <row r="433" spans="1:10" x14ac:dyDescent="0.25">
      <c r="A433" t="s">
        <v>2322</v>
      </c>
      <c r="B433">
        <v>56</v>
      </c>
      <c r="C433" t="s">
        <v>5423</v>
      </c>
      <c r="D433" t="s">
        <v>5432</v>
      </c>
      <c r="E433" t="s">
        <v>5425</v>
      </c>
      <c r="F433">
        <v>168</v>
      </c>
      <c r="G433">
        <v>0.91300000000000003</v>
      </c>
      <c r="H433">
        <v>0.91300000000000003</v>
      </c>
      <c r="I433">
        <v>0</v>
      </c>
      <c r="J433">
        <v>0</v>
      </c>
    </row>
    <row r="434" spans="1:10" x14ac:dyDescent="0.25">
      <c r="A434" t="s">
        <v>2330</v>
      </c>
      <c r="B434">
        <v>78</v>
      </c>
      <c r="C434" t="s">
        <v>5420</v>
      </c>
      <c r="D434" t="s">
        <v>5426</v>
      </c>
      <c r="E434" t="s">
        <v>5430</v>
      </c>
      <c r="F434">
        <v>112</v>
      </c>
      <c r="G434">
        <v>0.60899999999999999</v>
      </c>
      <c r="H434">
        <v>0.60899999999999999</v>
      </c>
      <c r="I434">
        <v>0</v>
      </c>
      <c r="J434">
        <v>0</v>
      </c>
    </row>
    <row r="435" spans="1:10" x14ac:dyDescent="0.25">
      <c r="A435" t="s">
        <v>2340</v>
      </c>
      <c r="B435">
        <v>57</v>
      </c>
      <c r="C435" t="s">
        <v>5423</v>
      </c>
      <c r="D435" t="s">
        <v>5426</v>
      </c>
      <c r="E435" t="s">
        <v>5422</v>
      </c>
      <c r="F435">
        <v>28</v>
      </c>
      <c r="G435">
        <v>0.152</v>
      </c>
      <c r="H435">
        <v>0.152</v>
      </c>
      <c r="I435">
        <v>0</v>
      </c>
      <c r="J435">
        <v>0</v>
      </c>
    </row>
    <row r="436" spans="1:10" x14ac:dyDescent="0.25">
      <c r="A436" t="s">
        <v>2343</v>
      </c>
      <c r="B436">
        <v>60</v>
      </c>
      <c r="C436" t="s">
        <v>5420</v>
      </c>
      <c r="D436" t="s">
        <v>5421</v>
      </c>
      <c r="E436" t="s">
        <v>5431</v>
      </c>
      <c r="F436">
        <v>168</v>
      </c>
      <c r="G436">
        <v>0.91300000000000003</v>
      </c>
      <c r="H436">
        <v>0.91300000000000003</v>
      </c>
      <c r="I436">
        <v>0</v>
      </c>
      <c r="J436">
        <v>0</v>
      </c>
    </row>
    <row r="437" spans="1:10" x14ac:dyDescent="0.25">
      <c r="A437" t="s">
        <v>2348</v>
      </c>
      <c r="B437">
        <v>59</v>
      </c>
      <c r="C437" t="s">
        <v>5420</v>
      </c>
      <c r="D437" t="s">
        <v>5424</v>
      </c>
      <c r="E437" t="s">
        <v>5430</v>
      </c>
      <c r="F437">
        <v>84</v>
      </c>
      <c r="G437">
        <v>0.45700000000000002</v>
      </c>
      <c r="H437">
        <v>0.45700000000000002</v>
      </c>
      <c r="I437">
        <v>0</v>
      </c>
      <c r="J437">
        <v>0</v>
      </c>
    </row>
    <row r="438" spans="1:10" x14ac:dyDescent="0.25">
      <c r="A438" t="s">
        <v>2353</v>
      </c>
      <c r="B438">
        <v>76</v>
      </c>
      <c r="C438" t="s">
        <v>5420</v>
      </c>
      <c r="D438" t="s">
        <v>5429</v>
      </c>
      <c r="E438" t="s">
        <v>5430</v>
      </c>
      <c r="F438">
        <v>84</v>
      </c>
      <c r="G438">
        <v>0.45700000000000002</v>
      </c>
      <c r="H438">
        <v>0.45700000000000002</v>
      </c>
      <c r="I438">
        <v>0</v>
      </c>
      <c r="J438">
        <v>0</v>
      </c>
    </row>
    <row r="439" spans="1:10" x14ac:dyDescent="0.25">
      <c r="A439" t="s">
        <v>2358</v>
      </c>
      <c r="B439">
        <v>59</v>
      </c>
      <c r="C439" t="s">
        <v>5423</v>
      </c>
      <c r="D439" t="s">
        <v>5429</v>
      </c>
      <c r="E439" t="s">
        <v>5425</v>
      </c>
      <c r="F439">
        <v>28</v>
      </c>
      <c r="G439">
        <v>0.152</v>
      </c>
      <c r="H439">
        <v>0.152</v>
      </c>
      <c r="I439">
        <v>0</v>
      </c>
      <c r="J439">
        <v>0</v>
      </c>
    </row>
    <row r="440" spans="1:10" x14ac:dyDescent="0.25">
      <c r="A440" t="s">
        <v>2361</v>
      </c>
      <c r="B440">
        <v>37</v>
      </c>
      <c r="C440" t="s">
        <v>5423</v>
      </c>
      <c r="D440" t="s">
        <v>5429</v>
      </c>
      <c r="E440" t="s">
        <v>5427</v>
      </c>
      <c r="F440">
        <v>84</v>
      </c>
      <c r="G440">
        <v>0.45700000000000002</v>
      </c>
      <c r="H440">
        <v>0.45700000000000002</v>
      </c>
      <c r="I440">
        <v>0</v>
      </c>
      <c r="J440">
        <v>0</v>
      </c>
    </row>
    <row r="441" spans="1:10" x14ac:dyDescent="0.25">
      <c r="A441" t="s">
        <v>2366</v>
      </c>
      <c r="B441">
        <v>70</v>
      </c>
      <c r="C441" t="s">
        <v>5423</v>
      </c>
      <c r="D441" t="s">
        <v>5426</v>
      </c>
      <c r="E441" t="s">
        <v>5425</v>
      </c>
      <c r="F441">
        <v>56</v>
      </c>
      <c r="G441">
        <v>0.30399999999999999</v>
      </c>
      <c r="H441">
        <v>0.30399999999999999</v>
      </c>
      <c r="I441">
        <v>0</v>
      </c>
      <c r="J441">
        <v>0</v>
      </c>
    </row>
    <row r="442" spans="1:10" x14ac:dyDescent="0.25">
      <c r="A442" t="s">
        <v>2369</v>
      </c>
      <c r="B442">
        <v>46</v>
      </c>
      <c r="C442" t="s">
        <v>5434</v>
      </c>
      <c r="D442" t="s">
        <v>5432</v>
      </c>
      <c r="E442" t="s">
        <v>5431</v>
      </c>
      <c r="F442">
        <v>60</v>
      </c>
      <c r="G442">
        <v>0.32600000000000001</v>
      </c>
      <c r="H442">
        <v>0.32600000000000001</v>
      </c>
      <c r="I442">
        <v>0</v>
      </c>
      <c r="J442">
        <v>0</v>
      </c>
    </row>
    <row r="443" spans="1:10" x14ac:dyDescent="0.25">
      <c r="A443" t="s">
        <v>2373</v>
      </c>
      <c r="B443">
        <v>56</v>
      </c>
      <c r="C443" t="s">
        <v>5420</v>
      </c>
      <c r="D443" t="s">
        <v>5426</v>
      </c>
      <c r="E443" t="s">
        <v>5428</v>
      </c>
      <c r="F443">
        <v>28</v>
      </c>
      <c r="G443">
        <v>0.152</v>
      </c>
      <c r="H443">
        <v>0.152</v>
      </c>
      <c r="I443">
        <v>0</v>
      </c>
      <c r="J443">
        <v>0</v>
      </c>
    </row>
    <row r="444" spans="1:10" x14ac:dyDescent="0.25">
      <c r="A444" t="s">
        <v>2376</v>
      </c>
      <c r="B444">
        <v>66</v>
      </c>
      <c r="C444" t="s">
        <v>5420</v>
      </c>
      <c r="D444" t="s">
        <v>5429</v>
      </c>
      <c r="E444" t="s">
        <v>5422</v>
      </c>
      <c r="F444">
        <v>126</v>
      </c>
      <c r="G444">
        <v>0.68500000000000005</v>
      </c>
      <c r="H444">
        <v>0.68500000000000005</v>
      </c>
      <c r="I444">
        <v>0</v>
      </c>
      <c r="J444">
        <v>0</v>
      </c>
    </row>
    <row r="445" spans="1:10" x14ac:dyDescent="0.25">
      <c r="A445" t="s">
        <v>2384</v>
      </c>
      <c r="B445">
        <v>61</v>
      </c>
      <c r="C445" t="s">
        <v>5420</v>
      </c>
      <c r="D445" t="s">
        <v>5432</v>
      </c>
      <c r="E445" t="s">
        <v>5431</v>
      </c>
      <c r="F445">
        <v>126</v>
      </c>
      <c r="G445">
        <v>0.68500000000000005</v>
      </c>
      <c r="H445">
        <v>0.68500000000000005</v>
      </c>
      <c r="I445">
        <v>0</v>
      </c>
      <c r="J445">
        <v>0</v>
      </c>
    </row>
    <row r="446" spans="1:10" x14ac:dyDescent="0.25">
      <c r="A446" t="s">
        <v>2392</v>
      </c>
      <c r="B446">
        <v>64</v>
      </c>
      <c r="C446" t="s">
        <v>5420</v>
      </c>
      <c r="D446" t="s">
        <v>5424</v>
      </c>
      <c r="E446" t="s">
        <v>5428</v>
      </c>
      <c r="F446">
        <v>56</v>
      </c>
      <c r="G446">
        <v>0.30399999999999999</v>
      </c>
      <c r="H446">
        <v>0.30399999999999999</v>
      </c>
      <c r="I446">
        <v>0</v>
      </c>
      <c r="J446">
        <v>0</v>
      </c>
    </row>
    <row r="447" spans="1:10" x14ac:dyDescent="0.25">
      <c r="A447" t="s">
        <v>2396</v>
      </c>
      <c r="B447">
        <v>73</v>
      </c>
      <c r="C447" t="s">
        <v>5420</v>
      </c>
      <c r="D447" t="s">
        <v>5426</v>
      </c>
      <c r="E447" t="s">
        <v>5431</v>
      </c>
      <c r="F447">
        <v>168</v>
      </c>
      <c r="G447">
        <v>0.91300000000000003</v>
      </c>
      <c r="H447">
        <v>0.91300000000000003</v>
      </c>
      <c r="I447">
        <v>0</v>
      </c>
      <c r="J447">
        <v>0</v>
      </c>
    </row>
    <row r="448" spans="1:10" x14ac:dyDescent="0.25">
      <c r="A448" t="s">
        <v>2404</v>
      </c>
      <c r="B448">
        <v>53</v>
      </c>
      <c r="C448" t="s">
        <v>5420</v>
      </c>
      <c r="D448" t="s">
        <v>5429</v>
      </c>
      <c r="E448" t="s">
        <v>5422</v>
      </c>
      <c r="F448">
        <v>70</v>
      </c>
      <c r="G448">
        <v>0.38</v>
      </c>
      <c r="H448">
        <v>0.38</v>
      </c>
      <c r="I448">
        <v>0</v>
      </c>
      <c r="J448">
        <v>0</v>
      </c>
    </row>
    <row r="449" spans="1:10" x14ac:dyDescent="0.25">
      <c r="A449" t="s">
        <v>2411</v>
      </c>
      <c r="B449">
        <v>62</v>
      </c>
      <c r="C449" t="s">
        <v>5423</v>
      </c>
      <c r="D449" t="s">
        <v>5426</v>
      </c>
      <c r="E449" t="s">
        <v>5428</v>
      </c>
      <c r="F449">
        <v>21</v>
      </c>
      <c r="G449">
        <v>0.114</v>
      </c>
      <c r="H449">
        <v>0.114</v>
      </c>
      <c r="I449">
        <v>0</v>
      </c>
      <c r="J449">
        <v>0</v>
      </c>
    </row>
    <row r="450" spans="1:10" x14ac:dyDescent="0.25">
      <c r="A450" t="s">
        <v>2414</v>
      </c>
      <c r="B450">
        <v>38</v>
      </c>
      <c r="C450" t="s">
        <v>5423</v>
      </c>
      <c r="D450" t="s">
        <v>5429</v>
      </c>
      <c r="E450" t="s">
        <v>5425</v>
      </c>
      <c r="F450">
        <v>168</v>
      </c>
      <c r="G450">
        <v>0.91300000000000003</v>
      </c>
      <c r="H450">
        <v>0.91300000000000003</v>
      </c>
      <c r="I450">
        <v>0</v>
      </c>
      <c r="J450">
        <v>0</v>
      </c>
    </row>
    <row r="451" spans="1:10" x14ac:dyDescent="0.25">
      <c r="A451" t="s">
        <v>2419</v>
      </c>
      <c r="B451">
        <v>51</v>
      </c>
      <c r="C451" t="s">
        <v>5423</v>
      </c>
      <c r="D451" t="s">
        <v>5432</v>
      </c>
      <c r="E451" t="s">
        <v>5431</v>
      </c>
      <c r="F451">
        <v>168</v>
      </c>
      <c r="G451">
        <v>0.91300000000000003</v>
      </c>
      <c r="H451">
        <v>0.91300000000000003</v>
      </c>
      <c r="I451">
        <v>0</v>
      </c>
      <c r="J451">
        <v>0</v>
      </c>
    </row>
    <row r="452" spans="1:10" x14ac:dyDescent="0.25">
      <c r="A452" t="s">
        <v>2427</v>
      </c>
      <c r="B452">
        <v>55</v>
      </c>
      <c r="C452" t="s">
        <v>5420</v>
      </c>
      <c r="D452" t="s">
        <v>5424</v>
      </c>
      <c r="E452" t="s">
        <v>5431</v>
      </c>
      <c r="F452">
        <v>56</v>
      </c>
      <c r="G452">
        <v>0.30399999999999999</v>
      </c>
      <c r="H452">
        <v>0.30399999999999999</v>
      </c>
      <c r="I452">
        <v>0</v>
      </c>
      <c r="J452">
        <v>0</v>
      </c>
    </row>
    <row r="453" spans="1:10" x14ac:dyDescent="0.25">
      <c r="A453" t="s">
        <v>2431</v>
      </c>
      <c r="B453">
        <v>54</v>
      </c>
      <c r="C453" t="s">
        <v>5420</v>
      </c>
      <c r="D453" t="s">
        <v>5424</v>
      </c>
      <c r="E453" t="s">
        <v>5422</v>
      </c>
      <c r="F453">
        <v>140</v>
      </c>
      <c r="G453">
        <v>0.76100000000000001</v>
      </c>
      <c r="H453">
        <v>0.76100000000000001</v>
      </c>
      <c r="I453">
        <v>0</v>
      </c>
      <c r="J453">
        <v>0</v>
      </c>
    </row>
    <row r="454" spans="1:10" x14ac:dyDescent="0.25">
      <c r="A454" t="s">
        <v>2438</v>
      </c>
      <c r="B454">
        <v>59</v>
      </c>
      <c r="C454" t="s">
        <v>5423</v>
      </c>
      <c r="D454" t="s">
        <v>5429</v>
      </c>
      <c r="E454" t="s">
        <v>5453</v>
      </c>
      <c r="F454">
        <v>56</v>
      </c>
      <c r="G454">
        <v>0.30399999999999999</v>
      </c>
      <c r="H454">
        <v>0.30399999999999999</v>
      </c>
      <c r="I454">
        <v>0</v>
      </c>
      <c r="J454">
        <v>0</v>
      </c>
    </row>
    <row r="455" spans="1:10" x14ac:dyDescent="0.25">
      <c r="A455" t="s">
        <v>2442</v>
      </c>
      <c r="B455">
        <v>46</v>
      </c>
      <c r="C455" t="s">
        <v>5420</v>
      </c>
      <c r="D455" t="s">
        <v>5421</v>
      </c>
      <c r="E455" t="s">
        <v>5422</v>
      </c>
      <c r="F455">
        <v>140</v>
      </c>
      <c r="G455">
        <v>0.76100000000000001</v>
      </c>
      <c r="H455">
        <v>0.76100000000000001</v>
      </c>
      <c r="I455">
        <v>0</v>
      </c>
      <c r="J455">
        <v>0</v>
      </c>
    </row>
    <row r="456" spans="1:10" x14ac:dyDescent="0.25">
      <c r="A456" t="s">
        <v>2449</v>
      </c>
      <c r="B456">
        <v>60</v>
      </c>
      <c r="C456" t="s">
        <v>5423</v>
      </c>
      <c r="D456" t="s">
        <v>5424</v>
      </c>
      <c r="E456" t="s">
        <v>5430</v>
      </c>
      <c r="F456">
        <v>42</v>
      </c>
      <c r="G456">
        <v>0.22800000000000001</v>
      </c>
      <c r="H456">
        <v>0.22800000000000001</v>
      </c>
      <c r="I456">
        <v>0</v>
      </c>
      <c r="J456">
        <v>0</v>
      </c>
    </row>
    <row r="457" spans="1:10" x14ac:dyDescent="0.25">
      <c r="A457" t="s">
        <v>2453</v>
      </c>
      <c r="B457">
        <v>90</v>
      </c>
      <c r="C457" t="s">
        <v>5423</v>
      </c>
      <c r="D457" t="s">
        <v>5421</v>
      </c>
      <c r="E457" t="s">
        <v>5430</v>
      </c>
      <c r="F457">
        <v>168</v>
      </c>
      <c r="G457">
        <v>0.91300000000000003</v>
      </c>
      <c r="H457">
        <v>0.91300000000000003</v>
      </c>
      <c r="I457">
        <v>0</v>
      </c>
      <c r="J457">
        <v>0</v>
      </c>
    </row>
    <row r="458" spans="1:10" x14ac:dyDescent="0.25">
      <c r="A458" t="s">
        <v>2461</v>
      </c>
      <c r="B458">
        <v>63</v>
      </c>
      <c r="C458" t="s">
        <v>5423</v>
      </c>
      <c r="D458" t="s">
        <v>5426</v>
      </c>
      <c r="E458" t="s">
        <v>5425</v>
      </c>
      <c r="F458">
        <v>140</v>
      </c>
      <c r="G458">
        <v>0.76100000000000001</v>
      </c>
      <c r="H458">
        <v>0.76100000000000001</v>
      </c>
      <c r="I458">
        <v>0</v>
      </c>
      <c r="J458">
        <v>0</v>
      </c>
    </row>
    <row r="459" spans="1:10" x14ac:dyDescent="0.25">
      <c r="A459" t="s">
        <v>2468</v>
      </c>
      <c r="B459">
        <v>47</v>
      </c>
      <c r="C459" t="s">
        <v>5423</v>
      </c>
      <c r="D459" t="s">
        <v>5432</v>
      </c>
      <c r="E459" t="s">
        <v>5431</v>
      </c>
      <c r="F459">
        <v>60</v>
      </c>
      <c r="G459">
        <v>0.32600000000000001</v>
      </c>
      <c r="H459">
        <v>0.32600000000000001</v>
      </c>
      <c r="I459">
        <v>0</v>
      </c>
      <c r="J459">
        <v>0</v>
      </c>
    </row>
    <row r="460" spans="1:10" x14ac:dyDescent="0.25">
      <c r="A460" t="s">
        <v>2472</v>
      </c>
      <c r="B460">
        <v>62</v>
      </c>
      <c r="C460" t="s">
        <v>5423</v>
      </c>
      <c r="D460" t="s">
        <v>5424</v>
      </c>
      <c r="E460" t="s">
        <v>5425</v>
      </c>
      <c r="F460">
        <v>28</v>
      </c>
      <c r="G460">
        <v>0.152</v>
      </c>
      <c r="H460">
        <v>0.152</v>
      </c>
      <c r="I460">
        <v>0</v>
      </c>
      <c r="J460">
        <v>0</v>
      </c>
    </row>
    <row r="461" spans="1:10" x14ac:dyDescent="0.25">
      <c r="A461" t="s">
        <v>2475</v>
      </c>
      <c r="B461">
        <v>70</v>
      </c>
      <c r="C461" t="s">
        <v>5423</v>
      </c>
      <c r="D461" t="s">
        <v>5421</v>
      </c>
      <c r="E461" t="s">
        <v>5428</v>
      </c>
      <c r="F461">
        <v>63</v>
      </c>
      <c r="G461">
        <v>0.34200000000000003</v>
      </c>
      <c r="H461">
        <v>0.34200000000000003</v>
      </c>
      <c r="I461">
        <v>0</v>
      </c>
      <c r="J461">
        <v>0</v>
      </c>
    </row>
    <row r="462" spans="1:10" x14ac:dyDescent="0.25">
      <c r="A462" t="s">
        <v>2480</v>
      </c>
      <c r="B462">
        <v>58</v>
      </c>
      <c r="C462" t="s">
        <v>5423</v>
      </c>
      <c r="D462" t="s">
        <v>5426</v>
      </c>
      <c r="E462" t="s">
        <v>5430</v>
      </c>
      <c r="F462">
        <v>180</v>
      </c>
      <c r="G462">
        <v>0.97799999999999998</v>
      </c>
      <c r="H462">
        <v>0.97799999999999998</v>
      </c>
      <c r="I462">
        <v>0</v>
      </c>
      <c r="J462">
        <v>0</v>
      </c>
    </row>
    <row r="463" spans="1:10" x14ac:dyDescent="0.25">
      <c r="A463" t="s">
        <v>2488</v>
      </c>
      <c r="B463">
        <v>57</v>
      </c>
      <c r="C463" t="s">
        <v>5420</v>
      </c>
      <c r="D463" t="s">
        <v>5426</v>
      </c>
      <c r="E463" t="s">
        <v>5428</v>
      </c>
      <c r="F463">
        <v>168</v>
      </c>
      <c r="G463">
        <v>0.91300000000000003</v>
      </c>
      <c r="H463">
        <v>0.91300000000000003</v>
      </c>
      <c r="I463">
        <v>0</v>
      </c>
      <c r="J463">
        <v>0</v>
      </c>
    </row>
    <row r="464" spans="1:10" x14ac:dyDescent="0.25">
      <c r="A464" t="s">
        <v>2496</v>
      </c>
      <c r="B464">
        <v>62</v>
      </c>
      <c r="C464" t="s">
        <v>5420</v>
      </c>
      <c r="D464" t="s">
        <v>5421</v>
      </c>
      <c r="E464" t="s">
        <v>5454</v>
      </c>
      <c r="F464">
        <v>84</v>
      </c>
      <c r="G464">
        <v>0.45700000000000002</v>
      </c>
      <c r="H464">
        <v>0.45700000000000002</v>
      </c>
      <c r="I464">
        <v>0</v>
      </c>
      <c r="J464">
        <v>0</v>
      </c>
    </row>
    <row r="465" spans="1:11" x14ac:dyDescent="0.25">
      <c r="A465" t="s">
        <v>2502</v>
      </c>
      <c r="B465">
        <v>76</v>
      </c>
      <c r="C465" t="s">
        <v>5423</v>
      </c>
      <c r="D465" t="s">
        <v>5429</v>
      </c>
      <c r="E465" t="s">
        <v>5422</v>
      </c>
      <c r="F465">
        <v>28</v>
      </c>
      <c r="G465">
        <v>0.152</v>
      </c>
      <c r="H465">
        <v>0.152</v>
      </c>
      <c r="I465">
        <v>0</v>
      </c>
      <c r="J465">
        <v>0</v>
      </c>
    </row>
    <row r="466" spans="1:11" x14ac:dyDescent="0.25">
      <c r="A466" t="s">
        <v>2505</v>
      </c>
      <c r="B466">
        <v>60</v>
      </c>
      <c r="C466" t="s">
        <v>5420</v>
      </c>
      <c r="D466" t="s">
        <v>5426</v>
      </c>
      <c r="E466" t="s">
        <v>5425</v>
      </c>
      <c r="F466">
        <v>56</v>
      </c>
      <c r="G466">
        <v>0.30399999999999999</v>
      </c>
      <c r="H466">
        <v>0.30399999999999999</v>
      </c>
      <c r="I466">
        <v>0</v>
      </c>
      <c r="J466">
        <v>0</v>
      </c>
    </row>
    <row r="467" spans="1:11" x14ac:dyDescent="0.25">
      <c r="A467" t="s">
        <v>2509</v>
      </c>
      <c r="B467">
        <v>71</v>
      </c>
      <c r="C467" t="s">
        <v>5423</v>
      </c>
      <c r="D467" t="s">
        <v>5424</v>
      </c>
      <c r="E467" t="s">
        <v>5428</v>
      </c>
      <c r="F467">
        <v>56</v>
      </c>
      <c r="G467">
        <v>0.30399999999999999</v>
      </c>
      <c r="H467">
        <v>0.30399999999999999</v>
      </c>
      <c r="I467">
        <v>0</v>
      </c>
      <c r="J467">
        <v>0</v>
      </c>
    </row>
    <row r="468" spans="1:11" x14ac:dyDescent="0.25">
      <c r="A468" t="s">
        <v>2512</v>
      </c>
      <c r="B468">
        <v>63</v>
      </c>
      <c r="C468" t="s">
        <v>5423</v>
      </c>
      <c r="D468" t="s">
        <v>5424</v>
      </c>
      <c r="E468" t="s">
        <v>5427</v>
      </c>
      <c r="F468">
        <v>112</v>
      </c>
      <c r="G468">
        <v>0.60899999999999999</v>
      </c>
      <c r="H468">
        <v>0.60899999999999999</v>
      </c>
      <c r="I468">
        <v>0</v>
      </c>
      <c r="J468">
        <v>0</v>
      </c>
    </row>
    <row r="469" spans="1:11" x14ac:dyDescent="0.25">
      <c r="A469" t="s">
        <v>2518</v>
      </c>
      <c r="B469">
        <v>58</v>
      </c>
      <c r="C469" t="s">
        <v>5423</v>
      </c>
      <c r="D469" t="s">
        <v>5432</v>
      </c>
      <c r="E469" t="s">
        <v>5422</v>
      </c>
      <c r="F469">
        <v>210</v>
      </c>
      <c r="G469">
        <v>1.141</v>
      </c>
      <c r="H469">
        <v>1</v>
      </c>
      <c r="I469">
        <v>1</v>
      </c>
      <c r="J469">
        <v>0</v>
      </c>
      <c r="K469" t="s">
        <v>5435</v>
      </c>
    </row>
    <row r="470" spans="1:11" x14ac:dyDescent="0.25">
      <c r="A470" t="s">
        <v>2527</v>
      </c>
      <c r="B470">
        <v>75</v>
      </c>
      <c r="C470" t="s">
        <v>5420</v>
      </c>
      <c r="D470" t="s">
        <v>5432</v>
      </c>
      <c r="E470" t="s">
        <v>5430</v>
      </c>
      <c r="F470">
        <v>140</v>
      </c>
      <c r="G470">
        <v>0.76100000000000001</v>
      </c>
      <c r="H470">
        <v>0.76100000000000001</v>
      </c>
      <c r="I470">
        <v>0</v>
      </c>
      <c r="J470">
        <v>0</v>
      </c>
    </row>
    <row r="471" spans="1:11" x14ac:dyDescent="0.25">
      <c r="A471" t="s">
        <v>2534</v>
      </c>
      <c r="B471">
        <v>60</v>
      </c>
      <c r="C471" t="s">
        <v>5420</v>
      </c>
      <c r="D471" t="s">
        <v>5429</v>
      </c>
      <c r="E471" t="s">
        <v>5431</v>
      </c>
      <c r="F471">
        <v>56</v>
      </c>
      <c r="G471">
        <v>0.30399999999999999</v>
      </c>
      <c r="H471">
        <v>0.30399999999999999</v>
      </c>
      <c r="I471">
        <v>0</v>
      </c>
      <c r="J471">
        <v>0</v>
      </c>
    </row>
    <row r="472" spans="1:11" x14ac:dyDescent="0.25">
      <c r="A472" t="s">
        <v>2538</v>
      </c>
      <c r="B472">
        <v>70</v>
      </c>
      <c r="C472" t="s">
        <v>5420</v>
      </c>
      <c r="D472" t="s">
        <v>5429</v>
      </c>
      <c r="E472" t="s">
        <v>5427</v>
      </c>
      <c r="F472">
        <v>140</v>
      </c>
      <c r="G472">
        <v>0.76100000000000001</v>
      </c>
      <c r="H472">
        <v>0.76100000000000001</v>
      </c>
      <c r="I472">
        <v>0</v>
      </c>
      <c r="J472">
        <v>0</v>
      </c>
    </row>
    <row r="473" spans="1:11" x14ac:dyDescent="0.25">
      <c r="A473" t="s">
        <v>2545</v>
      </c>
      <c r="B473">
        <v>67</v>
      </c>
      <c r="C473" t="s">
        <v>5420</v>
      </c>
      <c r="D473" t="s">
        <v>5426</v>
      </c>
      <c r="E473" t="s">
        <v>5430</v>
      </c>
      <c r="F473">
        <v>168</v>
      </c>
      <c r="G473">
        <v>0.91300000000000003</v>
      </c>
      <c r="H473">
        <v>0.91300000000000003</v>
      </c>
      <c r="I473">
        <v>0</v>
      </c>
      <c r="J473">
        <v>0</v>
      </c>
    </row>
    <row r="474" spans="1:11" x14ac:dyDescent="0.25">
      <c r="A474" t="s">
        <v>2559</v>
      </c>
      <c r="B474">
        <v>74</v>
      </c>
      <c r="C474" t="s">
        <v>5423</v>
      </c>
      <c r="D474" t="s">
        <v>5432</v>
      </c>
      <c r="E474" t="s">
        <v>5430</v>
      </c>
      <c r="F474">
        <v>84</v>
      </c>
      <c r="G474">
        <v>0.45700000000000002</v>
      </c>
      <c r="H474">
        <v>0.45700000000000002</v>
      </c>
      <c r="I474">
        <v>0</v>
      </c>
      <c r="J474">
        <v>0</v>
      </c>
    </row>
    <row r="475" spans="1:11" x14ac:dyDescent="0.25">
      <c r="A475" t="s">
        <v>2564</v>
      </c>
      <c r="B475">
        <v>77</v>
      </c>
      <c r="C475" t="s">
        <v>5423</v>
      </c>
      <c r="D475" t="s">
        <v>5429</v>
      </c>
      <c r="E475" t="s">
        <v>5455</v>
      </c>
      <c r="F475">
        <v>28</v>
      </c>
      <c r="G475">
        <v>0.152</v>
      </c>
      <c r="H475">
        <v>0.152</v>
      </c>
      <c r="I475">
        <v>0</v>
      </c>
      <c r="J475">
        <v>0</v>
      </c>
    </row>
    <row r="476" spans="1:11" x14ac:dyDescent="0.25">
      <c r="A476" t="s">
        <v>2567</v>
      </c>
      <c r="B476">
        <v>50</v>
      </c>
      <c r="C476" t="s">
        <v>5420</v>
      </c>
      <c r="D476" t="s">
        <v>5429</v>
      </c>
      <c r="E476" t="s">
        <v>5422</v>
      </c>
      <c r="F476">
        <v>60</v>
      </c>
      <c r="G476">
        <v>0.32600000000000001</v>
      </c>
      <c r="H476">
        <v>0.32600000000000001</v>
      </c>
      <c r="I476">
        <v>0</v>
      </c>
      <c r="J476">
        <v>0</v>
      </c>
    </row>
    <row r="477" spans="1:11" x14ac:dyDescent="0.25">
      <c r="A477" t="s">
        <v>2571</v>
      </c>
      <c r="B477">
        <v>73</v>
      </c>
      <c r="C477" t="s">
        <v>5420</v>
      </c>
      <c r="D477" t="s">
        <v>5424</v>
      </c>
      <c r="E477" t="s">
        <v>5425</v>
      </c>
      <c r="F477">
        <v>196</v>
      </c>
      <c r="G477">
        <v>1.0649999999999999</v>
      </c>
      <c r="H477">
        <v>1</v>
      </c>
      <c r="I477">
        <v>1</v>
      </c>
      <c r="J477">
        <v>0</v>
      </c>
      <c r="K477" t="s">
        <v>5435</v>
      </c>
    </row>
    <row r="478" spans="1:11" x14ac:dyDescent="0.25">
      <c r="A478" t="s">
        <v>2580</v>
      </c>
      <c r="B478">
        <v>70</v>
      </c>
      <c r="C478" t="s">
        <v>5423</v>
      </c>
      <c r="D478" t="s">
        <v>5432</v>
      </c>
      <c r="E478" t="s">
        <v>5427</v>
      </c>
      <c r="F478">
        <v>60</v>
      </c>
      <c r="G478">
        <v>0.32600000000000001</v>
      </c>
      <c r="H478">
        <v>0.32600000000000001</v>
      </c>
      <c r="I478">
        <v>0</v>
      </c>
      <c r="J478">
        <v>0</v>
      </c>
    </row>
    <row r="479" spans="1:11" x14ac:dyDescent="0.25">
      <c r="A479" t="s">
        <v>2584</v>
      </c>
      <c r="B479">
        <v>48</v>
      </c>
      <c r="C479" t="s">
        <v>5420</v>
      </c>
      <c r="D479" t="s">
        <v>5432</v>
      </c>
      <c r="E479" t="s">
        <v>5428</v>
      </c>
      <c r="F479">
        <v>84</v>
      </c>
      <c r="G479">
        <v>0.45700000000000002</v>
      </c>
      <c r="H479">
        <v>0.45700000000000002</v>
      </c>
      <c r="I479">
        <v>0</v>
      </c>
      <c r="J479">
        <v>0</v>
      </c>
    </row>
    <row r="480" spans="1:11" x14ac:dyDescent="0.25">
      <c r="A480" t="s">
        <v>2589</v>
      </c>
      <c r="B480">
        <v>67</v>
      </c>
      <c r="C480" t="s">
        <v>5423</v>
      </c>
      <c r="D480" t="s">
        <v>5424</v>
      </c>
      <c r="E480" t="s">
        <v>5425</v>
      </c>
      <c r="F480">
        <v>56</v>
      </c>
      <c r="G480">
        <v>0.30399999999999999</v>
      </c>
      <c r="H480">
        <v>0.30399999999999999</v>
      </c>
      <c r="I480">
        <v>0</v>
      </c>
      <c r="J480">
        <v>0</v>
      </c>
    </row>
    <row r="481" spans="1:11" x14ac:dyDescent="0.25">
      <c r="A481" t="s">
        <v>2593</v>
      </c>
      <c r="B481">
        <v>63</v>
      </c>
      <c r="C481" t="s">
        <v>5420</v>
      </c>
      <c r="D481" t="s">
        <v>5421</v>
      </c>
      <c r="E481" t="s">
        <v>5428</v>
      </c>
      <c r="F481">
        <v>28</v>
      </c>
      <c r="G481">
        <v>0.152</v>
      </c>
      <c r="H481">
        <v>0.152</v>
      </c>
      <c r="I481">
        <v>0</v>
      </c>
      <c r="J481">
        <v>0</v>
      </c>
    </row>
    <row r="482" spans="1:11" x14ac:dyDescent="0.25">
      <c r="A482" t="s">
        <v>2596</v>
      </c>
      <c r="B482">
        <v>68</v>
      </c>
      <c r="C482" t="s">
        <v>5420</v>
      </c>
      <c r="D482" t="s">
        <v>5432</v>
      </c>
      <c r="E482" t="s">
        <v>5430</v>
      </c>
      <c r="F482">
        <v>30</v>
      </c>
      <c r="G482">
        <v>0.16300000000000001</v>
      </c>
      <c r="H482">
        <v>0.16300000000000001</v>
      </c>
      <c r="I482">
        <v>0</v>
      </c>
      <c r="J482">
        <v>0</v>
      </c>
    </row>
    <row r="483" spans="1:11" x14ac:dyDescent="0.25">
      <c r="A483" t="s">
        <v>2599</v>
      </c>
      <c r="B483">
        <v>80</v>
      </c>
      <c r="C483" t="s">
        <v>5423</v>
      </c>
      <c r="D483" t="s">
        <v>5432</v>
      </c>
      <c r="E483" t="s">
        <v>5431</v>
      </c>
      <c r="F483">
        <v>60</v>
      </c>
      <c r="G483">
        <v>0.32600000000000001</v>
      </c>
      <c r="H483">
        <v>0.32600000000000001</v>
      </c>
      <c r="I483">
        <v>0</v>
      </c>
      <c r="J483">
        <v>0</v>
      </c>
    </row>
    <row r="484" spans="1:11" x14ac:dyDescent="0.25">
      <c r="A484" t="s">
        <v>2603</v>
      </c>
      <c r="B484">
        <v>56</v>
      </c>
      <c r="C484" t="s">
        <v>5423</v>
      </c>
      <c r="D484" t="s">
        <v>5432</v>
      </c>
      <c r="E484" t="s">
        <v>5422</v>
      </c>
      <c r="F484">
        <v>30</v>
      </c>
      <c r="G484">
        <v>0.16300000000000001</v>
      </c>
      <c r="H484">
        <v>0.16300000000000001</v>
      </c>
      <c r="I484">
        <v>0</v>
      </c>
      <c r="J484">
        <v>0</v>
      </c>
    </row>
    <row r="485" spans="1:11" x14ac:dyDescent="0.25">
      <c r="A485" t="s">
        <v>2606</v>
      </c>
      <c r="B485">
        <v>61</v>
      </c>
      <c r="C485" t="s">
        <v>5420</v>
      </c>
      <c r="D485" t="s">
        <v>5421</v>
      </c>
      <c r="E485" t="s">
        <v>5422</v>
      </c>
      <c r="F485">
        <v>112</v>
      </c>
      <c r="G485">
        <v>0.60899999999999999</v>
      </c>
      <c r="H485">
        <v>0.60899999999999999</v>
      </c>
      <c r="I485">
        <v>0</v>
      </c>
      <c r="J485">
        <v>0</v>
      </c>
    </row>
    <row r="486" spans="1:11" x14ac:dyDescent="0.25">
      <c r="A486" t="s">
        <v>2612</v>
      </c>
      <c r="B486">
        <v>69</v>
      </c>
      <c r="C486" t="s">
        <v>5423</v>
      </c>
      <c r="D486" t="s">
        <v>5426</v>
      </c>
      <c r="E486" t="s">
        <v>5431</v>
      </c>
      <c r="F486">
        <v>14</v>
      </c>
      <c r="G486">
        <v>7.5999999999999998E-2</v>
      </c>
      <c r="H486">
        <v>7.5999999999999998E-2</v>
      </c>
      <c r="I486">
        <v>0</v>
      </c>
      <c r="J486">
        <v>0</v>
      </c>
    </row>
    <row r="487" spans="1:11" x14ac:dyDescent="0.25">
      <c r="A487" t="s">
        <v>2615</v>
      </c>
      <c r="B487">
        <v>68</v>
      </c>
      <c r="C487" t="s">
        <v>5423</v>
      </c>
      <c r="D487" t="s">
        <v>5432</v>
      </c>
      <c r="E487" t="s">
        <v>5430</v>
      </c>
      <c r="F487">
        <v>63</v>
      </c>
      <c r="G487">
        <v>0.34200000000000003</v>
      </c>
      <c r="H487">
        <v>0.34200000000000003</v>
      </c>
      <c r="I487">
        <v>0</v>
      </c>
      <c r="J487">
        <v>0</v>
      </c>
    </row>
    <row r="488" spans="1:11" x14ac:dyDescent="0.25">
      <c r="A488" t="s">
        <v>2620</v>
      </c>
      <c r="B488">
        <v>65</v>
      </c>
      <c r="C488" t="s">
        <v>5420</v>
      </c>
      <c r="D488" t="s">
        <v>5429</v>
      </c>
      <c r="E488" t="s">
        <v>5425</v>
      </c>
      <c r="F488">
        <v>21</v>
      </c>
      <c r="G488">
        <v>0.114</v>
      </c>
      <c r="H488">
        <v>0.114</v>
      </c>
      <c r="I488">
        <v>0</v>
      </c>
      <c r="J488">
        <v>0</v>
      </c>
    </row>
    <row r="489" spans="1:11" x14ac:dyDescent="0.25">
      <c r="A489" t="s">
        <v>2623</v>
      </c>
      <c r="B489">
        <v>80</v>
      </c>
      <c r="C489" t="s">
        <v>5420</v>
      </c>
      <c r="D489" t="s">
        <v>5426</v>
      </c>
      <c r="E489" t="s">
        <v>5422</v>
      </c>
      <c r="F489">
        <v>168</v>
      </c>
      <c r="G489">
        <v>0.91300000000000003</v>
      </c>
      <c r="H489">
        <v>0.91300000000000003</v>
      </c>
      <c r="I489">
        <v>0</v>
      </c>
      <c r="J489">
        <v>0</v>
      </c>
    </row>
    <row r="490" spans="1:11" x14ac:dyDescent="0.25">
      <c r="A490" t="s">
        <v>2631</v>
      </c>
      <c r="B490">
        <v>51</v>
      </c>
      <c r="C490" t="s">
        <v>5420</v>
      </c>
      <c r="D490" t="s">
        <v>5421</v>
      </c>
      <c r="E490" t="s">
        <v>5430</v>
      </c>
      <c r="F490">
        <v>60</v>
      </c>
      <c r="G490">
        <v>0.32600000000000001</v>
      </c>
      <c r="H490">
        <v>0.32600000000000001</v>
      </c>
      <c r="I490">
        <v>0</v>
      </c>
      <c r="J490">
        <v>0</v>
      </c>
    </row>
    <row r="491" spans="1:11" x14ac:dyDescent="0.25">
      <c r="A491" t="s">
        <v>2635</v>
      </c>
      <c r="B491">
        <v>51</v>
      </c>
      <c r="C491" t="s">
        <v>5423</v>
      </c>
      <c r="D491" t="s">
        <v>5426</v>
      </c>
      <c r="E491" t="s">
        <v>5422</v>
      </c>
      <c r="F491">
        <v>56</v>
      </c>
      <c r="G491">
        <v>0.30399999999999999</v>
      </c>
      <c r="H491">
        <v>0.30399999999999999</v>
      </c>
      <c r="I491">
        <v>0</v>
      </c>
      <c r="J491">
        <v>0</v>
      </c>
    </row>
    <row r="492" spans="1:11" x14ac:dyDescent="0.25">
      <c r="A492" t="s">
        <v>2641</v>
      </c>
      <c r="B492">
        <v>60</v>
      </c>
      <c r="C492" t="s">
        <v>5420</v>
      </c>
      <c r="D492" t="s">
        <v>5426</v>
      </c>
      <c r="E492" t="s">
        <v>5422</v>
      </c>
      <c r="F492">
        <v>140</v>
      </c>
      <c r="G492">
        <v>0.76100000000000001</v>
      </c>
      <c r="H492">
        <v>0.76100000000000001</v>
      </c>
      <c r="I492">
        <v>0</v>
      </c>
      <c r="J492">
        <v>0</v>
      </c>
    </row>
    <row r="493" spans="1:11" x14ac:dyDescent="0.25">
      <c r="A493" t="s">
        <v>2648</v>
      </c>
      <c r="B493">
        <v>60</v>
      </c>
      <c r="C493" t="s">
        <v>5423</v>
      </c>
      <c r="D493" t="s">
        <v>5426</v>
      </c>
      <c r="E493" t="s">
        <v>5428</v>
      </c>
      <c r="F493">
        <v>84</v>
      </c>
      <c r="G493">
        <v>0.45700000000000002</v>
      </c>
      <c r="H493">
        <v>0.45700000000000002</v>
      </c>
      <c r="I493">
        <v>0</v>
      </c>
      <c r="J493">
        <v>0</v>
      </c>
    </row>
    <row r="494" spans="1:11" x14ac:dyDescent="0.25">
      <c r="A494" t="s">
        <v>2653</v>
      </c>
      <c r="B494">
        <v>52</v>
      </c>
      <c r="C494" t="s">
        <v>5423</v>
      </c>
      <c r="D494" t="s">
        <v>5426</v>
      </c>
      <c r="E494" t="s">
        <v>5425</v>
      </c>
      <c r="F494">
        <v>196</v>
      </c>
      <c r="G494">
        <v>1.0649999999999999</v>
      </c>
      <c r="H494">
        <v>1</v>
      </c>
      <c r="I494">
        <v>1</v>
      </c>
      <c r="J494">
        <v>0</v>
      </c>
      <c r="K494" t="s">
        <v>5435</v>
      </c>
    </row>
    <row r="495" spans="1:11" x14ac:dyDescent="0.25">
      <c r="A495" t="s">
        <v>2662</v>
      </c>
      <c r="B495">
        <v>64</v>
      </c>
      <c r="C495" t="s">
        <v>5423</v>
      </c>
      <c r="D495" t="s">
        <v>5426</v>
      </c>
      <c r="E495" t="s">
        <v>5422</v>
      </c>
      <c r="F495">
        <v>84</v>
      </c>
      <c r="G495">
        <v>0.45700000000000002</v>
      </c>
      <c r="H495">
        <v>0.45700000000000002</v>
      </c>
      <c r="I495">
        <v>0</v>
      </c>
      <c r="J495">
        <v>0</v>
      </c>
    </row>
    <row r="496" spans="1:11" x14ac:dyDescent="0.25">
      <c r="A496" t="s">
        <v>2667</v>
      </c>
      <c r="B496">
        <v>34</v>
      </c>
      <c r="C496" t="s">
        <v>5420</v>
      </c>
      <c r="D496" t="s">
        <v>5424</v>
      </c>
      <c r="E496" t="s">
        <v>5430</v>
      </c>
      <c r="F496">
        <v>56</v>
      </c>
      <c r="G496">
        <v>0.30399999999999999</v>
      </c>
      <c r="H496">
        <v>0.30399999999999999</v>
      </c>
      <c r="I496">
        <v>0</v>
      </c>
      <c r="J496">
        <v>0</v>
      </c>
    </row>
    <row r="497" spans="1:11" x14ac:dyDescent="0.25">
      <c r="A497" t="s">
        <v>2670</v>
      </c>
      <c r="B497">
        <v>68</v>
      </c>
      <c r="C497" t="s">
        <v>5423</v>
      </c>
      <c r="D497" t="s">
        <v>5432</v>
      </c>
      <c r="E497" t="s">
        <v>5428</v>
      </c>
      <c r="F497">
        <v>56</v>
      </c>
      <c r="G497">
        <v>0.30399999999999999</v>
      </c>
      <c r="H497">
        <v>0.30399999999999999</v>
      </c>
      <c r="I497">
        <v>0</v>
      </c>
      <c r="J497">
        <v>0</v>
      </c>
    </row>
    <row r="498" spans="1:11" x14ac:dyDescent="0.25">
      <c r="A498" t="s">
        <v>2674</v>
      </c>
      <c r="B498">
        <v>78</v>
      </c>
      <c r="C498" t="s">
        <v>5423</v>
      </c>
      <c r="D498" t="s">
        <v>5429</v>
      </c>
      <c r="E498" t="s">
        <v>5431</v>
      </c>
      <c r="F498">
        <v>140</v>
      </c>
      <c r="G498">
        <v>0.76100000000000001</v>
      </c>
      <c r="H498">
        <v>0.76100000000000001</v>
      </c>
      <c r="I498">
        <v>0</v>
      </c>
      <c r="J498">
        <v>0</v>
      </c>
    </row>
    <row r="499" spans="1:11" x14ac:dyDescent="0.25">
      <c r="A499" t="s">
        <v>2681</v>
      </c>
      <c r="B499">
        <v>75</v>
      </c>
      <c r="C499" t="s">
        <v>5420</v>
      </c>
      <c r="D499" t="s">
        <v>5432</v>
      </c>
      <c r="E499" t="s">
        <v>5431</v>
      </c>
      <c r="F499">
        <v>90</v>
      </c>
      <c r="G499">
        <v>0.48899999999999999</v>
      </c>
      <c r="H499">
        <v>0.48899999999999999</v>
      </c>
      <c r="I499">
        <v>0</v>
      </c>
      <c r="J499">
        <v>0</v>
      </c>
    </row>
    <row r="500" spans="1:11" x14ac:dyDescent="0.25">
      <c r="A500" t="s">
        <v>2686</v>
      </c>
      <c r="B500">
        <v>83</v>
      </c>
      <c r="C500" t="s">
        <v>5423</v>
      </c>
      <c r="D500" t="s">
        <v>5426</v>
      </c>
      <c r="E500" t="s">
        <v>5452</v>
      </c>
      <c r="F500">
        <v>84</v>
      </c>
      <c r="G500">
        <v>0.45700000000000002</v>
      </c>
      <c r="H500">
        <v>0.45700000000000002</v>
      </c>
      <c r="I500">
        <v>0</v>
      </c>
      <c r="J500">
        <v>0</v>
      </c>
    </row>
    <row r="501" spans="1:11" x14ac:dyDescent="0.25">
      <c r="A501" t="s">
        <v>2691</v>
      </c>
      <c r="B501">
        <v>60</v>
      </c>
      <c r="C501" t="s">
        <v>5423</v>
      </c>
      <c r="D501" t="s">
        <v>5429</v>
      </c>
      <c r="E501" t="s">
        <v>5425</v>
      </c>
      <c r="F501">
        <v>140</v>
      </c>
      <c r="G501">
        <v>0.76100000000000001</v>
      </c>
      <c r="H501">
        <v>0.76100000000000001</v>
      </c>
      <c r="I501">
        <v>0</v>
      </c>
      <c r="J501">
        <v>0</v>
      </c>
    </row>
    <row r="502" spans="1:11" x14ac:dyDescent="0.25">
      <c r="A502" t="s">
        <v>2698</v>
      </c>
      <c r="B502">
        <v>54</v>
      </c>
      <c r="C502" t="s">
        <v>5420</v>
      </c>
      <c r="D502" t="s">
        <v>5429</v>
      </c>
      <c r="E502" t="s">
        <v>5427</v>
      </c>
      <c r="F502">
        <v>168</v>
      </c>
      <c r="G502">
        <v>0.91300000000000003</v>
      </c>
      <c r="H502">
        <v>0.91300000000000003</v>
      </c>
      <c r="I502">
        <v>0</v>
      </c>
      <c r="J502">
        <v>0</v>
      </c>
    </row>
    <row r="503" spans="1:11" x14ac:dyDescent="0.25">
      <c r="A503" t="s">
        <v>2708</v>
      </c>
      <c r="B503">
        <v>48</v>
      </c>
      <c r="C503" t="s">
        <v>5423</v>
      </c>
      <c r="D503" t="s">
        <v>5432</v>
      </c>
      <c r="E503" t="s">
        <v>5430</v>
      </c>
      <c r="F503">
        <v>14</v>
      </c>
      <c r="G503">
        <v>7.5999999999999998E-2</v>
      </c>
      <c r="H503">
        <v>7.5999999999999998E-2</v>
      </c>
      <c r="I503">
        <v>0</v>
      </c>
      <c r="J503">
        <v>0</v>
      </c>
    </row>
    <row r="504" spans="1:11" x14ac:dyDescent="0.25">
      <c r="A504" t="s">
        <v>2711</v>
      </c>
      <c r="B504">
        <v>47</v>
      </c>
      <c r="C504" t="s">
        <v>5420</v>
      </c>
      <c r="D504" t="s">
        <v>5429</v>
      </c>
      <c r="E504" t="s">
        <v>5425</v>
      </c>
      <c r="F504">
        <v>56</v>
      </c>
      <c r="G504">
        <v>0.30399999999999999</v>
      </c>
      <c r="H504">
        <v>0.30399999999999999</v>
      </c>
      <c r="I504">
        <v>0</v>
      </c>
      <c r="J504">
        <v>0</v>
      </c>
    </row>
    <row r="505" spans="1:11" x14ac:dyDescent="0.25">
      <c r="A505" t="s">
        <v>2715</v>
      </c>
      <c r="B505">
        <v>61</v>
      </c>
      <c r="C505" t="s">
        <v>5420</v>
      </c>
      <c r="D505" t="s">
        <v>5429</v>
      </c>
      <c r="E505" t="s">
        <v>5430</v>
      </c>
      <c r="F505">
        <v>196</v>
      </c>
      <c r="G505">
        <v>1.0649999999999999</v>
      </c>
      <c r="H505">
        <v>1</v>
      </c>
      <c r="I505">
        <v>1</v>
      </c>
      <c r="J505">
        <v>0</v>
      </c>
      <c r="K505" t="s">
        <v>5435</v>
      </c>
    </row>
    <row r="506" spans="1:11" x14ac:dyDescent="0.25">
      <c r="A506" t="s">
        <v>2724</v>
      </c>
      <c r="B506">
        <v>58</v>
      </c>
      <c r="C506" t="s">
        <v>5423</v>
      </c>
      <c r="D506" t="s">
        <v>5426</v>
      </c>
      <c r="E506" t="s">
        <v>5430</v>
      </c>
      <c r="F506">
        <v>150</v>
      </c>
      <c r="G506">
        <v>0.81499999999999995</v>
      </c>
      <c r="H506">
        <v>0.81499999999999995</v>
      </c>
      <c r="I506">
        <v>0</v>
      </c>
      <c r="J506">
        <v>0</v>
      </c>
    </row>
    <row r="507" spans="1:11" x14ac:dyDescent="0.25">
      <c r="A507" t="s">
        <v>2731</v>
      </c>
      <c r="B507">
        <v>54</v>
      </c>
      <c r="C507" t="s">
        <v>5423</v>
      </c>
      <c r="D507" t="s">
        <v>5432</v>
      </c>
      <c r="E507" t="s">
        <v>5425</v>
      </c>
      <c r="F507">
        <v>168</v>
      </c>
      <c r="G507">
        <v>0.91300000000000003</v>
      </c>
      <c r="H507">
        <v>0.91300000000000003</v>
      </c>
      <c r="I507">
        <v>0</v>
      </c>
      <c r="J507">
        <v>0</v>
      </c>
    </row>
    <row r="508" spans="1:11" x14ac:dyDescent="0.25">
      <c r="A508" t="s">
        <v>2739</v>
      </c>
      <c r="B508">
        <v>64</v>
      </c>
      <c r="C508" t="s">
        <v>5420</v>
      </c>
      <c r="D508" t="s">
        <v>5426</v>
      </c>
      <c r="E508" t="s">
        <v>5431</v>
      </c>
      <c r="F508">
        <v>180</v>
      </c>
      <c r="G508">
        <v>0.97799999999999998</v>
      </c>
      <c r="H508">
        <v>0.97799999999999998</v>
      </c>
      <c r="I508">
        <v>0</v>
      </c>
      <c r="J508">
        <v>0</v>
      </c>
    </row>
    <row r="509" spans="1:11" x14ac:dyDescent="0.25">
      <c r="A509" t="s">
        <v>2747</v>
      </c>
      <c r="B509">
        <v>54</v>
      </c>
      <c r="C509" t="s">
        <v>5423</v>
      </c>
      <c r="D509" t="s">
        <v>5426</v>
      </c>
      <c r="E509" t="s">
        <v>5431</v>
      </c>
      <c r="F509">
        <v>56</v>
      </c>
      <c r="G509">
        <v>0.30399999999999999</v>
      </c>
      <c r="H509">
        <v>0.30399999999999999</v>
      </c>
      <c r="I509">
        <v>0</v>
      </c>
      <c r="J509">
        <v>0</v>
      </c>
    </row>
    <row r="510" spans="1:11" x14ac:dyDescent="0.25">
      <c r="A510" t="s">
        <v>2751</v>
      </c>
      <c r="B510">
        <v>54</v>
      </c>
      <c r="C510" t="s">
        <v>5420</v>
      </c>
      <c r="D510" t="s">
        <v>5421</v>
      </c>
      <c r="E510" t="s">
        <v>5428</v>
      </c>
      <c r="F510">
        <v>28</v>
      </c>
      <c r="G510">
        <v>0.152</v>
      </c>
      <c r="H510">
        <v>0.152</v>
      </c>
      <c r="I510">
        <v>0</v>
      </c>
      <c r="J510">
        <v>0</v>
      </c>
    </row>
    <row r="511" spans="1:11" x14ac:dyDescent="0.25">
      <c r="A511" t="s">
        <v>2754</v>
      </c>
      <c r="B511">
        <v>46</v>
      </c>
      <c r="C511" t="s">
        <v>5423</v>
      </c>
      <c r="D511" t="s">
        <v>5432</v>
      </c>
      <c r="E511" t="s">
        <v>5430</v>
      </c>
      <c r="F511">
        <v>56</v>
      </c>
      <c r="G511">
        <v>0.30399999999999999</v>
      </c>
      <c r="H511">
        <v>0.30399999999999999</v>
      </c>
      <c r="I511">
        <v>0</v>
      </c>
      <c r="J511">
        <v>0</v>
      </c>
    </row>
    <row r="512" spans="1:11" x14ac:dyDescent="0.25">
      <c r="A512" t="s">
        <v>2758</v>
      </c>
      <c r="B512">
        <v>57</v>
      </c>
      <c r="C512" t="s">
        <v>5420</v>
      </c>
      <c r="D512" t="s">
        <v>5426</v>
      </c>
      <c r="E512" t="s">
        <v>5431</v>
      </c>
      <c r="F512">
        <v>30</v>
      </c>
      <c r="G512">
        <v>0.16300000000000001</v>
      </c>
      <c r="H512">
        <v>0.16300000000000001</v>
      </c>
      <c r="I512">
        <v>0</v>
      </c>
      <c r="J512">
        <v>0</v>
      </c>
    </row>
    <row r="513" spans="1:10" x14ac:dyDescent="0.25">
      <c r="A513" t="s">
        <v>2761</v>
      </c>
      <c r="B513">
        <v>63</v>
      </c>
      <c r="C513" t="s">
        <v>5420</v>
      </c>
      <c r="D513" t="s">
        <v>5432</v>
      </c>
      <c r="E513" t="s">
        <v>5428</v>
      </c>
      <c r="F513">
        <v>84</v>
      </c>
      <c r="G513">
        <v>0.45700000000000002</v>
      </c>
      <c r="H513">
        <v>0.45700000000000002</v>
      </c>
      <c r="I513">
        <v>0</v>
      </c>
      <c r="J513">
        <v>0</v>
      </c>
    </row>
    <row r="514" spans="1:10" x14ac:dyDescent="0.25">
      <c r="A514" t="s">
        <v>2766</v>
      </c>
      <c r="B514">
        <v>40</v>
      </c>
      <c r="C514" t="s">
        <v>5420</v>
      </c>
      <c r="D514" t="s">
        <v>5424</v>
      </c>
      <c r="E514" t="s">
        <v>5427</v>
      </c>
      <c r="F514">
        <v>56</v>
      </c>
      <c r="G514">
        <v>0.30399999999999999</v>
      </c>
      <c r="H514">
        <v>0.30399999999999999</v>
      </c>
      <c r="I514">
        <v>0</v>
      </c>
      <c r="J514">
        <v>0</v>
      </c>
    </row>
    <row r="515" spans="1:10" x14ac:dyDescent="0.25">
      <c r="A515" t="s">
        <v>2772</v>
      </c>
      <c r="B515">
        <v>54</v>
      </c>
      <c r="C515" t="s">
        <v>5420</v>
      </c>
      <c r="D515" t="s">
        <v>5432</v>
      </c>
      <c r="E515" t="s">
        <v>5428</v>
      </c>
      <c r="F515">
        <v>168</v>
      </c>
      <c r="G515">
        <v>0.91300000000000003</v>
      </c>
      <c r="H515">
        <v>0.91300000000000003</v>
      </c>
      <c r="I515">
        <v>0</v>
      </c>
      <c r="J515">
        <v>0</v>
      </c>
    </row>
    <row r="516" spans="1:10" x14ac:dyDescent="0.25">
      <c r="A516" t="s">
        <v>2782</v>
      </c>
      <c r="B516">
        <v>63</v>
      </c>
      <c r="C516" t="s">
        <v>5420</v>
      </c>
      <c r="D516" t="s">
        <v>5426</v>
      </c>
      <c r="E516" t="s">
        <v>5428</v>
      </c>
      <c r="F516">
        <v>28</v>
      </c>
      <c r="G516">
        <v>0.152</v>
      </c>
      <c r="H516">
        <v>0.152</v>
      </c>
      <c r="I516">
        <v>0</v>
      </c>
      <c r="J516">
        <v>0</v>
      </c>
    </row>
    <row r="517" spans="1:10" x14ac:dyDescent="0.25">
      <c r="A517" t="s">
        <v>2785</v>
      </c>
      <c r="B517">
        <v>66</v>
      </c>
      <c r="C517" t="s">
        <v>5423</v>
      </c>
      <c r="D517" t="s">
        <v>5421</v>
      </c>
      <c r="E517" t="s">
        <v>5428</v>
      </c>
      <c r="F517">
        <v>140</v>
      </c>
      <c r="G517">
        <v>0.76100000000000001</v>
      </c>
      <c r="H517">
        <v>0.76100000000000001</v>
      </c>
      <c r="I517">
        <v>0</v>
      </c>
      <c r="J517">
        <v>0</v>
      </c>
    </row>
    <row r="518" spans="1:10" x14ac:dyDescent="0.25">
      <c r="A518" t="s">
        <v>2792</v>
      </c>
      <c r="B518">
        <v>71</v>
      </c>
      <c r="C518" t="s">
        <v>5420</v>
      </c>
      <c r="D518" t="s">
        <v>5421</v>
      </c>
      <c r="E518" t="s">
        <v>5425</v>
      </c>
      <c r="F518">
        <v>56</v>
      </c>
      <c r="G518">
        <v>0.30399999999999999</v>
      </c>
      <c r="H518">
        <v>0.30399999999999999</v>
      </c>
      <c r="I518">
        <v>0</v>
      </c>
      <c r="J518">
        <v>0</v>
      </c>
    </row>
    <row r="519" spans="1:10" x14ac:dyDescent="0.25">
      <c r="A519" t="s">
        <v>2796</v>
      </c>
      <c r="B519">
        <v>64</v>
      </c>
      <c r="C519" t="s">
        <v>5423</v>
      </c>
      <c r="D519" t="s">
        <v>5429</v>
      </c>
      <c r="E519" t="s">
        <v>5430</v>
      </c>
      <c r="F519">
        <v>42</v>
      </c>
      <c r="G519">
        <v>0.22800000000000001</v>
      </c>
      <c r="H519">
        <v>0.22800000000000001</v>
      </c>
      <c r="I519">
        <v>0</v>
      </c>
      <c r="J519">
        <v>0</v>
      </c>
    </row>
    <row r="520" spans="1:10" x14ac:dyDescent="0.25">
      <c r="A520" t="s">
        <v>2801</v>
      </c>
      <c r="B520">
        <v>61</v>
      </c>
      <c r="C520" t="s">
        <v>5420</v>
      </c>
      <c r="D520" t="s">
        <v>5426</v>
      </c>
      <c r="E520" t="s">
        <v>5428</v>
      </c>
      <c r="F520">
        <v>28</v>
      </c>
      <c r="G520">
        <v>0.152</v>
      </c>
      <c r="H520">
        <v>0.152</v>
      </c>
      <c r="I520">
        <v>0</v>
      </c>
      <c r="J520">
        <v>0</v>
      </c>
    </row>
    <row r="521" spans="1:10" x14ac:dyDescent="0.25">
      <c r="A521" t="s">
        <v>2804</v>
      </c>
      <c r="B521">
        <v>59</v>
      </c>
      <c r="C521" t="s">
        <v>5420</v>
      </c>
      <c r="D521" t="s">
        <v>5426</v>
      </c>
      <c r="E521" t="s">
        <v>5422</v>
      </c>
      <c r="F521">
        <v>120</v>
      </c>
      <c r="G521">
        <v>0.65200000000000002</v>
      </c>
      <c r="H521">
        <v>0.65200000000000002</v>
      </c>
      <c r="I521">
        <v>0</v>
      </c>
      <c r="J521">
        <v>0</v>
      </c>
    </row>
    <row r="522" spans="1:10" x14ac:dyDescent="0.25">
      <c r="A522" t="s">
        <v>2810</v>
      </c>
      <c r="B522">
        <v>74</v>
      </c>
      <c r="C522" t="s">
        <v>5423</v>
      </c>
      <c r="D522" t="s">
        <v>5426</v>
      </c>
      <c r="E522" t="s">
        <v>5425</v>
      </c>
      <c r="F522">
        <v>120</v>
      </c>
      <c r="G522">
        <v>0.65200000000000002</v>
      </c>
      <c r="H522">
        <v>0.65200000000000002</v>
      </c>
      <c r="I522">
        <v>0</v>
      </c>
      <c r="J522">
        <v>0</v>
      </c>
    </row>
    <row r="523" spans="1:10" x14ac:dyDescent="0.25">
      <c r="A523" t="s">
        <v>2816</v>
      </c>
      <c r="B523">
        <v>53</v>
      </c>
      <c r="C523" t="s">
        <v>5423</v>
      </c>
      <c r="D523" t="s">
        <v>5432</v>
      </c>
      <c r="E523" t="s">
        <v>5427</v>
      </c>
      <c r="F523">
        <v>56</v>
      </c>
      <c r="G523">
        <v>0.30399999999999999</v>
      </c>
      <c r="H523">
        <v>0.30399999999999999</v>
      </c>
      <c r="I523">
        <v>0</v>
      </c>
      <c r="J523">
        <v>0</v>
      </c>
    </row>
    <row r="524" spans="1:10" x14ac:dyDescent="0.25">
      <c r="A524" t="s">
        <v>2819</v>
      </c>
      <c r="B524">
        <v>72</v>
      </c>
      <c r="C524" t="s">
        <v>5423</v>
      </c>
      <c r="D524" t="s">
        <v>5424</v>
      </c>
      <c r="E524" t="s">
        <v>5430</v>
      </c>
      <c r="F524">
        <v>140</v>
      </c>
      <c r="G524">
        <v>0.76100000000000001</v>
      </c>
      <c r="H524">
        <v>0.76100000000000001</v>
      </c>
      <c r="I524">
        <v>0</v>
      </c>
      <c r="J524">
        <v>0</v>
      </c>
    </row>
    <row r="525" spans="1:10" x14ac:dyDescent="0.25">
      <c r="A525" t="s">
        <v>2826</v>
      </c>
      <c r="B525">
        <v>55</v>
      </c>
      <c r="C525" t="s">
        <v>5423</v>
      </c>
      <c r="D525" t="s">
        <v>5432</v>
      </c>
      <c r="E525" t="s">
        <v>5430</v>
      </c>
      <c r="F525">
        <v>140</v>
      </c>
      <c r="G525">
        <v>0.76100000000000001</v>
      </c>
      <c r="H525">
        <v>0.76100000000000001</v>
      </c>
      <c r="I525">
        <v>0</v>
      </c>
      <c r="J525">
        <v>0</v>
      </c>
    </row>
    <row r="526" spans="1:10" x14ac:dyDescent="0.25">
      <c r="A526" t="s">
        <v>2833</v>
      </c>
      <c r="B526">
        <v>69</v>
      </c>
      <c r="C526" t="s">
        <v>5423</v>
      </c>
      <c r="D526" t="s">
        <v>5426</v>
      </c>
      <c r="E526" t="s">
        <v>5422</v>
      </c>
      <c r="F526">
        <v>180</v>
      </c>
      <c r="G526">
        <v>0.97799999999999998</v>
      </c>
      <c r="H526">
        <v>0.97799999999999998</v>
      </c>
      <c r="I526">
        <v>0</v>
      </c>
      <c r="J526">
        <v>0</v>
      </c>
    </row>
    <row r="527" spans="1:10" x14ac:dyDescent="0.25">
      <c r="A527" t="s">
        <v>2841</v>
      </c>
      <c r="B527">
        <v>44</v>
      </c>
      <c r="C527" t="s">
        <v>5420</v>
      </c>
      <c r="D527" t="s">
        <v>5429</v>
      </c>
      <c r="E527" t="s">
        <v>5422</v>
      </c>
      <c r="F527">
        <v>60</v>
      </c>
      <c r="G527">
        <v>0.32600000000000001</v>
      </c>
      <c r="H527">
        <v>0.32600000000000001</v>
      </c>
      <c r="I527">
        <v>0</v>
      </c>
      <c r="J527">
        <v>0</v>
      </c>
    </row>
    <row r="528" spans="1:10" x14ac:dyDescent="0.25">
      <c r="A528" t="s">
        <v>2845</v>
      </c>
      <c r="B528">
        <v>50</v>
      </c>
      <c r="C528" t="s">
        <v>5420</v>
      </c>
      <c r="D528" t="s">
        <v>5429</v>
      </c>
      <c r="E528" t="s">
        <v>5425</v>
      </c>
      <c r="F528">
        <v>140</v>
      </c>
      <c r="G528">
        <v>0.76100000000000001</v>
      </c>
      <c r="H528">
        <v>0.76100000000000001</v>
      </c>
      <c r="I528">
        <v>0</v>
      </c>
      <c r="J528">
        <v>0</v>
      </c>
    </row>
    <row r="529" spans="1:11" x14ac:dyDescent="0.25">
      <c r="A529" t="s">
        <v>2852</v>
      </c>
      <c r="B529">
        <v>59</v>
      </c>
      <c r="C529" t="s">
        <v>5423</v>
      </c>
      <c r="D529" t="s">
        <v>5426</v>
      </c>
      <c r="E529" t="s">
        <v>5430</v>
      </c>
      <c r="F529">
        <v>30</v>
      </c>
      <c r="G529">
        <v>0.16300000000000001</v>
      </c>
      <c r="H529">
        <v>0.16300000000000001</v>
      </c>
      <c r="I529">
        <v>0</v>
      </c>
      <c r="J529">
        <v>0</v>
      </c>
    </row>
    <row r="530" spans="1:11" x14ac:dyDescent="0.25">
      <c r="A530" t="s">
        <v>2855</v>
      </c>
      <c r="B530">
        <v>56</v>
      </c>
      <c r="C530" t="s">
        <v>5420</v>
      </c>
      <c r="D530" t="s">
        <v>5426</v>
      </c>
      <c r="E530" t="s">
        <v>5425</v>
      </c>
      <c r="F530">
        <v>60</v>
      </c>
      <c r="G530">
        <v>0.32600000000000001</v>
      </c>
      <c r="H530">
        <v>0.32600000000000001</v>
      </c>
      <c r="I530">
        <v>0</v>
      </c>
      <c r="J530">
        <v>0</v>
      </c>
    </row>
    <row r="531" spans="1:11" x14ac:dyDescent="0.25">
      <c r="A531" t="s">
        <v>2859</v>
      </c>
      <c r="B531">
        <v>59</v>
      </c>
      <c r="C531" t="s">
        <v>5420</v>
      </c>
      <c r="D531" t="s">
        <v>5429</v>
      </c>
      <c r="E531" t="s">
        <v>5428</v>
      </c>
      <c r="F531">
        <v>196</v>
      </c>
      <c r="G531">
        <v>1.0649999999999999</v>
      </c>
      <c r="H531">
        <v>1</v>
      </c>
      <c r="I531">
        <v>1</v>
      </c>
      <c r="J531">
        <v>0</v>
      </c>
      <c r="K531" t="s">
        <v>5435</v>
      </c>
    </row>
    <row r="532" spans="1:11" x14ac:dyDescent="0.25">
      <c r="A532" t="s">
        <v>2868</v>
      </c>
      <c r="B532">
        <v>61</v>
      </c>
      <c r="C532" t="s">
        <v>5420</v>
      </c>
      <c r="D532" t="s">
        <v>5432</v>
      </c>
      <c r="E532" t="s">
        <v>5425</v>
      </c>
      <c r="F532">
        <v>28</v>
      </c>
      <c r="G532">
        <v>0.152</v>
      </c>
      <c r="H532">
        <v>0.152</v>
      </c>
      <c r="I532">
        <v>0</v>
      </c>
      <c r="J532">
        <v>0</v>
      </c>
    </row>
    <row r="533" spans="1:11" x14ac:dyDescent="0.25">
      <c r="A533" t="s">
        <v>2871</v>
      </c>
      <c r="B533">
        <v>64</v>
      </c>
      <c r="C533" t="s">
        <v>5423</v>
      </c>
      <c r="D533" t="s">
        <v>5421</v>
      </c>
      <c r="E533" t="s">
        <v>5430</v>
      </c>
      <c r="F533">
        <v>56</v>
      </c>
      <c r="G533">
        <v>0.30399999999999999</v>
      </c>
      <c r="H533">
        <v>0.30399999999999999</v>
      </c>
      <c r="I533">
        <v>0</v>
      </c>
      <c r="J533">
        <v>0</v>
      </c>
    </row>
    <row r="534" spans="1:11" x14ac:dyDescent="0.25">
      <c r="A534" t="s">
        <v>2875</v>
      </c>
      <c r="B534">
        <v>57</v>
      </c>
      <c r="C534" t="s">
        <v>5420</v>
      </c>
      <c r="D534" t="s">
        <v>5429</v>
      </c>
      <c r="E534" t="s">
        <v>5427</v>
      </c>
      <c r="F534">
        <v>56</v>
      </c>
      <c r="G534">
        <v>0.30399999999999999</v>
      </c>
      <c r="H534">
        <v>0.30399999999999999</v>
      </c>
      <c r="I534">
        <v>0</v>
      </c>
      <c r="J534">
        <v>0</v>
      </c>
    </row>
    <row r="535" spans="1:11" x14ac:dyDescent="0.25">
      <c r="A535" t="s">
        <v>2879</v>
      </c>
      <c r="B535">
        <v>60</v>
      </c>
      <c r="C535" t="s">
        <v>5423</v>
      </c>
      <c r="D535" t="s">
        <v>5432</v>
      </c>
      <c r="E535" t="s">
        <v>5425</v>
      </c>
      <c r="F535">
        <v>28</v>
      </c>
      <c r="G535">
        <v>0.152</v>
      </c>
      <c r="H535">
        <v>0.152</v>
      </c>
      <c r="I535">
        <v>0</v>
      </c>
      <c r="J535">
        <v>0</v>
      </c>
    </row>
    <row r="536" spans="1:11" x14ac:dyDescent="0.25">
      <c r="A536" t="s">
        <v>2882</v>
      </c>
      <c r="B536">
        <v>67</v>
      </c>
      <c r="C536" t="s">
        <v>5423</v>
      </c>
      <c r="D536" t="s">
        <v>5432</v>
      </c>
      <c r="E536" t="s">
        <v>5422</v>
      </c>
      <c r="F536">
        <v>84</v>
      </c>
      <c r="G536">
        <v>0.45700000000000002</v>
      </c>
      <c r="H536">
        <v>0.45700000000000002</v>
      </c>
      <c r="I536">
        <v>0</v>
      </c>
      <c r="J536">
        <v>0</v>
      </c>
    </row>
    <row r="537" spans="1:11" x14ac:dyDescent="0.25">
      <c r="A537" t="s">
        <v>2890</v>
      </c>
      <c r="B537">
        <v>59</v>
      </c>
      <c r="C537" t="s">
        <v>5423</v>
      </c>
      <c r="D537" t="s">
        <v>5424</v>
      </c>
      <c r="E537" t="s">
        <v>5425</v>
      </c>
      <c r="F537">
        <v>126</v>
      </c>
      <c r="G537">
        <v>0.68500000000000005</v>
      </c>
      <c r="H537">
        <v>0.68500000000000005</v>
      </c>
      <c r="I537">
        <v>0</v>
      </c>
      <c r="J537">
        <v>0</v>
      </c>
    </row>
    <row r="538" spans="1:11" x14ac:dyDescent="0.25">
      <c r="A538" t="s">
        <v>2898</v>
      </c>
      <c r="B538">
        <v>60</v>
      </c>
      <c r="C538" t="s">
        <v>5420</v>
      </c>
      <c r="D538" t="s">
        <v>5426</v>
      </c>
      <c r="E538" t="s">
        <v>5428</v>
      </c>
      <c r="F538">
        <v>140</v>
      </c>
      <c r="G538">
        <v>0.76100000000000001</v>
      </c>
      <c r="H538">
        <v>0.76100000000000001</v>
      </c>
      <c r="I538">
        <v>0</v>
      </c>
      <c r="J538">
        <v>0</v>
      </c>
    </row>
    <row r="539" spans="1:11" x14ac:dyDescent="0.25">
      <c r="A539" t="s">
        <v>2905</v>
      </c>
      <c r="B539">
        <v>66</v>
      </c>
      <c r="C539" t="s">
        <v>5423</v>
      </c>
      <c r="D539" t="s">
        <v>5426</v>
      </c>
      <c r="E539" t="s">
        <v>5430</v>
      </c>
      <c r="F539">
        <v>56</v>
      </c>
      <c r="G539">
        <v>0.30399999999999999</v>
      </c>
      <c r="H539">
        <v>0.30399999999999999</v>
      </c>
      <c r="I539">
        <v>0</v>
      </c>
      <c r="J539">
        <v>0</v>
      </c>
    </row>
    <row r="540" spans="1:11" x14ac:dyDescent="0.25">
      <c r="A540" t="s">
        <v>2909</v>
      </c>
      <c r="B540">
        <v>68</v>
      </c>
      <c r="C540" t="s">
        <v>5420</v>
      </c>
      <c r="D540" t="s">
        <v>5432</v>
      </c>
      <c r="E540" t="s">
        <v>5422</v>
      </c>
      <c r="F540">
        <v>140</v>
      </c>
      <c r="G540">
        <v>0.76100000000000001</v>
      </c>
      <c r="H540">
        <v>0.76100000000000001</v>
      </c>
      <c r="I540">
        <v>0</v>
      </c>
      <c r="J540">
        <v>0</v>
      </c>
    </row>
    <row r="541" spans="1:11" x14ac:dyDescent="0.25">
      <c r="A541" t="s">
        <v>2916</v>
      </c>
      <c r="B541">
        <v>67</v>
      </c>
      <c r="C541" t="s">
        <v>5420</v>
      </c>
      <c r="D541" t="s">
        <v>5432</v>
      </c>
      <c r="E541" t="s">
        <v>5422</v>
      </c>
      <c r="F541">
        <v>140</v>
      </c>
      <c r="G541">
        <v>0.76100000000000001</v>
      </c>
      <c r="H541">
        <v>0.76100000000000001</v>
      </c>
      <c r="I541">
        <v>0</v>
      </c>
      <c r="J541">
        <v>0</v>
      </c>
    </row>
    <row r="542" spans="1:11" x14ac:dyDescent="0.25">
      <c r="A542" t="s">
        <v>2923</v>
      </c>
      <c r="B542">
        <v>42</v>
      </c>
      <c r="C542" t="s">
        <v>5420</v>
      </c>
      <c r="D542" t="s">
        <v>5432</v>
      </c>
      <c r="E542" t="s">
        <v>5422</v>
      </c>
      <c r="F542">
        <v>30</v>
      </c>
      <c r="G542">
        <v>0.16300000000000001</v>
      </c>
      <c r="H542">
        <v>0.16300000000000001</v>
      </c>
      <c r="I542">
        <v>0</v>
      </c>
      <c r="J542">
        <v>0</v>
      </c>
    </row>
    <row r="543" spans="1:11" x14ac:dyDescent="0.25">
      <c r="A543" t="s">
        <v>2926</v>
      </c>
      <c r="B543">
        <v>69</v>
      </c>
      <c r="C543" t="s">
        <v>5420</v>
      </c>
      <c r="D543" t="s">
        <v>5432</v>
      </c>
      <c r="E543" t="s">
        <v>5425</v>
      </c>
      <c r="F543">
        <v>90</v>
      </c>
      <c r="G543">
        <v>0.48899999999999999</v>
      </c>
      <c r="H543">
        <v>0.48899999999999999</v>
      </c>
      <c r="I543">
        <v>0</v>
      </c>
      <c r="J543">
        <v>0</v>
      </c>
    </row>
    <row r="544" spans="1:11" x14ac:dyDescent="0.25">
      <c r="A544" t="s">
        <v>2931</v>
      </c>
      <c r="B544">
        <v>73</v>
      </c>
      <c r="C544" t="s">
        <v>5420</v>
      </c>
      <c r="D544" t="s">
        <v>5432</v>
      </c>
      <c r="E544" t="s">
        <v>5431</v>
      </c>
      <c r="F544">
        <v>56</v>
      </c>
      <c r="G544">
        <v>0.30399999999999999</v>
      </c>
      <c r="H544">
        <v>0.30399999999999999</v>
      </c>
      <c r="I544">
        <v>0</v>
      </c>
      <c r="J544">
        <v>0</v>
      </c>
    </row>
    <row r="545" spans="1:10" x14ac:dyDescent="0.25">
      <c r="A545" t="s">
        <v>2935</v>
      </c>
      <c r="B545">
        <v>81</v>
      </c>
      <c r="C545" t="s">
        <v>5420</v>
      </c>
      <c r="D545" t="s">
        <v>5426</v>
      </c>
      <c r="E545" t="s">
        <v>5428</v>
      </c>
      <c r="F545">
        <v>84</v>
      </c>
      <c r="G545">
        <v>0.45700000000000002</v>
      </c>
      <c r="H545">
        <v>0.45700000000000002</v>
      </c>
      <c r="I545">
        <v>0</v>
      </c>
      <c r="J545">
        <v>0</v>
      </c>
    </row>
    <row r="546" spans="1:10" x14ac:dyDescent="0.25">
      <c r="A546" t="s">
        <v>2940</v>
      </c>
      <c r="B546">
        <v>64</v>
      </c>
      <c r="C546" t="s">
        <v>5423</v>
      </c>
      <c r="D546" t="s">
        <v>5429</v>
      </c>
      <c r="E546" t="s">
        <v>5428</v>
      </c>
      <c r="F546">
        <v>56</v>
      </c>
      <c r="G546">
        <v>0.30399999999999999</v>
      </c>
      <c r="H546">
        <v>0.30399999999999999</v>
      </c>
      <c r="I546">
        <v>0</v>
      </c>
      <c r="J546">
        <v>0</v>
      </c>
    </row>
    <row r="547" spans="1:10" x14ac:dyDescent="0.25">
      <c r="A547" t="s">
        <v>2944</v>
      </c>
      <c r="B547">
        <v>66</v>
      </c>
      <c r="C547" t="s">
        <v>5420</v>
      </c>
      <c r="D547" t="s">
        <v>5424</v>
      </c>
      <c r="E547" t="s">
        <v>5422</v>
      </c>
      <c r="F547">
        <v>90</v>
      </c>
      <c r="G547">
        <v>0.48899999999999999</v>
      </c>
      <c r="H547">
        <v>0.48899999999999999</v>
      </c>
      <c r="I547">
        <v>0</v>
      </c>
      <c r="J547">
        <v>0</v>
      </c>
    </row>
    <row r="548" spans="1:10" x14ac:dyDescent="0.25">
      <c r="A548" t="s">
        <v>2949</v>
      </c>
      <c r="B548">
        <v>68</v>
      </c>
      <c r="C548" t="s">
        <v>5420</v>
      </c>
      <c r="D548" t="s">
        <v>5432</v>
      </c>
      <c r="E548" t="s">
        <v>5450</v>
      </c>
      <c r="F548">
        <v>140</v>
      </c>
      <c r="G548">
        <v>0.76100000000000001</v>
      </c>
      <c r="H548">
        <v>0.76100000000000001</v>
      </c>
      <c r="I548">
        <v>0</v>
      </c>
      <c r="J548">
        <v>0</v>
      </c>
    </row>
    <row r="549" spans="1:10" x14ac:dyDescent="0.25">
      <c r="A549" t="s">
        <v>2956</v>
      </c>
      <c r="B549">
        <v>58</v>
      </c>
      <c r="C549" t="s">
        <v>5420</v>
      </c>
      <c r="D549" t="s">
        <v>5424</v>
      </c>
      <c r="E549" t="s">
        <v>5452</v>
      </c>
      <c r="F549">
        <v>84</v>
      </c>
      <c r="G549">
        <v>0.45700000000000002</v>
      </c>
      <c r="H549">
        <v>0.45700000000000002</v>
      </c>
      <c r="I549">
        <v>0</v>
      </c>
      <c r="J549">
        <v>0</v>
      </c>
    </row>
    <row r="550" spans="1:10" x14ac:dyDescent="0.25">
      <c r="A550" t="s">
        <v>2961</v>
      </c>
      <c r="B550">
        <v>44</v>
      </c>
      <c r="C550" t="s">
        <v>5420</v>
      </c>
      <c r="D550" t="s">
        <v>5424</v>
      </c>
      <c r="E550" t="s">
        <v>5422</v>
      </c>
      <c r="F550">
        <v>168</v>
      </c>
      <c r="G550">
        <v>0.91300000000000003</v>
      </c>
      <c r="H550">
        <v>0.91300000000000003</v>
      </c>
      <c r="I550">
        <v>0</v>
      </c>
      <c r="J550">
        <v>0</v>
      </c>
    </row>
    <row r="551" spans="1:10" x14ac:dyDescent="0.25">
      <c r="A551" t="s">
        <v>2969</v>
      </c>
      <c r="B551">
        <v>74</v>
      </c>
      <c r="C551" t="s">
        <v>5423</v>
      </c>
      <c r="D551" t="s">
        <v>5432</v>
      </c>
      <c r="E551" t="s">
        <v>5428</v>
      </c>
      <c r="F551">
        <v>112</v>
      </c>
      <c r="G551">
        <v>0.60899999999999999</v>
      </c>
      <c r="H551">
        <v>0.60899999999999999</v>
      </c>
      <c r="I551">
        <v>0</v>
      </c>
      <c r="J551">
        <v>0</v>
      </c>
    </row>
    <row r="552" spans="1:10" x14ac:dyDescent="0.25">
      <c r="A552" t="s">
        <v>2975</v>
      </c>
      <c r="B552">
        <v>72</v>
      </c>
      <c r="C552" t="s">
        <v>5420</v>
      </c>
      <c r="D552" t="s">
        <v>5424</v>
      </c>
      <c r="E552" t="s">
        <v>5448</v>
      </c>
      <c r="F552">
        <v>56</v>
      </c>
      <c r="G552">
        <v>0.30399999999999999</v>
      </c>
      <c r="H552">
        <v>0.30399999999999999</v>
      </c>
      <c r="I552">
        <v>0</v>
      </c>
      <c r="J552">
        <v>0</v>
      </c>
    </row>
    <row r="553" spans="1:10" x14ac:dyDescent="0.25">
      <c r="A553" t="s">
        <v>2979</v>
      </c>
      <c r="B553">
        <v>64</v>
      </c>
      <c r="C553" t="s">
        <v>5423</v>
      </c>
      <c r="D553" t="s">
        <v>5421</v>
      </c>
      <c r="E553" t="s">
        <v>5430</v>
      </c>
      <c r="F553">
        <v>140</v>
      </c>
      <c r="G553">
        <v>0.76100000000000001</v>
      </c>
      <c r="H553">
        <v>0.76100000000000001</v>
      </c>
      <c r="I553">
        <v>0</v>
      </c>
      <c r="J553">
        <v>0</v>
      </c>
    </row>
    <row r="554" spans="1:10" x14ac:dyDescent="0.25">
      <c r="A554" t="s">
        <v>2986</v>
      </c>
      <c r="B554">
        <v>60</v>
      </c>
      <c r="C554" t="s">
        <v>5420</v>
      </c>
      <c r="D554" t="s">
        <v>5424</v>
      </c>
      <c r="E554" t="s">
        <v>5422</v>
      </c>
      <c r="F554">
        <v>126</v>
      </c>
      <c r="G554">
        <v>0.68500000000000005</v>
      </c>
      <c r="H554">
        <v>0.68500000000000005</v>
      </c>
      <c r="I554">
        <v>0</v>
      </c>
      <c r="J554">
        <v>0</v>
      </c>
    </row>
    <row r="555" spans="1:10" x14ac:dyDescent="0.25">
      <c r="A555" t="s">
        <v>2997</v>
      </c>
      <c r="B555">
        <v>60</v>
      </c>
      <c r="C555" t="s">
        <v>5420</v>
      </c>
      <c r="D555" t="s">
        <v>5424</v>
      </c>
      <c r="E555" t="s">
        <v>5425</v>
      </c>
      <c r="F555">
        <v>28</v>
      </c>
      <c r="G555">
        <v>0.152</v>
      </c>
      <c r="H555">
        <v>0.152</v>
      </c>
      <c r="I555">
        <v>0</v>
      </c>
      <c r="J555">
        <v>0</v>
      </c>
    </row>
    <row r="556" spans="1:10" x14ac:dyDescent="0.25">
      <c r="A556" t="s">
        <v>3000</v>
      </c>
      <c r="B556">
        <v>67</v>
      </c>
      <c r="C556" t="s">
        <v>5423</v>
      </c>
      <c r="D556" t="s">
        <v>5429</v>
      </c>
      <c r="E556" t="s">
        <v>5428</v>
      </c>
      <c r="F556">
        <v>56</v>
      </c>
      <c r="G556">
        <v>0.30399999999999999</v>
      </c>
      <c r="H556">
        <v>0.30399999999999999</v>
      </c>
      <c r="I556">
        <v>0</v>
      </c>
      <c r="J556">
        <v>0</v>
      </c>
    </row>
    <row r="557" spans="1:10" x14ac:dyDescent="0.25">
      <c r="A557" t="s">
        <v>3003</v>
      </c>
      <c r="B557">
        <v>32</v>
      </c>
      <c r="C557" t="s">
        <v>5423</v>
      </c>
      <c r="D557" t="s">
        <v>5426</v>
      </c>
      <c r="E557" t="s">
        <v>5422</v>
      </c>
      <c r="F557">
        <v>180</v>
      </c>
      <c r="G557">
        <v>0.97799999999999998</v>
      </c>
      <c r="H557">
        <v>0.97799999999999998</v>
      </c>
      <c r="I557">
        <v>0</v>
      </c>
      <c r="J557">
        <v>0</v>
      </c>
    </row>
    <row r="558" spans="1:10" x14ac:dyDescent="0.25">
      <c r="A558" t="s">
        <v>3011</v>
      </c>
      <c r="B558">
        <v>54</v>
      </c>
      <c r="C558" t="s">
        <v>5420</v>
      </c>
      <c r="D558" t="s">
        <v>5424</v>
      </c>
      <c r="E558" t="s">
        <v>5427</v>
      </c>
      <c r="F558">
        <v>56</v>
      </c>
      <c r="G558">
        <v>0.30399999999999999</v>
      </c>
      <c r="H558">
        <v>0.30399999999999999</v>
      </c>
      <c r="I558">
        <v>0</v>
      </c>
      <c r="J558">
        <v>0</v>
      </c>
    </row>
    <row r="559" spans="1:10" x14ac:dyDescent="0.25">
      <c r="A559" t="s">
        <v>3015</v>
      </c>
      <c r="B559">
        <v>66</v>
      </c>
      <c r="C559" t="s">
        <v>5420</v>
      </c>
      <c r="D559" t="s">
        <v>5421</v>
      </c>
      <c r="E559" t="s">
        <v>5428</v>
      </c>
      <c r="F559">
        <v>28</v>
      </c>
      <c r="G559">
        <v>0.152</v>
      </c>
      <c r="H559">
        <v>0.152</v>
      </c>
      <c r="I559">
        <v>0</v>
      </c>
      <c r="J559">
        <v>0</v>
      </c>
    </row>
    <row r="560" spans="1:10" x14ac:dyDescent="0.25">
      <c r="A560" t="s">
        <v>3018</v>
      </c>
      <c r="B560">
        <v>71</v>
      </c>
      <c r="C560" t="s">
        <v>5420</v>
      </c>
      <c r="D560" t="s">
        <v>5426</v>
      </c>
      <c r="E560" t="s">
        <v>5431</v>
      </c>
      <c r="F560">
        <v>140</v>
      </c>
      <c r="G560">
        <v>0.76100000000000001</v>
      </c>
      <c r="H560">
        <v>0.76100000000000001</v>
      </c>
      <c r="I560">
        <v>0</v>
      </c>
      <c r="J560">
        <v>0</v>
      </c>
    </row>
    <row r="561" spans="1:10" x14ac:dyDescent="0.25">
      <c r="A561" t="s">
        <v>3025</v>
      </c>
      <c r="B561">
        <v>67</v>
      </c>
      <c r="C561" t="s">
        <v>5423</v>
      </c>
      <c r="D561" t="s">
        <v>5429</v>
      </c>
      <c r="E561" t="s">
        <v>5425</v>
      </c>
      <c r="F561">
        <v>140</v>
      </c>
      <c r="G561">
        <v>0.76100000000000001</v>
      </c>
      <c r="H561">
        <v>0.76100000000000001</v>
      </c>
      <c r="I561">
        <v>0</v>
      </c>
      <c r="J561">
        <v>0</v>
      </c>
    </row>
    <row r="562" spans="1:10" x14ac:dyDescent="0.25">
      <c r="A562" t="s">
        <v>3032</v>
      </c>
      <c r="B562">
        <v>70</v>
      </c>
      <c r="C562" t="s">
        <v>5423</v>
      </c>
      <c r="D562" t="s">
        <v>5424</v>
      </c>
      <c r="E562" t="s">
        <v>5427</v>
      </c>
      <c r="F562">
        <v>120</v>
      </c>
      <c r="G562">
        <v>0.65200000000000002</v>
      </c>
      <c r="H562">
        <v>0.65200000000000002</v>
      </c>
      <c r="I562">
        <v>0</v>
      </c>
      <c r="J562">
        <v>0</v>
      </c>
    </row>
    <row r="563" spans="1:10" x14ac:dyDescent="0.25">
      <c r="A563" t="s">
        <v>3038</v>
      </c>
      <c r="B563">
        <v>69</v>
      </c>
      <c r="C563" t="s">
        <v>5420</v>
      </c>
      <c r="D563" t="s">
        <v>5432</v>
      </c>
      <c r="E563" t="s">
        <v>5430</v>
      </c>
      <c r="F563">
        <v>140</v>
      </c>
      <c r="G563">
        <v>0.76100000000000001</v>
      </c>
      <c r="H563">
        <v>0.76100000000000001</v>
      </c>
      <c r="I563">
        <v>0</v>
      </c>
      <c r="J563">
        <v>0</v>
      </c>
    </row>
    <row r="564" spans="1:10" x14ac:dyDescent="0.25">
      <c r="A564" t="s">
        <v>3045</v>
      </c>
      <c r="B564">
        <v>60</v>
      </c>
      <c r="C564" t="s">
        <v>5420</v>
      </c>
      <c r="D564" t="s">
        <v>5432</v>
      </c>
      <c r="E564" t="s">
        <v>5430</v>
      </c>
      <c r="F564">
        <v>168</v>
      </c>
      <c r="G564">
        <v>0.91300000000000003</v>
      </c>
      <c r="H564">
        <v>0.91300000000000003</v>
      </c>
      <c r="I564">
        <v>0</v>
      </c>
      <c r="J564">
        <v>0</v>
      </c>
    </row>
    <row r="565" spans="1:10" x14ac:dyDescent="0.25">
      <c r="A565" t="s">
        <v>3053</v>
      </c>
      <c r="B565">
        <v>54</v>
      </c>
      <c r="C565" t="s">
        <v>5423</v>
      </c>
      <c r="D565" t="s">
        <v>5421</v>
      </c>
      <c r="E565" t="s">
        <v>5428</v>
      </c>
      <c r="F565">
        <v>70</v>
      </c>
      <c r="G565">
        <v>0.38</v>
      </c>
      <c r="H565">
        <v>0.38</v>
      </c>
      <c r="I565">
        <v>0</v>
      </c>
      <c r="J565">
        <v>0</v>
      </c>
    </row>
    <row r="566" spans="1:10" x14ac:dyDescent="0.25">
      <c r="A566" t="s">
        <v>3060</v>
      </c>
      <c r="B566">
        <v>43</v>
      </c>
      <c r="C566" t="s">
        <v>5423</v>
      </c>
      <c r="D566" t="s">
        <v>5424</v>
      </c>
      <c r="E566" t="s">
        <v>5431</v>
      </c>
      <c r="F566">
        <v>28</v>
      </c>
      <c r="G566">
        <v>0.152</v>
      </c>
      <c r="H566">
        <v>0.152</v>
      </c>
      <c r="I566">
        <v>0</v>
      </c>
      <c r="J566">
        <v>0</v>
      </c>
    </row>
    <row r="567" spans="1:10" x14ac:dyDescent="0.25">
      <c r="A567" t="s">
        <v>3063</v>
      </c>
      <c r="B567">
        <v>64</v>
      </c>
      <c r="C567" t="s">
        <v>5420</v>
      </c>
      <c r="D567" t="s">
        <v>5429</v>
      </c>
      <c r="E567" t="s">
        <v>5427</v>
      </c>
      <c r="F567">
        <v>28</v>
      </c>
      <c r="G567">
        <v>0.152</v>
      </c>
      <c r="H567">
        <v>0.152</v>
      </c>
      <c r="I567">
        <v>0</v>
      </c>
      <c r="J567">
        <v>0</v>
      </c>
    </row>
    <row r="568" spans="1:10" x14ac:dyDescent="0.25">
      <c r="A568" t="s">
        <v>3066</v>
      </c>
      <c r="B568">
        <v>45</v>
      </c>
      <c r="C568" t="s">
        <v>5420</v>
      </c>
      <c r="D568" t="s">
        <v>5424</v>
      </c>
      <c r="E568" t="s">
        <v>5422</v>
      </c>
      <c r="F568">
        <v>90</v>
      </c>
      <c r="G568">
        <v>0.48899999999999999</v>
      </c>
      <c r="H568">
        <v>0.48899999999999999</v>
      </c>
      <c r="I568">
        <v>0</v>
      </c>
      <c r="J568">
        <v>0</v>
      </c>
    </row>
    <row r="569" spans="1:10" x14ac:dyDescent="0.25">
      <c r="A569" t="s">
        <v>3071</v>
      </c>
      <c r="B569">
        <v>54</v>
      </c>
      <c r="C569" t="s">
        <v>5420</v>
      </c>
      <c r="D569" t="s">
        <v>5421</v>
      </c>
      <c r="E569" t="s">
        <v>5442</v>
      </c>
      <c r="F569">
        <v>63</v>
      </c>
      <c r="G569">
        <v>0.34200000000000003</v>
      </c>
      <c r="H569">
        <v>0.34200000000000003</v>
      </c>
      <c r="I569">
        <v>0</v>
      </c>
      <c r="J569">
        <v>0</v>
      </c>
    </row>
    <row r="570" spans="1:10" x14ac:dyDescent="0.25">
      <c r="A570" t="s">
        <v>3076</v>
      </c>
      <c r="B570">
        <v>59</v>
      </c>
      <c r="C570" t="s">
        <v>5423</v>
      </c>
      <c r="D570" t="s">
        <v>5421</v>
      </c>
      <c r="E570" t="s">
        <v>5422</v>
      </c>
      <c r="F570">
        <v>112</v>
      </c>
      <c r="G570">
        <v>0.60899999999999999</v>
      </c>
      <c r="H570">
        <v>0.60899999999999999</v>
      </c>
      <c r="I570">
        <v>0</v>
      </c>
      <c r="J570">
        <v>0</v>
      </c>
    </row>
    <row r="571" spans="1:10" x14ac:dyDescent="0.25">
      <c r="A571" t="s">
        <v>3082</v>
      </c>
      <c r="B571">
        <v>41</v>
      </c>
      <c r="C571" t="s">
        <v>5420</v>
      </c>
      <c r="D571" t="s">
        <v>5426</v>
      </c>
      <c r="E571" t="s">
        <v>5427</v>
      </c>
      <c r="F571">
        <v>90</v>
      </c>
      <c r="G571">
        <v>0.48899999999999999</v>
      </c>
      <c r="H571">
        <v>0.48899999999999999</v>
      </c>
      <c r="I571">
        <v>0</v>
      </c>
      <c r="J571">
        <v>0</v>
      </c>
    </row>
    <row r="572" spans="1:10" x14ac:dyDescent="0.25">
      <c r="A572" t="s">
        <v>3087</v>
      </c>
      <c r="B572">
        <v>31</v>
      </c>
      <c r="C572" t="s">
        <v>5423</v>
      </c>
      <c r="D572" t="s">
        <v>5429</v>
      </c>
      <c r="E572" t="s">
        <v>5425</v>
      </c>
      <c r="F572">
        <v>28</v>
      </c>
      <c r="G572">
        <v>0.152</v>
      </c>
      <c r="H572">
        <v>0.152</v>
      </c>
      <c r="I572">
        <v>0</v>
      </c>
      <c r="J572">
        <v>0</v>
      </c>
    </row>
    <row r="573" spans="1:10" x14ac:dyDescent="0.25">
      <c r="A573" t="s">
        <v>3090</v>
      </c>
      <c r="B573">
        <v>63</v>
      </c>
      <c r="C573" t="s">
        <v>5420</v>
      </c>
      <c r="D573" t="s">
        <v>5426</v>
      </c>
      <c r="E573" t="s">
        <v>5431</v>
      </c>
      <c r="F573">
        <v>112</v>
      </c>
      <c r="G573">
        <v>0.60899999999999999</v>
      </c>
      <c r="H573">
        <v>0.60899999999999999</v>
      </c>
      <c r="I573">
        <v>0</v>
      </c>
      <c r="J573">
        <v>0</v>
      </c>
    </row>
    <row r="574" spans="1:10" x14ac:dyDescent="0.25">
      <c r="A574" t="s">
        <v>3096</v>
      </c>
      <c r="B574">
        <v>66</v>
      </c>
      <c r="C574" t="s">
        <v>5423</v>
      </c>
      <c r="D574" t="s">
        <v>5429</v>
      </c>
      <c r="E574" t="s">
        <v>5431</v>
      </c>
      <c r="F574">
        <v>112</v>
      </c>
      <c r="G574">
        <v>0.60899999999999999</v>
      </c>
      <c r="H574">
        <v>0.60899999999999999</v>
      </c>
      <c r="I574">
        <v>0</v>
      </c>
      <c r="J574">
        <v>0</v>
      </c>
    </row>
    <row r="575" spans="1:10" x14ac:dyDescent="0.25">
      <c r="A575" t="s">
        <v>3102</v>
      </c>
      <c r="B575">
        <v>67</v>
      </c>
      <c r="C575" t="s">
        <v>5420</v>
      </c>
      <c r="D575" t="s">
        <v>5432</v>
      </c>
      <c r="E575" t="s">
        <v>5427</v>
      </c>
      <c r="F575">
        <v>56</v>
      </c>
      <c r="G575">
        <v>0.30399999999999999</v>
      </c>
      <c r="H575">
        <v>0.30399999999999999</v>
      </c>
      <c r="I575">
        <v>0</v>
      </c>
      <c r="J575">
        <v>0</v>
      </c>
    </row>
    <row r="576" spans="1:10" x14ac:dyDescent="0.25">
      <c r="A576" t="s">
        <v>3106</v>
      </c>
      <c r="B576">
        <v>55</v>
      </c>
      <c r="C576" t="s">
        <v>5420</v>
      </c>
      <c r="D576" t="s">
        <v>5426</v>
      </c>
      <c r="E576" t="s">
        <v>5428</v>
      </c>
      <c r="F576">
        <v>168</v>
      </c>
      <c r="G576">
        <v>0.91300000000000003</v>
      </c>
      <c r="H576">
        <v>0.91300000000000003</v>
      </c>
      <c r="I576">
        <v>0</v>
      </c>
      <c r="J576">
        <v>0</v>
      </c>
    </row>
    <row r="577" spans="1:10" x14ac:dyDescent="0.25">
      <c r="A577" t="s">
        <v>3114</v>
      </c>
      <c r="B577">
        <v>57</v>
      </c>
      <c r="C577" t="s">
        <v>5420</v>
      </c>
      <c r="D577" t="s">
        <v>5426</v>
      </c>
      <c r="E577" t="s">
        <v>5422</v>
      </c>
      <c r="F577">
        <v>84</v>
      </c>
      <c r="G577">
        <v>0.45700000000000002</v>
      </c>
      <c r="H577">
        <v>0.45700000000000002</v>
      </c>
      <c r="I577">
        <v>0</v>
      </c>
      <c r="J577">
        <v>0</v>
      </c>
    </row>
    <row r="578" spans="1:10" x14ac:dyDescent="0.25">
      <c r="A578" t="s">
        <v>3119</v>
      </c>
      <c r="B578">
        <v>58</v>
      </c>
      <c r="C578" t="s">
        <v>5420</v>
      </c>
      <c r="D578" t="s">
        <v>5429</v>
      </c>
      <c r="E578" t="s">
        <v>5428</v>
      </c>
      <c r="F578">
        <v>112</v>
      </c>
      <c r="G578">
        <v>0.60899999999999999</v>
      </c>
      <c r="H578">
        <v>0.60899999999999999</v>
      </c>
      <c r="I578">
        <v>0</v>
      </c>
      <c r="J578">
        <v>0</v>
      </c>
    </row>
    <row r="579" spans="1:10" x14ac:dyDescent="0.25">
      <c r="A579" t="s">
        <v>3129</v>
      </c>
      <c r="B579">
        <v>63</v>
      </c>
      <c r="C579" t="s">
        <v>5420</v>
      </c>
      <c r="D579" t="s">
        <v>5429</v>
      </c>
      <c r="E579" t="s">
        <v>5427</v>
      </c>
      <c r="F579">
        <v>90</v>
      </c>
      <c r="G579">
        <v>0.48899999999999999</v>
      </c>
      <c r="H579">
        <v>0.48899999999999999</v>
      </c>
      <c r="I579">
        <v>0</v>
      </c>
      <c r="J579">
        <v>0</v>
      </c>
    </row>
    <row r="580" spans="1:10" x14ac:dyDescent="0.25">
      <c r="A580" t="s">
        <v>3134</v>
      </c>
      <c r="B580">
        <v>48</v>
      </c>
      <c r="C580" t="s">
        <v>5420</v>
      </c>
      <c r="D580" t="s">
        <v>5424</v>
      </c>
      <c r="E580" t="s">
        <v>5425</v>
      </c>
      <c r="F580">
        <v>56</v>
      </c>
      <c r="G580">
        <v>0.30399999999999999</v>
      </c>
      <c r="H580">
        <v>0.30399999999999999</v>
      </c>
      <c r="I580">
        <v>0</v>
      </c>
      <c r="J580">
        <v>0</v>
      </c>
    </row>
    <row r="581" spans="1:10" x14ac:dyDescent="0.25">
      <c r="A581" t="s">
        <v>3138</v>
      </c>
      <c r="B581">
        <v>53</v>
      </c>
      <c r="C581" t="s">
        <v>5420</v>
      </c>
      <c r="D581" t="s">
        <v>5421</v>
      </c>
      <c r="E581" t="s">
        <v>5425</v>
      </c>
      <c r="F581">
        <v>42</v>
      </c>
      <c r="G581">
        <v>0.22800000000000001</v>
      </c>
      <c r="H581">
        <v>0.22800000000000001</v>
      </c>
      <c r="I581">
        <v>0</v>
      </c>
      <c r="J581">
        <v>0</v>
      </c>
    </row>
    <row r="582" spans="1:10" x14ac:dyDescent="0.25">
      <c r="A582" t="s">
        <v>3142</v>
      </c>
      <c r="B582">
        <v>65</v>
      </c>
      <c r="C582" t="s">
        <v>5423</v>
      </c>
      <c r="D582" t="s">
        <v>5432</v>
      </c>
      <c r="E582" t="s">
        <v>5430</v>
      </c>
      <c r="F582">
        <v>30</v>
      </c>
      <c r="G582">
        <v>0.16300000000000001</v>
      </c>
      <c r="H582">
        <v>0.16300000000000001</v>
      </c>
      <c r="I582">
        <v>0</v>
      </c>
      <c r="J582">
        <v>0</v>
      </c>
    </row>
    <row r="583" spans="1:10" x14ac:dyDescent="0.25">
      <c r="A583" t="s">
        <v>3145</v>
      </c>
      <c r="B583">
        <v>60</v>
      </c>
      <c r="C583" t="s">
        <v>5423</v>
      </c>
      <c r="D583" t="s">
        <v>5426</v>
      </c>
      <c r="E583" t="s">
        <v>5430</v>
      </c>
      <c r="F583">
        <v>140</v>
      </c>
      <c r="G583">
        <v>0.76100000000000001</v>
      </c>
      <c r="H583">
        <v>0.76100000000000001</v>
      </c>
      <c r="I583">
        <v>0</v>
      </c>
      <c r="J583">
        <v>0</v>
      </c>
    </row>
    <row r="584" spans="1:10" x14ac:dyDescent="0.25">
      <c r="A584" t="s">
        <v>3152</v>
      </c>
      <c r="B584">
        <v>71</v>
      </c>
      <c r="C584" t="s">
        <v>5423</v>
      </c>
      <c r="D584" t="s">
        <v>5421</v>
      </c>
      <c r="E584" t="s">
        <v>5456</v>
      </c>
      <c r="F584">
        <v>56</v>
      </c>
      <c r="G584">
        <v>0.30399999999999999</v>
      </c>
      <c r="H584">
        <v>0.30399999999999999</v>
      </c>
      <c r="I584">
        <v>0</v>
      </c>
      <c r="J584">
        <v>0</v>
      </c>
    </row>
    <row r="585" spans="1:10" x14ac:dyDescent="0.25">
      <c r="A585" t="s">
        <v>3155</v>
      </c>
      <c r="B585">
        <v>74</v>
      </c>
      <c r="C585" t="s">
        <v>5420</v>
      </c>
      <c r="D585" t="s">
        <v>5429</v>
      </c>
      <c r="E585" t="s">
        <v>5422</v>
      </c>
      <c r="F585">
        <v>90</v>
      </c>
      <c r="G585">
        <v>0.48899999999999999</v>
      </c>
      <c r="H585">
        <v>0.48899999999999999</v>
      </c>
      <c r="I585">
        <v>0</v>
      </c>
      <c r="J585">
        <v>0</v>
      </c>
    </row>
    <row r="586" spans="1:10" x14ac:dyDescent="0.25">
      <c r="A586" t="s">
        <v>3160</v>
      </c>
      <c r="B586">
        <v>68</v>
      </c>
      <c r="C586" t="s">
        <v>5420</v>
      </c>
      <c r="D586" t="s">
        <v>5421</v>
      </c>
      <c r="E586" t="s">
        <v>5431</v>
      </c>
      <c r="F586">
        <v>168</v>
      </c>
      <c r="G586">
        <v>0.91300000000000003</v>
      </c>
      <c r="H586">
        <v>0.91300000000000003</v>
      </c>
      <c r="I586">
        <v>0</v>
      </c>
      <c r="J586">
        <v>0</v>
      </c>
    </row>
    <row r="587" spans="1:10" x14ac:dyDescent="0.25">
      <c r="A587" t="s">
        <v>3168</v>
      </c>
      <c r="B587">
        <v>74</v>
      </c>
      <c r="C587" t="s">
        <v>5420</v>
      </c>
      <c r="D587" t="s">
        <v>5432</v>
      </c>
      <c r="E587" t="s">
        <v>5425</v>
      </c>
      <c r="F587">
        <v>112</v>
      </c>
      <c r="G587">
        <v>0.60899999999999999</v>
      </c>
      <c r="H587">
        <v>0.60899999999999999</v>
      </c>
      <c r="I587">
        <v>0</v>
      </c>
      <c r="J587">
        <v>0</v>
      </c>
    </row>
    <row r="588" spans="1:10" x14ac:dyDescent="0.25">
      <c r="A588" t="s">
        <v>3174</v>
      </c>
      <c r="B588">
        <v>56</v>
      </c>
      <c r="C588" t="s">
        <v>5420</v>
      </c>
      <c r="D588" t="s">
        <v>5424</v>
      </c>
      <c r="E588" t="s">
        <v>5425</v>
      </c>
      <c r="F588">
        <v>90</v>
      </c>
      <c r="G588">
        <v>0.48899999999999999</v>
      </c>
      <c r="H588">
        <v>0.48899999999999999</v>
      </c>
      <c r="I588">
        <v>0</v>
      </c>
      <c r="J588">
        <v>0</v>
      </c>
    </row>
    <row r="589" spans="1:10" x14ac:dyDescent="0.25">
      <c r="A589" t="s">
        <v>3179</v>
      </c>
      <c r="B589">
        <v>49</v>
      </c>
      <c r="C589" t="s">
        <v>5423</v>
      </c>
      <c r="D589" t="s">
        <v>5424</v>
      </c>
      <c r="E589" t="s">
        <v>5431</v>
      </c>
      <c r="F589">
        <v>56</v>
      </c>
      <c r="G589">
        <v>0.30399999999999999</v>
      </c>
      <c r="H589">
        <v>0.30399999999999999</v>
      </c>
      <c r="I589">
        <v>0</v>
      </c>
      <c r="J589">
        <v>0</v>
      </c>
    </row>
    <row r="590" spans="1:10" x14ac:dyDescent="0.25">
      <c r="A590" t="s">
        <v>3182</v>
      </c>
      <c r="B590">
        <v>68</v>
      </c>
      <c r="C590" t="s">
        <v>5423</v>
      </c>
      <c r="D590" t="s">
        <v>5429</v>
      </c>
      <c r="E590" t="s">
        <v>5430</v>
      </c>
      <c r="F590">
        <v>28</v>
      </c>
      <c r="G590">
        <v>0.152</v>
      </c>
      <c r="H590">
        <v>0.152</v>
      </c>
      <c r="I590">
        <v>0</v>
      </c>
      <c r="J590">
        <v>0</v>
      </c>
    </row>
    <row r="591" spans="1:10" x14ac:dyDescent="0.25">
      <c r="A591" t="s">
        <v>3186</v>
      </c>
      <c r="B591">
        <v>50</v>
      </c>
      <c r="C591" t="s">
        <v>5423</v>
      </c>
      <c r="D591" t="s">
        <v>5432</v>
      </c>
      <c r="E591" t="s">
        <v>5430</v>
      </c>
      <c r="F591">
        <v>28</v>
      </c>
      <c r="G591">
        <v>0.152</v>
      </c>
      <c r="H591">
        <v>0.152</v>
      </c>
      <c r="I591">
        <v>0</v>
      </c>
      <c r="J591">
        <v>0</v>
      </c>
    </row>
    <row r="592" spans="1:10" x14ac:dyDescent="0.25">
      <c r="A592" t="s">
        <v>3189</v>
      </c>
      <c r="B592">
        <v>65</v>
      </c>
      <c r="C592" t="s">
        <v>5420</v>
      </c>
      <c r="D592" t="s">
        <v>5426</v>
      </c>
      <c r="E592" t="s">
        <v>5422</v>
      </c>
      <c r="F592">
        <v>140</v>
      </c>
      <c r="G592">
        <v>0.76100000000000001</v>
      </c>
      <c r="H592">
        <v>0.76100000000000001</v>
      </c>
      <c r="I592">
        <v>0</v>
      </c>
      <c r="J592">
        <v>0</v>
      </c>
    </row>
    <row r="593" spans="1:11" x14ac:dyDescent="0.25">
      <c r="A593" t="s">
        <v>3196</v>
      </c>
      <c r="B593">
        <v>52</v>
      </c>
      <c r="C593" t="s">
        <v>5423</v>
      </c>
      <c r="D593" t="s">
        <v>5429</v>
      </c>
      <c r="E593" t="s">
        <v>5431</v>
      </c>
      <c r="F593">
        <v>90</v>
      </c>
      <c r="G593">
        <v>0.48899999999999999</v>
      </c>
      <c r="H593">
        <v>0.48899999999999999</v>
      </c>
      <c r="I593">
        <v>0</v>
      </c>
      <c r="J593">
        <v>0</v>
      </c>
    </row>
    <row r="594" spans="1:11" x14ac:dyDescent="0.25">
      <c r="A594" t="s">
        <v>3201</v>
      </c>
      <c r="B594">
        <v>58</v>
      </c>
      <c r="C594" t="s">
        <v>5420</v>
      </c>
      <c r="D594" t="s">
        <v>5429</v>
      </c>
      <c r="E594" t="s">
        <v>5422</v>
      </c>
      <c r="F594">
        <v>28</v>
      </c>
      <c r="G594">
        <v>0.152</v>
      </c>
      <c r="H594">
        <v>0.152</v>
      </c>
      <c r="I594">
        <v>0</v>
      </c>
      <c r="J594">
        <v>0</v>
      </c>
    </row>
    <row r="595" spans="1:11" x14ac:dyDescent="0.25">
      <c r="A595" t="s">
        <v>3204</v>
      </c>
      <c r="B595">
        <v>68</v>
      </c>
      <c r="C595" t="s">
        <v>5420</v>
      </c>
      <c r="D595" t="s">
        <v>5424</v>
      </c>
      <c r="E595" t="s">
        <v>5430</v>
      </c>
      <c r="F595">
        <v>84</v>
      </c>
      <c r="G595">
        <v>0.45700000000000002</v>
      </c>
      <c r="H595">
        <v>0.45700000000000002</v>
      </c>
      <c r="I595">
        <v>0</v>
      </c>
      <c r="J595">
        <v>0</v>
      </c>
    </row>
    <row r="596" spans="1:11" x14ac:dyDescent="0.25">
      <c r="A596" t="s">
        <v>3209</v>
      </c>
      <c r="B596">
        <v>59</v>
      </c>
      <c r="C596" t="s">
        <v>5420</v>
      </c>
      <c r="D596" t="s">
        <v>5426</v>
      </c>
      <c r="E596" t="s">
        <v>5431</v>
      </c>
      <c r="F596">
        <v>168</v>
      </c>
      <c r="G596">
        <v>0.91300000000000003</v>
      </c>
      <c r="H596">
        <v>0.91300000000000003</v>
      </c>
      <c r="I596">
        <v>0</v>
      </c>
      <c r="J596">
        <v>0</v>
      </c>
    </row>
    <row r="597" spans="1:11" x14ac:dyDescent="0.25">
      <c r="A597" t="s">
        <v>3217</v>
      </c>
      <c r="B597">
        <v>52</v>
      </c>
      <c r="C597" t="s">
        <v>5420</v>
      </c>
      <c r="D597" t="s">
        <v>5432</v>
      </c>
      <c r="E597" t="s">
        <v>5430</v>
      </c>
      <c r="F597">
        <v>112</v>
      </c>
      <c r="G597">
        <v>0.60899999999999999</v>
      </c>
      <c r="H597">
        <v>0.60899999999999999</v>
      </c>
      <c r="I597">
        <v>0</v>
      </c>
      <c r="J597">
        <v>0</v>
      </c>
    </row>
    <row r="598" spans="1:11" x14ac:dyDescent="0.25">
      <c r="A598" t="s">
        <v>3223</v>
      </c>
      <c r="B598">
        <v>62</v>
      </c>
      <c r="C598" t="s">
        <v>5420</v>
      </c>
      <c r="D598" t="s">
        <v>5424</v>
      </c>
      <c r="E598" t="s">
        <v>5428</v>
      </c>
      <c r="F598">
        <v>168</v>
      </c>
      <c r="G598">
        <v>0.91300000000000003</v>
      </c>
      <c r="H598">
        <v>0.91300000000000003</v>
      </c>
      <c r="I598">
        <v>0</v>
      </c>
      <c r="J598">
        <v>0</v>
      </c>
    </row>
    <row r="599" spans="1:11" x14ac:dyDescent="0.25">
      <c r="A599" t="s">
        <v>3231</v>
      </c>
      <c r="B599">
        <v>67</v>
      </c>
      <c r="C599" t="s">
        <v>5423</v>
      </c>
      <c r="D599" t="s">
        <v>5421</v>
      </c>
      <c r="E599" t="s">
        <v>5428</v>
      </c>
      <c r="F599">
        <v>56</v>
      </c>
      <c r="G599">
        <v>0.30399999999999999</v>
      </c>
      <c r="H599">
        <v>0.30399999999999999</v>
      </c>
      <c r="I599">
        <v>0</v>
      </c>
      <c r="J599">
        <v>0</v>
      </c>
    </row>
    <row r="600" spans="1:11" x14ac:dyDescent="0.25">
      <c r="A600" t="s">
        <v>3235</v>
      </c>
      <c r="B600">
        <v>68</v>
      </c>
      <c r="C600" t="s">
        <v>5420</v>
      </c>
      <c r="D600" t="s">
        <v>5429</v>
      </c>
      <c r="E600" t="s">
        <v>5427</v>
      </c>
      <c r="F600">
        <v>140</v>
      </c>
      <c r="G600">
        <v>0.76100000000000001</v>
      </c>
      <c r="H600">
        <v>0.76100000000000001</v>
      </c>
      <c r="I600">
        <v>0</v>
      </c>
      <c r="J600">
        <v>0</v>
      </c>
    </row>
    <row r="601" spans="1:11" x14ac:dyDescent="0.25">
      <c r="A601" t="s">
        <v>3242</v>
      </c>
      <c r="B601">
        <v>67</v>
      </c>
      <c r="C601" t="s">
        <v>5423</v>
      </c>
      <c r="D601" t="s">
        <v>5426</v>
      </c>
      <c r="E601" t="s">
        <v>5430</v>
      </c>
      <c r="F601">
        <v>21</v>
      </c>
      <c r="G601">
        <v>0.114</v>
      </c>
      <c r="H601">
        <v>0.114</v>
      </c>
      <c r="I601">
        <v>0</v>
      </c>
      <c r="J601">
        <v>0</v>
      </c>
    </row>
    <row r="602" spans="1:11" x14ac:dyDescent="0.25">
      <c r="A602" t="s">
        <v>3245</v>
      </c>
      <c r="B602">
        <v>49</v>
      </c>
      <c r="C602" t="s">
        <v>5420</v>
      </c>
      <c r="D602" t="s">
        <v>5426</v>
      </c>
      <c r="E602" t="s">
        <v>5425</v>
      </c>
      <c r="F602">
        <v>63</v>
      </c>
      <c r="G602">
        <v>0.34200000000000003</v>
      </c>
      <c r="H602">
        <v>0.34200000000000003</v>
      </c>
      <c r="I602">
        <v>0</v>
      </c>
      <c r="J602">
        <v>0</v>
      </c>
    </row>
    <row r="603" spans="1:11" x14ac:dyDescent="0.25">
      <c r="A603" t="s">
        <v>3250</v>
      </c>
      <c r="B603">
        <v>47</v>
      </c>
      <c r="C603" t="s">
        <v>5423</v>
      </c>
      <c r="D603" t="s">
        <v>5429</v>
      </c>
      <c r="E603" t="s">
        <v>5457</v>
      </c>
      <c r="F603">
        <v>168</v>
      </c>
      <c r="G603">
        <v>0.91300000000000003</v>
      </c>
      <c r="H603">
        <v>0.91300000000000003</v>
      </c>
      <c r="I603">
        <v>0</v>
      </c>
      <c r="J603">
        <v>0</v>
      </c>
    </row>
    <row r="604" spans="1:11" x14ac:dyDescent="0.25">
      <c r="A604" t="s">
        <v>3258</v>
      </c>
      <c r="B604">
        <v>63</v>
      </c>
      <c r="C604" t="s">
        <v>5420</v>
      </c>
      <c r="D604" t="s">
        <v>5432</v>
      </c>
      <c r="E604" t="s">
        <v>5428</v>
      </c>
      <c r="F604">
        <v>21</v>
      </c>
      <c r="G604">
        <v>0.114</v>
      </c>
      <c r="H604">
        <v>0.114</v>
      </c>
      <c r="I604">
        <v>0</v>
      </c>
      <c r="J604">
        <v>0</v>
      </c>
    </row>
    <row r="605" spans="1:11" x14ac:dyDescent="0.25">
      <c r="A605" t="s">
        <v>3261</v>
      </c>
      <c r="B605">
        <v>64</v>
      </c>
      <c r="C605" t="s">
        <v>5420</v>
      </c>
      <c r="D605" t="s">
        <v>5429</v>
      </c>
      <c r="E605" t="s">
        <v>5430</v>
      </c>
      <c r="F605">
        <v>210</v>
      </c>
      <c r="G605">
        <v>1.141</v>
      </c>
      <c r="H605">
        <v>1</v>
      </c>
      <c r="I605">
        <v>1</v>
      </c>
      <c r="J605">
        <v>0</v>
      </c>
      <c r="K605" t="s">
        <v>5435</v>
      </c>
    </row>
    <row r="606" spans="1:11" x14ac:dyDescent="0.25">
      <c r="A606" t="s">
        <v>3270</v>
      </c>
      <c r="B606">
        <v>60</v>
      </c>
      <c r="C606" t="s">
        <v>5420</v>
      </c>
      <c r="D606" t="s">
        <v>5429</v>
      </c>
      <c r="E606" t="s">
        <v>5425</v>
      </c>
      <c r="F606">
        <v>42</v>
      </c>
      <c r="G606">
        <v>0.22800000000000001</v>
      </c>
      <c r="H606">
        <v>0.22800000000000001</v>
      </c>
      <c r="I606">
        <v>0</v>
      </c>
      <c r="J606">
        <v>0</v>
      </c>
    </row>
    <row r="607" spans="1:11" x14ac:dyDescent="0.25">
      <c r="A607" t="s">
        <v>3274</v>
      </c>
      <c r="B607">
        <v>45</v>
      </c>
      <c r="C607" t="s">
        <v>5423</v>
      </c>
      <c r="D607" t="s">
        <v>5424</v>
      </c>
      <c r="E607" t="s">
        <v>5444</v>
      </c>
      <c r="F607">
        <v>30</v>
      </c>
      <c r="G607">
        <v>0.16300000000000001</v>
      </c>
      <c r="H607">
        <v>0.16300000000000001</v>
      </c>
      <c r="I607">
        <v>0</v>
      </c>
      <c r="J607">
        <v>0</v>
      </c>
    </row>
    <row r="608" spans="1:11" x14ac:dyDescent="0.25">
      <c r="A608" t="s">
        <v>3277</v>
      </c>
      <c r="B608">
        <v>62</v>
      </c>
      <c r="C608" t="s">
        <v>5420</v>
      </c>
      <c r="D608" t="s">
        <v>5432</v>
      </c>
      <c r="E608" t="s">
        <v>5428</v>
      </c>
      <c r="F608">
        <v>180</v>
      </c>
      <c r="G608">
        <v>0.97799999999999998</v>
      </c>
      <c r="H608">
        <v>0.97799999999999998</v>
      </c>
      <c r="I608">
        <v>0</v>
      </c>
      <c r="J608">
        <v>0</v>
      </c>
    </row>
    <row r="609" spans="1:11" x14ac:dyDescent="0.25">
      <c r="A609" t="s">
        <v>3285</v>
      </c>
      <c r="B609">
        <v>64</v>
      </c>
      <c r="C609" t="s">
        <v>5420</v>
      </c>
      <c r="D609" t="s">
        <v>5429</v>
      </c>
      <c r="E609" t="s">
        <v>5430</v>
      </c>
      <c r="F609">
        <v>168</v>
      </c>
      <c r="G609">
        <v>0.91300000000000003</v>
      </c>
      <c r="H609">
        <v>0.91300000000000003</v>
      </c>
      <c r="I609">
        <v>0</v>
      </c>
      <c r="J609">
        <v>0</v>
      </c>
    </row>
    <row r="610" spans="1:11" x14ac:dyDescent="0.25">
      <c r="A610" t="s">
        <v>3293</v>
      </c>
      <c r="B610">
        <v>74</v>
      </c>
      <c r="C610" t="s">
        <v>5420</v>
      </c>
      <c r="D610" t="s">
        <v>5424</v>
      </c>
      <c r="E610" t="s">
        <v>5422</v>
      </c>
      <c r="F610">
        <v>140</v>
      </c>
      <c r="G610">
        <v>0.76100000000000001</v>
      </c>
      <c r="H610">
        <v>0.76100000000000001</v>
      </c>
      <c r="I610">
        <v>0</v>
      </c>
      <c r="J610">
        <v>0</v>
      </c>
    </row>
    <row r="611" spans="1:11" x14ac:dyDescent="0.25">
      <c r="A611" t="s">
        <v>3300</v>
      </c>
      <c r="B611">
        <v>67</v>
      </c>
      <c r="C611" t="s">
        <v>5420</v>
      </c>
      <c r="D611" t="s">
        <v>5426</v>
      </c>
      <c r="E611" t="s">
        <v>5430</v>
      </c>
      <c r="F611">
        <v>112</v>
      </c>
      <c r="G611">
        <v>0.60899999999999999</v>
      </c>
      <c r="H611">
        <v>0.60899999999999999</v>
      </c>
      <c r="I611">
        <v>0</v>
      </c>
      <c r="J611">
        <v>0</v>
      </c>
    </row>
    <row r="612" spans="1:11" x14ac:dyDescent="0.25">
      <c r="A612" t="s">
        <v>3304</v>
      </c>
      <c r="B612">
        <v>53</v>
      </c>
      <c r="C612" t="s">
        <v>5420</v>
      </c>
      <c r="D612" t="s">
        <v>5432</v>
      </c>
      <c r="E612" t="s">
        <v>5437</v>
      </c>
      <c r="F612">
        <v>180</v>
      </c>
      <c r="G612">
        <v>0.97799999999999998</v>
      </c>
      <c r="H612">
        <v>0.97799999999999998</v>
      </c>
      <c r="I612">
        <v>0</v>
      </c>
      <c r="J612">
        <v>0</v>
      </c>
    </row>
    <row r="613" spans="1:11" x14ac:dyDescent="0.25">
      <c r="A613" t="s">
        <v>3312</v>
      </c>
      <c r="B613">
        <v>49</v>
      </c>
      <c r="C613" t="s">
        <v>5423</v>
      </c>
      <c r="D613" t="s">
        <v>5429</v>
      </c>
      <c r="E613" t="s">
        <v>5431</v>
      </c>
      <c r="F613">
        <v>28</v>
      </c>
      <c r="G613">
        <v>0.152</v>
      </c>
      <c r="H613">
        <v>0.152</v>
      </c>
      <c r="I613">
        <v>0</v>
      </c>
      <c r="J613">
        <v>0</v>
      </c>
    </row>
    <row r="614" spans="1:11" x14ac:dyDescent="0.25">
      <c r="A614" t="s">
        <v>3315</v>
      </c>
      <c r="B614">
        <v>53</v>
      </c>
      <c r="C614" t="s">
        <v>5423</v>
      </c>
      <c r="D614" t="s">
        <v>5426</v>
      </c>
      <c r="E614" t="s">
        <v>5425</v>
      </c>
      <c r="F614">
        <v>56</v>
      </c>
      <c r="G614">
        <v>0.30399999999999999</v>
      </c>
      <c r="H614">
        <v>0.30399999999999999</v>
      </c>
      <c r="I614">
        <v>0</v>
      </c>
      <c r="J614">
        <v>0</v>
      </c>
    </row>
    <row r="615" spans="1:11" x14ac:dyDescent="0.25">
      <c r="A615" t="s">
        <v>3319</v>
      </c>
      <c r="B615">
        <v>82</v>
      </c>
      <c r="C615" t="s">
        <v>5423</v>
      </c>
      <c r="D615" t="s">
        <v>5426</v>
      </c>
      <c r="E615" t="s">
        <v>5430</v>
      </c>
      <c r="F615">
        <v>28</v>
      </c>
      <c r="G615">
        <v>0.152</v>
      </c>
      <c r="H615">
        <v>0.152</v>
      </c>
      <c r="I615">
        <v>0</v>
      </c>
      <c r="J615">
        <v>0</v>
      </c>
    </row>
    <row r="616" spans="1:11" x14ac:dyDescent="0.25">
      <c r="A616" t="s">
        <v>3322</v>
      </c>
      <c r="B616">
        <v>60</v>
      </c>
      <c r="C616" t="s">
        <v>5420</v>
      </c>
      <c r="D616" t="s">
        <v>5426</v>
      </c>
      <c r="E616" t="s">
        <v>5428</v>
      </c>
      <c r="F616">
        <v>196</v>
      </c>
      <c r="G616">
        <v>1.0649999999999999</v>
      </c>
      <c r="H616">
        <v>1</v>
      </c>
      <c r="I616">
        <v>1</v>
      </c>
      <c r="J616">
        <v>0</v>
      </c>
      <c r="K616" t="s">
        <v>5435</v>
      </c>
    </row>
    <row r="617" spans="1:11" x14ac:dyDescent="0.25">
      <c r="A617" t="s">
        <v>3331</v>
      </c>
      <c r="B617">
        <v>58</v>
      </c>
      <c r="C617" t="s">
        <v>5420</v>
      </c>
      <c r="D617" t="s">
        <v>5429</v>
      </c>
      <c r="E617" t="s">
        <v>5427</v>
      </c>
      <c r="F617">
        <v>56</v>
      </c>
      <c r="G617">
        <v>0.30399999999999999</v>
      </c>
      <c r="H617">
        <v>0.30399999999999999</v>
      </c>
      <c r="I617">
        <v>0</v>
      </c>
      <c r="J617">
        <v>0</v>
      </c>
    </row>
    <row r="618" spans="1:11" x14ac:dyDescent="0.25">
      <c r="A618" t="s">
        <v>3334</v>
      </c>
      <c r="B618">
        <v>47</v>
      </c>
      <c r="C618" t="s">
        <v>5423</v>
      </c>
      <c r="D618" t="s">
        <v>5421</v>
      </c>
      <c r="E618" t="s">
        <v>5431</v>
      </c>
      <c r="F618">
        <v>84</v>
      </c>
      <c r="G618">
        <v>0.45700000000000002</v>
      </c>
      <c r="H618">
        <v>0.45700000000000002</v>
      </c>
      <c r="I618">
        <v>0</v>
      </c>
      <c r="J618">
        <v>0</v>
      </c>
    </row>
    <row r="619" spans="1:11" x14ac:dyDescent="0.25">
      <c r="A619" t="s">
        <v>3339</v>
      </c>
      <c r="B619">
        <v>59</v>
      </c>
      <c r="C619" t="s">
        <v>5423</v>
      </c>
      <c r="D619" t="s">
        <v>5429</v>
      </c>
      <c r="E619" t="s">
        <v>5428</v>
      </c>
      <c r="F619">
        <v>196</v>
      </c>
      <c r="G619">
        <v>1.0649999999999999</v>
      </c>
      <c r="H619">
        <v>1</v>
      </c>
      <c r="I619">
        <v>1</v>
      </c>
      <c r="J619">
        <v>0</v>
      </c>
      <c r="K619" t="s">
        <v>5435</v>
      </c>
    </row>
    <row r="620" spans="1:11" x14ac:dyDescent="0.25">
      <c r="A620" t="s">
        <v>3348</v>
      </c>
      <c r="B620">
        <v>46</v>
      </c>
      <c r="C620" t="s">
        <v>5423</v>
      </c>
      <c r="D620" t="s">
        <v>5429</v>
      </c>
      <c r="E620" t="s">
        <v>5431</v>
      </c>
      <c r="F620">
        <v>112</v>
      </c>
      <c r="G620">
        <v>0.60899999999999999</v>
      </c>
      <c r="H620">
        <v>0.60899999999999999</v>
      </c>
      <c r="I620">
        <v>0</v>
      </c>
      <c r="J620">
        <v>0</v>
      </c>
    </row>
    <row r="621" spans="1:11" x14ac:dyDescent="0.25">
      <c r="A621" t="s">
        <v>3354</v>
      </c>
      <c r="B621">
        <v>66</v>
      </c>
      <c r="C621" t="s">
        <v>5434</v>
      </c>
      <c r="D621" t="s">
        <v>5429</v>
      </c>
      <c r="E621" t="s">
        <v>5427</v>
      </c>
      <c r="F621">
        <v>112</v>
      </c>
      <c r="G621">
        <v>0.60899999999999999</v>
      </c>
      <c r="H621">
        <v>0.60899999999999999</v>
      </c>
      <c r="I621">
        <v>0</v>
      </c>
      <c r="J621">
        <v>0</v>
      </c>
    </row>
    <row r="622" spans="1:11" x14ac:dyDescent="0.25">
      <c r="A622" t="s">
        <v>3360</v>
      </c>
      <c r="B622">
        <v>66</v>
      </c>
      <c r="C622" t="s">
        <v>5420</v>
      </c>
      <c r="D622" t="s">
        <v>5432</v>
      </c>
      <c r="E622" t="s">
        <v>5430</v>
      </c>
      <c r="F622">
        <v>56</v>
      </c>
      <c r="G622">
        <v>0.30399999999999999</v>
      </c>
      <c r="H622">
        <v>0.30399999999999999</v>
      </c>
      <c r="I622">
        <v>0</v>
      </c>
      <c r="J622">
        <v>0</v>
      </c>
    </row>
    <row r="623" spans="1:11" x14ac:dyDescent="0.25">
      <c r="A623" t="s">
        <v>3364</v>
      </c>
      <c r="B623">
        <v>62</v>
      </c>
      <c r="C623" t="s">
        <v>5420</v>
      </c>
      <c r="D623" t="s">
        <v>5426</v>
      </c>
      <c r="E623" t="s">
        <v>5422</v>
      </c>
      <c r="F623">
        <v>56</v>
      </c>
      <c r="G623">
        <v>0.30399999999999999</v>
      </c>
      <c r="H623">
        <v>0.30399999999999999</v>
      </c>
      <c r="I623">
        <v>0</v>
      </c>
      <c r="J623">
        <v>0</v>
      </c>
    </row>
    <row r="624" spans="1:11" x14ac:dyDescent="0.25">
      <c r="A624" t="s">
        <v>3367</v>
      </c>
      <c r="B624">
        <v>52</v>
      </c>
      <c r="C624" t="s">
        <v>5423</v>
      </c>
      <c r="D624" t="s">
        <v>5432</v>
      </c>
      <c r="E624" t="s">
        <v>5430</v>
      </c>
      <c r="F624">
        <v>60</v>
      </c>
      <c r="G624">
        <v>0.32600000000000001</v>
      </c>
      <c r="H624">
        <v>0.32600000000000001</v>
      </c>
      <c r="I624">
        <v>0</v>
      </c>
      <c r="J624">
        <v>0</v>
      </c>
    </row>
    <row r="625" spans="1:10" x14ac:dyDescent="0.25">
      <c r="A625" t="s">
        <v>3371</v>
      </c>
      <c r="B625">
        <v>66</v>
      </c>
      <c r="C625" t="s">
        <v>5420</v>
      </c>
      <c r="D625" t="s">
        <v>5432</v>
      </c>
      <c r="E625" t="s">
        <v>5422</v>
      </c>
      <c r="F625">
        <v>150</v>
      </c>
      <c r="G625">
        <v>0.81499999999999995</v>
      </c>
      <c r="H625">
        <v>0.81499999999999995</v>
      </c>
      <c r="I625">
        <v>0</v>
      </c>
      <c r="J625">
        <v>0</v>
      </c>
    </row>
    <row r="626" spans="1:10" x14ac:dyDescent="0.25">
      <c r="A626" t="s">
        <v>3378</v>
      </c>
      <c r="B626">
        <v>49</v>
      </c>
      <c r="C626" t="s">
        <v>5423</v>
      </c>
      <c r="D626" t="s">
        <v>5426</v>
      </c>
      <c r="E626" t="s">
        <v>5428</v>
      </c>
      <c r="F626">
        <v>168</v>
      </c>
      <c r="G626">
        <v>0.91300000000000003</v>
      </c>
      <c r="H626">
        <v>0.91300000000000003</v>
      </c>
      <c r="I626">
        <v>0</v>
      </c>
      <c r="J626">
        <v>0</v>
      </c>
    </row>
    <row r="627" spans="1:10" x14ac:dyDescent="0.25">
      <c r="A627" t="s">
        <v>3386</v>
      </c>
      <c r="B627">
        <v>68</v>
      </c>
      <c r="C627" t="s">
        <v>5420</v>
      </c>
      <c r="D627" t="s">
        <v>5429</v>
      </c>
      <c r="E627" t="s">
        <v>5431</v>
      </c>
      <c r="F627">
        <v>30</v>
      </c>
      <c r="G627">
        <v>0.16300000000000001</v>
      </c>
      <c r="H627">
        <v>0.16300000000000001</v>
      </c>
      <c r="I627">
        <v>0</v>
      </c>
      <c r="J627">
        <v>0</v>
      </c>
    </row>
    <row r="628" spans="1:10" x14ac:dyDescent="0.25">
      <c r="A628" t="s">
        <v>3389</v>
      </c>
      <c r="B628">
        <v>82</v>
      </c>
      <c r="C628" t="s">
        <v>5420</v>
      </c>
      <c r="D628" t="s">
        <v>5432</v>
      </c>
      <c r="E628" t="s">
        <v>5428</v>
      </c>
      <c r="F628">
        <v>140</v>
      </c>
      <c r="G628">
        <v>0.76100000000000001</v>
      </c>
      <c r="H628">
        <v>0.76100000000000001</v>
      </c>
      <c r="I628">
        <v>0</v>
      </c>
      <c r="J628">
        <v>0</v>
      </c>
    </row>
    <row r="629" spans="1:10" x14ac:dyDescent="0.25">
      <c r="A629" t="s">
        <v>3396</v>
      </c>
      <c r="B629">
        <v>59</v>
      </c>
      <c r="C629" t="s">
        <v>5434</v>
      </c>
      <c r="D629" t="s">
        <v>5429</v>
      </c>
      <c r="E629" t="s">
        <v>5428</v>
      </c>
      <c r="F629">
        <v>56</v>
      </c>
      <c r="G629">
        <v>0.30399999999999999</v>
      </c>
      <c r="H629">
        <v>0.30399999999999999</v>
      </c>
      <c r="I629">
        <v>0</v>
      </c>
      <c r="J629">
        <v>0</v>
      </c>
    </row>
    <row r="630" spans="1:10" x14ac:dyDescent="0.25">
      <c r="A630" t="s">
        <v>3400</v>
      </c>
      <c r="B630">
        <v>55</v>
      </c>
      <c r="C630" t="s">
        <v>5423</v>
      </c>
      <c r="D630" t="s">
        <v>5421</v>
      </c>
      <c r="E630" t="s">
        <v>5428</v>
      </c>
      <c r="F630">
        <v>112</v>
      </c>
      <c r="G630">
        <v>0.60899999999999999</v>
      </c>
      <c r="H630">
        <v>0.60899999999999999</v>
      </c>
      <c r="I630">
        <v>0</v>
      </c>
      <c r="J630">
        <v>0</v>
      </c>
    </row>
    <row r="631" spans="1:10" x14ac:dyDescent="0.25">
      <c r="A631" t="s">
        <v>3404</v>
      </c>
      <c r="B631">
        <v>75</v>
      </c>
      <c r="C631" t="s">
        <v>5423</v>
      </c>
      <c r="D631" t="s">
        <v>5432</v>
      </c>
      <c r="E631" t="s">
        <v>5448</v>
      </c>
      <c r="F631">
        <v>112</v>
      </c>
      <c r="G631">
        <v>0.60899999999999999</v>
      </c>
      <c r="H631">
        <v>0.60899999999999999</v>
      </c>
      <c r="I631">
        <v>0</v>
      </c>
      <c r="J631">
        <v>0</v>
      </c>
    </row>
    <row r="632" spans="1:10" x14ac:dyDescent="0.25">
      <c r="A632" t="s">
        <v>3410</v>
      </c>
      <c r="B632">
        <v>55</v>
      </c>
      <c r="C632" t="s">
        <v>5420</v>
      </c>
      <c r="D632" t="s">
        <v>5426</v>
      </c>
      <c r="E632" t="s">
        <v>5422</v>
      </c>
      <c r="F632">
        <v>112</v>
      </c>
      <c r="G632">
        <v>0.60899999999999999</v>
      </c>
      <c r="H632">
        <v>0.60899999999999999</v>
      </c>
      <c r="I632">
        <v>0</v>
      </c>
      <c r="J632">
        <v>0</v>
      </c>
    </row>
    <row r="633" spans="1:10" x14ac:dyDescent="0.25">
      <c r="A633" t="s">
        <v>3416</v>
      </c>
      <c r="B633">
        <v>69</v>
      </c>
      <c r="C633" t="s">
        <v>5420</v>
      </c>
      <c r="D633" t="s">
        <v>5421</v>
      </c>
      <c r="E633" t="s">
        <v>5427</v>
      </c>
      <c r="F633">
        <v>90</v>
      </c>
      <c r="G633">
        <v>0.48899999999999999</v>
      </c>
      <c r="H633">
        <v>0.48899999999999999</v>
      </c>
      <c r="I633">
        <v>0</v>
      </c>
      <c r="J633">
        <v>0</v>
      </c>
    </row>
    <row r="634" spans="1:10" x14ac:dyDescent="0.25">
      <c r="A634" t="s">
        <v>3421</v>
      </c>
      <c r="B634">
        <v>62</v>
      </c>
      <c r="C634" t="s">
        <v>5420</v>
      </c>
      <c r="D634" t="s">
        <v>5429</v>
      </c>
      <c r="E634" t="s">
        <v>5422</v>
      </c>
      <c r="F634">
        <v>42</v>
      </c>
      <c r="G634">
        <v>0.22800000000000001</v>
      </c>
      <c r="H634">
        <v>0.22800000000000001</v>
      </c>
      <c r="I634">
        <v>0</v>
      </c>
      <c r="J634">
        <v>0</v>
      </c>
    </row>
    <row r="635" spans="1:10" x14ac:dyDescent="0.25">
      <c r="A635" t="s">
        <v>3425</v>
      </c>
      <c r="B635">
        <v>52</v>
      </c>
      <c r="C635" t="s">
        <v>5423</v>
      </c>
      <c r="D635" t="s">
        <v>5432</v>
      </c>
      <c r="E635" t="s">
        <v>5422</v>
      </c>
      <c r="F635">
        <v>140</v>
      </c>
      <c r="G635">
        <v>0.76100000000000001</v>
      </c>
      <c r="H635">
        <v>0.76100000000000001</v>
      </c>
      <c r="I635">
        <v>0</v>
      </c>
      <c r="J635">
        <v>0</v>
      </c>
    </row>
    <row r="636" spans="1:10" x14ac:dyDescent="0.25">
      <c r="A636" t="s">
        <v>3432</v>
      </c>
      <c r="B636">
        <v>63</v>
      </c>
      <c r="C636" t="s">
        <v>5423</v>
      </c>
      <c r="D636" t="s">
        <v>5426</v>
      </c>
      <c r="E636" t="s">
        <v>5428</v>
      </c>
      <c r="F636">
        <v>28</v>
      </c>
      <c r="G636">
        <v>0.152</v>
      </c>
      <c r="H636">
        <v>0.152</v>
      </c>
      <c r="I636">
        <v>0</v>
      </c>
      <c r="J636">
        <v>0</v>
      </c>
    </row>
    <row r="637" spans="1:10" x14ac:dyDescent="0.25">
      <c r="A637" t="s">
        <v>3435</v>
      </c>
      <c r="B637">
        <v>67</v>
      </c>
      <c r="C637" t="s">
        <v>5420</v>
      </c>
      <c r="D637" t="s">
        <v>5432</v>
      </c>
      <c r="E637" t="s">
        <v>5422</v>
      </c>
      <c r="F637">
        <v>30</v>
      </c>
      <c r="G637">
        <v>0.16300000000000001</v>
      </c>
      <c r="H637">
        <v>0.16300000000000001</v>
      </c>
      <c r="I637">
        <v>0</v>
      </c>
      <c r="J637">
        <v>0</v>
      </c>
    </row>
    <row r="638" spans="1:10" x14ac:dyDescent="0.25">
      <c r="A638" t="s">
        <v>3438</v>
      </c>
      <c r="B638">
        <v>60</v>
      </c>
      <c r="C638" t="s">
        <v>5420</v>
      </c>
      <c r="D638" t="s">
        <v>5432</v>
      </c>
      <c r="E638" t="s">
        <v>5422</v>
      </c>
      <c r="F638">
        <v>56</v>
      </c>
      <c r="G638">
        <v>0.30399999999999999</v>
      </c>
      <c r="H638">
        <v>0.30399999999999999</v>
      </c>
      <c r="I638">
        <v>0</v>
      </c>
      <c r="J638">
        <v>0</v>
      </c>
    </row>
    <row r="639" spans="1:10" x14ac:dyDescent="0.25">
      <c r="A639" t="s">
        <v>3441</v>
      </c>
      <c r="B639">
        <v>71</v>
      </c>
      <c r="C639" t="s">
        <v>5423</v>
      </c>
      <c r="D639" t="s">
        <v>5429</v>
      </c>
      <c r="E639" t="s">
        <v>5428</v>
      </c>
      <c r="F639">
        <v>56</v>
      </c>
      <c r="G639">
        <v>0.30399999999999999</v>
      </c>
      <c r="H639">
        <v>0.30399999999999999</v>
      </c>
      <c r="I639">
        <v>0</v>
      </c>
      <c r="J639">
        <v>0</v>
      </c>
    </row>
    <row r="640" spans="1:10" x14ac:dyDescent="0.25">
      <c r="A640" t="s">
        <v>3445</v>
      </c>
      <c r="B640">
        <v>70</v>
      </c>
      <c r="C640" t="s">
        <v>5420</v>
      </c>
      <c r="D640" t="s">
        <v>5429</v>
      </c>
      <c r="E640" t="s">
        <v>5425</v>
      </c>
      <c r="F640">
        <v>63</v>
      </c>
      <c r="G640">
        <v>0.34200000000000003</v>
      </c>
      <c r="H640">
        <v>0.34200000000000003</v>
      </c>
      <c r="I640">
        <v>0</v>
      </c>
      <c r="J640">
        <v>0</v>
      </c>
    </row>
    <row r="641" spans="1:11" x14ac:dyDescent="0.25">
      <c r="A641" t="s">
        <v>3450</v>
      </c>
      <c r="B641">
        <v>57</v>
      </c>
      <c r="C641" t="s">
        <v>5423</v>
      </c>
      <c r="D641" t="s">
        <v>5432</v>
      </c>
      <c r="E641" t="s">
        <v>5428</v>
      </c>
      <c r="F641">
        <v>112</v>
      </c>
      <c r="G641">
        <v>0.60899999999999999</v>
      </c>
      <c r="H641">
        <v>0.60899999999999999</v>
      </c>
      <c r="I641">
        <v>0</v>
      </c>
      <c r="J641">
        <v>0</v>
      </c>
    </row>
    <row r="642" spans="1:11" x14ac:dyDescent="0.25">
      <c r="A642" t="s">
        <v>3456</v>
      </c>
      <c r="B642">
        <v>66</v>
      </c>
      <c r="C642" t="s">
        <v>5423</v>
      </c>
      <c r="D642" t="s">
        <v>5424</v>
      </c>
      <c r="E642" t="s">
        <v>5430</v>
      </c>
      <c r="F642">
        <v>84</v>
      </c>
      <c r="G642">
        <v>0.45700000000000002</v>
      </c>
      <c r="H642">
        <v>0.45700000000000002</v>
      </c>
      <c r="I642">
        <v>0</v>
      </c>
      <c r="J642">
        <v>0</v>
      </c>
    </row>
    <row r="643" spans="1:11" x14ac:dyDescent="0.25">
      <c r="A643" t="s">
        <v>3461</v>
      </c>
      <c r="B643">
        <v>66</v>
      </c>
      <c r="C643" t="s">
        <v>5420</v>
      </c>
      <c r="D643" t="s">
        <v>5424</v>
      </c>
      <c r="E643" t="s">
        <v>5425</v>
      </c>
      <c r="F643">
        <v>42</v>
      </c>
      <c r="G643">
        <v>0.22800000000000001</v>
      </c>
      <c r="H643">
        <v>0.22800000000000001</v>
      </c>
      <c r="I643">
        <v>0</v>
      </c>
      <c r="J643">
        <v>0</v>
      </c>
    </row>
    <row r="644" spans="1:11" x14ac:dyDescent="0.25">
      <c r="A644" t="s">
        <v>3465</v>
      </c>
      <c r="B644">
        <v>44</v>
      </c>
      <c r="C644" t="s">
        <v>5420</v>
      </c>
      <c r="D644" t="s">
        <v>5429</v>
      </c>
      <c r="E644" t="s">
        <v>5428</v>
      </c>
      <c r="F644">
        <v>30</v>
      </c>
      <c r="G644">
        <v>0.16300000000000001</v>
      </c>
      <c r="H644">
        <v>0.16300000000000001</v>
      </c>
      <c r="I644">
        <v>0</v>
      </c>
      <c r="J644">
        <v>0</v>
      </c>
    </row>
    <row r="645" spans="1:11" x14ac:dyDescent="0.25">
      <c r="A645" t="s">
        <v>3468</v>
      </c>
      <c r="B645">
        <v>65</v>
      </c>
      <c r="C645" t="s">
        <v>5420</v>
      </c>
      <c r="D645" t="s">
        <v>5432</v>
      </c>
      <c r="E645" t="s">
        <v>5428</v>
      </c>
      <c r="F645">
        <v>168</v>
      </c>
      <c r="G645">
        <v>0.91300000000000003</v>
      </c>
      <c r="H645">
        <v>0.91300000000000003</v>
      </c>
      <c r="I645">
        <v>0</v>
      </c>
      <c r="J645">
        <v>0</v>
      </c>
    </row>
    <row r="646" spans="1:11" x14ac:dyDescent="0.25">
      <c r="A646" t="s">
        <v>3478</v>
      </c>
      <c r="B646">
        <v>55</v>
      </c>
      <c r="C646" t="s">
        <v>5420</v>
      </c>
      <c r="D646" t="s">
        <v>5432</v>
      </c>
      <c r="E646" t="s">
        <v>5428</v>
      </c>
      <c r="F646">
        <v>84</v>
      </c>
      <c r="G646">
        <v>0.45700000000000002</v>
      </c>
      <c r="H646">
        <v>0.45700000000000002</v>
      </c>
      <c r="I646">
        <v>0</v>
      </c>
      <c r="J646">
        <v>0</v>
      </c>
    </row>
    <row r="647" spans="1:11" x14ac:dyDescent="0.25">
      <c r="A647" t="s">
        <v>3483</v>
      </c>
      <c r="B647">
        <v>62</v>
      </c>
      <c r="C647" t="s">
        <v>5420</v>
      </c>
      <c r="D647" t="s">
        <v>5429</v>
      </c>
      <c r="E647" t="s">
        <v>5422</v>
      </c>
      <c r="F647">
        <v>120</v>
      </c>
      <c r="G647">
        <v>0.65200000000000002</v>
      </c>
      <c r="H647">
        <v>0.65200000000000002</v>
      </c>
      <c r="I647">
        <v>0</v>
      </c>
      <c r="J647">
        <v>0</v>
      </c>
    </row>
    <row r="648" spans="1:11" x14ac:dyDescent="0.25">
      <c r="A648" t="s">
        <v>3489</v>
      </c>
      <c r="B648">
        <v>68</v>
      </c>
      <c r="C648" t="s">
        <v>5423</v>
      </c>
      <c r="D648" t="s">
        <v>5432</v>
      </c>
      <c r="E648" t="s">
        <v>5427</v>
      </c>
      <c r="F648">
        <v>21</v>
      </c>
      <c r="G648">
        <v>0.114</v>
      </c>
      <c r="H648">
        <v>0.114</v>
      </c>
      <c r="I648">
        <v>0</v>
      </c>
      <c r="J648">
        <v>0</v>
      </c>
    </row>
    <row r="649" spans="1:11" x14ac:dyDescent="0.25">
      <c r="A649" t="s">
        <v>3492</v>
      </c>
      <c r="B649">
        <v>50</v>
      </c>
      <c r="C649" t="s">
        <v>5420</v>
      </c>
      <c r="D649" t="s">
        <v>5426</v>
      </c>
      <c r="E649" t="s">
        <v>5431</v>
      </c>
      <c r="F649">
        <v>180</v>
      </c>
      <c r="G649">
        <v>0.97799999999999998</v>
      </c>
      <c r="H649">
        <v>0.97799999999999998</v>
      </c>
      <c r="I649">
        <v>0</v>
      </c>
      <c r="J649">
        <v>0</v>
      </c>
    </row>
    <row r="650" spans="1:11" x14ac:dyDescent="0.25">
      <c r="A650" t="s">
        <v>3500</v>
      </c>
      <c r="B650">
        <v>57</v>
      </c>
      <c r="C650" t="s">
        <v>5423</v>
      </c>
      <c r="D650" t="s">
        <v>5424</v>
      </c>
      <c r="E650" t="s">
        <v>5427</v>
      </c>
      <c r="F650">
        <v>140</v>
      </c>
      <c r="G650">
        <v>0.76100000000000001</v>
      </c>
      <c r="H650">
        <v>0.76100000000000001</v>
      </c>
      <c r="I650">
        <v>0</v>
      </c>
      <c r="J650">
        <v>0</v>
      </c>
    </row>
    <row r="651" spans="1:11" x14ac:dyDescent="0.25">
      <c r="A651" t="s">
        <v>3507</v>
      </c>
      <c r="B651">
        <v>66</v>
      </c>
      <c r="C651" t="s">
        <v>5423</v>
      </c>
      <c r="D651" t="s">
        <v>5432</v>
      </c>
      <c r="E651" t="s">
        <v>5437</v>
      </c>
      <c r="F651">
        <v>56</v>
      </c>
      <c r="G651">
        <v>0.30399999999999999</v>
      </c>
      <c r="H651">
        <v>0.30399999999999999</v>
      </c>
      <c r="I651">
        <v>0</v>
      </c>
      <c r="J651">
        <v>0</v>
      </c>
    </row>
    <row r="652" spans="1:11" x14ac:dyDescent="0.25">
      <c r="A652" t="s">
        <v>3511</v>
      </c>
      <c r="B652">
        <v>79</v>
      </c>
      <c r="C652" t="s">
        <v>5423</v>
      </c>
      <c r="D652" t="s">
        <v>5426</v>
      </c>
      <c r="E652" t="s">
        <v>5422</v>
      </c>
      <c r="F652">
        <v>126</v>
      </c>
      <c r="G652">
        <v>0.68500000000000005</v>
      </c>
      <c r="H652">
        <v>0.68500000000000005</v>
      </c>
      <c r="I652">
        <v>0</v>
      </c>
      <c r="J652">
        <v>0</v>
      </c>
    </row>
    <row r="653" spans="1:11" x14ac:dyDescent="0.25">
      <c r="A653" t="s">
        <v>3519</v>
      </c>
      <c r="B653">
        <v>71</v>
      </c>
      <c r="C653" t="s">
        <v>5423</v>
      </c>
      <c r="D653" t="s">
        <v>5426</v>
      </c>
      <c r="E653" t="s">
        <v>5431</v>
      </c>
      <c r="F653">
        <v>60</v>
      </c>
      <c r="G653">
        <v>0.32600000000000001</v>
      </c>
      <c r="H653">
        <v>0.32600000000000001</v>
      </c>
      <c r="I653">
        <v>0</v>
      </c>
      <c r="J653">
        <v>0</v>
      </c>
    </row>
    <row r="654" spans="1:11" x14ac:dyDescent="0.25">
      <c r="A654" t="s">
        <v>3523</v>
      </c>
      <c r="B654">
        <v>68</v>
      </c>
      <c r="C654" t="s">
        <v>5423</v>
      </c>
      <c r="D654" t="s">
        <v>5424</v>
      </c>
      <c r="E654" t="s">
        <v>5427</v>
      </c>
      <c r="F654">
        <v>126</v>
      </c>
      <c r="G654">
        <v>0.68500000000000005</v>
      </c>
      <c r="H654">
        <v>0.68500000000000005</v>
      </c>
      <c r="I654">
        <v>0</v>
      </c>
      <c r="J654">
        <v>0</v>
      </c>
    </row>
    <row r="655" spans="1:11" x14ac:dyDescent="0.25">
      <c r="A655" t="s">
        <v>3531</v>
      </c>
      <c r="B655">
        <v>46</v>
      </c>
      <c r="C655" t="s">
        <v>5423</v>
      </c>
      <c r="D655" t="s">
        <v>5426</v>
      </c>
      <c r="E655" t="s">
        <v>5428</v>
      </c>
      <c r="F655">
        <v>56</v>
      </c>
      <c r="G655">
        <v>0.30399999999999999</v>
      </c>
      <c r="H655">
        <v>0.30399999999999999</v>
      </c>
      <c r="I655">
        <v>0</v>
      </c>
      <c r="J655">
        <v>0</v>
      </c>
    </row>
    <row r="656" spans="1:11" x14ac:dyDescent="0.25">
      <c r="A656" t="s">
        <v>3535</v>
      </c>
      <c r="B656">
        <v>68</v>
      </c>
      <c r="C656" t="s">
        <v>5423</v>
      </c>
      <c r="D656" t="s">
        <v>5426</v>
      </c>
      <c r="E656" t="s">
        <v>5422</v>
      </c>
      <c r="F656">
        <v>196</v>
      </c>
      <c r="G656">
        <v>1.0649999999999999</v>
      </c>
      <c r="H656">
        <v>1</v>
      </c>
      <c r="I656">
        <v>1</v>
      </c>
      <c r="J656">
        <v>0</v>
      </c>
      <c r="K656" t="s">
        <v>5435</v>
      </c>
    </row>
    <row r="657" spans="1:10" x14ac:dyDescent="0.25">
      <c r="A657" t="s">
        <v>3544</v>
      </c>
      <c r="B657">
        <v>60</v>
      </c>
      <c r="C657" t="s">
        <v>5423</v>
      </c>
      <c r="D657" t="s">
        <v>5426</v>
      </c>
      <c r="E657" t="s">
        <v>5431</v>
      </c>
      <c r="F657">
        <v>120</v>
      </c>
      <c r="G657">
        <v>0.65200000000000002</v>
      </c>
      <c r="H657">
        <v>0.65200000000000002</v>
      </c>
      <c r="I657">
        <v>0</v>
      </c>
      <c r="J657">
        <v>0</v>
      </c>
    </row>
    <row r="658" spans="1:10" x14ac:dyDescent="0.25">
      <c r="A658" t="s">
        <v>3550</v>
      </c>
      <c r="B658">
        <v>68</v>
      </c>
      <c r="C658" t="s">
        <v>5423</v>
      </c>
      <c r="D658" t="s">
        <v>5429</v>
      </c>
      <c r="E658" t="s">
        <v>5425</v>
      </c>
      <c r="F658">
        <v>147</v>
      </c>
      <c r="G658">
        <v>0.79900000000000004</v>
      </c>
      <c r="H658">
        <v>0.79900000000000004</v>
      </c>
      <c r="I658">
        <v>0</v>
      </c>
      <c r="J658">
        <v>0</v>
      </c>
    </row>
    <row r="659" spans="1:10" x14ac:dyDescent="0.25">
      <c r="A659" t="s">
        <v>3559</v>
      </c>
      <c r="B659">
        <v>66</v>
      </c>
      <c r="C659" t="s">
        <v>5420</v>
      </c>
      <c r="D659" t="s">
        <v>5421</v>
      </c>
      <c r="E659" t="s">
        <v>5427</v>
      </c>
      <c r="F659">
        <v>60</v>
      </c>
      <c r="G659">
        <v>0.32600000000000001</v>
      </c>
      <c r="H659">
        <v>0.32600000000000001</v>
      </c>
      <c r="I659">
        <v>0</v>
      </c>
      <c r="J659">
        <v>0</v>
      </c>
    </row>
    <row r="660" spans="1:10" x14ac:dyDescent="0.25">
      <c r="A660" t="s">
        <v>3563</v>
      </c>
      <c r="B660">
        <v>66</v>
      </c>
      <c r="C660" t="s">
        <v>5423</v>
      </c>
      <c r="D660" t="s">
        <v>5421</v>
      </c>
      <c r="E660" t="s">
        <v>5422</v>
      </c>
      <c r="F660">
        <v>28</v>
      </c>
      <c r="G660">
        <v>0.152</v>
      </c>
      <c r="H660">
        <v>0.152</v>
      </c>
      <c r="I660">
        <v>0</v>
      </c>
      <c r="J660">
        <v>0</v>
      </c>
    </row>
    <row r="661" spans="1:10" x14ac:dyDescent="0.25">
      <c r="A661" t="s">
        <v>3566</v>
      </c>
      <c r="B661">
        <v>69</v>
      </c>
      <c r="C661" t="s">
        <v>5420</v>
      </c>
      <c r="D661" t="s">
        <v>5429</v>
      </c>
      <c r="E661" t="s">
        <v>5431</v>
      </c>
      <c r="F661">
        <v>112</v>
      </c>
      <c r="G661">
        <v>0.60899999999999999</v>
      </c>
      <c r="H661">
        <v>0.60899999999999999</v>
      </c>
      <c r="I661">
        <v>0</v>
      </c>
      <c r="J661">
        <v>0</v>
      </c>
    </row>
    <row r="662" spans="1:10" x14ac:dyDescent="0.25">
      <c r="A662" t="s">
        <v>3572</v>
      </c>
      <c r="B662">
        <v>68</v>
      </c>
      <c r="C662" t="s">
        <v>5420</v>
      </c>
      <c r="D662" t="s">
        <v>5424</v>
      </c>
      <c r="E662" t="s">
        <v>5425</v>
      </c>
      <c r="F662">
        <v>120</v>
      </c>
      <c r="G662">
        <v>0.65200000000000002</v>
      </c>
      <c r="H662">
        <v>0.65200000000000002</v>
      </c>
      <c r="I662">
        <v>0</v>
      </c>
      <c r="J662">
        <v>0</v>
      </c>
    </row>
    <row r="663" spans="1:10" x14ac:dyDescent="0.25">
      <c r="A663" t="s">
        <v>3578</v>
      </c>
      <c r="B663">
        <v>70</v>
      </c>
      <c r="C663" t="s">
        <v>5423</v>
      </c>
      <c r="D663" t="s">
        <v>5421</v>
      </c>
      <c r="E663" t="s">
        <v>5427</v>
      </c>
      <c r="F663">
        <v>60</v>
      </c>
      <c r="G663">
        <v>0.32600000000000001</v>
      </c>
      <c r="H663">
        <v>0.32600000000000001</v>
      </c>
      <c r="I663">
        <v>0</v>
      </c>
      <c r="J663">
        <v>0</v>
      </c>
    </row>
    <row r="664" spans="1:10" x14ac:dyDescent="0.25">
      <c r="A664" t="s">
        <v>3582</v>
      </c>
      <c r="B664">
        <v>46</v>
      </c>
      <c r="C664" t="s">
        <v>5423</v>
      </c>
      <c r="D664" t="s">
        <v>5426</v>
      </c>
      <c r="E664" t="s">
        <v>5422</v>
      </c>
      <c r="F664">
        <v>56</v>
      </c>
      <c r="G664">
        <v>0.30399999999999999</v>
      </c>
      <c r="H664">
        <v>0.30399999999999999</v>
      </c>
      <c r="I664">
        <v>0</v>
      </c>
      <c r="J664">
        <v>0</v>
      </c>
    </row>
    <row r="665" spans="1:10" x14ac:dyDescent="0.25">
      <c r="A665" t="s">
        <v>3586</v>
      </c>
      <c r="B665">
        <v>58</v>
      </c>
      <c r="C665" t="s">
        <v>5420</v>
      </c>
      <c r="D665" t="s">
        <v>5426</v>
      </c>
      <c r="E665" t="s">
        <v>5445</v>
      </c>
      <c r="F665">
        <v>90</v>
      </c>
      <c r="G665">
        <v>0.48899999999999999</v>
      </c>
      <c r="H665">
        <v>0.48899999999999999</v>
      </c>
      <c r="I665">
        <v>0</v>
      </c>
      <c r="J665">
        <v>0</v>
      </c>
    </row>
    <row r="666" spans="1:10" x14ac:dyDescent="0.25">
      <c r="A666" t="s">
        <v>3591</v>
      </c>
      <c r="B666">
        <v>68</v>
      </c>
      <c r="C666" t="s">
        <v>5423</v>
      </c>
      <c r="D666" t="s">
        <v>5426</v>
      </c>
      <c r="E666" t="s">
        <v>5428</v>
      </c>
      <c r="F666">
        <v>60</v>
      </c>
      <c r="G666">
        <v>0.32600000000000001</v>
      </c>
      <c r="H666">
        <v>0.32600000000000001</v>
      </c>
      <c r="I666">
        <v>0</v>
      </c>
      <c r="J666">
        <v>0</v>
      </c>
    </row>
    <row r="667" spans="1:10" x14ac:dyDescent="0.25">
      <c r="A667" t="s">
        <v>3595</v>
      </c>
      <c r="B667">
        <v>66</v>
      </c>
      <c r="C667" t="s">
        <v>5420</v>
      </c>
      <c r="D667" t="s">
        <v>5424</v>
      </c>
      <c r="E667" t="s">
        <v>5428</v>
      </c>
      <c r="F667">
        <v>84</v>
      </c>
      <c r="G667">
        <v>0.45700000000000002</v>
      </c>
      <c r="H667">
        <v>0.45700000000000002</v>
      </c>
      <c r="I667">
        <v>0</v>
      </c>
      <c r="J667">
        <v>0</v>
      </c>
    </row>
    <row r="668" spans="1:10" x14ac:dyDescent="0.25">
      <c r="A668" t="s">
        <v>3600</v>
      </c>
      <c r="B668">
        <v>57</v>
      </c>
      <c r="C668" t="s">
        <v>5423</v>
      </c>
      <c r="D668" t="s">
        <v>5426</v>
      </c>
      <c r="E668" t="s">
        <v>5422</v>
      </c>
      <c r="F668">
        <v>168</v>
      </c>
      <c r="G668">
        <v>0.91300000000000003</v>
      </c>
      <c r="H668">
        <v>0.91300000000000003</v>
      </c>
      <c r="I668">
        <v>0</v>
      </c>
      <c r="J668">
        <v>0</v>
      </c>
    </row>
    <row r="669" spans="1:10" x14ac:dyDescent="0.25">
      <c r="A669" t="s">
        <v>3608</v>
      </c>
      <c r="B669">
        <v>53</v>
      </c>
      <c r="C669" t="s">
        <v>5420</v>
      </c>
      <c r="D669" t="s">
        <v>5426</v>
      </c>
      <c r="E669" t="s">
        <v>5425</v>
      </c>
      <c r="F669">
        <v>28</v>
      </c>
      <c r="G669">
        <v>0.152</v>
      </c>
      <c r="H669">
        <v>0.152</v>
      </c>
      <c r="I669">
        <v>0</v>
      </c>
      <c r="J669">
        <v>0</v>
      </c>
    </row>
    <row r="670" spans="1:10" x14ac:dyDescent="0.25">
      <c r="A670" t="s">
        <v>3611</v>
      </c>
      <c r="B670">
        <v>74</v>
      </c>
      <c r="C670" t="s">
        <v>5420</v>
      </c>
      <c r="D670" t="s">
        <v>5426</v>
      </c>
      <c r="E670" t="s">
        <v>5428</v>
      </c>
      <c r="F670">
        <v>180</v>
      </c>
      <c r="G670">
        <v>0.97799999999999998</v>
      </c>
      <c r="H670">
        <v>0.97799999999999998</v>
      </c>
      <c r="I670">
        <v>0</v>
      </c>
      <c r="J670">
        <v>0</v>
      </c>
    </row>
    <row r="671" spans="1:10" x14ac:dyDescent="0.25">
      <c r="A671" t="s">
        <v>3619</v>
      </c>
      <c r="B671">
        <v>64</v>
      </c>
      <c r="C671" t="s">
        <v>5423</v>
      </c>
      <c r="D671" t="s">
        <v>5432</v>
      </c>
      <c r="E671" t="s">
        <v>5425</v>
      </c>
      <c r="F671">
        <v>112</v>
      </c>
      <c r="G671">
        <v>0.60899999999999999</v>
      </c>
      <c r="H671">
        <v>0.60899999999999999</v>
      </c>
      <c r="I671">
        <v>0</v>
      </c>
      <c r="J671">
        <v>0</v>
      </c>
    </row>
    <row r="672" spans="1:10" x14ac:dyDescent="0.25">
      <c r="A672" t="s">
        <v>3623</v>
      </c>
      <c r="B672">
        <v>51</v>
      </c>
      <c r="C672" t="s">
        <v>5420</v>
      </c>
      <c r="D672" t="s">
        <v>5426</v>
      </c>
      <c r="E672" t="s">
        <v>5427</v>
      </c>
      <c r="F672">
        <v>180</v>
      </c>
      <c r="G672">
        <v>0.97799999999999998</v>
      </c>
      <c r="H672">
        <v>0.97799999999999998</v>
      </c>
      <c r="I672">
        <v>0</v>
      </c>
      <c r="J672">
        <v>0</v>
      </c>
    </row>
    <row r="673" spans="1:11" x14ac:dyDescent="0.25">
      <c r="A673" t="s">
        <v>3631</v>
      </c>
      <c r="B673">
        <v>48</v>
      </c>
      <c r="C673" t="s">
        <v>5420</v>
      </c>
      <c r="D673" t="s">
        <v>5424</v>
      </c>
      <c r="E673" t="s">
        <v>5425</v>
      </c>
      <c r="F673">
        <v>126</v>
      </c>
      <c r="G673">
        <v>0.68500000000000005</v>
      </c>
      <c r="H673">
        <v>0.68500000000000005</v>
      </c>
      <c r="I673">
        <v>0</v>
      </c>
      <c r="J673">
        <v>0</v>
      </c>
    </row>
    <row r="674" spans="1:11" x14ac:dyDescent="0.25">
      <c r="A674" t="s">
        <v>3639</v>
      </c>
      <c r="B674">
        <v>56</v>
      </c>
      <c r="C674" t="s">
        <v>5420</v>
      </c>
      <c r="D674" t="s">
        <v>5429</v>
      </c>
      <c r="E674" t="s">
        <v>5425</v>
      </c>
      <c r="F674">
        <v>189</v>
      </c>
      <c r="G674">
        <v>1.0269999999999999</v>
      </c>
      <c r="H674">
        <v>1</v>
      </c>
      <c r="I674">
        <v>1</v>
      </c>
      <c r="J674">
        <v>0</v>
      </c>
      <c r="K674" t="s">
        <v>5435</v>
      </c>
    </row>
    <row r="675" spans="1:11" x14ac:dyDescent="0.25">
      <c r="A675" t="s">
        <v>3650</v>
      </c>
      <c r="B675">
        <v>44</v>
      </c>
      <c r="C675" t="s">
        <v>5423</v>
      </c>
      <c r="D675" t="s">
        <v>5426</v>
      </c>
      <c r="E675" t="s">
        <v>5422</v>
      </c>
      <c r="F675">
        <v>60</v>
      </c>
      <c r="G675">
        <v>0.32600000000000001</v>
      </c>
      <c r="H675">
        <v>0.32600000000000001</v>
      </c>
      <c r="I675">
        <v>0</v>
      </c>
      <c r="J675">
        <v>0</v>
      </c>
    </row>
    <row r="676" spans="1:11" x14ac:dyDescent="0.25">
      <c r="A676" t="s">
        <v>3654</v>
      </c>
      <c r="B676">
        <v>73</v>
      </c>
      <c r="C676" t="s">
        <v>5420</v>
      </c>
      <c r="D676" t="s">
        <v>5424</v>
      </c>
      <c r="E676" t="s">
        <v>5427</v>
      </c>
      <c r="F676">
        <v>30</v>
      </c>
      <c r="G676">
        <v>0.16300000000000001</v>
      </c>
      <c r="H676">
        <v>0.16300000000000001</v>
      </c>
      <c r="I676">
        <v>0</v>
      </c>
      <c r="J676">
        <v>0</v>
      </c>
    </row>
    <row r="677" spans="1:11" x14ac:dyDescent="0.25">
      <c r="A677" t="s">
        <v>3657</v>
      </c>
      <c r="B677">
        <v>76</v>
      </c>
      <c r="C677" t="s">
        <v>5420</v>
      </c>
      <c r="D677" t="s">
        <v>5432</v>
      </c>
      <c r="E677" t="s">
        <v>5425</v>
      </c>
      <c r="F677">
        <v>56</v>
      </c>
      <c r="G677">
        <v>0.30399999999999999</v>
      </c>
      <c r="H677">
        <v>0.30399999999999999</v>
      </c>
      <c r="I677">
        <v>0</v>
      </c>
      <c r="J677">
        <v>0</v>
      </c>
    </row>
    <row r="678" spans="1:11" x14ac:dyDescent="0.25">
      <c r="A678" t="s">
        <v>3661</v>
      </c>
      <c r="B678">
        <v>65</v>
      </c>
      <c r="C678" t="s">
        <v>5423</v>
      </c>
      <c r="D678" t="s">
        <v>5429</v>
      </c>
      <c r="E678" t="s">
        <v>5425</v>
      </c>
      <c r="F678">
        <v>105</v>
      </c>
      <c r="G678">
        <v>0.57099999999999995</v>
      </c>
      <c r="H678">
        <v>0.57099999999999995</v>
      </c>
      <c r="I678">
        <v>0</v>
      </c>
      <c r="J678">
        <v>0</v>
      </c>
    </row>
    <row r="679" spans="1:11" x14ac:dyDescent="0.25">
      <c r="A679" t="s">
        <v>3668</v>
      </c>
      <c r="B679">
        <v>61</v>
      </c>
      <c r="C679" t="s">
        <v>5420</v>
      </c>
      <c r="D679" t="s">
        <v>5432</v>
      </c>
      <c r="E679" t="s">
        <v>5436</v>
      </c>
      <c r="F679">
        <v>28</v>
      </c>
      <c r="G679">
        <v>0.152</v>
      </c>
      <c r="H679">
        <v>0.152</v>
      </c>
      <c r="I679">
        <v>0</v>
      </c>
      <c r="J679">
        <v>0</v>
      </c>
    </row>
    <row r="680" spans="1:11" x14ac:dyDescent="0.25">
      <c r="A680" t="s">
        <v>3671</v>
      </c>
      <c r="B680">
        <v>70</v>
      </c>
      <c r="C680" t="s">
        <v>5420</v>
      </c>
      <c r="D680" t="s">
        <v>5432</v>
      </c>
      <c r="E680" t="s">
        <v>5427</v>
      </c>
      <c r="F680">
        <v>84</v>
      </c>
      <c r="G680">
        <v>0.45700000000000002</v>
      </c>
      <c r="H680">
        <v>0.45700000000000002</v>
      </c>
      <c r="I680">
        <v>0</v>
      </c>
      <c r="J680">
        <v>0</v>
      </c>
    </row>
    <row r="681" spans="1:11" x14ac:dyDescent="0.25">
      <c r="A681" t="s">
        <v>3676</v>
      </c>
      <c r="B681">
        <v>72</v>
      </c>
      <c r="C681" t="s">
        <v>5420</v>
      </c>
      <c r="D681" t="s">
        <v>5432</v>
      </c>
      <c r="E681" t="s">
        <v>5428</v>
      </c>
      <c r="F681">
        <v>140</v>
      </c>
      <c r="G681">
        <v>0.76100000000000001</v>
      </c>
      <c r="H681">
        <v>0.76100000000000001</v>
      </c>
      <c r="I681">
        <v>0</v>
      </c>
      <c r="J681">
        <v>0</v>
      </c>
    </row>
    <row r="682" spans="1:11" x14ac:dyDescent="0.25">
      <c r="A682" t="s">
        <v>3683</v>
      </c>
      <c r="B682">
        <v>52</v>
      </c>
      <c r="C682" t="s">
        <v>5423</v>
      </c>
      <c r="D682" t="s">
        <v>5426</v>
      </c>
      <c r="E682" t="s">
        <v>5430</v>
      </c>
      <c r="F682">
        <v>56</v>
      </c>
      <c r="G682">
        <v>0.30399999999999999</v>
      </c>
      <c r="H682">
        <v>0.30399999999999999</v>
      </c>
      <c r="I682">
        <v>0</v>
      </c>
      <c r="J682">
        <v>0</v>
      </c>
    </row>
    <row r="683" spans="1:11" x14ac:dyDescent="0.25">
      <c r="A683" t="s">
        <v>3687</v>
      </c>
      <c r="B683">
        <v>51</v>
      </c>
      <c r="C683" t="s">
        <v>5420</v>
      </c>
      <c r="D683" t="s">
        <v>5421</v>
      </c>
      <c r="E683" t="s">
        <v>5422</v>
      </c>
      <c r="F683">
        <v>84</v>
      </c>
      <c r="G683">
        <v>0.45700000000000002</v>
      </c>
      <c r="H683">
        <v>0.45700000000000002</v>
      </c>
      <c r="I683">
        <v>0</v>
      </c>
      <c r="J683">
        <v>0</v>
      </c>
    </row>
    <row r="684" spans="1:11" x14ac:dyDescent="0.25">
      <c r="A684" t="s">
        <v>3692</v>
      </c>
      <c r="B684">
        <v>56</v>
      </c>
      <c r="C684" t="s">
        <v>5423</v>
      </c>
      <c r="D684" t="s">
        <v>5426</v>
      </c>
      <c r="E684" t="s">
        <v>5425</v>
      </c>
      <c r="F684">
        <v>28</v>
      </c>
      <c r="G684">
        <v>0.152</v>
      </c>
      <c r="H684">
        <v>0.152</v>
      </c>
      <c r="I684">
        <v>0</v>
      </c>
      <c r="J684">
        <v>0</v>
      </c>
    </row>
    <row r="685" spans="1:11" x14ac:dyDescent="0.25">
      <c r="A685" t="s">
        <v>3695</v>
      </c>
      <c r="B685">
        <v>59</v>
      </c>
      <c r="C685" t="s">
        <v>5420</v>
      </c>
      <c r="D685" t="s">
        <v>5421</v>
      </c>
      <c r="E685" t="s">
        <v>5425</v>
      </c>
      <c r="F685">
        <v>28</v>
      </c>
      <c r="G685">
        <v>0.152</v>
      </c>
      <c r="H685">
        <v>0.152</v>
      </c>
      <c r="I685">
        <v>0</v>
      </c>
      <c r="J685">
        <v>0</v>
      </c>
    </row>
    <row r="686" spans="1:11" x14ac:dyDescent="0.25">
      <c r="A686" t="s">
        <v>3698</v>
      </c>
      <c r="B686">
        <v>70</v>
      </c>
      <c r="C686" t="s">
        <v>5423</v>
      </c>
      <c r="D686" t="s">
        <v>5432</v>
      </c>
      <c r="E686" t="s">
        <v>5431</v>
      </c>
      <c r="F686">
        <v>168</v>
      </c>
      <c r="G686">
        <v>0.91300000000000003</v>
      </c>
      <c r="H686">
        <v>0.91300000000000003</v>
      </c>
      <c r="I686">
        <v>0</v>
      </c>
      <c r="J686">
        <v>0</v>
      </c>
    </row>
    <row r="687" spans="1:11" x14ac:dyDescent="0.25">
      <c r="A687" t="s">
        <v>3706</v>
      </c>
      <c r="B687">
        <v>50</v>
      </c>
      <c r="C687" t="s">
        <v>5423</v>
      </c>
      <c r="D687" t="s">
        <v>5424</v>
      </c>
      <c r="E687" t="s">
        <v>5427</v>
      </c>
      <c r="F687">
        <v>28</v>
      </c>
      <c r="G687">
        <v>0.152</v>
      </c>
      <c r="H687">
        <v>0.152</v>
      </c>
      <c r="I687">
        <v>0</v>
      </c>
      <c r="J687">
        <v>0</v>
      </c>
    </row>
    <row r="688" spans="1:11" x14ac:dyDescent="0.25">
      <c r="A688" t="s">
        <v>3709</v>
      </c>
      <c r="B688">
        <v>67</v>
      </c>
      <c r="C688" t="s">
        <v>5423</v>
      </c>
      <c r="D688" t="s">
        <v>5426</v>
      </c>
      <c r="E688" t="s">
        <v>5422</v>
      </c>
      <c r="F688">
        <v>126</v>
      </c>
      <c r="G688">
        <v>0.68500000000000005</v>
      </c>
      <c r="H688">
        <v>0.68500000000000005</v>
      </c>
      <c r="I688">
        <v>0</v>
      </c>
      <c r="J688">
        <v>0</v>
      </c>
    </row>
    <row r="689" spans="1:11" x14ac:dyDescent="0.25">
      <c r="A689" t="s">
        <v>3717</v>
      </c>
      <c r="B689">
        <v>65</v>
      </c>
      <c r="C689" t="s">
        <v>5420</v>
      </c>
      <c r="D689" t="s">
        <v>5429</v>
      </c>
      <c r="E689" t="s">
        <v>5425</v>
      </c>
      <c r="F689">
        <v>168</v>
      </c>
      <c r="G689">
        <v>0.91300000000000003</v>
      </c>
      <c r="H689">
        <v>0.91300000000000003</v>
      </c>
      <c r="I689">
        <v>0</v>
      </c>
      <c r="J689">
        <v>0</v>
      </c>
    </row>
    <row r="690" spans="1:11" x14ac:dyDescent="0.25">
      <c r="A690" t="s">
        <v>3725</v>
      </c>
      <c r="B690">
        <v>46</v>
      </c>
      <c r="C690" t="s">
        <v>5423</v>
      </c>
      <c r="D690" t="s">
        <v>5432</v>
      </c>
      <c r="E690" t="s">
        <v>5430</v>
      </c>
      <c r="F690">
        <v>140</v>
      </c>
      <c r="G690">
        <v>0.76100000000000001</v>
      </c>
      <c r="H690">
        <v>0.76100000000000001</v>
      </c>
      <c r="I690">
        <v>0</v>
      </c>
      <c r="J690">
        <v>0</v>
      </c>
    </row>
    <row r="691" spans="1:11" x14ac:dyDescent="0.25">
      <c r="A691" t="s">
        <v>3732</v>
      </c>
      <c r="B691">
        <v>67</v>
      </c>
      <c r="C691" t="s">
        <v>5420</v>
      </c>
      <c r="D691" t="s">
        <v>5426</v>
      </c>
      <c r="E691" t="s">
        <v>5430</v>
      </c>
      <c r="F691">
        <v>84</v>
      </c>
      <c r="G691">
        <v>0.45700000000000002</v>
      </c>
      <c r="H691">
        <v>0.45700000000000002</v>
      </c>
      <c r="I691">
        <v>0</v>
      </c>
      <c r="J691">
        <v>0</v>
      </c>
    </row>
    <row r="692" spans="1:11" x14ac:dyDescent="0.25">
      <c r="A692" t="s">
        <v>3737</v>
      </c>
      <c r="B692">
        <v>61</v>
      </c>
      <c r="C692" t="s">
        <v>5423</v>
      </c>
      <c r="D692" t="s">
        <v>5421</v>
      </c>
      <c r="E692" t="s">
        <v>5430</v>
      </c>
      <c r="F692">
        <v>28</v>
      </c>
      <c r="G692">
        <v>0.152</v>
      </c>
      <c r="H692">
        <v>0.152</v>
      </c>
      <c r="I692">
        <v>0</v>
      </c>
      <c r="J692">
        <v>0</v>
      </c>
    </row>
    <row r="693" spans="1:11" x14ac:dyDescent="0.25">
      <c r="A693" t="s">
        <v>3740</v>
      </c>
      <c r="B693">
        <v>60</v>
      </c>
      <c r="C693" t="s">
        <v>5420</v>
      </c>
      <c r="D693" t="s">
        <v>5432</v>
      </c>
      <c r="E693" t="s">
        <v>5427</v>
      </c>
      <c r="F693">
        <v>105</v>
      </c>
      <c r="G693">
        <v>0.57099999999999995</v>
      </c>
      <c r="H693">
        <v>0.57099999999999995</v>
      </c>
      <c r="I693">
        <v>0</v>
      </c>
      <c r="J693">
        <v>0</v>
      </c>
    </row>
    <row r="694" spans="1:11" x14ac:dyDescent="0.25">
      <c r="A694" t="s">
        <v>3747</v>
      </c>
      <c r="B694">
        <v>79</v>
      </c>
      <c r="C694" t="s">
        <v>5420</v>
      </c>
      <c r="D694" t="s">
        <v>5426</v>
      </c>
      <c r="E694" t="s">
        <v>5428</v>
      </c>
      <c r="F694">
        <v>112</v>
      </c>
      <c r="G694">
        <v>0.60899999999999999</v>
      </c>
      <c r="H694">
        <v>0.60899999999999999</v>
      </c>
      <c r="I694">
        <v>0</v>
      </c>
      <c r="J694">
        <v>0</v>
      </c>
    </row>
    <row r="695" spans="1:11" x14ac:dyDescent="0.25">
      <c r="A695" t="s">
        <v>3753</v>
      </c>
      <c r="B695">
        <v>75</v>
      </c>
      <c r="C695" t="s">
        <v>5420</v>
      </c>
      <c r="D695" t="s">
        <v>5424</v>
      </c>
      <c r="E695" t="s">
        <v>5431</v>
      </c>
      <c r="F695">
        <v>168</v>
      </c>
      <c r="G695">
        <v>0.91300000000000003</v>
      </c>
      <c r="H695">
        <v>0.91300000000000003</v>
      </c>
      <c r="I695">
        <v>0</v>
      </c>
      <c r="J695">
        <v>0</v>
      </c>
    </row>
    <row r="696" spans="1:11" x14ac:dyDescent="0.25">
      <c r="A696" t="s">
        <v>3761</v>
      </c>
      <c r="B696">
        <v>54</v>
      </c>
      <c r="C696" t="s">
        <v>5420</v>
      </c>
      <c r="D696" t="s">
        <v>5429</v>
      </c>
      <c r="E696" t="s">
        <v>5427</v>
      </c>
      <c r="F696">
        <v>112</v>
      </c>
      <c r="G696">
        <v>0.60899999999999999</v>
      </c>
      <c r="H696">
        <v>0.60899999999999999</v>
      </c>
      <c r="I696">
        <v>0</v>
      </c>
      <c r="J696">
        <v>0</v>
      </c>
    </row>
    <row r="697" spans="1:11" x14ac:dyDescent="0.25">
      <c r="A697" t="s">
        <v>3765</v>
      </c>
      <c r="B697">
        <v>55</v>
      </c>
      <c r="C697" t="s">
        <v>5423</v>
      </c>
      <c r="D697" t="s">
        <v>5426</v>
      </c>
      <c r="E697" t="s">
        <v>5430</v>
      </c>
      <c r="F697">
        <v>120</v>
      </c>
      <c r="G697">
        <v>0.65200000000000002</v>
      </c>
      <c r="H697">
        <v>0.65200000000000002</v>
      </c>
      <c r="I697">
        <v>0</v>
      </c>
      <c r="J697">
        <v>0</v>
      </c>
    </row>
    <row r="698" spans="1:11" x14ac:dyDescent="0.25">
      <c r="A698" t="s">
        <v>3771</v>
      </c>
      <c r="B698">
        <v>56</v>
      </c>
      <c r="C698" t="s">
        <v>5423</v>
      </c>
      <c r="D698" t="s">
        <v>5424</v>
      </c>
      <c r="E698" t="s">
        <v>5428</v>
      </c>
      <c r="F698">
        <v>112</v>
      </c>
      <c r="G698">
        <v>0.60899999999999999</v>
      </c>
      <c r="H698">
        <v>0.60899999999999999</v>
      </c>
      <c r="I698">
        <v>0</v>
      </c>
      <c r="J698">
        <v>0</v>
      </c>
    </row>
    <row r="699" spans="1:11" x14ac:dyDescent="0.25">
      <c r="A699" t="s">
        <v>3777</v>
      </c>
      <c r="B699">
        <v>64</v>
      </c>
      <c r="C699" t="s">
        <v>5423</v>
      </c>
      <c r="D699" t="s">
        <v>5426</v>
      </c>
      <c r="E699" t="s">
        <v>5431</v>
      </c>
      <c r="F699">
        <v>56</v>
      </c>
      <c r="G699">
        <v>0.30399999999999999</v>
      </c>
      <c r="H699">
        <v>0.30399999999999999</v>
      </c>
      <c r="I699">
        <v>0</v>
      </c>
      <c r="J699">
        <v>0</v>
      </c>
    </row>
    <row r="700" spans="1:11" x14ac:dyDescent="0.25">
      <c r="A700" t="s">
        <v>3781</v>
      </c>
      <c r="B700">
        <v>66</v>
      </c>
      <c r="C700" t="s">
        <v>5423</v>
      </c>
      <c r="D700" t="s">
        <v>5426</v>
      </c>
      <c r="E700" t="s">
        <v>5431</v>
      </c>
      <c r="F700">
        <v>140</v>
      </c>
      <c r="G700">
        <v>0.76100000000000001</v>
      </c>
      <c r="H700">
        <v>0.76100000000000001</v>
      </c>
      <c r="I700">
        <v>0</v>
      </c>
      <c r="J700">
        <v>0</v>
      </c>
    </row>
    <row r="701" spans="1:11" x14ac:dyDescent="0.25">
      <c r="A701" t="s">
        <v>3788</v>
      </c>
      <c r="B701">
        <v>49</v>
      </c>
      <c r="C701" t="s">
        <v>5420</v>
      </c>
      <c r="D701" t="s">
        <v>5421</v>
      </c>
      <c r="E701" t="s">
        <v>5422</v>
      </c>
      <c r="F701">
        <v>28</v>
      </c>
      <c r="G701">
        <v>0.152</v>
      </c>
      <c r="H701">
        <v>0.152</v>
      </c>
      <c r="I701">
        <v>0</v>
      </c>
      <c r="J701">
        <v>0</v>
      </c>
    </row>
    <row r="702" spans="1:11" x14ac:dyDescent="0.25">
      <c r="A702" t="s">
        <v>3791</v>
      </c>
      <c r="B702">
        <v>72</v>
      </c>
      <c r="C702" t="s">
        <v>5420</v>
      </c>
      <c r="D702" t="s">
        <v>5424</v>
      </c>
      <c r="E702" t="s">
        <v>5431</v>
      </c>
      <c r="F702">
        <v>60</v>
      </c>
      <c r="G702">
        <v>0.32600000000000001</v>
      </c>
      <c r="H702">
        <v>0.32600000000000001</v>
      </c>
      <c r="I702">
        <v>0</v>
      </c>
      <c r="J702">
        <v>0</v>
      </c>
    </row>
    <row r="703" spans="1:11" x14ac:dyDescent="0.25">
      <c r="A703" t="s">
        <v>3795</v>
      </c>
      <c r="B703">
        <v>85</v>
      </c>
      <c r="C703" t="s">
        <v>5423</v>
      </c>
      <c r="D703" t="s">
        <v>5432</v>
      </c>
      <c r="E703" t="s">
        <v>5427</v>
      </c>
      <c r="F703">
        <v>84</v>
      </c>
      <c r="G703">
        <v>0.45700000000000002</v>
      </c>
      <c r="H703">
        <v>0.45700000000000002</v>
      </c>
      <c r="I703">
        <v>0</v>
      </c>
      <c r="J703">
        <v>0</v>
      </c>
    </row>
    <row r="704" spans="1:11" x14ac:dyDescent="0.25">
      <c r="A704" t="s">
        <v>3800</v>
      </c>
      <c r="B704">
        <v>48</v>
      </c>
      <c r="C704" t="s">
        <v>5420</v>
      </c>
      <c r="D704" t="s">
        <v>5432</v>
      </c>
      <c r="E704" t="s">
        <v>5422</v>
      </c>
      <c r="F704">
        <v>196</v>
      </c>
      <c r="G704">
        <v>1.0649999999999999</v>
      </c>
      <c r="H704">
        <v>1</v>
      </c>
      <c r="I704">
        <v>1</v>
      </c>
      <c r="J704">
        <v>0</v>
      </c>
      <c r="K704" t="s">
        <v>5435</v>
      </c>
    </row>
    <row r="705" spans="1:11" x14ac:dyDescent="0.25">
      <c r="A705" t="s">
        <v>3809</v>
      </c>
      <c r="B705">
        <v>68</v>
      </c>
      <c r="C705" t="s">
        <v>5423</v>
      </c>
      <c r="D705" t="s">
        <v>5429</v>
      </c>
      <c r="E705" t="s">
        <v>5427</v>
      </c>
      <c r="F705">
        <v>112</v>
      </c>
      <c r="G705">
        <v>0.60899999999999999</v>
      </c>
      <c r="H705">
        <v>0.60899999999999999</v>
      </c>
      <c r="I705">
        <v>0</v>
      </c>
      <c r="J705">
        <v>0</v>
      </c>
    </row>
    <row r="706" spans="1:11" x14ac:dyDescent="0.25">
      <c r="A706" t="s">
        <v>3815</v>
      </c>
      <c r="B706">
        <v>56</v>
      </c>
      <c r="C706" t="s">
        <v>5420</v>
      </c>
      <c r="D706" t="s">
        <v>5432</v>
      </c>
      <c r="E706" t="s">
        <v>5422</v>
      </c>
      <c r="F706">
        <v>168</v>
      </c>
      <c r="G706">
        <v>0.91300000000000003</v>
      </c>
      <c r="H706">
        <v>0.91300000000000003</v>
      </c>
      <c r="I706">
        <v>0</v>
      </c>
      <c r="J706">
        <v>0</v>
      </c>
    </row>
    <row r="707" spans="1:11" x14ac:dyDescent="0.25">
      <c r="A707" t="s">
        <v>3829</v>
      </c>
      <c r="B707">
        <v>70</v>
      </c>
      <c r="C707" t="s">
        <v>5420</v>
      </c>
      <c r="D707" t="s">
        <v>5432</v>
      </c>
      <c r="E707" t="s">
        <v>5427</v>
      </c>
      <c r="F707">
        <v>56</v>
      </c>
      <c r="G707">
        <v>0.30399999999999999</v>
      </c>
      <c r="H707">
        <v>0.30399999999999999</v>
      </c>
      <c r="I707">
        <v>0</v>
      </c>
      <c r="J707">
        <v>0</v>
      </c>
    </row>
    <row r="708" spans="1:11" x14ac:dyDescent="0.25">
      <c r="A708" t="s">
        <v>3833</v>
      </c>
      <c r="B708">
        <v>57</v>
      </c>
      <c r="C708" t="s">
        <v>5420</v>
      </c>
      <c r="D708" t="s">
        <v>5429</v>
      </c>
      <c r="E708" t="s">
        <v>5427</v>
      </c>
      <c r="F708">
        <v>112</v>
      </c>
      <c r="G708">
        <v>0.60899999999999999</v>
      </c>
      <c r="H708">
        <v>0.60899999999999999</v>
      </c>
      <c r="I708">
        <v>0</v>
      </c>
      <c r="J708">
        <v>0</v>
      </c>
    </row>
    <row r="709" spans="1:11" x14ac:dyDescent="0.25">
      <c r="A709" t="s">
        <v>3839</v>
      </c>
      <c r="B709">
        <v>76</v>
      </c>
      <c r="C709" t="s">
        <v>5420</v>
      </c>
      <c r="D709" t="s">
        <v>5429</v>
      </c>
      <c r="E709" t="s">
        <v>5431</v>
      </c>
      <c r="F709">
        <v>196</v>
      </c>
      <c r="G709">
        <v>1.0649999999999999</v>
      </c>
      <c r="H709">
        <v>1</v>
      </c>
      <c r="I709">
        <v>1</v>
      </c>
      <c r="J709">
        <v>0</v>
      </c>
      <c r="K709" t="s">
        <v>5435</v>
      </c>
    </row>
    <row r="710" spans="1:11" x14ac:dyDescent="0.25">
      <c r="A710" t="s">
        <v>3848</v>
      </c>
      <c r="B710">
        <v>69</v>
      </c>
      <c r="C710" t="s">
        <v>5423</v>
      </c>
      <c r="D710" t="s">
        <v>5429</v>
      </c>
      <c r="E710" t="s">
        <v>5431</v>
      </c>
      <c r="F710">
        <v>56</v>
      </c>
      <c r="G710">
        <v>0.30399999999999999</v>
      </c>
      <c r="H710">
        <v>0.30399999999999999</v>
      </c>
      <c r="I710">
        <v>0</v>
      </c>
      <c r="J710">
        <v>0</v>
      </c>
    </row>
    <row r="711" spans="1:11" x14ac:dyDescent="0.25">
      <c r="A711" t="s">
        <v>3852</v>
      </c>
      <c r="B711">
        <v>65</v>
      </c>
      <c r="C711" t="s">
        <v>5420</v>
      </c>
      <c r="D711" t="s">
        <v>5429</v>
      </c>
      <c r="E711" t="s">
        <v>5430</v>
      </c>
      <c r="F711">
        <v>196</v>
      </c>
      <c r="G711">
        <v>1.0649999999999999</v>
      </c>
      <c r="H711">
        <v>1</v>
      </c>
      <c r="I711">
        <v>1</v>
      </c>
      <c r="J711">
        <v>0</v>
      </c>
      <c r="K711" t="s">
        <v>5435</v>
      </c>
    </row>
    <row r="712" spans="1:11" x14ac:dyDescent="0.25">
      <c r="A712" t="s">
        <v>3861</v>
      </c>
      <c r="B712">
        <v>90</v>
      </c>
      <c r="C712" t="s">
        <v>5420</v>
      </c>
      <c r="D712" t="s">
        <v>5424</v>
      </c>
      <c r="E712" t="s">
        <v>5427</v>
      </c>
      <c r="F712">
        <v>56</v>
      </c>
      <c r="G712">
        <v>0.30399999999999999</v>
      </c>
      <c r="H712">
        <v>0.30399999999999999</v>
      </c>
      <c r="I712">
        <v>0</v>
      </c>
      <c r="J712">
        <v>0</v>
      </c>
    </row>
    <row r="713" spans="1:11" x14ac:dyDescent="0.25">
      <c r="A713" t="s">
        <v>3865</v>
      </c>
      <c r="B713">
        <v>74</v>
      </c>
      <c r="C713" t="s">
        <v>5420</v>
      </c>
      <c r="D713" t="s">
        <v>5421</v>
      </c>
      <c r="E713" t="s">
        <v>5427</v>
      </c>
      <c r="F713">
        <v>60</v>
      </c>
      <c r="G713">
        <v>0.32600000000000001</v>
      </c>
      <c r="H713">
        <v>0.32600000000000001</v>
      </c>
      <c r="I713">
        <v>0</v>
      </c>
      <c r="J713">
        <v>0</v>
      </c>
    </row>
    <row r="714" spans="1:11" x14ac:dyDescent="0.25">
      <c r="A714" t="s">
        <v>3869</v>
      </c>
      <c r="B714">
        <v>60</v>
      </c>
      <c r="C714" t="s">
        <v>5423</v>
      </c>
      <c r="D714" t="s">
        <v>5421</v>
      </c>
      <c r="E714" t="s">
        <v>5428</v>
      </c>
      <c r="F714">
        <v>140</v>
      </c>
      <c r="G714">
        <v>0.76100000000000001</v>
      </c>
      <c r="H714">
        <v>0.76100000000000001</v>
      </c>
      <c r="I714">
        <v>0</v>
      </c>
      <c r="J714">
        <v>0</v>
      </c>
    </row>
    <row r="715" spans="1:11" x14ac:dyDescent="0.25">
      <c r="A715" t="s">
        <v>3876</v>
      </c>
      <c r="B715">
        <v>65</v>
      </c>
      <c r="C715" t="s">
        <v>5420</v>
      </c>
      <c r="D715" t="s">
        <v>5432</v>
      </c>
      <c r="E715" t="s">
        <v>5431</v>
      </c>
      <c r="F715">
        <v>84</v>
      </c>
      <c r="G715">
        <v>0.45700000000000002</v>
      </c>
      <c r="H715">
        <v>0.45700000000000002</v>
      </c>
      <c r="I715">
        <v>0</v>
      </c>
      <c r="J715">
        <v>0</v>
      </c>
    </row>
    <row r="716" spans="1:11" x14ac:dyDescent="0.25">
      <c r="A716" t="s">
        <v>3881</v>
      </c>
      <c r="B716">
        <v>63</v>
      </c>
      <c r="C716" t="s">
        <v>5423</v>
      </c>
      <c r="D716" t="s">
        <v>5426</v>
      </c>
      <c r="E716" t="s">
        <v>5431</v>
      </c>
      <c r="F716">
        <v>42</v>
      </c>
      <c r="G716">
        <v>0.22800000000000001</v>
      </c>
      <c r="H716">
        <v>0.22800000000000001</v>
      </c>
      <c r="I716">
        <v>0</v>
      </c>
      <c r="J716">
        <v>0</v>
      </c>
    </row>
    <row r="717" spans="1:11" x14ac:dyDescent="0.25">
      <c r="A717" t="s">
        <v>3886</v>
      </c>
      <c r="B717">
        <v>90</v>
      </c>
      <c r="C717" t="s">
        <v>5423</v>
      </c>
      <c r="D717" t="s">
        <v>5426</v>
      </c>
      <c r="E717" t="s">
        <v>5431</v>
      </c>
      <c r="F717">
        <v>105</v>
      </c>
      <c r="G717">
        <v>0.57099999999999995</v>
      </c>
      <c r="H717">
        <v>0.57099999999999995</v>
      </c>
      <c r="I717">
        <v>0</v>
      </c>
      <c r="J717">
        <v>0</v>
      </c>
    </row>
    <row r="718" spans="1:11" x14ac:dyDescent="0.25">
      <c r="A718" t="s">
        <v>3893</v>
      </c>
      <c r="B718">
        <v>82</v>
      </c>
      <c r="C718" t="s">
        <v>5423</v>
      </c>
      <c r="D718" t="s">
        <v>5429</v>
      </c>
      <c r="E718" t="s">
        <v>5427</v>
      </c>
      <c r="F718">
        <v>84</v>
      </c>
      <c r="G718">
        <v>0.45700000000000002</v>
      </c>
      <c r="H718">
        <v>0.45700000000000002</v>
      </c>
      <c r="I718">
        <v>0</v>
      </c>
      <c r="J718">
        <v>0</v>
      </c>
    </row>
    <row r="719" spans="1:11" x14ac:dyDescent="0.25">
      <c r="A719" t="s">
        <v>3898</v>
      </c>
      <c r="B719">
        <v>50</v>
      </c>
      <c r="C719" t="s">
        <v>5420</v>
      </c>
      <c r="D719" t="s">
        <v>5429</v>
      </c>
      <c r="E719" t="s">
        <v>5428</v>
      </c>
      <c r="F719">
        <v>30</v>
      </c>
      <c r="G719">
        <v>0.16300000000000001</v>
      </c>
      <c r="H719">
        <v>0.16300000000000001</v>
      </c>
      <c r="I719">
        <v>0</v>
      </c>
      <c r="J719">
        <v>0</v>
      </c>
    </row>
    <row r="720" spans="1:11" x14ac:dyDescent="0.25">
      <c r="A720" t="s">
        <v>3901</v>
      </c>
      <c r="B720">
        <v>71</v>
      </c>
      <c r="C720" t="s">
        <v>5420</v>
      </c>
      <c r="D720" t="s">
        <v>5429</v>
      </c>
      <c r="E720" t="s">
        <v>5430</v>
      </c>
      <c r="F720">
        <v>84</v>
      </c>
      <c r="G720">
        <v>0.45700000000000002</v>
      </c>
      <c r="H720">
        <v>0.45700000000000002</v>
      </c>
      <c r="I720">
        <v>0</v>
      </c>
      <c r="J720">
        <v>0</v>
      </c>
    </row>
    <row r="721" spans="1:10" x14ac:dyDescent="0.25">
      <c r="A721" t="s">
        <v>3906</v>
      </c>
      <c r="B721">
        <v>71</v>
      </c>
      <c r="C721" t="s">
        <v>5420</v>
      </c>
      <c r="D721" t="s">
        <v>5424</v>
      </c>
      <c r="E721" t="s">
        <v>5428</v>
      </c>
      <c r="F721">
        <v>84</v>
      </c>
      <c r="G721">
        <v>0.45700000000000002</v>
      </c>
      <c r="H721">
        <v>0.45700000000000002</v>
      </c>
      <c r="I721">
        <v>0</v>
      </c>
      <c r="J721">
        <v>0</v>
      </c>
    </row>
    <row r="722" spans="1:10" x14ac:dyDescent="0.25">
      <c r="A722" t="s">
        <v>3911</v>
      </c>
      <c r="B722">
        <v>54</v>
      </c>
      <c r="C722" t="s">
        <v>5420</v>
      </c>
      <c r="D722" t="s">
        <v>5426</v>
      </c>
      <c r="E722" t="s">
        <v>5425</v>
      </c>
      <c r="F722">
        <v>84</v>
      </c>
      <c r="G722">
        <v>0.45700000000000002</v>
      </c>
      <c r="H722">
        <v>0.45700000000000002</v>
      </c>
      <c r="I722">
        <v>0</v>
      </c>
      <c r="J722">
        <v>0</v>
      </c>
    </row>
    <row r="723" spans="1:10" x14ac:dyDescent="0.25">
      <c r="A723" t="s">
        <v>3916</v>
      </c>
      <c r="B723">
        <v>49</v>
      </c>
      <c r="C723" t="s">
        <v>5420</v>
      </c>
      <c r="D723" t="s">
        <v>5429</v>
      </c>
      <c r="E723" t="s">
        <v>5428</v>
      </c>
      <c r="F723">
        <v>168</v>
      </c>
      <c r="G723">
        <v>0.91300000000000003</v>
      </c>
      <c r="H723">
        <v>0.91300000000000003</v>
      </c>
      <c r="I723">
        <v>0</v>
      </c>
      <c r="J723">
        <v>0</v>
      </c>
    </row>
    <row r="724" spans="1:10" x14ac:dyDescent="0.25">
      <c r="A724" t="s">
        <v>3924</v>
      </c>
      <c r="B724">
        <v>48</v>
      </c>
      <c r="C724" t="s">
        <v>5423</v>
      </c>
      <c r="D724" t="s">
        <v>5426</v>
      </c>
      <c r="E724" t="s">
        <v>5430</v>
      </c>
      <c r="F724">
        <v>120</v>
      </c>
      <c r="G724">
        <v>0.65200000000000002</v>
      </c>
      <c r="H724">
        <v>0.65200000000000002</v>
      </c>
      <c r="I724">
        <v>0</v>
      </c>
      <c r="J724">
        <v>0</v>
      </c>
    </row>
    <row r="725" spans="1:10" x14ac:dyDescent="0.25">
      <c r="A725" t="s">
        <v>3930</v>
      </c>
      <c r="B725">
        <v>56</v>
      </c>
      <c r="C725" t="s">
        <v>5420</v>
      </c>
      <c r="D725" t="s">
        <v>5432</v>
      </c>
      <c r="E725" t="s">
        <v>5427</v>
      </c>
      <c r="F725">
        <v>28</v>
      </c>
      <c r="G725">
        <v>0.152</v>
      </c>
      <c r="H725">
        <v>0.152</v>
      </c>
      <c r="I725">
        <v>0</v>
      </c>
      <c r="J725">
        <v>0</v>
      </c>
    </row>
    <row r="726" spans="1:10" x14ac:dyDescent="0.25">
      <c r="A726" t="s">
        <v>3933</v>
      </c>
      <c r="B726">
        <v>80</v>
      </c>
      <c r="C726" t="s">
        <v>5420</v>
      </c>
      <c r="D726" t="s">
        <v>5426</v>
      </c>
      <c r="E726" t="s">
        <v>5430</v>
      </c>
      <c r="F726">
        <v>56</v>
      </c>
      <c r="G726">
        <v>0.30399999999999999</v>
      </c>
      <c r="H726">
        <v>0.30399999999999999</v>
      </c>
      <c r="I726">
        <v>0</v>
      </c>
      <c r="J726">
        <v>0</v>
      </c>
    </row>
    <row r="727" spans="1:10" x14ac:dyDescent="0.25">
      <c r="A727" t="s">
        <v>3937</v>
      </c>
      <c r="B727">
        <v>65</v>
      </c>
      <c r="C727" t="s">
        <v>5423</v>
      </c>
      <c r="D727" t="s">
        <v>5426</v>
      </c>
      <c r="E727" t="s">
        <v>5422</v>
      </c>
      <c r="F727">
        <v>140</v>
      </c>
      <c r="G727">
        <v>0.76100000000000001</v>
      </c>
      <c r="H727">
        <v>0.76100000000000001</v>
      </c>
      <c r="I727">
        <v>0</v>
      </c>
      <c r="J727">
        <v>0</v>
      </c>
    </row>
    <row r="728" spans="1:10" x14ac:dyDescent="0.25">
      <c r="A728" t="s">
        <v>3949</v>
      </c>
      <c r="B728">
        <v>51</v>
      </c>
      <c r="C728" t="s">
        <v>5420</v>
      </c>
      <c r="D728" t="s">
        <v>5432</v>
      </c>
      <c r="E728" t="s">
        <v>5427</v>
      </c>
      <c r="F728">
        <v>84</v>
      </c>
      <c r="G728">
        <v>0.45700000000000002</v>
      </c>
      <c r="H728">
        <v>0.45700000000000002</v>
      </c>
      <c r="I728">
        <v>0</v>
      </c>
      <c r="J728">
        <v>0</v>
      </c>
    </row>
    <row r="729" spans="1:10" x14ac:dyDescent="0.25">
      <c r="A729" t="s">
        <v>3954</v>
      </c>
      <c r="B729">
        <v>62</v>
      </c>
      <c r="C729" t="s">
        <v>5423</v>
      </c>
      <c r="D729" t="s">
        <v>5429</v>
      </c>
      <c r="E729" t="s">
        <v>5428</v>
      </c>
      <c r="F729">
        <v>112</v>
      </c>
      <c r="G729">
        <v>0.60899999999999999</v>
      </c>
      <c r="H729">
        <v>0.60899999999999999</v>
      </c>
      <c r="I729">
        <v>0</v>
      </c>
      <c r="J729">
        <v>0</v>
      </c>
    </row>
    <row r="730" spans="1:10" x14ac:dyDescent="0.25">
      <c r="A730" t="s">
        <v>3960</v>
      </c>
      <c r="B730">
        <v>70</v>
      </c>
      <c r="C730" t="s">
        <v>5423</v>
      </c>
      <c r="D730" t="s">
        <v>5432</v>
      </c>
      <c r="E730" t="s">
        <v>5422</v>
      </c>
      <c r="F730">
        <v>105</v>
      </c>
      <c r="G730">
        <v>0.57099999999999995</v>
      </c>
      <c r="H730">
        <v>0.57099999999999995</v>
      </c>
      <c r="I730">
        <v>0</v>
      </c>
      <c r="J730">
        <v>0</v>
      </c>
    </row>
    <row r="731" spans="1:10" x14ac:dyDescent="0.25">
      <c r="A731" t="s">
        <v>3967</v>
      </c>
      <c r="B731">
        <v>59</v>
      </c>
      <c r="C731" t="s">
        <v>5423</v>
      </c>
      <c r="D731" t="s">
        <v>5429</v>
      </c>
      <c r="E731" t="s">
        <v>5430</v>
      </c>
      <c r="F731">
        <v>28</v>
      </c>
      <c r="G731">
        <v>0.152</v>
      </c>
      <c r="H731">
        <v>0.152</v>
      </c>
      <c r="I731">
        <v>0</v>
      </c>
      <c r="J731">
        <v>0</v>
      </c>
    </row>
    <row r="732" spans="1:10" x14ac:dyDescent="0.25">
      <c r="A732" t="s">
        <v>3970</v>
      </c>
      <c r="B732">
        <v>88</v>
      </c>
      <c r="C732" t="s">
        <v>5423</v>
      </c>
      <c r="D732" t="s">
        <v>5432</v>
      </c>
      <c r="E732" t="s">
        <v>5425</v>
      </c>
      <c r="F732">
        <v>120</v>
      </c>
      <c r="G732">
        <v>0.65200000000000002</v>
      </c>
      <c r="H732">
        <v>0.65200000000000002</v>
      </c>
      <c r="I732">
        <v>0</v>
      </c>
      <c r="J732">
        <v>0</v>
      </c>
    </row>
    <row r="733" spans="1:10" x14ac:dyDescent="0.25">
      <c r="A733" t="s">
        <v>3976</v>
      </c>
      <c r="B733">
        <v>50</v>
      </c>
      <c r="C733" t="s">
        <v>5423</v>
      </c>
      <c r="D733" t="s">
        <v>5426</v>
      </c>
      <c r="E733" t="s">
        <v>5422</v>
      </c>
      <c r="F733">
        <v>120</v>
      </c>
      <c r="G733">
        <v>0.65200000000000002</v>
      </c>
      <c r="H733">
        <v>0.65200000000000002</v>
      </c>
      <c r="I733">
        <v>0</v>
      </c>
      <c r="J733">
        <v>0</v>
      </c>
    </row>
    <row r="734" spans="1:10" x14ac:dyDescent="0.25">
      <c r="A734" t="s">
        <v>3982</v>
      </c>
      <c r="B734">
        <v>65</v>
      </c>
      <c r="C734" t="s">
        <v>5420</v>
      </c>
      <c r="D734" t="s">
        <v>5432</v>
      </c>
      <c r="E734" t="s">
        <v>5427</v>
      </c>
      <c r="F734">
        <v>28</v>
      </c>
      <c r="G734">
        <v>0.152</v>
      </c>
      <c r="H734">
        <v>0.152</v>
      </c>
      <c r="I734">
        <v>0</v>
      </c>
      <c r="J734">
        <v>0</v>
      </c>
    </row>
    <row r="735" spans="1:10" x14ac:dyDescent="0.25">
      <c r="A735" t="s">
        <v>3985</v>
      </c>
      <c r="B735">
        <v>65</v>
      </c>
      <c r="C735" t="s">
        <v>5420</v>
      </c>
      <c r="D735" t="s">
        <v>5429</v>
      </c>
      <c r="E735" t="s">
        <v>5425</v>
      </c>
      <c r="F735">
        <v>168</v>
      </c>
      <c r="G735">
        <v>0.91300000000000003</v>
      </c>
      <c r="H735">
        <v>0.91300000000000003</v>
      </c>
      <c r="I735">
        <v>0</v>
      </c>
      <c r="J735">
        <v>0</v>
      </c>
    </row>
    <row r="736" spans="1:10" x14ac:dyDescent="0.25">
      <c r="A736" t="s">
        <v>3993</v>
      </c>
      <c r="B736">
        <v>53</v>
      </c>
      <c r="C736" t="s">
        <v>5423</v>
      </c>
      <c r="D736" t="s">
        <v>5421</v>
      </c>
      <c r="E736" t="s">
        <v>5425</v>
      </c>
      <c r="F736">
        <v>120</v>
      </c>
      <c r="G736">
        <v>0.65200000000000002</v>
      </c>
      <c r="H736">
        <v>0.65200000000000002</v>
      </c>
      <c r="I736">
        <v>0</v>
      </c>
      <c r="J736">
        <v>0</v>
      </c>
    </row>
    <row r="737" spans="1:10" x14ac:dyDescent="0.25">
      <c r="A737" t="s">
        <v>3999</v>
      </c>
      <c r="B737">
        <v>61</v>
      </c>
      <c r="C737" t="s">
        <v>5420</v>
      </c>
      <c r="D737" t="s">
        <v>5424</v>
      </c>
      <c r="E737" t="s">
        <v>5428</v>
      </c>
      <c r="F737">
        <v>28</v>
      </c>
      <c r="G737">
        <v>0.152</v>
      </c>
      <c r="H737">
        <v>0.152</v>
      </c>
      <c r="I737">
        <v>0</v>
      </c>
      <c r="J737">
        <v>0</v>
      </c>
    </row>
    <row r="738" spans="1:10" x14ac:dyDescent="0.25">
      <c r="A738" t="s">
        <v>4002</v>
      </c>
      <c r="B738">
        <v>70</v>
      </c>
      <c r="C738" t="s">
        <v>5420</v>
      </c>
      <c r="D738" t="s">
        <v>5426</v>
      </c>
      <c r="E738" t="s">
        <v>5433</v>
      </c>
      <c r="F738">
        <v>84</v>
      </c>
      <c r="G738">
        <v>0.45700000000000002</v>
      </c>
      <c r="H738">
        <v>0.45700000000000002</v>
      </c>
      <c r="I738">
        <v>0</v>
      </c>
      <c r="J738">
        <v>0</v>
      </c>
    </row>
    <row r="739" spans="1:10" x14ac:dyDescent="0.25">
      <c r="A739" t="s">
        <v>4007</v>
      </c>
      <c r="B739">
        <v>39</v>
      </c>
      <c r="C739" t="s">
        <v>5420</v>
      </c>
      <c r="D739" t="s">
        <v>5424</v>
      </c>
      <c r="E739" t="s">
        <v>5427</v>
      </c>
      <c r="F739">
        <v>150</v>
      </c>
      <c r="G739">
        <v>0.81499999999999995</v>
      </c>
      <c r="H739">
        <v>0.81499999999999995</v>
      </c>
      <c r="I739">
        <v>0</v>
      </c>
      <c r="J739">
        <v>0</v>
      </c>
    </row>
    <row r="740" spans="1:10" x14ac:dyDescent="0.25">
      <c r="A740" t="s">
        <v>4014</v>
      </c>
      <c r="B740">
        <v>43</v>
      </c>
      <c r="C740" t="s">
        <v>5420</v>
      </c>
      <c r="D740" t="s">
        <v>5432</v>
      </c>
      <c r="E740" t="s">
        <v>5427</v>
      </c>
      <c r="F740">
        <v>120</v>
      </c>
      <c r="G740">
        <v>0.65200000000000002</v>
      </c>
      <c r="H740">
        <v>0.65200000000000002</v>
      </c>
      <c r="I740">
        <v>0</v>
      </c>
      <c r="J740">
        <v>0</v>
      </c>
    </row>
    <row r="741" spans="1:10" x14ac:dyDescent="0.25">
      <c r="A741" t="s">
        <v>4020</v>
      </c>
      <c r="B741">
        <v>68</v>
      </c>
      <c r="C741" t="s">
        <v>5420</v>
      </c>
      <c r="D741" t="s">
        <v>5432</v>
      </c>
      <c r="E741" t="s">
        <v>5430</v>
      </c>
      <c r="F741">
        <v>30</v>
      </c>
      <c r="G741">
        <v>0.16300000000000001</v>
      </c>
      <c r="H741">
        <v>0.16300000000000001</v>
      </c>
      <c r="I741">
        <v>0</v>
      </c>
      <c r="J741">
        <v>0</v>
      </c>
    </row>
    <row r="742" spans="1:10" x14ac:dyDescent="0.25">
      <c r="A742" t="s">
        <v>4023</v>
      </c>
      <c r="B742">
        <v>70</v>
      </c>
      <c r="C742" t="s">
        <v>5420</v>
      </c>
      <c r="D742" t="s">
        <v>5429</v>
      </c>
      <c r="E742" t="s">
        <v>5427</v>
      </c>
      <c r="F742">
        <v>84</v>
      </c>
      <c r="G742">
        <v>0.45700000000000002</v>
      </c>
      <c r="H742">
        <v>0.45700000000000002</v>
      </c>
      <c r="I742">
        <v>0</v>
      </c>
      <c r="J742">
        <v>0</v>
      </c>
    </row>
    <row r="743" spans="1:10" x14ac:dyDescent="0.25">
      <c r="A743" t="s">
        <v>4028</v>
      </c>
      <c r="B743">
        <v>74</v>
      </c>
      <c r="C743" t="s">
        <v>5420</v>
      </c>
      <c r="D743" t="s">
        <v>5429</v>
      </c>
      <c r="E743" t="s">
        <v>5431</v>
      </c>
      <c r="F743">
        <v>60</v>
      </c>
      <c r="G743">
        <v>0.32600000000000001</v>
      </c>
      <c r="H743">
        <v>0.32600000000000001</v>
      </c>
      <c r="I743">
        <v>0</v>
      </c>
      <c r="J743">
        <v>0</v>
      </c>
    </row>
    <row r="744" spans="1:10" x14ac:dyDescent="0.25">
      <c r="A744" t="s">
        <v>4032</v>
      </c>
      <c r="B744">
        <v>67</v>
      </c>
      <c r="C744" t="s">
        <v>5420</v>
      </c>
      <c r="D744" t="s">
        <v>5424</v>
      </c>
      <c r="E744" t="s">
        <v>5430</v>
      </c>
      <c r="F744">
        <v>90</v>
      </c>
      <c r="G744">
        <v>0.48899999999999999</v>
      </c>
      <c r="H744">
        <v>0.48899999999999999</v>
      </c>
      <c r="I744">
        <v>0</v>
      </c>
      <c r="J744">
        <v>0</v>
      </c>
    </row>
    <row r="745" spans="1:10" x14ac:dyDescent="0.25">
      <c r="A745" t="s">
        <v>4037</v>
      </c>
      <c r="B745">
        <v>68</v>
      </c>
      <c r="C745" t="s">
        <v>5423</v>
      </c>
      <c r="D745" t="s">
        <v>5424</v>
      </c>
      <c r="E745" t="s">
        <v>5430</v>
      </c>
      <c r="F745">
        <v>112</v>
      </c>
      <c r="G745">
        <v>0.60899999999999999</v>
      </c>
      <c r="H745">
        <v>0.60899999999999999</v>
      </c>
      <c r="I745">
        <v>0</v>
      </c>
      <c r="J745">
        <v>0</v>
      </c>
    </row>
    <row r="746" spans="1:10" x14ac:dyDescent="0.25">
      <c r="A746" t="s">
        <v>4043</v>
      </c>
      <c r="B746">
        <v>62</v>
      </c>
      <c r="C746" t="s">
        <v>5423</v>
      </c>
      <c r="D746" t="s">
        <v>5426</v>
      </c>
      <c r="E746" t="s">
        <v>5431</v>
      </c>
      <c r="F746">
        <v>168</v>
      </c>
      <c r="G746">
        <v>0.91300000000000003</v>
      </c>
      <c r="H746">
        <v>0.91300000000000003</v>
      </c>
      <c r="I746">
        <v>0</v>
      </c>
      <c r="J746">
        <v>0</v>
      </c>
    </row>
    <row r="747" spans="1:10" x14ac:dyDescent="0.25">
      <c r="A747" t="s">
        <v>4051</v>
      </c>
      <c r="B747">
        <v>76</v>
      </c>
      <c r="C747" t="s">
        <v>5420</v>
      </c>
      <c r="D747" t="s">
        <v>5429</v>
      </c>
      <c r="E747" t="s">
        <v>5422</v>
      </c>
      <c r="F747">
        <v>140</v>
      </c>
      <c r="G747">
        <v>0.76100000000000001</v>
      </c>
      <c r="H747">
        <v>0.76100000000000001</v>
      </c>
      <c r="I747">
        <v>0</v>
      </c>
      <c r="J747">
        <v>0</v>
      </c>
    </row>
    <row r="748" spans="1:10" x14ac:dyDescent="0.25">
      <c r="A748" t="s">
        <v>4058</v>
      </c>
      <c r="B748">
        <v>64</v>
      </c>
      <c r="C748" t="s">
        <v>5423</v>
      </c>
      <c r="D748" t="s">
        <v>5426</v>
      </c>
      <c r="E748" t="s">
        <v>5458</v>
      </c>
      <c r="F748">
        <v>28</v>
      </c>
      <c r="G748">
        <v>0.152</v>
      </c>
      <c r="H748">
        <v>0.152</v>
      </c>
      <c r="I748">
        <v>0</v>
      </c>
      <c r="J748">
        <v>0</v>
      </c>
    </row>
    <row r="749" spans="1:10" x14ac:dyDescent="0.25">
      <c r="A749" t="s">
        <v>4061</v>
      </c>
      <c r="B749">
        <v>66</v>
      </c>
      <c r="C749" t="s">
        <v>5423</v>
      </c>
      <c r="D749" t="s">
        <v>5426</v>
      </c>
      <c r="E749" t="s">
        <v>5430</v>
      </c>
      <c r="F749">
        <v>28</v>
      </c>
      <c r="G749">
        <v>0.152</v>
      </c>
      <c r="H749">
        <v>0.152</v>
      </c>
      <c r="I749">
        <v>0</v>
      </c>
      <c r="J749">
        <v>0</v>
      </c>
    </row>
    <row r="750" spans="1:10" x14ac:dyDescent="0.25">
      <c r="A750" t="s">
        <v>4064</v>
      </c>
      <c r="B750">
        <v>51</v>
      </c>
      <c r="C750" t="s">
        <v>5423</v>
      </c>
      <c r="D750" t="s">
        <v>5432</v>
      </c>
      <c r="E750" t="s">
        <v>5427</v>
      </c>
      <c r="F750">
        <v>42</v>
      </c>
      <c r="G750">
        <v>0.22800000000000001</v>
      </c>
      <c r="H750">
        <v>0.22800000000000001</v>
      </c>
      <c r="I750">
        <v>0</v>
      </c>
      <c r="J750">
        <v>0</v>
      </c>
    </row>
    <row r="751" spans="1:10" x14ac:dyDescent="0.25">
      <c r="A751" t="s">
        <v>4069</v>
      </c>
      <c r="B751">
        <v>65</v>
      </c>
      <c r="C751" t="s">
        <v>5420</v>
      </c>
      <c r="D751" t="s">
        <v>5429</v>
      </c>
      <c r="E751" t="s">
        <v>5428</v>
      </c>
      <c r="F751">
        <v>56</v>
      </c>
      <c r="G751">
        <v>0.30399999999999999</v>
      </c>
      <c r="H751">
        <v>0.30399999999999999</v>
      </c>
      <c r="I751">
        <v>0</v>
      </c>
      <c r="J751">
        <v>0</v>
      </c>
    </row>
    <row r="752" spans="1:10" x14ac:dyDescent="0.25">
      <c r="A752" t="s">
        <v>4073</v>
      </c>
      <c r="B752">
        <v>58</v>
      </c>
      <c r="C752" t="s">
        <v>5423</v>
      </c>
      <c r="D752" t="s">
        <v>5429</v>
      </c>
      <c r="E752" t="s">
        <v>5437</v>
      </c>
      <c r="F752">
        <v>28</v>
      </c>
      <c r="G752">
        <v>0.152</v>
      </c>
      <c r="H752">
        <v>0.152</v>
      </c>
      <c r="I752">
        <v>0</v>
      </c>
      <c r="J752">
        <v>0</v>
      </c>
    </row>
    <row r="753" spans="1:11" x14ac:dyDescent="0.25">
      <c r="A753" t="s">
        <v>4076</v>
      </c>
      <c r="B753">
        <v>47</v>
      </c>
      <c r="C753" t="s">
        <v>5423</v>
      </c>
      <c r="D753" t="s">
        <v>5432</v>
      </c>
      <c r="E753" t="s">
        <v>5428</v>
      </c>
      <c r="F753">
        <v>120</v>
      </c>
      <c r="G753">
        <v>0.65200000000000002</v>
      </c>
      <c r="H753">
        <v>0.65200000000000002</v>
      </c>
      <c r="I753">
        <v>0</v>
      </c>
      <c r="J753">
        <v>0</v>
      </c>
    </row>
    <row r="754" spans="1:11" x14ac:dyDescent="0.25">
      <c r="A754" t="s">
        <v>4082</v>
      </c>
      <c r="B754">
        <v>67</v>
      </c>
      <c r="C754" t="s">
        <v>5420</v>
      </c>
      <c r="D754" t="s">
        <v>5426</v>
      </c>
      <c r="E754" t="s">
        <v>5428</v>
      </c>
      <c r="F754">
        <v>30</v>
      </c>
      <c r="G754">
        <v>0.16300000000000001</v>
      </c>
      <c r="H754">
        <v>0.16300000000000001</v>
      </c>
      <c r="I754">
        <v>0</v>
      </c>
      <c r="J754">
        <v>0</v>
      </c>
    </row>
    <row r="755" spans="1:11" x14ac:dyDescent="0.25">
      <c r="A755" t="s">
        <v>4085</v>
      </c>
      <c r="B755">
        <v>72</v>
      </c>
      <c r="C755" t="s">
        <v>5423</v>
      </c>
      <c r="D755" t="s">
        <v>5426</v>
      </c>
      <c r="E755" t="s">
        <v>5431</v>
      </c>
      <c r="F755">
        <v>84</v>
      </c>
      <c r="G755">
        <v>0.45700000000000002</v>
      </c>
      <c r="H755">
        <v>0.45700000000000002</v>
      </c>
      <c r="I755">
        <v>0</v>
      </c>
      <c r="J755">
        <v>0</v>
      </c>
    </row>
    <row r="756" spans="1:11" x14ac:dyDescent="0.25">
      <c r="A756" t="s">
        <v>4090</v>
      </c>
      <c r="B756">
        <v>50</v>
      </c>
      <c r="C756" t="s">
        <v>5423</v>
      </c>
      <c r="D756" t="s">
        <v>5429</v>
      </c>
      <c r="E756" t="s">
        <v>5425</v>
      </c>
      <c r="F756">
        <v>84</v>
      </c>
      <c r="G756">
        <v>0.45700000000000002</v>
      </c>
      <c r="H756">
        <v>0.45700000000000002</v>
      </c>
      <c r="I756">
        <v>0</v>
      </c>
      <c r="J756">
        <v>0</v>
      </c>
    </row>
    <row r="757" spans="1:11" x14ac:dyDescent="0.25">
      <c r="A757" t="s">
        <v>4095</v>
      </c>
      <c r="B757">
        <v>53</v>
      </c>
      <c r="C757" t="s">
        <v>5420</v>
      </c>
      <c r="D757" t="s">
        <v>5426</v>
      </c>
      <c r="E757" t="s">
        <v>5431</v>
      </c>
      <c r="F757">
        <v>30</v>
      </c>
      <c r="G757">
        <v>0.16300000000000001</v>
      </c>
      <c r="H757">
        <v>0.16300000000000001</v>
      </c>
      <c r="I757">
        <v>0</v>
      </c>
      <c r="J757">
        <v>0</v>
      </c>
    </row>
    <row r="758" spans="1:11" x14ac:dyDescent="0.25">
      <c r="A758" t="s">
        <v>4098</v>
      </c>
      <c r="B758">
        <v>67</v>
      </c>
      <c r="C758" t="s">
        <v>5420</v>
      </c>
      <c r="D758" t="s">
        <v>5429</v>
      </c>
      <c r="E758" t="s">
        <v>5425</v>
      </c>
      <c r="F758">
        <v>150</v>
      </c>
      <c r="G758">
        <v>0.81499999999999995</v>
      </c>
      <c r="H758">
        <v>0.81499999999999995</v>
      </c>
      <c r="I758">
        <v>0</v>
      </c>
      <c r="J758">
        <v>0</v>
      </c>
    </row>
    <row r="759" spans="1:11" x14ac:dyDescent="0.25">
      <c r="A759" t="s">
        <v>4105</v>
      </c>
      <c r="B759">
        <v>68</v>
      </c>
      <c r="C759" t="s">
        <v>5420</v>
      </c>
      <c r="D759" t="s">
        <v>5432</v>
      </c>
      <c r="E759" t="s">
        <v>5425</v>
      </c>
      <c r="F759">
        <v>28</v>
      </c>
      <c r="G759">
        <v>0.152</v>
      </c>
      <c r="H759">
        <v>0.152</v>
      </c>
      <c r="I759">
        <v>0</v>
      </c>
      <c r="J759">
        <v>0</v>
      </c>
    </row>
    <row r="760" spans="1:11" x14ac:dyDescent="0.25">
      <c r="A760" t="s">
        <v>4108</v>
      </c>
      <c r="B760">
        <v>65</v>
      </c>
      <c r="C760" t="s">
        <v>5423</v>
      </c>
      <c r="D760" t="s">
        <v>5432</v>
      </c>
      <c r="E760" t="s">
        <v>5425</v>
      </c>
      <c r="F760">
        <v>30</v>
      </c>
      <c r="G760">
        <v>0.16300000000000001</v>
      </c>
      <c r="H760">
        <v>0.16300000000000001</v>
      </c>
      <c r="I760">
        <v>0</v>
      </c>
      <c r="J760">
        <v>0</v>
      </c>
    </row>
    <row r="761" spans="1:11" x14ac:dyDescent="0.25">
      <c r="A761" t="s">
        <v>4111</v>
      </c>
      <c r="B761">
        <v>46</v>
      </c>
      <c r="C761" t="s">
        <v>5423</v>
      </c>
      <c r="D761" t="s">
        <v>5432</v>
      </c>
      <c r="E761" t="s">
        <v>5427</v>
      </c>
      <c r="F761">
        <v>28</v>
      </c>
      <c r="G761">
        <v>0.152</v>
      </c>
      <c r="H761">
        <v>0.152</v>
      </c>
      <c r="I761">
        <v>0</v>
      </c>
      <c r="J761">
        <v>0</v>
      </c>
    </row>
    <row r="762" spans="1:11" x14ac:dyDescent="0.25">
      <c r="A762" t="s">
        <v>4114</v>
      </c>
      <c r="B762">
        <v>65</v>
      </c>
      <c r="C762" t="s">
        <v>5423</v>
      </c>
      <c r="D762" t="s">
        <v>5429</v>
      </c>
      <c r="E762" t="s">
        <v>5425</v>
      </c>
      <c r="F762">
        <v>112</v>
      </c>
      <c r="G762">
        <v>0.60899999999999999</v>
      </c>
      <c r="H762">
        <v>0.60899999999999999</v>
      </c>
      <c r="I762">
        <v>0</v>
      </c>
      <c r="J762">
        <v>0</v>
      </c>
    </row>
    <row r="763" spans="1:11" x14ac:dyDescent="0.25">
      <c r="A763" t="s">
        <v>4118</v>
      </c>
      <c r="B763">
        <v>65</v>
      </c>
      <c r="C763" t="s">
        <v>5434</v>
      </c>
      <c r="D763" t="s">
        <v>5432</v>
      </c>
      <c r="E763" t="s">
        <v>5430</v>
      </c>
      <c r="F763">
        <v>63</v>
      </c>
      <c r="G763">
        <v>0.34200000000000003</v>
      </c>
      <c r="H763">
        <v>0.34200000000000003</v>
      </c>
      <c r="I763">
        <v>0</v>
      </c>
      <c r="J763">
        <v>0</v>
      </c>
    </row>
    <row r="764" spans="1:11" x14ac:dyDescent="0.25">
      <c r="A764" t="s">
        <v>4123</v>
      </c>
      <c r="B764">
        <v>69</v>
      </c>
      <c r="C764" t="s">
        <v>5434</v>
      </c>
      <c r="D764" t="s">
        <v>5429</v>
      </c>
      <c r="E764" t="s">
        <v>5425</v>
      </c>
      <c r="F764">
        <v>84</v>
      </c>
      <c r="G764">
        <v>0.45700000000000002</v>
      </c>
      <c r="H764">
        <v>0.45700000000000002</v>
      </c>
      <c r="I764">
        <v>0</v>
      </c>
      <c r="J764">
        <v>0</v>
      </c>
    </row>
    <row r="765" spans="1:11" x14ac:dyDescent="0.25">
      <c r="A765" t="s">
        <v>4128</v>
      </c>
      <c r="B765">
        <v>68</v>
      </c>
      <c r="C765" t="s">
        <v>5420</v>
      </c>
      <c r="D765" t="s">
        <v>5429</v>
      </c>
      <c r="E765" t="s">
        <v>5427</v>
      </c>
      <c r="F765">
        <v>56</v>
      </c>
      <c r="G765">
        <v>0.30399999999999999</v>
      </c>
      <c r="H765">
        <v>0.30399999999999999</v>
      </c>
      <c r="I765">
        <v>0</v>
      </c>
      <c r="J765">
        <v>0</v>
      </c>
    </row>
    <row r="766" spans="1:11" x14ac:dyDescent="0.25">
      <c r="A766" t="s">
        <v>4132</v>
      </c>
      <c r="B766">
        <v>61</v>
      </c>
      <c r="C766" t="s">
        <v>5423</v>
      </c>
      <c r="D766" t="s">
        <v>5432</v>
      </c>
      <c r="E766" t="s">
        <v>5422</v>
      </c>
      <c r="F766">
        <v>90</v>
      </c>
      <c r="G766">
        <v>0.48899999999999999</v>
      </c>
      <c r="H766">
        <v>0.48899999999999999</v>
      </c>
      <c r="I766">
        <v>0</v>
      </c>
      <c r="J766">
        <v>0</v>
      </c>
    </row>
    <row r="767" spans="1:11" x14ac:dyDescent="0.25">
      <c r="A767" t="s">
        <v>4137</v>
      </c>
      <c r="B767">
        <v>60</v>
      </c>
      <c r="C767" t="s">
        <v>5420</v>
      </c>
      <c r="D767" t="s">
        <v>5429</v>
      </c>
      <c r="E767" t="s">
        <v>5427</v>
      </c>
      <c r="F767">
        <v>196</v>
      </c>
      <c r="G767">
        <v>1.0649999999999999</v>
      </c>
      <c r="H767">
        <v>1</v>
      </c>
      <c r="I767">
        <v>1</v>
      </c>
      <c r="J767">
        <v>0</v>
      </c>
      <c r="K767" t="s">
        <v>5435</v>
      </c>
    </row>
    <row r="768" spans="1:11" x14ac:dyDescent="0.25">
      <c r="A768" t="s">
        <v>4146</v>
      </c>
      <c r="B768">
        <v>68</v>
      </c>
      <c r="C768" t="s">
        <v>5420</v>
      </c>
      <c r="D768" t="s">
        <v>5424</v>
      </c>
      <c r="E768" t="s">
        <v>5428</v>
      </c>
      <c r="F768">
        <v>90</v>
      </c>
      <c r="G768">
        <v>0.48899999999999999</v>
      </c>
      <c r="H768">
        <v>0.48899999999999999</v>
      </c>
      <c r="I768">
        <v>0</v>
      </c>
      <c r="J768">
        <v>0</v>
      </c>
    </row>
    <row r="769" spans="1:11" x14ac:dyDescent="0.25">
      <c r="A769" t="s">
        <v>4151</v>
      </c>
      <c r="B769">
        <v>75</v>
      </c>
      <c r="C769" t="s">
        <v>5423</v>
      </c>
      <c r="D769" t="s">
        <v>5426</v>
      </c>
      <c r="E769" t="s">
        <v>5427</v>
      </c>
      <c r="F769">
        <v>56</v>
      </c>
      <c r="G769">
        <v>0.30399999999999999</v>
      </c>
      <c r="H769">
        <v>0.30399999999999999</v>
      </c>
      <c r="I769">
        <v>0</v>
      </c>
      <c r="J769">
        <v>0</v>
      </c>
    </row>
    <row r="770" spans="1:11" x14ac:dyDescent="0.25">
      <c r="A770" t="s">
        <v>4155</v>
      </c>
      <c r="B770">
        <v>64</v>
      </c>
      <c r="C770" t="s">
        <v>5434</v>
      </c>
      <c r="D770" t="s">
        <v>5424</v>
      </c>
      <c r="E770" t="s">
        <v>5427</v>
      </c>
      <c r="F770">
        <v>28</v>
      </c>
      <c r="G770">
        <v>0.152</v>
      </c>
      <c r="H770">
        <v>0.152</v>
      </c>
      <c r="I770">
        <v>0</v>
      </c>
      <c r="J770">
        <v>0</v>
      </c>
    </row>
    <row r="771" spans="1:11" x14ac:dyDescent="0.25">
      <c r="A771" t="s">
        <v>4158</v>
      </c>
      <c r="B771">
        <v>72</v>
      </c>
      <c r="C771" t="s">
        <v>5423</v>
      </c>
      <c r="D771" t="s">
        <v>5432</v>
      </c>
      <c r="E771" t="s">
        <v>5428</v>
      </c>
      <c r="F771">
        <v>168</v>
      </c>
      <c r="G771">
        <v>0.91300000000000003</v>
      </c>
      <c r="H771">
        <v>0.91300000000000003</v>
      </c>
      <c r="I771">
        <v>0</v>
      </c>
      <c r="J771">
        <v>0</v>
      </c>
    </row>
    <row r="772" spans="1:11" x14ac:dyDescent="0.25">
      <c r="A772" t="s">
        <v>4166</v>
      </c>
      <c r="B772">
        <v>66</v>
      </c>
      <c r="C772" t="s">
        <v>5423</v>
      </c>
      <c r="D772" t="s">
        <v>5432</v>
      </c>
      <c r="E772" t="s">
        <v>5428</v>
      </c>
      <c r="F772">
        <v>120</v>
      </c>
      <c r="G772">
        <v>0.65200000000000002</v>
      </c>
      <c r="H772">
        <v>0.65200000000000002</v>
      </c>
      <c r="I772">
        <v>0</v>
      </c>
      <c r="J772">
        <v>0</v>
      </c>
    </row>
    <row r="773" spans="1:11" x14ac:dyDescent="0.25">
      <c r="A773" t="s">
        <v>4172</v>
      </c>
      <c r="B773">
        <v>48</v>
      </c>
      <c r="C773" t="s">
        <v>5420</v>
      </c>
      <c r="D773" t="s">
        <v>5421</v>
      </c>
      <c r="E773" t="s">
        <v>5430</v>
      </c>
      <c r="F773">
        <v>28</v>
      </c>
      <c r="G773">
        <v>0.152</v>
      </c>
      <c r="H773">
        <v>0.152</v>
      </c>
      <c r="I773">
        <v>0</v>
      </c>
      <c r="J773">
        <v>0</v>
      </c>
    </row>
    <row r="774" spans="1:11" x14ac:dyDescent="0.25">
      <c r="A774" t="s">
        <v>4175</v>
      </c>
      <c r="B774">
        <v>68</v>
      </c>
      <c r="C774" t="s">
        <v>5420</v>
      </c>
      <c r="D774" t="s">
        <v>5432</v>
      </c>
      <c r="E774" t="s">
        <v>5430</v>
      </c>
      <c r="F774">
        <v>168</v>
      </c>
      <c r="G774">
        <v>0.91300000000000003</v>
      </c>
      <c r="H774">
        <v>0.91300000000000003</v>
      </c>
      <c r="I774">
        <v>0</v>
      </c>
      <c r="J774">
        <v>0</v>
      </c>
    </row>
    <row r="775" spans="1:11" x14ac:dyDescent="0.25">
      <c r="A775" t="s">
        <v>4183</v>
      </c>
      <c r="B775">
        <v>70</v>
      </c>
      <c r="C775" t="s">
        <v>5423</v>
      </c>
      <c r="D775" t="s">
        <v>5432</v>
      </c>
      <c r="E775" t="s">
        <v>5431</v>
      </c>
      <c r="F775">
        <v>56</v>
      </c>
      <c r="G775">
        <v>0.30399999999999999</v>
      </c>
      <c r="H775">
        <v>0.30399999999999999</v>
      </c>
      <c r="I775">
        <v>0</v>
      </c>
      <c r="J775">
        <v>0</v>
      </c>
    </row>
    <row r="776" spans="1:11" x14ac:dyDescent="0.25">
      <c r="A776" t="s">
        <v>4187</v>
      </c>
      <c r="B776">
        <v>81</v>
      </c>
      <c r="C776" t="s">
        <v>5423</v>
      </c>
      <c r="D776" t="s">
        <v>5432</v>
      </c>
      <c r="E776" t="s">
        <v>5427</v>
      </c>
      <c r="F776">
        <v>56</v>
      </c>
      <c r="G776">
        <v>0.30399999999999999</v>
      </c>
      <c r="H776">
        <v>0.30399999999999999</v>
      </c>
      <c r="I776">
        <v>0</v>
      </c>
      <c r="J776">
        <v>0</v>
      </c>
    </row>
    <row r="777" spans="1:11" x14ac:dyDescent="0.25">
      <c r="A777" t="s">
        <v>4191</v>
      </c>
      <c r="B777">
        <v>62</v>
      </c>
      <c r="C777" t="s">
        <v>5423</v>
      </c>
      <c r="D777" t="s">
        <v>5426</v>
      </c>
      <c r="E777" t="s">
        <v>5425</v>
      </c>
      <c r="F777">
        <v>28</v>
      </c>
      <c r="G777">
        <v>0.152</v>
      </c>
      <c r="H777">
        <v>0.152</v>
      </c>
      <c r="I777">
        <v>0</v>
      </c>
      <c r="J777">
        <v>0</v>
      </c>
    </row>
    <row r="778" spans="1:11" x14ac:dyDescent="0.25">
      <c r="A778" t="s">
        <v>4194</v>
      </c>
      <c r="B778">
        <v>67</v>
      </c>
      <c r="C778" t="s">
        <v>5423</v>
      </c>
      <c r="D778" t="s">
        <v>5424</v>
      </c>
      <c r="E778" t="s">
        <v>5430</v>
      </c>
      <c r="F778">
        <v>84</v>
      </c>
      <c r="G778">
        <v>0.45700000000000002</v>
      </c>
      <c r="H778">
        <v>0.45700000000000002</v>
      </c>
      <c r="I778">
        <v>0</v>
      </c>
      <c r="J778">
        <v>0</v>
      </c>
    </row>
    <row r="779" spans="1:11" x14ac:dyDescent="0.25">
      <c r="A779" t="s">
        <v>4199</v>
      </c>
      <c r="B779">
        <v>53</v>
      </c>
      <c r="C779" t="s">
        <v>5420</v>
      </c>
      <c r="D779" t="s">
        <v>5424</v>
      </c>
      <c r="E779" t="s">
        <v>5428</v>
      </c>
      <c r="F779">
        <v>112</v>
      </c>
      <c r="G779">
        <v>0.60899999999999999</v>
      </c>
      <c r="H779">
        <v>0.60899999999999999</v>
      </c>
      <c r="I779">
        <v>0</v>
      </c>
      <c r="J779">
        <v>0</v>
      </c>
    </row>
    <row r="780" spans="1:11" x14ac:dyDescent="0.25">
      <c r="A780" t="s">
        <v>4205</v>
      </c>
      <c r="B780">
        <v>77</v>
      </c>
      <c r="C780" t="s">
        <v>5423</v>
      </c>
      <c r="D780" t="s">
        <v>5421</v>
      </c>
      <c r="E780" t="s">
        <v>5422</v>
      </c>
      <c r="F780">
        <v>84</v>
      </c>
      <c r="G780">
        <v>0.45700000000000002</v>
      </c>
      <c r="H780">
        <v>0.45700000000000002</v>
      </c>
      <c r="I780">
        <v>0</v>
      </c>
      <c r="J780">
        <v>0</v>
      </c>
    </row>
    <row r="781" spans="1:11" x14ac:dyDescent="0.25">
      <c r="A781" t="s">
        <v>4210</v>
      </c>
      <c r="B781">
        <v>70</v>
      </c>
      <c r="C781" t="s">
        <v>5420</v>
      </c>
      <c r="D781" t="s">
        <v>5432</v>
      </c>
      <c r="E781" t="s">
        <v>5428</v>
      </c>
      <c r="F781">
        <v>196</v>
      </c>
      <c r="G781">
        <v>1.0649999999999999</v>
      </c>
      <c r="H781">
        <v>1</v>
      </c>
      <c r="I781">
        <v>1</v>
      </c>
      <c r="J781">
        <v>0</v>
      </c>
      <c r="K781" t="s">
        <v>5435</v>
      </c>
    </row>
    <row r="782" spans="1:11" x14ac:dyDescent="0.25">
      <c r="A782" t="s">
        <v>4219</v>
      </c>
      <c r="B782">
        <v>64</v>
      </c>
      <c r="C782" t="s">
        <v>5423</v>
      </c>
      <c r="D782" t="s">
        <v>5426</v>
      </c>
      <c r="E782" t="s">
        <v>5422</v>
      </c>
      <c r="F782">
        <v>56</v>
      </c>
      <c r="G782">
        <v>0.30399999999999999</v>
      </c>
      <c r="H782">
        <v>0.30399999999999999</v>
      </c>
      <c r="I782">
        <v>0</v>
      </c>
      <c r="J782">
        <v>0</v>
      </c>
    </row>
    <row r="783" spans="1:11" x14ac:dyDescent="0.25">
      <c r="A783" t="s">
        <v>4223</v>
      </c>
      <c r="B783">
        <v>50</v>
      </c>
      <c r="C783" t="s">
        <v>5420</v>
      </c>
      <c r="D783" t="s">
        <v>5429</v>
      </c>
      <c r="E783" t="s">
        <v>5430</v>
      </c>
      <c r="F783">
        <v>84</v>
      </c>
      <c r="G783">
        <v>0.45700000000000002</v>
      </c>
      <c r="H783">
        <v>0.45700000000000002</v>
      </c>
      <c r="I783">
        <v>0</v>
      </c>
      <c r="J783">
        <v>0</v>
      </c>
    </row>
    <row r="784" spans="1:11" x14ac:dyDescent="0.25">
      <c r="A784" t="s">
        <v>4228</v>
      </c>
      <c r="B784">
        <v>61</v>
      </c>
      <c r="C784" t="s">
        <v>5423</v>
      </c>
      <c r="D784" t="s">
        <v>5424</v>
      </c>
      <c r="E784" t="s">
        <v>5425</v>
      </c>
      <c r="F784">
        <v>28</v>
      </c>
      <c r="G784">
        <v>0.152</v>
      </c>
      <c r="H784">
        <v>0.152</v>
      </c>
      <c r="I784">
        <v>0</v>
      </c>
      <c r="J784">
        <v>0</v>
      </c>
    </row>
    <row r="785" spans="1:11" x14ac:dyDescent="0.25">
      <c r="A785" t="s">
        <v>4231</v>
      </c>
      <c r="B785">
        <v>57</v>
      </c>
      <c r="C785" t="s">
        <v>5423</v>
      </c>
      <c r="D785" t="s">
        <v>5429</v>
      </c>
      <c r="E785" t="s">
        <v>5430</v>
      </c>
      <c r="F785">
        <v>28</v>
      </c>
      <c r="G785">
        <v>0.152</v>
      </c>
      <c r="H785">
        <v>0.152</v>
      </c>
      <c r="I785">
        <v>0</v>
      </c>
      <c r="J785">
        <v>0</v>
      </c>
    </row>
    <row r="786" spans="1:11" x14ac:dyDescent="0.25">
      <c r="A786" t="s">
        <v>4235</v>
      </c>
      <c r="B786">
        <v>68</v>
      </c>
      <c r="C786" t="s">
        <v>5423</v>
      </c>
      <c r="D786" t="s">
        <v>5421</v>
      </c>
      <c r="E786" t="s">
        <v>5431</v>
      </c>
      <c r="F786">
        <v>60</v>
      </c>
      <c r="G786">
        <v>0.32600000000000001</v>
      </c>
      <c r="H786">
        <v>0.32600000000000001</v>
      </c>
      <c r="I786">
        <v>0</v>
      </c>
      <c r="J786">
        <v>0</v>
      </c>
    </row>
    <row r="787" spans="1:11" x14ac:dyDescent="0.25">
      <c r="A787" t="s">
        <v>4239</v>
      </c>
      <c r="B787">
        <v>53</v>
      </c>
      <c r="C787" t="s">
        <v>5423</v>
      </c>
      <c r="D787" t="s">
        <v>5426</v>
      </c>
      <c r="E787" t="s">
        <v>5430</v>
      </c>
      <c r="F787">
        <v>84</v>
      </c>
      <c r="G787">
        <v>0.45700000000000002</v>
      </c>
      <c r="H787">
        <v>0.45700000000000002</v>
      </c>
      <c r="I787">
        <v>0</v>
      </c>
      <c r="J787">
        <v>0</v>
      </c>
    </row>
    <row r="788" spans="1:11" x14ac:dyDescent="0.25">
      <c r="A788" t="s">
        <v>4247</v>
      </c>
      <c r="B788">
        <v>61</v>
      </c>
      <c r="C788" t="s">
        <v>5420</v>
      </c>
      <c r="D788" t="s">
        <v>5432</v>
      </c>
      <c r="E788" t="s">
        <v>5431</v>
      </c>
      <c r="F788">
        <v>90</v>
      </c>
      <c r="G788">
        <v>0.48899999999999999</v>
      </c>
      <c r="H788">
        <v>0.48899999999999999</v>
      </c>
      <c r="I788">
        <v>0</v>
      </c>
      <c r="J788">
        <v>0</v>
      </c>
    </row>
    <row r="789" spans="1:11" x14ac:dyDescent="0.25">
      <c r="A789" t="s">
        <v>4252</v>
      </c>
      <c r="B789">
        <v>66</v>
      </c>
      <c r="C789" t="s">
        <v>5423</v>
      </c>
      <c r="D789" t="s">
        <v>5424</v>
      </c>
      <c r="E789" t="s">
        <v>5427</v>
      </c>
      <c r="F789">
        <v>14</v>
      </c>
      <c r="G789">
        <v>7.5999999999999998E-2</v>
      </c>
      <c r="H789">
        <v>7.5999999999999998E-2</v>
      </c>
      <c r="I789">
        <v>0</v>
      </c>
      <c r="J789">
        <v>0</v>
      </c>
    </row>
    <row r="790" spans="1:11" x14ac:dyDescent="0.25">
      <c r="A790" t="s">
        <v>4255</v>
      </c>
      <c r="B790">
        <v>59</v>
      </c>
      <c r="C790" t="s">
        <v>5420</v>
      </c>
      <c r="D790" t="s">
        <v>5429</v>
      </c>
      <c r="E790" t="s">
        <v>5422</v>
      </c>
      <c r="F790">
        <v>28</v>
      </c>
      <c r="G790">
        <v>0.152</v>
      </c>
      <c r="H790">
        <v>0.152</v>
      </c>
      <c r="I790">
        <v>0</v>
      </c>
      <c r="J790">
        <v>0</v>
      </c>
    </row>
    <row r="791" spans="1:11" x14ac:dyDescent="0.25">
      <c r="A791" t="s">
        <v>4258</v>
      </c>
      <c r="B791">
        <v>54</v>
      </c>
      <c r="C791" t="s">
        <v>5420</v>
      </c>
      <c r="D791" t="s">
        <v>5429</v>
      </c>
      <c r="E791" t="s">
        <v>5425</v>
      </c>
      <c r="F791">
        <v>56</v>
      </c>
      <c r="G791">
        <v>0.30399999999999999</v>
      </c>
      <c r="H791">
        <v>0.30399999999999999</v>
      </c>
      <c r="I791">
        <v>0</v>
      </c>
      <c r="J791">
        <v>0</v>
      </c>
    </row>
    <row r="792" spans="1:11" x14ac:dyDescent="0.25">
      <c r="A792" t="s">
        <v>4262</v>
      </c>
      <c r="B792">
        <v>59</v>
      </c>
      <c r="C792" t="s">
        <v>5423</v>
      </c>
      <c r="D792" t="s">
        <v>5421</v>
      </c>
      <c r="E792" t="s">
        <v>5428</v>
      </c>
      <c r="F792">
        <v>196</v>
      </c>
      <c r="G792">
        <v>1.0649999999999999</v>
      </c>
      <c r="H792">
        <v>1</v>
      </c>
      <c r="I792">
        <v>1</v>
      </c>
      <c r="J792">
        <v>0</v>
      </c>
      <c r="K792" t="s">
        <v>5435</v>
      </c>
    </row>
    <row r="793" spans="1:11" x14ac:dyDescent="0.25">
      <c r="A793" t="s">
        <v>4271</v>
      </c>
      <c r="B793">
        <v>59</v>
      </c>
      <c r="C793" t="s">
        <v>5420</v>
      </c>
      <c r="D793" t="s">
        <v>5424</v>
      </c>
      <c r="E793" t="s">
        <v>5428</v>
      </c>
      <c r="F793">
        <v>168</v>
      </c>
      <c r="G793">
        <v>0.91300000000000003</v>
      </c>
      <c r="H793">
        <v>0.91300000000000003</v>
      </c>
      <c r="I793">
        <v>0</v>
      </c>
      <c r="J793">
        <v>0</v>
      </c>
    </row>
    <row r="794" spans="1:11" x14ac:dyDescent="0.25">
      <c r="A794" t="s">
        <v>4279</v>
      </c>
      <c r="B794">
        <v>49</v>
      </c>
      <c r="C794" t="s">
        <v>5420</v>
      </c>
      <c r="D794" t="s">
        <v>5432</v>
      </c>
      <c r="E794" t="s">
        <v>5422</v>
      </c>
      <c r="F794">
        <v>90</v>
      </c>
      <c r="G794">
        <v>0.48899999999999999</v>
      </c>
      <c r="H794">
        <v>0.48899999999999999</v>
      </c>
      <c r="I794">
        <v>0</v>
      </c>
      <c r="J794">
        <v>0</v>
      </c>
    </row>
    <row r="795" spans="1:11" x14ac:dyDescent="0.25">
      <c r="A795" t="s">
        <v>4284</v>
      </c>
      <c r="B795">
        <v>51</v>
      </c>
      <c r="C795" t="s">
        <v>5423</v>
      </c>
      <c r="D795" t="s">
        <v>5429</v>
      </c>
      <c r="E795" t="s">
        <v>5422</v>
      </c>
      <c r="F795">
        <v>154</v>
      </c>
      <c r="G795">
        <v>0.83699999999999997</v>
      </c>
      <c r="H795">
        <v>0.83699999999999997</v>
      </c>
      <c r="I795">
        <v>0</v>
      </c>
      <c r="J795">
        <v>0</v>
      </c>
    </row>
    <row r="796" spans="1:11" x14ac:dyDescent="0.25">
      <c r="A796" t="s">
        <v>4297</v>
      </c>
      <c r="B796">
        <v>67</v>
      </c>
      <c r="C796" t="s">
        <v>5420</v>
      </c>
      <c r="D796" t="s">
        <v>5424</v>
      </c>
      <c r="E796" t="s">
        <v>5428</v>
      </c>
      <c r="F796">
        <v>28</v>
      </c>
      <c r="G796">
        <v>0.152</v>
      </c>
      <c r="H796">
        <v>0.152</v>
      </c>
      <c r="I796">
        <v>0</v>
      </c>
      <c r="J796">
        <v>0</v>
      </c>
    </row>
    <row r="797" spans="1:11" x14ac:dyDescent="0.25">
      <c r="A797" t="s">
        <v>4300</v>
      </c>
      <c r="B797">
        <v>56</v>
      </c>
      <c r="C797" t="s">
        <v>5420</v>
      </c>
      <c r="D797" t="s">
        <v>5432</v>
      </c>
      <c r="E797" t="s">
        <v>5430</v>
      </c>
      <c r="F797">
        <v>56</v>
      </c>
      <c r="G797">
        <v>0.30399999999999999</v>
      </c>
      <c r="H797">
        <v>0.30399999999999999</v>
      </c>
      <c r="I797">
        <v>0</v>
      </c>
      <c r="J797">
        <v>0</v>
      </c>
    </row>
    <row r="798" spans="1:11" x14ac:dyDescent="0.25">
      <c r="A798" t="s">
        <v>4304</v>
      </c>
      <c r="B798">
        <v>67</v>
      </c>
      <c r="C798" t="s">
        <v>5420</v>
      </c>
      <c r="D798" t="s">
        <v>5426</v>
      </c>
      <c r="E798" t="s">
        <v>5430</v>
      </c>
      <c r="F798">
        <v>90</v>
      </c>
      <c r="G798">
        <v>0.48899999999999999</v>
      </c>
      <c r="H798">
        <v>0.48899999999999999</v>
      </c>
      <c r="I798">
        <v>0</v>
      </c>
      <c r="J798">
        <v>0</v>
      </c>
    </row>
    <row r="799" spans="1:11" x14ac:dyDescent="0.25">
      <c r="A799" t="s">
        <v>4309</v>
      </c>
      <c r="B799">
        <v>44</v>
      </c>
      <c r="C799" t="s">
        <v>5420</v>
      </c>
      <c r="D799" t="s">
        <v>5426</v>
      </c>
      <c r="E799" t="s">
        <v>5427</v>
      </c>
      <c r="F799">
        <v>60</v>
      </c>
      <c r="G799">
        <v>0.32600000000000001</v>
      </c>
      <c r="H799">
        <v>0.32600000000000001</v>
      </c>
      <c r="I799">
        <v>0</v>
      </c>
      <c r="J799">
        <v>0</v>
      </c>
    </row>
    <row r="800" spans="1:11" x14ac:dyDescent="0.25">
      <c r="A800" t="s">
        <v>4313</v>
      </c>
      <c r="B800">
        <v>61</v>
      </c>
      <c r="C800" t="s">
        <v>5420</v>
      </c>
      <c r="D800" t="s">
        <v>5432</v>
      </c>
      <c r="E800" t="s">
        <v>5422</v>
      </c>
      <c r="F800">
        <v>28</v>
      </c>
      <c r="G800">
        <v>0.152</v>
      </c>
      <c r="H800">
        <v>0.152</v>
      </c>
      <c r="I800">
        <v>0</v>
      </c>
      <c r="J800">
        <v>0</v>
      </c>
    </row>
    <row r="801" spans="1:11" x14ac:dyDescent="0.25">
      <c r="A801" t="s">
        <v>4316</v>
      </c>
      <c r="B801">
        <v>44</v>
      </c>
      <c r="C801" t="s">
        <v>5420</v>
      </c>
      <c r="D801" t="s">
        <v>5432</v>
      </c>
      <c r="E801" t="s">
        <v>5428</v>
      </c>
      <c r="F801">
        <v>28</v>
      </c>
      <c r="G801">
        <v>0.152</v>
      </c>
      <c r="H801">
        <v>0.152</v>
      </c>
      <c r="I801">
        <v>0</v>
      </c>
      <c r="J801">
        <v>0</v>
      </c>
    </row>
    <row r="802" spans="1:11" x14ac:dyDescent="0.25">
      <c r="A802" t="s">
        <v>4319</v>
      </c>
      <c r="B802">
        <v>79</v>
      </c>
      <c r="C802" t="s">
        <v>5423</v>
      </c>
      <c r="D802" t="s">
        <v>5424</v>
      </c>
      <c r="E802" t="s">
        <v>5431</v>
      </c>
      <c r="F802">
        <v>90</v>
      </c>
      <c r="G802">
        <v>0.48899999999999999</v>
      </c>
      <c r="H802">
        <v>0.48899999999999999</v>
      </c>
      <c r="I802">
        <v>0</v>
      </c>
      <c r="J802">
        <v>0</v>
      </c>
    </row>
    <row r="803" spans="1:11" x14ac:dyDescent="0.25">
      <c r="A803" t="s">
        <v>4324</v>
      </c>
      <c r="B803">
        <v>58</v>
      </c>
      <c r="C803" t="s">
        <v>5420</v>
      </c>
      <c r="D803" t="s">
        <v>5426</v>
      </c>
      <c r="E803" t="s">
        <v>5431</v>
      </c>
      <c r="F803">
        <v>28</v>
      </c>
      <c r="G803">
        <v>0.152</v>
      </c>
      <c r="H803">
        <v>0.152</v>
      </c>
      <c r="I803">
        <v>0</v>
      </c>
      <c r="J803">
        <v>0</v>
      </c>
    </row>
    <row r="804" spans="1:11" x14ac:dyDescent="0.25">
      <c r="A804" t="s">
        <v>4327</v>
      </c>
      <c r="B804">
        <v>59</v>
      </c>
      <c r="C804" t="s">
        <v>5420</v>
      </c>
      <c r="D804" t="s">
        <v>5426</v>
      </c>
      <c r="E804" t="s">
        <v>5428</v>
      </c>
      <c r="F804">
        <v>112</v>
      </c>
      <c r="G804">
        <v>0.60899999999999999</v>
      </c>
      <c r="H804">
        <v>0.60899999999999999</v>
      </c>
      <c r="I804">
        <v>0</v>
      </c>
      <c r="J804">
        <v>0</v>
      </c>
    </row>
    <row r="805" spans="1:11" x14ac:dyDescent="0.25">
      <c r="A805" t="s">
        <v>4333</v>
      </c>
      <c r="B805">
        <v>70</v>
      </c>
      <c r="C805" t="s">
        <v>5420</v>
      </c>
      <c r="D805" t="s">
        <v>5424</v>
      </c>
      <c r="E805" t="s">
        <v>5431</v>
      </c>
      <c r="F805">
        <v>120</v>
      </c>
      <c r="G805">
        <v>0.65200000000000002</v>
      </c>
      <c r="H805">
        <v>0.65200000000000002</v>
      </c>
      <c r="I805">
        <v>0</v>
      </c>
      <c r="J805">
        <v>0</v>
      </c>
    </row>
    <row r="806" spans="1:11" x14ac:dyDescent="0.25">
      <c r="A806" t="s">
        <v>4339</v>
      </c>
      <c r="B806">
        <v>71</v>
      </c>
      <c r="C806" t="s">
        <v>5420</v>
      </c>
      <c r="D806" t="s">
        <v>5432</v>
      </c>
      <c r="E806" t="s">
        <v>5425</v>
      </c>
      <c r="F806">
        <v>28</v>
      </c>
      <c r="G806">
        <v>0.152</v>
      </c>
      <c r="H806">
        <v>0.152</v>
      </c>
      <c r="I806">
        <v>0</v>
      </c>
      <c r="J806">
        <v>0</v>
      </c>
    </row>
    <row r="807" spans="1:11" x14ac:dyDescent="0.25">
      <c r="A807" t="s">
        <v>4342</v>
      </c>
      <c r="B807">
        <v>58</v>
      </c>
      <c r="C807" t="s">
        <v>5420</v>
      </c>
      <c r="D807" t="s">
        <v>5429</v>
      </c>
      <c r="E807" t="s">
        <v>5427</v>
      </c>
      <c r="F807">
        <v>196</v>
      </c>
      <c r="G807">
        <v>1.0649999999999999</v>
      </c>
      <c r="H807">
        <v>1</v>
      </c>
      <c r="I807">
        <v>1</v>
      </c>
      <c r="J807">
        <v>0</v>
      </c>
      <c r="K807" t="s">
        <v>5435</v>
      </c>
    </row>
    <row r="808" spans="1:11" x14ac:dyDescent="0.25">
      <c r="A808" t="s">
        <v>4358</v>
      </c>
      <c r="B808">
        <v>81</v>
      </c>
      <c r="C808" t="s">
        <v>5423</v>
      </c>
      <c r="D808" t="s">
        <v>5429</v>
      </c>
      <c r="E808" t="s">
        <v>5422</v>
      </c>
      <c r="F808">
        <v>112</v>
      </c>
      <c r="G808">
        <v>0.60899999999999999</v>
      </c>
      <c r="H808">
        <v>0.60899999999999999</v>
      </c>
      <c r="I808">
        <v>0</v>
      </c>
      <c r="J808">
        <v>0</v>
      </c>
    </row>
    <row r="809" spans="1:11" x14ac:dyDescent="0.25">
      <c r="A809" t="s">
        <v>4364</v>
      </c>
      <c r="B809">
        <v>78</v>
      </c>
      <c r="C809" t="s">
        <v>5420</v>
      </c>
      <c r="D809" t="s">
        <v>5426</v>
      </c>
      <c r="E809" t="s">
        <v>5430</v>
      </c>
      <c r="F809">
        <v>168</v>
      </c>
      <c r="G809">
        <v>0.91300000000000003</v>
      </c>
      <c r="H809">
        <v>0.91300000000000003</v>
      </c>
      <c r="I809">
        <v>0</v>
      </c>
      <c r="J809">
        <v>0</v>
      </c>
    </row>
    <row r="810" spans="1:11" x14ac:dyDescent="0.25">
      <c r="A810" t="s">
        <v>4372</v>
      </c>
      <c r="B810">
        <v>64</v>
      </c>
      <c r="C810" t="s">
        <v>5420</v>
      </c>
      <c r="D810" t="s">
        <v>5429</v>
      </c>
      <c r="E810" t="s">
        <v>5425</v>
      </c>
      <c r="F810">
        <v>168</v>
      </c>
      <c r="G810">
        <v>0.91300000000000003</v>
      </c>
      <c r="H810">
        <v>0.91300000000000003</v>
      </c>
      <c r="I810">
        <v>0</v>
      </c>
      <c r="J810">
        <v>0</v>
      </c>
    </row>
    <row r="811" spans="1:11" x14ac:dyDescent="0.25">
      <c r="A811" t="s">
        <v>4377</v>
      </c>
      <c r="B811">
        <v>51</v>
      </c>
      <c r="C811" t="s">
        <v>5423</v>
      </c>
      <c r="D811" t="s">
        <v>5432</v>
      </c>
      <c r="E811" t="s">
        <v>5427</v>
      </c>
      <c r="F811">
        <v>168</v>
      </c>
      <c r="G811">
        <v>0.91300000000000003</v>
      </c>
      <c r="H811">
        <v>0.91300000000000003</v>
      </c>
      <c r="I811">
        <v>0</v>
      </c>
      <c r="J811">
        <v>0</v>
      </c>
    </row>
    <row r="812" spans="1:11" x14ac:dyDescent="0.25">
      <c r="A812" t="s">
        <v>4382</v>
      </c>
      <c r="B812">
        <v>50</v>
      </c>
      <c r="C812" t="s">
        <v>5423</v>
      </c>
      <c r="D812" t="s">
        <v>5432</v>
      </c>
      <c r="E812" t="s">
        <v>5430</v>
      </c>
      <c r="F812">
        <v>168</v>
      </c>
      <c r="G812">
        <v>0.91300000000000003</v>
      </c>
      <c r="H812">
        <v>0.91300000000000003</v>
      </c>
      <c r="I812">
        <v>0</v>
      </c>
      <c r="J812">
        <v>0</v>
      </c>
    </row>
    <row r="813" spans="1:11" x14ac:dyDescent="0.25">
      <c r="A813" t="s">
        <v>4390</v>
      </c>
      <c r="B813">
        <v>64</v>
      </c>
      <c r="C813" t="s">
        <v>5423</v>
      </c>
      <c r="D813" t="s">
        <v>5424</v>
      </c>
      <c r="E813" t="s">
        <v>5427</v>
      </c>
      <c r="F813">
        <v>140</v>
      </c>
      <c r="G813">
        <v>0.76100000000000001</v>
      </c>
      <c r="H813">
        <v>0.76100000000000001</v>
      </c>
      <c r="I813">
        <v>0</v>
      </c>
      <c r="J813">
        <v>0</v>
      </c>
    </row>
    <row r="814" spans="1:11" x14ac:dyDescent="0.25">
      <c r="A814" t="s">
        <v>4397</v>
      </c>
      <c r="B814">
        <v>56</v>
      </c>
      <c r="C814" t="s">
        <v>5420</v>
      </c>
      <c r="D814" t="s">
        <v>5429</v>
      </c>
      <c r="E814" t="s">
        <v>5428</v>
      </c>
      <c r="F814">
        <v>56</v>
      </c>
      <c r="G814">
        <v>0.30399999999999999</v>
      </c>
      <c r="H814">
        <v>0.30399999999999999</v>
      </c>
      <c r="I814">
        <v>0</v>
      </c>
      <c r="J814">
        <v>0</v>
      </c>
    </row>
    <row r="815" spans="1:11" x14ac:dyDescent="0.25">
      <c r="A815" t="s">
        <v>4401</v>
      </c>
      <c r="B815">
        <v>66</v>
      </c>
      <c r="C815" t="s">
        <v>5420</v>
      </c>
      <c r="D815" t="s">
        <v>5432</v>
      </c>
      <c r="E815" t="s">
        <v>5431</v>
      </c>
      <c r="F815">
        <v>84</v>
      </c>
      <c r="G815">
        <v>0.45700000000000002</v>
      </c>
      <c r="H815">
        <v>0.45700000000000002</v>
      </c>
      <c r="I815">
        <v>0</v>
      </c>
      <c r="J815">
        <v>0</v>
      </c>
    </row>
    <row r="816" spans="1:11" x14ac:dyDescent="0.25">
      <c r="A816" t="s">
        <v>4407</v>
      </c>
      <c r="B816">
        <v>67</v>
      </c>
      <c r="C816" t="s">
        <v>5420</v>
      </c>
      <c r="D816" t="s">
        <v>5432</v>
      </c>
      <c r="E816" t="s">
        <v>5425</v>
      </c>
      <c r="F816">
        <v>28</v>
      </c>
      <c r="G816">
        <v>0.152</v>
      </c>
      <c r="H816">
        <v>0.152</v>
      </c>
      <c r="I816">
        <v>0</v>
      </c>
      <c r="J816">
        <v>0</v>
      </c>
    </row>
    <row r="817" spans="1:11" x14ac:dyDescent="0.25">
      <c r="A817" t="s">
        <v>4410</v>
      </c>
      <c r="B817">
        <v>74</v>
      </c>
      <c r="C817" t="s">
        <v>5420</v>
      </c>
      <c r="D817" t="s">
        <v>5432</v>
      </c>
      <c r="E817" t="s">
        <v>5425</v>
      </c>
      <c r="F817">
        <v>28</v>
      </c>
      <c r="G817">
        <v>0.152</v>
      </c>
      <c r="H817">
        <v>0.152</v>
      </c>
      <c r="I817">
        <v>0</v>
      </c>
      <c r="J817">
        <v>0</v>
      </c>
    </row>
    <row r="818" spans="1:11" x14ac:dyDescent="0.25">
      <c r="A818" t="s">
        <v>4413</v>
      </c>
      <c r="B818">
        <v>52</v>
      </c>
      <c r="C818" t="s">
        <v>5423</v>
      </c>
      <c r="D818" t="s">
        <v>5432</v>
      </c>
      <c r="E818" t="s">
        <v>5425</v>
      </c>
      <c r="F818">
        <v>28</v>
      </c>
      <c r="G818">
        <v>0.152</v>
      </c>
      <c r="H818">
        <v>0.152</v>
      </c>
      <c r="I818">
        <v>0</v>
      </c>
      <c r="J818">
        <v>0</v>
      </c>
    </row>
    <row r="819" spans="1:11" x14ac:dyDescent="0.25">
      <c r="A819" t="s">
        <v>4416</v>
      </c>
      <c r="B819">
        <v>55</v>
      </c>
      <c r="C819" t="s">
        <v>5423</v>
      </c>
      <c r="D819" t="s">
        <v>5429</v>
      </c>
      <c r="E819" t="s">
        <v>5428</v>
      </c>
      <c r="F819">
        <v>14</v>
      </c>
      <c r="G819">
        <v>7.5999999999999998E-2</v>
      </c>
      <c r="H819">
        <v>7.5999999999999998E-2</v>
      </c>
      <c r="I819">
        <v>0</v>
      </c>
      <c r="J819">
        <v>0</v>
      </c>
    </row>
    <row r="820" spans="1:11" x14ac:dyDescent="0.25">
      <c r="A820" t="s">
        <v>4419</v>
      </c>
      <c r="B820">
        <v>34</v>
      </c>
      <c r="C820" t="s">
        <v>5434</v>
      </c>
      <c r="D820" t="s">
        <v>5424</v>
      </c>
      <c r="E820" t="s">
        <v>5428</v>
      </c>
      <c r="F820">
        <v>168</v>
      </c>
      <c r="G820">
        <v>0.91300000000000003</v>
      </c>
      <c r="H820">
        <v>0.91300000000000003</v>
      </c>
      <c r="I820">
        <v>0</v>
      </c>
      <c r="J820">
        <v>0</v>
      </c>
    </row>
    <row r="821" spans="1:11" x14ac:dyDescent="0.25">
      <c r="A821" t="s">
        <v>4432</v>
      </c>
      <c r="B821">
        <v>57</v>
      </c>
      <c r="C821" t="s">
        <v>5423</v>
      </c>
      <c r="D821" t="s">
        <v>5429</v>
      </c>
      <c r="E821" t="s">
        <v>5430</v>
      </c>
      <c r="F821">
        <v>56</v>
      </c>
      <c r="G821">
        <v>0.30399999999999999</v>
      </c>
      <c r="H821">
        <v>0.30399999999999999</v>
      </c>
      <c r="I821">
        <v>0</v>
      </c>
      <c r="J821">
        <v>0</v>
      </c>
    </row>
    <row r="822" spans="1:11" x14ac:dyDescent="0.25">
      <c r="A822" t="s">
        <v>4436</v>
      </c>
      <c r="B822">
        <v>63</v>
      </c>
      <c r="C822" t="s">
        <v>5423</v>
      </c>
      <c r="D822" t="s">
        <v>5426</v>
      </c>
      <c r="E822" t="s">
        <v>5427</v>
      </c>
      <c r="F822">
        <v>84</v>
      </c>
      <c r="G822">
        <v>0.45700000000000002</v>
      </c>
      <c r="H822">
        <v>0.45700000000000002</v>
      </c>
      <c r="I822">
        <v>0</v>
      </c>
      <c r="J822">
        <v>0</v>
      </c>
    </row>
    <row r="823" spans="1:11" x14ac:dyDescent="0.25">
      <c r="A823" t="s">
        <v>4441</v>
      </c>
      <c r="B823">
        <v>40</v>
      </c>
      <c r="C823" t="s">
        <v>5420</v>
      </c>
      <c r="D823" t="s">
        <v>5429</v>
      </c>
      <c r="E823" t="s">
        <v>5427</v>
      </c>
      <c r="F823">
        <v>84</v>
      </c>
      <c r="G823">
        <v>0.45700000000000002</v>
      </c>
      <c r="H823">
        <v>0.45700000000000002</v>
      </c>
      <c r="I823">
        <v>0</v>
      </c>
      <c r="J823">
        <v>0</v>
      </c>
    </row>
    <row r="824" spans="1:11" x14ac:dyDescent="0.25">
      <c r="A824" t="s">
        <v>4446</v>
      </c>
      <c r="B824">
        <v>41</v>
      </c>
      <c r="C824" t="s">
        <v>5420</v>
      </c>
      <c r="D824" t="s">
        <v>5429</v>
      </c>
      <c r="E824" t="s">
        <v>5427</v>
      </c>
      <c r="F824">
        <v>30</v>
      </c>
      <c r="G824">
        <v>0.16300000000000001</v>
      </c>
      <c r="H824">
        <v>0.16300000000000001</v>
      </c>
      <c r="I824">
        <v>0</v>
      </c>
      <c r="J824">
        <v>0</v>
      </c>
    </row>
    <row r="825" spans="1:11" x14ac:dyDescent="0.25">
      <c r="A825" t="s">
        <v>4449</v>
      </c>
      <c r="B825">
        <v>79</v>
      </c>
      <c r="C825" t="s">
        <v>5420</v>
      </c>
      <c r="D825" t="s">
        <v>5429</v>
      </c>
      <c r="E825" t="s">
        <v>5430</v>
      </c>
      <c r="F825">
        <v>150</v>
      </c>
      <c r="G825">
        <v>0.81499999999999995</v>
      </c>
      <c r="H825">
        <v>0.81499999999999995</v>
      </c>
      <c r="I825">
        <v>0</v>
      </c>
      <c r="J825">
        <v>0</v>
      </c>
    </row>
    <row r="826" spans="1:11" x14ac:dyDescent="0.25">
      <c r="A826" t="s">
        <v>4456</v>
      </c>
      <c r="B826">
        <v>56</v>
      </c>
      <c r="C826" t="s">
        <v>5420</v>
      </c>
      <c r="D826" t="s">
        <v>5429</v>
      </c>
      <c r="E826" t="s">
        <v>5428</v>
      </c>
      <c r="F826">
        <v>140</v>
      </c>
      <c r="G826">
        <v>0.76100000000000001</v>
      </c>
      <c r="H826">
        <v>0.76100000000000001</v>
      </c>
      <c r="I826">
        <v>0</v>
      </c>
      <c r="J826">
        <v>0</v>
      </c>
    </row>
    <row r="827" spans="1:11" x14ac:dyDescent="0.25">
      <c r="A827" t="s">
        <v>4463</v>
      </c>
      <c r="B827">
        <v>65</v>
      </c>
      <c r="C827" t="s">
        <v>5423</v>
      </c>
      <c r="D827" t="s">
        <v>5432</v>
      </c>
      <c r="E827" t="s">
        <v>5431</v>
      </c>
      <c r="F827">
        <v>28</v>
      </c>
      <c r="G827">
        <v>0.152</v>
      </c>
      <c r="H827">
        <v>0.152</v>
      </c>
      <c r="I827">
        <v>0</v>
      </c>
      <c r="J827">
        <v>0</v>
      </c>
    </row>
    <row r="828" spans="1:11" x14ac:dyDescent="0.25">
      <c r="A828" t="s">
        <v>4466</v>
      </c>
      <c r="B828">
        <v>56</v>
      </c>
      <c r="C828" t="s">
        <v>5420</v>
      </c>
      <c r="D828" t="s">
        <v>5426</v>
      </c>
      <c r="E828" t="s">
        <v>5430</v>
      </c>
      <c r="F828">
        <v>196</v>
      </c>
      <c r="G828">
        <v>1.0649999999999999</v>
      </c>
      <c r="H828">
        <v>1</v>
      </c>
      <c r="I828">
        <v>1</v>
      </c>
      <c r="J828">
        <v>0</v>
      </c>
      <c r="K828" t="s">
        <v>5435</v>
      </c>
    </row>
    <row r="829" spans="1:11" x14ac:dyDescent="0.25">
      <c r="A829" t="s">
        <v>4475</v>
      </c>
      <c r="B829">
        <v>65</v>
      </c>
      <c r="C829" t="s">
        <v>5423</v>
      </c>
      <c r="D829" t="s">
        <v>5432</v>
      </c>
      <c r="E829" t="s">
        <v>5425</v>
      </c>
      <c r="F829">
        <v>180</v>
      </c>
      <c r="G829">
        <v>0.97799999999999998</v>
      </c>
      <c r="H829">
        <v>0.97799999999999998</v>
      </c>
      <c r="I829">
        <v>0</v>
      </c>
      <c r="J829">
        <v>0</v>
      </c>
    </row>
    <row r="830" spans="1:11" x14ac:dyDescent="0.25">
      <c r="A830" t="s">
        <v>4483</v>
      </c>
      <c r="B830">
        <v>62</v>
      </c>
      <c r="C830" t="s">
        <v>5420</v>
      </c>
      <c r="D830" t="s">
        <v>5432</v>
      </c>
      <c r="E830" t="s">
        <v>5425</v>
      </c>
      <c r="F830">
        <v>56</v>
      </c>
      <c r="G830">
        <v>0.30399999999999999</v>
      </c>
      <c r="H830">
        <v>0.30399999999999999</v>
      </c>
      <c r="I830">
        <v>0</v>
      </c>
      <c r="J830">
        <v>0</v>
      </c>
    </row>
    <row r="831" spans="1:11" x14ac:dyDescent="0.25">
      <c r="A831" t="s">
        <v>4486</v>
      </c>
      <c r="B831">
        <v>74</v>
      </c>
      <c r="C831" t="s">
        <v>5423</v>
      </c>
      <c r="D831" t="s">
        <v>5426</v>
      </c>
      <c r="E831" t="s">
        <v>5431</v>
      </c>
      <c r="F831">
        <v>112</v>
      </c>
      <c r="G831">
        <v>0.60899999999999999</v>
      </c>
      <c r="H831">
        <v>0.60899999999999999</v>
      </c>
      <c r="I831">
        <v>0</v>
      </c>
      <c r="J831">
        <v>0</v>
      </c>
    </row>
    <row r="832" spans="1:11" x14ac:dyDescent="0.25">
      <c r="A832" t="s">
        <v>4492</v>
      </c>
      <c r="B832">
        <v>60</v>
      </c>
      <c r="C832" t="s">
        <v>5423</v>
      </c>
      <c r="D832" t="s">
        <v>5432</v>
      </c>
      <c r="E832" t="s">
        <v>5428</v>
      </c>
      <c r="F832">
        <v>60</v>
      </c>
      <c r="G832">
        <v>0.32600000000000001</v>
      </c>
      <c r="H832">
        <v>0.32600000000000001</v>
      </c>
      <c r="I832">
        <v>0</v>
      </c>
      <c r="J832">
        <v>0</v>
      </c>
    </row>
    <row r="833" spans="1:10" x14ac:dyDescent="0.25">
      <c r="A833" t="s">
        <v>4496</v>
      </c>
      <c r="B833">
        <v>64</v>
      </c>
      <c r="C833" t="s">
        <v>5423</v>
      </c>
      <c r="D833" t="s">
        <v>5424</v>
      </c>
      <c r="E833" t="s">
        <v>5427</v>
      </c>
      <c r="F833">
        <v>84</v>
      </c>
      <c r="G833">
        <v>0.45700000000000002</v>
      </c>
      <c r="H833">
        <v>0.45700000000000002</v>
      </c>
      <c r="I833">
        <v>0</v>
      </c>
      <c r="J833">
        <v>0</v>
      </c>
    </row>
    <row r="834" spans="1:10" x14ac:dyDescent="0.25">
      <c r="A834" t="s">
        <v>4501</v>
      </c>
      <c r="B834">
        <v>53</v>
      </c>
      <c r="C834" t="s">
        <v>5423</v>
      </c>
      <c r="D834" t="s">
        <v>5429</v>
      </c>
      <c r="E834" t="s">
        <v>5425</v>
      </c>
      <c r="F834">
        <v>56</v>
      </c>
      <c r="G834">
        <v>0.30399999999999999</v>
      </c>
      <c r="H834">
        <v>0.30399999999999999</v>
      </c>
      <c r="I834">
        <v>0</v>
      </c>
      <c r="J834">
        <v>0</v>
      </c>
    </row>
    <row r="835" spans="1:10" x14ac:dyDescent="0.25">
      <c r="A835" t="s">
        <v>4504</v>
      </c>
      <c r="B835">
        <v>71</v>
      </c>
      <c r="C835" t="s">
        <v>5423</v>
      </c>
      <c r="D835" t="s">
        <v>5426</v>
      </c>
      <c r="E835" t="s">
        <v>5431</v>
      </c>
      <c r="F835">
        <v>56</v>
      </c>
      <c r="G835">
        <v>0.30399999999999999</v>
      </c>
      <c r="H835">
        <v>0.30399999999999999</v>
      </c>
      <c r="I835">
        <v>0</v>
      </c>
      <c r="J835">
        <v>0</v>
      </c>
    </row>
    <row r="836" spans="1:10" x14ac:dyDescent="0.25">
      <c r="A836" t="s">
        <v>4508</v>
      </c>
      <c r="B836">
        <v>55</v>
      </c>
      <c r="C836" t="s">
        <v>5420</v>
      </c>
      <c r="D836" t="s">
        <v>5432</v>
      </c>
      <c r="E836" t="s">
        <v>5428</v>
      </c>
      <c r="F836">
        <v>120</v>
      </c>
      <c r="G836">
        <v>0.65200000000000002</v>
      </c>
      <c r="H836">
        <v>0.65200000000000002</v>
      </c>
      <c r="I836">
        <v>0</v>
      </c>
      <c r="J836">
        <v>0</v>
      </c>
    </row>
    <row r="837" spans="1:10" x14ac:dyDescent="0.25">
      <c r="A837" t="s">
        <v>4514</v>
      </c>
      <c r="B837">
        <v>59</v>
      </c>
      <c r="C837" t="s">
        <v>5423</v>
      </c>
      <c r="D837" t="s">
        <v>5429</v>
      </c>
      <c r="E837" t="s">
        <v>5425</v>
      </c>
      <c r="F837">
        <v>56</v>
      </c>
      <c r="G837">
        <v>0.30399999999999999</v>
      </c>
      <c r="H837">
        <v>0.30399999999999999</v>
      </c>
      <c r="I837">
        <v>0</v>
      </c>
      <c r="J837">
        <v>0</v>
      </c>
    </row>
    <row r="838" spans="1:10" x14ac:dyDescent="0.25">
      <c r="A838" t="s">
        <v>4517</v>
      </c>
      <c r="B838">
        <v>68</v>
      </c>
      <c r="C838" t="s">
        <v>5420</v>
      </c>
      <c r="D838" t="s">
        <v>5429</v>
      </c>
      <c r="E838" t="s">
        <v>5428</v>
      </c>
      <c r="F838">
        <v>112</v>
      </c>
      <c r="G838">
        <v>0.60899999999999999</v>
      </c>
      <c r="H838">
        <v>0.60899999999999999</v>
      </c>
      <c r="I838">
        <v>0</v>
      </c>
      <c r="J838">
        <v>0</v>
      </c>
    </row>
    <row r="839" spans="1:10" x14ac:dyDescent="0.25">
      <c r="A839" t="s">
        <v>4523</v>
      </c>
      <c r="B839">
        <v>60</v>
      </c>
      <c r="C839" t="s">
        <v>5420</v>
      </c>
      <c r="D839" t="s">
        <v>5421</v>
      </c>
      <c r="E839" t="s">
        <v>5427</v>
      </c>
      <c r="F839">
        <v>168</v>
      </c>
      <c r="G839">
        <v>0.91300000000000003</v>
      </c>
      <c r="H839">
        <v>0.91300000000000003</v>
      </c>
      <c r="I839">
        <v>0</v>
      </c>
      <c r="J839">
        <v>0</v>
      </c>
    </row>
    <row r="840" spans="1:10" x14ac:dyDescent="0.25">
      <c r="A840" t="s">
        <v>4533</v>
      </c>
      <c r="B840">
        <v>62</v>
      </c>
      <c r="C840" t="s">
        <v>5420</v>
      </c>
      <c r="D840" t="s">
        <v>5426</v>
      </c>
      <c r="E840" t="s">
        <v>5425</v>
      </c>
      <c r="F840">
        <v>120</v>
      </c>
      <c r="G840">
        <v>0.65200000000000002</v>
      </c>
      <c r="H840">
        <v>0.65200000000000002</v>
      </c>
      <c r="I840">
        <v>0</v>
      </c>
      <c r="J840">
        <v>0</v>
      </c>
    </row>
    <row r="841" spans="1:10" x14ac:dyDescent="0.25">
      <c r="A841" t="s">
        <v>4539</v>
      </c>
      <c r="B841">
        <v>32</v>
      </c>
      <c r="C841" t="s">
        <v>5423</v>
      </c>
      <c r="D841" t="s">
        <v>5426</v>
      </c>
      <c r="E841" t="s">
        <v>5430</v>
      </c>
      <c r="F841">
        <v>56</v>
      </c>
      <c r="G841">
        <v>0.30399999999999999</v>
      </c>
      <c r="H841">
        <v>0.30399999999999999</v>
      </c>
      <c r="I841">
        <v>0</v>
      </c>
      <c r="J841">
        <v>0</v>
      </c>
    </row>
    <row r="842" spans="1:10" x14ac:dyDescent="0.25">
      <c r="A842" t="s">
        <v>4543</v>
      </c>
      <c r="B842">
        <v>52</v>
      </c>
      <c r="C842" t="s">
        <v>5423</v>
      </c>
      <c r="D842" t="s">
        <v>5424</v>
      </c>
      <c r="E842" t="s">
        <v>5427</v>
      </c>
      <c r="F842">
        <v>60</v>
      </c>
      <c r="G842">
        <v>0.32600000000000001</v>
      </c>
      <c r="H842">
        <v>0.32600000000000001</v>
      </c>
      <c r="I842">
        <v>0</v>
      </c>
      <c r="J842">
        <v>0</v>
      </c>
    </row>
    <row r="843" spans="1:10" x14ac:dyDescent="0.25">
      <c r="A843" t="s">
        <v>4547</v>
      </c>
      <c r="B843">
        <v>79</v>
      </c>
      <c r="C843" t="s">
        <v>5420</v>
      </c>
      <c r="D843" t="s">
        <v>5426</v>
      </c>
      <c r="E843" t="s">
        <v>5459</v>
      </c>
      <c r="F843">
        <v>28</v>
      </c>
      <c r="G843">
        <v>0.152</v>
      </c>
      <c r="H843">
        <v>0.152</v>
      </c>
      <c r="I843">
        <v>0</v>
      </c>
      <c r="J843">
        <v>0</v>
      </c>
    </row>
    <row r="844" spans="1:10" x14ac:dyDescent="0.25">
      <c r="A844" t="s">
        <v>4550</v>
      </c>
      <c r="B844">
        <v>53</v>
      </c>
      <c r="C844" t="s">
        <v>5420</v>
      </c>
      <c r="D844" t="s">
        <v>5432</v>
      </c>
      <c r="E844" t="s">
        <v>5427</v>
      </c>
      <c r="F844">
        <v>112</v>
      </c>
      <c r="G844">
        <v>0.60899999999999999</v>
      </c>
      <c r="H844">
        <v>0.60899999999999999</v>
      </c>
      <c r="I844">
        <v>0</v>
      </c>
      <c r="J844">
        <v>0</v>
      </c>
    </row>
    <row r="845" spans="1:10" x14ac:dyDescent="0.25">
      <c r="A845" t="s">
        <v>4556</v>
      </c>
      <c r="B845">
        <v>55</v>
      </c>
      <c r="C845" t="s">
        <v>5420</v>
      </c>
      <c r="D845" t="s">
        <v>5426</v>
      </c>
      <c r="E845" t="s">
        <v>5431</v>
      </c>
      <c r="F845">
        <v>56</v>
      </c>
      <c r="G845">
        <v>0.30399999999999999</v>
      </c>
      <c r="H845">
        <v>0.30399999999999999</v>
      </c>
      <c r="I845">
        <v>0</v>
      </c>
      <c r="J845">
        <v>0</v>
      </c>
    </row>
    <row r="846" spans="1:10" x14ac:dyDescent="0.25">
      <c r="A846" t="s">
        <v>4560</v>
      </c>
      <c r="B846">
        <v>43</v>
      </c>
      <c r="C846" t="s">
        <v>5420</v>
      </c>
      <c r="D846" t="s">
        <v>5426</v>
      </c>
      <c r="E846" t="s">
        <v>5431</v>
      </c>
      <c r="F846">
        <v>28</v>
      </c>
      <c r="G846">
        <v>0.152</v>
      </c>
      <c r="H846">
        <v>0.152</v>
      </c>
      <c r="I846">
        <v>0</v>
      </c>
      <c r="J846">
        <v>0</v>
      </c>
    </row>
    <row r="847" spans="1:10" x14ac:dyDescent="0.25">
      <c r="A847" t="s">
        <v>4563</v>
      </c>
      <c r="B847">
        <v>64</v>
      </c>
      <c r="C847" t="s">
        <v>5420</v>
      </c>
      <c r="D847" t="s">
        <v>5429</v>
      </c>
      <c r="E847" t="s">
        <v>5427</v>
      </c>
      <c r="F847">
        <v>112</v>
      </c>
      <c r="G847">
        <v>0.60899999999999999</v>
      </c>
      <c r="H847">
        <v>0.60899999999999999</v>
      </c>
      <c r="I847">
        <v>0</v>
      </c>
      <c r="J847">
        <v>0</v>
      </c>
    </row>
    <row r="848" spans="1:10" x14ac:dyDescent="0.25">
      <c r="A848" t="s">
        <v>4569</v>
      </c>
      <c r="B848">
        <v>71</v>
      </c>
      <c r="C848" t="s">
        <v>5423</v>
      </c>
      <c r="D848" t="s">
        <v>5426</v>
      </c>
      <c r="E848" t="s">
        <v>5428</v>
      </c>
      <c r="F848">
        <v>150</v>
      </c>
      <c r="G848">
        <v>0.81499999999999995</v>
      </c>
      <c r="H848">
        <v>0.81499999999999995</v>
      </c>
      <c r="I848">
        <v>0</v>
      </c>
      <c r="J848">
        <v>0</v>
      </c>
    </row>
    <row r="849" spans="1:11" x14ac:dyDescent="0.25">
      <c r="A849" t="s">
        <v>4576</v>
      </c>
      <c r="B849">
        <v>63</v>
      </c>
      <c r="C849" t="s">
        <v>5423</v>
      </c>
      <c r="D849" t="s">
        <v>5426</v>
      </c>
      <c r="E849" t="s">
        <v>5446</v>
      </c>
      <c r="F849">
        <v>180</v>
      </c>
      <c r="G849">
        <v>0.97799999999999998</v>
      </c>
      <c r="H849">
        <v>0.97799999999999998</v>
      </c>
      <c r="I849">
        <v>0</v>
      </c>
      <c r="J849">
        <v>0</v>
      </c>
    </row>
    <row r="850" spans="1:11" x14ac:dyDescent="0.25">
      <c r="A850" t="s">
        <v>4584</v>
      </c>
      <c r="B850">
        <v>69</v>
      </c>
      <c r="C850" t="s">
        <v>5420</v>
      </c>
      <c r="D850" t="s">
        <v>5429</v>
      </c>
      <c r="E850" t="s">
        <v>5428</v>
      </c>
      <c r="F850">
        <v>112</v>
      </c>
      <c r="G850">
        <v>0.60899999999999999</v>
      </c>
      <c r="H850">
        <v>0.60899999999999999</v>
      </c>
      <c r="I850">
        <v>0</v>
      </c>
      <c r="J850">
        <v>0</v>
      </c>
    </row>
    <row r="851" spans="1:11" x14ac:dyDescent="0.25">
      <c r="A851" t="s">
        <v>4588</v>
      </c>
      <c r="B851">
        <v>64</v>
      </c>
      <c r="C851" t="s">
        <v>5423</v>
      </c>
      <c r="D851" t="s">
        <v>5429</v>
      </c>
      <c r="E851" t="s">
        <v>5430</v>
      </c>
      <c r="F851">
        <v>84</v>
      </c>
      <c r="G851">
        <v>0.45700000000000002</v>
      </c>
      <c r="H851">
        <v>0.45700000000000002</v>
      </c>
      <c r="I851">
        <v>0</v>
      </c>
      <c r="J851">
        <v>0</v>
      </c>
    </row>
    <row r="852" spans="1:11" x14ac:dyDescent="0.25">
      <c r="A852" t="s">
        <v>4593</v>
      </c>
      <c r="B852">
        <v>50</v>
      </c>
      <c r="C852" t="s">
        <v>5434</v>
      </c>
      <c r="D852" t="s">
        <v>5429</v>
      </c>
      <c r="E852" t="s">
        <v>5422</v>
      </c>
      <c r="F852">
        <v>112</v>
      </c>
      <c r="G852">
        <v>0.60899999999999999</v>
      </c>
      <c r="H852">
        <v>0.60899999999999999</v>
      </c>
      <c r="I852">
        <v>0</v>
      </c>
      <c r="J852">
        <v>0</v>
      </c>
    </row>
    <row r="853" spans="1:11" x14ac:dyDescent="0.25">
      <c r="A853" t="s">
        <v>4599</v>
      </c>
      <c r="B853">
        <v>86</v>
      </c>
      <c r="C853" t="s">
        <v>5423</v>
      </c>
      <c r="D853" t="s">
        <v>5426</v>
      </c>
      <c r="E853" t="s">
        <v>5428</v>
      </c>
      <c r="F853">
        <v>28</v>
      </c>
      <c r="G853">
        <v>0.152</v>
      </c>
      <c r="H853">
        <v>0.152</v>
      </c>
      <c r="I853">
        <v>0</v>
      </c>
      <c r="J853">
        <v>0</v>
      </c>
    </row>
    <row r="854" spans="1:11" x14ac:dyDescent="0.25">
      <c r="A854" t="s">
        <v>4602</v>
      </c>
      <c r="B854">
        <v>62</v>
      </c>
      <c r="C854" t="s">
        <v>5420</v>
      </c>
      <c r="D854" t="s">
        <v>5429</v>
      </c>
      <c r="E854" t="s">
        <v>5427</v>
      </c>
      <c r="F854">
        <v>56</v>
      </c>
      <c r="G854">
        <v>0.30399999999999999</v>
      </c>
      <c r="H854">
        <v>0.30399999999999999</v>
      </c>
      <c r="I854">
        <v>0</v>
      </c>
      <c r="J854">
        <v>0</v>
      </c>
    </row>
    <row r="855" spans="1:11" x14ac:dyDescent="0.25">
      <c r="A855" t="s">
        <v>4605</v>
      </c>
      <c r="B855">
        <v>59</v>
      </c>
      <c r="C855" t="s">
        <v>5420</v>
      </c>
      <c r="D855" t="s">
        <v>5421</v>
      </c>
      <c r="E855" t="s">
        <v>5422</v>
      </c>
      <c r="F855">
        <v>84</v>
      </c>
      <c r="G855">
        <v>0.45700000000000002</v>
      </c>
      <c r="H855">
        <v>0.45700000000000002</v>
      </c>
      <c r="I855">
        <v>0</v>
      </c>
      <c r="J855">
        <v>0</v>
      </c>
    </row>
    <row r="856" spans="1:11" x14ac:dyDescent="0.25">
      <c r="A856" t="s">
        <v>4610</v>
      </c>
      <c r="B856">
        <v>42</v>
      </c>
      <c r="C856" t="s">
        <v>5420</v>
      </c>
      <c r="D856" t="s">
        <v>5426</v>
      </c>
      <c r="E856" t="s">
        <v>5427</v>
      </c>
      <c r="F856">
        <v>90</v>
      </c>
      <c r="G856">
        <v>0.48899999999999999</v>
      </c>
      <c r="H856">
        <v>0.48899999999999999</v>
      </c>
      <c r="I856">
        <v>0</v>
      </c>
      <c r="J856">
        <v>0</v>
      </c>
    </row>
    <row r="857" spans="1:11" x14ac:dyDescent="0.25">
      <c r="A857" t="s">
        <v>4615</v>
      </c>
      <c r="B857">
        <v>53</v>
      </c>
      <c r="C857" t="s">
        <v>5420</v>
      </c>
      <c r="D857" t="s">
        <v>5426</v>
      </c>
      <c r="E857" t="s">
        <v>5427</v>
      </c>
      <c r="F857">
        <v>63</v>
      </c>
      <c r="G857">
        <v>0.34200000000000003</v>
      </c>
      <c r="H857">
        <v>0.34200000000000003</v>
      </c>
      <c r="I857">
        <v>0</v>
      </c>
      <c r="J857">
        <v>0</v>
      </c>
    </row>
    <row r="858" spans="1:11" x14ac:dyDescent="0.25">
      <c r="A858" t="s">
        <v>4620</v>
      </c>
      <c r="B858">
        <v>66</v>
      </c>
      <c r="C858" t="s">
        <v>5423</v>
      </c>
      <c r="D858" t="s">
        <v>5424</v>
      </c>
      <c r="E858" t="s">
        <v>5422</v>
      </c>
      <c r="F858">
        <v>21</v>
      </c>
      <c r="G858">
        <v>0.114</v>
      </c>
      <c r="H858">
        <v>0.114</v>
      </c>
      <c r="I858">
        <v>0</v>
      </c>
      <c r="J858">
        <v>0</v>
      </c>
    </row>
    <row r="859" spans="1:11" x14ac:dyDescent="0.25">
      <c r="A859" t="s">
        <v>4623</v>
      </c>
      <c r="B859">
        <v>46</v>
      </c>
      <c r="C859" t="s">
        <v>5420</v>
      </c>
      <c r="D859" t="s">
        <v>5432</v>
      </c>
      <c r="E859" t="s">
        <v>5422</v>
      </c>
      <c r="F859">
        <v>56</v>
      </c>
      <c r="G859">
        <v>0.30399999999999999</v>
      </c>
      <c r="H859">
        <v>0.30399999999999999</v>
      </c>
      <c r="I859">
        <v>0</v>
      </c>
      <c r="J859">
        <v>0</v>
      </c>
    </row>
    <row r="860" spans="1:11" x14ac:dyDescent="0.25">
      <c r="A860" t="s">
        <v>4627</v>
      </c>
      <c r="B860">
        <v>56</v>
      </c>
      <c r="C860" t="s">
        <v>5420</v>
      </c>
      <c r="D860" t="s">
        <v>5432</v>
      </c>
      <c r="E860" t="s">
        <v>5430</v>
      </c>
      <c r="F860">
        <v>84</v>
      </c>
      <c r="G860">
        <v>0.45700000000000002</v>
      </c>
      <c r="H860">
        <v>0.45700000000000002</v>
      </c>
      <c r="I860">
        <v>0</v>
      </c>
      <c r="J860">
        <v>0</v>
      </c>
    </row>
    <row r="861" spans="1:11" x14ac:dyDescent="0.25">
      <c r="A861" t="s">
        <v>4632</v>
      </c>
      <c r="B861">
        <v>72</v>
      </c>
      <c r="C861" t="s">
        <v>5423</v>
      </c>
      <c r="D861" t="s">
        <v>5429</v>
      </c>
      <c r="E861" t="s">
        <v>5430</v>
      </c>
      <c r="F861">
        <v>168</v>
      </c>
      <c r="G861">
        <v>0.91300000000000003</v>
      </c>
      <c r="H861">
        <v>0.91300000000000003</v>
      </c>
      <c r="I861">
        <v>0</v>
      </c>
      <c r="J861">
        <v>0</v>
      </c>
    </row>
    <row r="862" spans="1:11" x14ac:dyDescent="0.25">
      <c r="A862" t="s">
        <v>4646</v>
      </c>
      <c r="B862">
        <v>74</v>
      </c>
      <c r="C862" t="s">
        <v>5420</v>
      </c>
      <c r="D862" t="s">
        <v>5432</v>
      </c>
      <c r="E862" t="s">
        <v>5428</v>
      </c>
      <c r="F862">
        <v>112</v>
      </c>
      <c r="G862">
        <v>0.60899999999999999</v>
      </c>
      <c r="H862">
        <v>0.60899999999999999</v>
      </c>
      <c r="I862">
        <v>0</v>
      </c>
      <c r="J862">
        <v>0</v>
      </c>
    </row>
    <row r="863" spans="1:11" x14ac:dyDescent="0.25">
      <c r="A863" t="s">
        <v>4652</v>
      </c>
      <c r="B863">
        <v>57</v>
      </c>
      <c r="C863" t="s">
        <v>5423</v>
      </c>
      <c r="D863" t="s">
        <v>5429</v>
      </c>
      <c r="E863" t="s">
        <v>5425</v>
      </c>
      <c r="F863">
        <v>84</v>
      </c>
      <c r="G863">
        <v>0.45700000000000002</v>
      </c>
      <c r="H863">
        <v>0.45700000000000002</v>
      </c>
      <c r="I863">
        <v>0</v>
      </c>
      <c r="J863">
        <v>0</v>
      </c>
    </row>
    <row r="864" spans="1:11" x14ac:dyDescent="0.25">
      <c r="A864" t="s">
        <v>4657</v>
      </c>
      <c r="B864">
        <v>63</v>
      </c>
      <c r="C864" t="s">
        <v>5420</v>
      </c>
      <c r="D864" t="s">
        <v>5432</v>
      </c>
      <c r="E864" t="s">
        <v>5427</v>
      </c>
      <c r="F864">
        <v>196</v>
      </c>
      <c r="G864">
        <v>1.0649999999999999</v>
      </c>
      <c r="H864">
        <v>1</v>
      </c>
      <c r="I864">
        <v>1</v>
      </c>
      <c r="J864">
        <v>0</v>
      </c>
      <c r="K864" t="s">
        <v>5435</v>
      </c>
    </row>
    <row r="865" spans="1:11" x14ac:dyDescent="0.25">
      <c r="A865" t="s">
        <v>4666</v>
      </c>
      <c r="B865">
        <v>66</v>
      </c>
      <c r="C865" t="s">
        <v>5420</v>
      </c>
      <c r="D865" t="s">
        <v>5426</v>
      </c>
      <c r="E865" t="s">
        <v>5427</v>
      </c>
      <c r="F865">
        <v>196</v>
      </c>
      <c r="G865">
        <v>1.0649999999999999</v>
      </c>
      <c r="H865">
        <v>1</v>
      </c>
      <c r="I865">
        <v>1</v>
      </c>
      <c r="J865">
        <v>0</v>
      </c>
      <c r="K865" t="s">
        <v>5435</v>
      </c>
    </row>
    <row r="866" spans="1:11" x14ac:dyDescent="0.25">
      <c r="A866" t="s">
        <v>4675</v>
      </c>
      <c r="B866">
        <v>62</v>
      </c>
      <c r="C866" t="s">
        <v>5420</v>
      </c>
      <c r="D866" t="s">
        <v>5432</v>
      </c>
      <c r="E866" t="s">
        <v>5431</v>
      </c>
      <c r="F866">
        <v>168</v>
      </c>
      <c r="G866">
        <v>0.91300000000000003</v>
      </c>
      <c r="H866">
        <v>0.91300000000000003</v>
      </c>
      <c r="I866">
        <v>0</v>
      </c>
      <c r="J866">
        <v>0</v>
      </c>
    </row>
    <row r="867" spans="1:11" x14ac:dyDescent="0.25">
      <c r="A867" t="s">
        <v>4685</v>
      </c>
      <c r="B867">
        <v>66</v>
      </c>
      <c r="C867" t="s">
        <v>5423</v>
      </c>
      <c r="D867" t="s">
        <v>5421</v>
      </c>
      <c r="E867" t="s">
        <v>5428</v>
      </c>
      <c r="F867">
        <v>60</v>
      </c>
      <c r="G867">
        <v>0.32600000000000001</v>
      </c>
      <c r="H867">
        <v>0.32600000000000001</v>
      </c>
      <c r="I867">
        <v>0</v>
      </c>
      <c r="J867">
        <v>0</v>
      </c>
    </row>
    <row r="868" spans="1:11" x14ac:dyDescent="0.25">
      <c r="A868" t="s">
        <v>4689</v>
      </c>
      <c r="B868">
        <v>56</v>
      </c>
      <c r="C868" t="s">
        <v>5423</v>
      </c>
      <c r="D868" t="s">
        <v>5432</v>
      </c>
      <c r="E868" t="s">
        <v>5430</v>
      </c>
      <c r="F868">
        <v>60</v>
      </c>
      <c r="G868">
        <v>0.32600000000000001</v>
      </c>
      <c r="H868">
        <v>0.32600000000000001</v>
      </c>
      <c r="I868">
        <v>0</v>
      </c>
      <c r="J868">
        <v>0</v>
      </c>
    </row>
    <row r="869" spans="1:11" x14ac:dyDescent="0.25">
      <c r="A869" t="s">
        <v>4693</v>
      </c>
      <c r="B869">
        <v>64</v>
      </c>
      <c r="C869" t="s">
        <v>5423</v>
      </c>
      <c r="D869" t="s">
        <v>5426</v>
      </c>
      <c r="E869" t="s">
        <v>5428</v>
      </c>
      <c r="F869">
        <v>60</v>
      </c>
      <c r="G869">
        <v>0.32600000000000001</v>
      </c>
      <c r="H869">
        <v>0.32600000000000001</v>
      </c>
      <c r="I869">
        <v>0</v>
      </c>
      <c r="J869">
        <v>0</v>
      </c>
    </row>
    <row r="870" spans="1:11" x14ac:dyDescent="0.25">
      <c r="A870" t="s">
        <v>4697</v>
      </c>
      <c r="B870">
        <v>48</v>
      </c>
      <c r="C870" t="s">
        <v>5420</v>
      </c>
      <c r="D870" t="s">
        <v>5432</v>
      </c>
      <c r="E870" t="s">
        <v>5422</v>
      </c>
      <c r="F870">
        <v>21</v>
      </c>
      <c r="G870">
        <v>0.114</v>
      </c>
      <c r="H870">
        <v>0.114</v>
      </c>
      <c r="I870">
        <v>0</v>
      </c>
      <c r="J870">
        <v>0</v>
      </c>
    </row>
    <row r="871" spans="1:11" x14ac:dyDescent="0.25">
      <c r="A871" t="s">
        <v>4700</v>
      </c>
      <c r="B871">
        <v>54</v>
      </c>
      <c r="C871" t="s">
        <v>5423</v>
      </c>
      <c r="D871" t="s">
        <v>5429</v>
      </c>
      <c r="E871" t="s">
        <v>5427</v>
      </c>
      <c r="F871">
        <v>56</v>
      </c>
      <c r="G871">
        <v>0.30399999999999999</v>
      </c>
      <c r="H871">
        <v>0.30399999999999999</v>
      </c>
      <c r="I871">
        <v>0</v>
      </c>
      <c r="J871">
        <v>0</v>
      </c>
    </row>
    <row r="872" spans="1:11" x14ac:dyDescent="0.25">
      <c r="A872" t="s">
        <v>4704</v>
      </c>
      <c r="B872">
        <v>49</v>
      </c>
      <c r="C872" t="s">
        <v>5423</v>
      </c>
      <c r="D872" t="s">
        <v>5429</v>
      </c>
      <c r="E872" t="s">
        <v>5422</v>
      </c>
      <c r="F872">
        <v>28</v>
      </c>
      <c r="G872">
        <v>0.152</v>
      </c>
      <c r="H872">
        <v>0.152</v>
      </c>
      <c r="I872">
        <v>0</v>
      </c>
      <c r="J872">
        <v>0</v>
      </c>
    </row>
    <row r="873" spans="1:11" x14ac:dyDescent="0.25">
      <c r="A873" t="s">
        <v>4707</v>
      </c>
      <c r="B873">
        <v>58</v>
      </c>
      <c r="C873" t="s">
        <v>5420</v>
      </c>
      <c r="D873" t="s">
        <v>5424</v>
      </c>
      <c r="E873" t="s">
        <v>5431</v>
      </c>
      <c r="F873">
        <v>60</v>
      </c>
      <c r="G873">
        <v>0.32600000000000001</v>
      </c>
      <c r="H873">
        <v>0.32600000000000001</v>
      </c>
      <c r="I873">
        <v>0</v>
      </c>
      <c r="J873">
        <v>0</v>
      </c>
    </row>
    <row r="874" spans="1:11" x14ac:dyDescent="0.25">
      <c r="A874" t="s">
        <v>4711</v>
      </c>
      <c r="B874">
        <v>46</v>
      </c>
      <c r="C874" t="s">
        <v>5423</v>
      </c>
      <c r="D874" t="s">
        <v>5421</v>
      </c>
      <c r="E874" t="s">
        <v>5430</v>
      </c>
      <c r="F874">
        <v>56</v>
      </c>
      <c r="G874">
        <v>0.30399999999999999</v>
      </c>
      <c r="H874">
        <v>0.30399999999999999</v>
      </c>
      <c r="I874">
        <v>0</v>
      </c>
      <c r="J874">
        <v>0</v>
      </c>
    </row>
    <row r="875" spans="1:11" x14ac:dyDescent="0.25">
      <c r="A875" t="s">
        <v>4715</v>
      </c>
      <c r="B875">
        <v>65</v>
      </c>
      <c r="C875" t="s">
        <v>5423</v>
      </c>
      <c r="D875" t="s">
        <v>5421</v>
      </c>
      <c r="E875" t="s">
        <v>5430</v>
      </c>
      <c r="F875">
        <v>56</v>
      </c>
      <c r="G875">
        <v>0.30399999999999999</v>
      </c>
      <c r="H875">
        <v>0.30399999999999999</v>
      </c>
      <c r="I875">
        <v>0</v>
      </c>
      <c r="J875">
        <v>0</v>
      </c>
    </row>
    <row r="876" spans="1:11" x14ac:dyDescent="0.25">
      <c r="A876" t="s">
        <v>4719</v>
      </c>
      <c r="B876">
        <v>64</v>
      </c>
      <c r="C876" t="s">
        <v>5420</v>
      </c>
      <c r="D876" t="s">
        <v>5424</v>
      </c>
      <c r="E876" t="s">
        <v>5425</v>
      </c>
      <c r="F876">
        <v>196</v>
      </c>
      <c r="G876">
        <v>1.0649999999999999</v>
      </c>
      <c r="H876">
        <v>1</v>
      </c>
      <c r="I876">
        <v>1</v>
      </c>
      <c r="J876">
        <v>0</v>
      </c>
      <c r="K876" t="s">
        <v>5435</v>
      </c>
    </row>
    <row r="877" spans="1:11" x14ac:dyDescent="0.25">
      <c r="A877" t="s">
        <v>4728</v>
      </c>
      <c r="B877">
        <v>68</v>
      </c>
      <c r="C877" t="s">
        <v>5423</v>
      </c>
      <c r="D877" t="s">
        <v>5432</v>
      </c>
      <c r="E877" t="s">
        <v>5431</v>
      </c>
      <c r="F877">
        <v>84</v>
      </c>
      <c r="G877">
        <v>0.45700000000000002</v>
      </c>
      <c r="H877">
        <v>0.45700000000000002</v>
      </c>
      <c r="I877">
        <v>0</v>
      </c>
      <c r="J877">
        <v>0</v>
      </c>
    </row>
    <row r="878" spans="1:11" x14ac:dyDescent="0.25">
      <c r="A878" t="s">
        <v>4733</v>
      </c>
      <c r="B878">
        <v>69</v>
      </c>
      <c r="C878" t="s">
        <v>5423</v>
      </c>
      <c r="D878" t="s">
        <v>5426</v>
      </c>
      <c r="E878" t="s">
        <v>5425</v>
      </c>
      <c r="F878">
        <v>30</v>
      </c>
      <c r="G878">
        <v>0.16300000000000001</v>
      </c>
      <c r="H878">
        <v>0.16300000000000001</v>
      </c>
      <c r="I878">
        <v>0</v>
      </c>
      <c r="J878">
        <v>0</v>
      </c>
    </row>
    <row r="879" spans="1:11" x14ac:dyDescent="0.25">
      <c r="A879" t="s">
        <v>4736</v>
      </c>
      <c r="B879">
        <v>67</v>
      </c>
      <c r="C879" t="s">
        <v>5420</v>
      </c>
      <c r="D879" t="s">
        <v>5432</v>
      </c>
      <c r="E879" t="s">
        <v>5431</v>
      </c>
      <c r="F879">
        <v>84</v>
      </c>
      <c r="G879">
        <v>0.45700000000000002</v>
      </c>
      <c r="H879">
        <v>0.45700000000000002</v>
      </c>
      <c r="I879">
        <v>0</v>
      </c>
      <c r="J879">
        <v>0</v>
      </c>
    </row>
    <row r="880" spans="1:11" x14ac:dyDescent="0.25">
      <c r="A880" t="s">
        <v>4741</v>
      </c>
      <c r="B880">
        <v>60</v>
      </c>
      <c r="C880" t="s">
        <v>5420</v>
      </c>
      <c r="D880" t="s">
        <v>5426</v>
      </c>
      <c r="E880" t="s">
        <v>5431</v>
      </c>
      <c r="F880">
        <v>90</v>
      </c>
      <c r="G880">
        <v>0.48899999999999999</v>
      </c>
      <c r="H880">
        <v>0.48899999999999999</v>
      </c>
      <c r="I880">
        <v>0</v>
      </c>
      <c r="J880">
        <v>0</v>
      </c>
    </row>
    <row r="881" spans="1:10" x14ac:dyDescent="0.25">
      <c r="A881" t="s">
        <v>4746</v>
      </c>
      <c r="B881">
        <v>65</v>
      </c>
      <c r="C881" t="s">
        <v>5423</v>
      </c>
      <c r="D881" t="s">
        <v>5432</v>
      </c>
      <c r="E881" t="s">
        <v>5430</v>
      </c>
      <c r="F881">
        <v>56</v>
      </c>
      <c r="G881">
        <v>0.30399999999999999</v>
      </c>
      <c r="H881">
        <v>0.30399999999999999</v>
      </c>
      <c r="I881">
        <v>0</v>
      </c>
      <c r="J881">
        <v>0</v>
      </c>
    </row>
    <row r="882" spans="1:10" x14ac:dyDescent="0.25">
      <c r="A882" t="s">
        <v>4750</v>
      </c>
      <c r="B882">
        <v>61</v>
      </c>
      <c r="C882" t="s">
        <v>5420</v>
      </c>
      <c r="D882" t="s">
        <v>5426</v>
      </c>
      <c r="E882" t="s">
        <v>5427</v>
      </c>
      <c r="F882">
        <v>56</v>
      </c>
      <c r="G882">
        <v>0.30399999999999999</v>
      </c>
      <c r="H882">
        <v>0.30399999999999999</v>
      </c>
      <c r="I882">
        <v>0</v>
      </c>
      <c r="J882">
        <v>0</v>
      </c>
    </row>
    <row r="883" spans="1:10" x14ac:dyDescent="0.25">
      <c r="A883" t="s">
        <v>4754</v>
      </c>
      <c r="B883">
        <v>66</v>
      </c>
      <c r="C883" t="s">
        <v>5423</v>
      </c>
      <c r="D883" t="s">
        <v>5432</v>
      </c>
      <c r="E883" t="s">
        <v>5430</v>
      </c>
      <c r="F883">
        <v>112</v>
      </c>
      <c r="G883">
        <v>0.60899999999999999</v>
      </c>
      <c r="H883">
        <v>0.60899999999999999</v>
      </c>
      <c r="I883">
        <v>0</v>
      </c>
      <c r="J883">
        <v>0</v>
      </c>
    </row>
    <row r="884" spans="1:10" x14ac:dyDescent="0.25">
      <c r="A884" t="s">
        <v>4760</v>
      </c>
      <c r="B884">
        <v>54</v>
      </c>
      <c r="C884" t="s">
        <v>5420</v>
      </c>
      <c r="D884" t="s">
        <v>5426</v>
      </c>
      <c r="E884" t="s">
        <v>5443</v>
      </c>
      <c r="F884">
        <v>60</v>
      </c>
      <c r="G884">
        <v>0.32600000000000001</v>
      </c>
      <c r="H884">
        <v>0.32600000000000001</v>
      </c>
      <c r="I884">
        <v>0</v>
      </c>
      <c r="J884">
        <v>0</v>
      </c>
    </row>
    <row r="885" spans="1:10" x14ac:dyDescent="0.25">
      <c r="A885" t="s">
        <v>4764</v>
      </c>
      <c r="B885">
        <v>70</v>
      </c>
      <c r="C885" t="s">
        <v>5423</v>
      </c>
      <c r="D885" t="s">
        <v>5429</v>
      </c>
      <c r="E885" t="s">
        <v>5428</v>
      </c>
      <c r="F885">
        <v>112</v>
      </c>
      <c r="G885">
        <v>0.60899999999999999</v>
      </c>
      <c r="H885">
        <v>0.60899999999999999</v>
      </c>
      <c r="I885">
        <v>0</v>
      </c>
      <c r="J885">
        <v>0</v>
      </c>
    </row>
    <row r="886" spans="1:10" x14ac:dyDescent="0.25">
      <c r="A886" t="s">
        <v>4770</v>
      </c>
      <c r="B886">
        <v>49</v>
      </c>
      <c r="C886" t="s">
        <v>5423</v>
      </c>
      <c r="D886" t="s">
        <v>5432</v>
      </c>
      <c r="E886" t="s">
        <v>5428</v>
      </c>
      <c r="F886">
        <v>42</v>
      </c>
      <c r="G886">
        <v>0.22800000000000001</v>
      </c>
      <c r="H886">
        <v>0.22800000000000001</v>
      </c>
      <c r="I886">
        <v>0</v>
      </c>
      <c r="J886">
        <v>0</v>
      </c>
    </row>
    <row r="887" spans="1:10" x14ac:dyDescent="0.25">
      <c r="A887" t="s">
        <v>4774</v>
      </c>
      <c r="B887">
        <v>67</v>
      </c>
      <c r="C887" t="s">
        <v>5420</v>
      </c>
      <c r="D887" t="s">
        <v>5432</v>
      </c>
      <c r="E887" t="s">
        <v>5428</v>
      </c>
      <c r="F887">
        <v>84</v>
      </c>
      <c r="G887">
        <v>0.45700000000000002</v>
      </c>
      <c r="H887">
        <v>0.45700000000000002</v>
      </c>
      <c r="I887">
        <v>0</v>
      </c>
      <c r="J887">
        <v>0</v>
      </c>
    </row>
    <row r="888" spans="1:10" x14ac:dyDescent="0.25">
      <c r="A888" t="s">
        <v>4779</v>
      </c>
      <c r="B888">
        <v>65</v>
      </c>
      <c r="C888" t="s">
        <v>5420</v>
      </c>
      <c r="D888" t="s">
        <v>5429</v>
      </c>
      <c r="E888" t="s">
        <v>5431</v>
      </c>
      <c r="F888">
        <v>56</v>
      </c>
      <c r="G888">
        <v>0.30399999999999999</v>
      </c>
      <c r="H888">
        <v>0.30399999999999999</v>
      </c>
      <c r="I888">
        <v>0</v>
      </c>
      <c r="J888">
        <v>0</v>
      </c>
    </row>
    <row r="889" spans="1:10" x14ac:dyDescent="0.25">
      <c r="A889" t="s">
        <v>4783</v>
      </c>
      <c r="B889">
        <v>64</v>
      </c>
      <c r="C889" t="s">
        <v>5423</v>
      </c>
      <c r="D889" t="s">
        <v>5426</v>
      </c>
      <c r="E889" t="s">
        <v>5427</v>
      </c>
      <c r="F889">
        <v>154</v>
      </c>
      <c r="G889">
        <v>0.83699999999999997</v>
      </c>
      <c r="H889">
        <v>0.83699999999999997</v>
      </c>
      <c r="I889">
        <v>0</v>
      </c>
      <c r="J889">
        <v>0</v>
      </c>
    </row>
    <row r="890" spans="1:10" x14ac:dyDescent="0.25">
      <c r="A890" t="s">
        <v>4796</v>
      </c>
      <c r="B890">
        <v>57</v>
      </c>
      <c r="C890" t="s">
        <v>5423</v>
      </c>
      <c r="D890" t="s">
        <v>5421</v>
      </c>
      <c r="E890" t="s">
        <v>5431</v>
      </c>
      <c r="F890">
        <v>28</v>
      </c>
      <c r="G890">
        <v>0.152</v>
      </c>
      <c r="H890">
        <v>0.152</v>
      </c>
      <c r="I890">
        <v>0</v>
      </c>
      <c r="J890">
        <v>0</v>
      </c>
    </row>
    <row r="891" spans="1:10" x14ac:dyDescent="0.25">
      <c r="A891" t="s">
        <v>4799</v>
      </c>
      <c r="B891">
        <v>55</v>
      </c>
      <c r="C891" t="s">
        <v>5420</v>
      </c>
      <c r="D891" t="s">
        <v>5424</v>
      </c>
      <c r="E891" t="s">
        <v>5430</v>
      </c>
      <c r="F891">
        <v>150</v>
      </c>
      <c r="G891">
        <v>0.81499999999999995</v>
      </c>
      <c r="H891">
        <v>0.81499999999999995</v>
      </c>
      <c r="I891">
        <v>0</v>
      </c>
      <c r="J891">
        <v>0</v>
      </c>
    </row>
    <row r="892" spans="1:10" x14ac:dyDescent="0.25">
      <c r="A892" t="s">
        <v>4806</v>
      </c>
      <c r="B892">
        <v>60</v>
      </c>
      <c r="C892" t="s">
        <v>5420</v>
      </c>
      <c r="D892" t="s">
        <v>5426</v>
      </c>
      <c r="E892" t="s">
        <v>5428</v>
      </c>
      <c r="F892">
        <v>180</v>
      </c>
      <c r="G892">
        <v>0.97799999999999998</v>
      </c>
      <c r="H892">
        <v>0.97799999999999998</v>
      </c>
      <c r="I892">
        <v>0</v>
      </c>
      <c r="J892">
        <v>0</v>
      </c>
    </row>
    <row r="893" spans="1:10" x14ac:dyDescent="0.25">
      <c r="A893" t="s">
        <v>4814</v>
      </c>
      <c r="B893">
        <v>69</v>
      </c>
      <c r="C893" t="s">
        <v>5420</v>
      </c>
      <c r="D893" t="s">
        <v>5426</v>
      </c>
      <c r="E893" t="s">
        <v>5430</v>
      </c>
      <c r="F893">
        <v>90</v>
      </c>
      <c r="G893">
        <v>0.48899999999999999</v>
      </c>
      <c r="H893">
        <v>0.48899999999999999</v>
      </c>
      <c r="I893">
        <v>0</v>
      </c>
      <c r="J893">
        <v>0</v>
      </c>
    </row>
    <row r="894" spans="1:10" x14ac:dyDescent="0.25">
      <c r="A894" t="s">
        <v>4819</v>
      </c>
      <c r="B894">
        <v>61</v>
      </c>
      <c r="C894" t="s">
        <v>5420</v>
      </c>
      <c r="D894" t="s">
        <v>5421</v>
      </c>
      <c r="E894" t="s">
        <v>5431</v>
      </c>
      <c r="F894">
        <v>168</v>
      </c>
      <c r="G894">
        <v>0.91300000000000003</v>
      </c>
      <c r="H894">
        <v>0.91300000000000003</v>
      </c>
      <c r="I894">
        <v>0</v>
      </c>
      <c r="J894">
        <v>0</v>
      </c>
    </row>
    <row r="895" spans="1:10" x14ac:dyDescent="0.25">
      <c r="A895" t="s">
        <v>4833</v>
      </c>
      <c r="B895">
        <v>61</v>
      </c>
      <c r="C895" t="s">
        <v>5420</v>
      </c>
      <c r="D895" t="s">
        <v>5426</v>
      </c>
      <c r="E895" t="s">
        <v>5428</v>
      </c>
      <c r="F895">
        <v>168</v>
      </c>
      <c r="G895">
        <v>0.91300000000000003</v>
      </c>
      <c r="H895">
        <v>0.91300000000000003</v>
      </c>
      <c r="I895">
        <v>0</v>
      </c>
      <c r="J895">
        <v>0</v>
      </c>
    </row>
    <row r="896" spans="1:10" x14ac:dyDescent="0.25">
      <c r="A896" t="s">
        <v>4841</v>
      </c>
      <c r="B896">
        <v>66</v>
      </c>
      <c r="C896" t="s">
        <v>5423</v>
      </c>
      <c r="D896" t="s">
        <v>5429</v>
      </c>
      <c r="E896" t="s">
        <v>5425</v>
      </c>
      <c r="F896">
        <v>140</v>
      </c>
      <c r="G896">
        <v>0.76100000000000001</v>
      </c>
      <c r="H896">
        <v>0.76100000000000001</v>
      </c>
      <c r="I896">
        <v>0</v>
      </c>
      <c r="J896">
        <v>0</v>
      </c>
    </row>
    <row r="897" spans="1:10" x14ac:dyDescent="0.25">
      <c r="A897" t="s">
        <v>4848</v>
      </c>
      <c r="B897">
        <v>59</v>
      </c>
      <c r="C897" t="s">
        <v>5423</v>
      </c>
      <c r="D897" t="s">
        <v>5424</v>
      </c>
      <c r="E897" t="s">
        <v>5428</v>
      </c>
      <c r="F897">
        <v>28</v>
      </c>
      <c r="G897">
        <v>0.152</v>
      </c>
      <c r="H897">
        <v>0.152</v>
      </c>
      <c r="I897">
        <v>0</v>
      </c>
      <c r="J897">
        <v>0</v>
      </c>
    </row>
    <row r="898" spans="1:10" x14ac:dyDescent="0.25">
      <c r="A898" t="s">
        <v>4851</v>
      </c>
      <c r="B898">
        <v>54</v>
      </c>
      <c r="C898" t="s">
        <v>5423</v>
      </c>
      <c r="D898" t="s">
        <v>5429</v>
      </c>
      <c r="E898" t="s">
        <v>5428</v>
      </c>
      <c r="F898">
        <v>120</v>
      </c>
      <c r="G898">
        <v>0.65200000000000002</v>
      </c>
      <c r="H898">
        <v>0.65200000000000002</v>
      </c>
      <c r="I898">
        <v>0</v>
      </c>
      <c r="J898">
        <v>0</v>
      </c>
    </row>
    <row r="899" spans="1:10" x14ac:dyDescent="0.25">
      <c r="A899" t="s">
        <v>4857</v>
      </c>
      <c r="B899">
        <v>54</v>
      </c>
      <c r="C899" t="s">
        <v>5420</v>
      </c>
      <c r="D899" t="s">
        <v>5424</v>
      </c>
      <c r="E899" t="s">
        <v>5425</v>
      </c>
      <c r="F899">
        <v>56</v>
      </c>
      <c r="G899">
        <v>0.30399999999999999</v>
      </c>
      <c r="H899">
        <v>0.30399999999999999</v>
      </c>
      <c r="I899">
        <v>0</v>
      </c>
      <c r="J899">
        <v>0</v>
      </c>
    </row>
    <row r="900" spans="1:10" x14ac:dyDescent="0.25">
      <c r="A900" t="s">
        <v>4861</v>
      </c>
      <c r="B900">
        <v>32</v>
      </c>
      <c r="C900" t="s">
        <v>5420</v>
      </c>
      <c r="D900" t="s">
        <v>5426</v>
      </c>
      <c r="E900" t="s">
        <v>5422</v>
      </c>
      <c r="F900">
        <v>84</v>
      </c>
      <c r="G900">
        <v>0.45700000000000002</v>
      </c>
      <c r="H900">
        <v>0.45700000000000002</v>
      </c>
      <c r="I900">
        <v>0</v>
      </c>
      <c r="J900">
        <v>0</v>
      </c>
    </row>
    <row r="901" spans="1:10" x14ac:dyDescent="0.25">
      <c r="A901" t="s">
        <v>4866</v>
      </c>
      <c r="B901">
        <v>58</v>
      </c>
      <c r="C901" t="s">
        <v>5423</v>
      </c>
      <c r="D901" t="s">
        <v>5424</v>
      </c>
      <c r="E901" t="s">
        <v>5430</v>
      </c>
      <c r="F901">
        <v>56</v>
      </c>
      <c r="G901">
        <v>0.30399999999999999</v>
      </c>
      <c r="H901">
        <v>0.30399999999999999</v>
      </c>
      <c r="I901">
        <v>0</v>
      </c>
      <c r="J901">
        <v>0</v>
      </c>
    </row>
    <row r="902" spans="1:10" x14ac:dyDescent="0.25">
      <c r="A902" t="s">
        <v>4870</v>
      </c>
      <c r="B902">
        <v>55</v>
      </c>
      <c r="C902" t="s">
        <v>5420</v>
      </c>
      <c r="D902" t="s">
        <v>5432</v>
      </c>
      <c r="E902" t="s">
        <v>5430</v>
      </c>
      <c r="F902">
        <v>140</v>
      </c>
      <c r="G902">
        <v>0.76100000000000001</v>
      </c>
      <c r="H902">
        <v>0.76100000000000001</v>
      </c>
      <c r="I902">
        <v>0</v>
      </c>
      <c r="J902">
        <v>0</v>
      </c>
    </row>
    <row r="903" spans="1:10" x14ac:dyDescent="0.25">
      <c r="A903" t="s">
        <v>4877</v>
      </c>
      <c r="B903">
        <v>66</v>
      </c>
      <c r="C903" t="s">
        <v>5423</v>
      </c>
      <c r="D903" t="s">
        <v>5429</v>
      </c>
      <c r="E903" t="s">
        <v>5430</v>
      </c>
      <c r="F903">
        <v>56</v>
      </c>
      <c r="G903">
        <v>0.30399999999999999</v>
      </c>
      <c r="H903">
        <v>0.30399999999999999</v>
      </c>
      <c r="I903">
        <v>0</v>
      </c>
      <c r="J903">
        <v>0</v>
      </c>
    </row>
    <row r="904" spans="1:10" x14ac:dyDescent="0.25">
      <c r="A904" t="s">
        <v>4881</v>
      </c>
      <c r="B904">
        <v>61</v>
      </c>
      <c r="C904" t="s">
        <v>5420</v>
      </c>
      <c r="D904" t="s">
        <v>5426</v>
      </c>
      <c r="E904" t="s">
        <v>5422</v>
      </c>
      <c r="F904">
        <v>180</v>
      </c>
      <c r="G904">
        <v>0.97799999999999998</v>
      </c>
      <c r="H904">
        <v>0.97799999999999998</v>
      </c>
      <c r="I904">
        <v>0</v>
      </c>
      <c r="J904">
        <v>0</v>
      </c>
    </row>
    <row r="905" spans="1:10" x14ac:dyDescent="0.25">
      <c r="A905" t="s">
        <v>4889</v>
      </c>
      <c r="B905">
        <v>57</v>
      </c>
      <c r="C905" t="s">
        <v>5423</v>
      </c>
      <c r="D905" t="s">
        <v>5424</v>
      </c>
      <c r="E905" t="s">
        <v>5430</v>
      </c>
      <c r="F905">
        <v>112</v>
      </c>
      <c r="G905">
        <v>0.60899999999999999</v>
      </c>
      <c r="H905">
        <v>0.60899999999999999</v>
      </c>
      <c r="I905">
        <v>0</v>
      </c>
      <c r="J905">
        <v>0</v>
      </c>
    </row>
    <row r="906" spans="1:10" x14ac:dyDescent="0.25">
      <c r="A906" t="s">
        <v>4895</v>
      </c>
      <c r="B906">
        <v>51</v>
      </c>
      <c r="C906" t="s">
        <v>5420</v>
      </c>
      <c r="D906" t="s">
        <v>5426</v>
      </c>
      <c r="E906" t="s">
        <v>5427</v>
      </c>
      <c r="F906">
        <v>28</v>
      </c>
      <c r="G906">
        <v>0.152</v>
      </c>
      <c r="H906">
        <v>0.152</v>
      </c>
      <c r="I906">
        <v>0</v>
      </c>
      <c r="J906">
        <v>0</v>
      </c>
    </row>
    <row r="907" spans="1:10" x14ac:dyDescent="0.25">
      <c r="A907" t="s">
        <v>4898</v>
      </c>
      <c r="B907">
        <v>54</v>
      </c>
      <c r="C907" t="s">
        <v>5423</v>
      </c>
      <c r="D907" t="s">
        <v>5424</v>
      </c>
      <c r="E907" t="s">
        <v>5427</v>
      </c>
      <c r="F907">
        <v>56</v>
      </c>
      <c r="G907">
        <v>0.30399999999999999</v>
      </c>
      <c r="H907">
        <v>0.30399999999999999</v>
      </c>
      <c r="I907">
        <v>0</v>
      </c>
      <c r="J907">
        <v>0</v>
      </c>
    </row>
    <row r="908" spans="1:10" x14ac:dyDescent="0.25">
      <c r="A908" t="s">
        <v>4902</v>
      </c>
      <c r="B908">
        <v>50</v>
      </c>
      <c r="C908" t="s">
        <v>5420</v>
      </c>
      <c r="D908" t="s">
        <v>5426</v>
      </c>
      <c r="E908" t="s">
        <v>5425</v>
      </c>
      <c r="F908">
        <v>112</v>
      </c>
      <c r="G908">
        <v>0.60899999999999999</v>
      </c>
      <c r="H908">
        <v>0.60899999999999999</v>
      </c>
      <c r="I908">
        <v>0</v>
      </c>
      <c r="J908">
        <v>0</v>
      </c>
    </row>
    <row r="909" spans="1:10" x14ac:dyDescent="0.25">
      <c r="A909" t="s">
        <v>4908</v>
      </c>
      <c r="B909">
        <v>58</v>
      </c>
      <c r="C909" t="s">
        <v>5420</v>
      </c>
      <c r="D909" t="s">
        <v>5421</v>
      </c>
      <c r="E909" t="s">
        <v>5431</v>
      </c>
      <c r="F909">
        <v>112</v>
      </c>
      <c r="G909">
        <v>0.60899999999999999</v>
      </c>
      <c r="H909">
        <v>0.60899999999999999</v>
      </c>
      <c r="I909">
        <v>0</v>
      </c>
      <c r="J909">
        <v>0</v>
      </c>
    </row>
    <row r="910" spans="1:10" x14ac:dyDescent="0.25">
      <c r="A910" t="s">
        <v>4914</v>
      </c>
      <c r="B910">
        <v>70</v>
      </c>
      <c r="C910" t="s">
        <v>5420</v>
      </c>
      <c r="D910" t="s">
        <v>5432</v>
      </c>
      <c r="E910" t="s">
        <v>5431</v>
      </c>
      <c r="F910">
        <v>63</v>
      </c>
      <c r="G910">
        <v>0.34200000000000003</v>
      </c>
      <c r="H910">
        <v>0.34200000000000003</v>
      </c>
      <c r="I910">
        <v>0</v>
      </c>
      <c r="J910">
        <v>0</v>
      </c>
    </row>
    <row r="911" spans="1:10" x14ac:dyDescent="0.25">
      <c r="A911" t="s">
        <v>4919</v>
      </c>
      <c r="B911">
        <v>80</v>
      </c>
      <c r="C911" t="s">
        <v>5420</v>
      </c>
      <c r="D911" t="s">
        <v>5432</v>
      </c>
      <c r="E911" t="s">
        <v>5427</v>
      </c>
      <c r="F911">
        <v>56</v>
      </c>
      <c r="G911">
        <v>0.30399999999999999</v>
      </c>
      <c r="H911">
        <v>0.30399999999999999</v>
      </c>
      <c r="I911">
        <v>0</v>
      </c>
      <c r="J911">
        <v>0</v>
      </c>
    </row>
    <row r="912" spans="1:10" x14ac:dyDescent="0.25">
      <c r="A912" t="s">
        <v>4923</v>
      </c>
      <c r="B912">
        <v>69</v>
      </c>
      <c r="C912" t="s">
        <v>5420</v>
      </c>
      <c r="D912" t="s">
        <v>5421</v>
      </c>
      <c r="E912" t="s">
        <v>5430</v>
      </c>
      <c r="F912">
        <v>168</v>
      </c>
      <c r="G912">
        <v>0.91300000000000003</v>
      </c>
      <c r="H912">
        <v>0.91300000000000003</v>
      </c>
      <c r="I912">
        <v>0</v>
      </c>
      <c r="J912">
        <v>0</v>
      </c>
    </row>
    <row r="913" spans="1:10" x14ac:dyDescent="0.25">
      <c r="A913" t="s">
        <v>4931</v>
      </c>
      <c r="B913">
        <v>43</v>
      </c>
      <c r="C913" t="s">
        <v>5423</v>
      </c>
      <c r="D913" t="s">
        <v>5426</v>
      </c>
      <c r="E913" t="s">
        <v>5431</v>
      </c>
      <c r="F913">
        <v>84</v>
      </c>
      <c r="G913">
        <v>0.45700000000000002</v>
      </c>
      <c r="H913">
        <v>0.45700000000000002</v>
      </c>
      <c r="I913">
        <v>0</v>
      </c>
      <c r="J913">
        <v>0</v>
      </c>
    </row>
    <row r="914" spans="1:10" x14ac:dyDescent="0.25">
      <c r="A914" t="s">
        <v>4936</v>
      </c>
      <c r="B914">
        <v>52</v>
      </c>
      <c r="C914" t="s">
        <v>5420</v>
      </c>
      <c r="D914" t="s">
        <v>5424</v>
      </c>
      <c r="E914" t="s">
        <v>5425</v>
      </c>
      <c r="F914">
        <v>120</v>
      </c>
      <c r="G914">
        <v>0.65200000000000002</v>
      </c>
      <c r="H914">
        <v>0.65200000000000002</v>
      </c>
      <c r="I914">
        <v>0</v>
      </c>
      <c r="J914">
        <v>0</v>
      </c>
    </row>
    <row r="915" spans="1:10" x14ac:dyDescent="0.25">
      <c r="A915" t="s">
        <v>4942</v>
      </c>
      <c r="B915">
        <v>55</v>
      </c>
      <c r="C915" t="s">
        <v>5420</v>
      </c>
      <c r="D915" t="s">
        <v>5421</v>
      </c>
      <c r="E915" t="s">
        <v>5427</v>
      </c>
      <c r="F915">
        <v>56</v>
      </c>
      <c r="G915">
        <v>0.30399999999999999</v>
      </c>
      <c r="H915">
        <v>0.30399999999999999</v>
      </c>
      <c r="I915">
        <v>0</v>
      </c>
      <c r="J915">
        <v>0</v>
      </c>
    </row>
    <row r="916" spans="1:10" x14ac:dyDescent="0.25">
      <c r="A916" t="s">
        <v>4946</v>
      </c>
      <c r="B916">
        <v>71</v>
      </c>
      <c r="C916" t="s">
        <v>5423</v>
      </c>
      <c r="D916" t="s">
        <v>5426</v>
      </c>
      <c r="E916" t="s">
        <v>5428</v>
      </c>
      <c r="F916">
        <v>168</v>
      </c>
      <c r="G916">
        <v>0.91300000000000003</v>
      </c>
      <c r="H916">
        <v>0.91300000000000003</v>
      </c>
      <c r="I916">
        <v>0</v>
      </c>
      <c r="J916">
        <v>0</v>
      </c>
    </row>
    <row r="917" spans="1:10" x14ac:dyDescent="0.25">
      <c r="A917" t="s">
        <v>4954</v>
      </c>
      <c r="B917">
        <v>66</v>
      </c>
      <c r="C917" t="s">
        <v>5423</v>
      </c>
      <c r="D917" t="s">
        <v>5426</v>
      </c>
      <c r="E917" t="s">
        <v>5427</v>
      </c>
      <c r="F917">
        <v>168</v>
      </c>
      <c r="G917">
        <v>0.91300000000000003</v>
      </c>
      <c r="H917">
        <v>0.91300000000000003</v>
      </c>
      <c r="I917">
        <v>0</v>
      </c>
      <c r="J917">
        <v>0</v>
      </c>
    </row>
    <row r="918" spans="1:10" x14ac:dyDescent="0.25">
      <c r="A918" t="s">
        <v>4962</v>
      </c>
      <c r="B918">
        <v>45</v>
      </c>
      <c r="C918" t="s">
        <v>5420</v>
      </c>
      <c r="D918" t="s">
        <v>5426</v>
      </c>
      <c r="E918" t="s">
        <v>5422</v>
      </c>
      <c r="F918">
        <v>105</v>
      </c>
      <c r="G918">
        <v>0.57099999999999995</v>
      </c>
      <c r="H918">
        <v>0.57099999999999995</v>
      </c>
      <c r="I918">
        <v>0</v>
      </c>
      <c r="J918">
        <v>0</v>
      </c>
    </row>
    <row r="919" spans="1:10" x14ac:dyDescent="0.25">
      <c r="A919" t="s">
        <v>4969</v>
      </c>
      <c r="B919">
        <v>56</v>
      </c>
      <c r="C919" t="s">
        <v>5423</v>
      </c>
      <c r="D919" t="s">
        <v>5426</v>
      </c>
      <c r="E919" t="s">
        <v>5422</v>
      </c>
      <c r="F919">
        <v>140</v>
      </c>
      <c r="G919">
        <v>0.76100000000000001</v>
      </c>
      <c r="H919">
        <v>0.76100000000000001</v>
      </c>
      <c r="I919">
        <v>0</v>
      </c>
      <c r="J919">
        <v>0</v>
      </c>
    </row>
    <row r="920" spans="1:10" x14ac:dyDescent="0.25">
      <c r="A920" t="s">
        <v>4976</v>
      </c>
      <c r="B920">
        <v>64</v>
      </c>
      <c r="C920" t="s">
        <v>5420</v>
      </c>
      <c r="D920" t="s">
        <v>5426</v>
      </c>
      <c r="E920" t="s">
        <v>5430</v>
      </c>
      <c r="F920">
        <v>28</v>
      </c>
      <c r="G920">
        <v>0.152</v>
      </c>
      <c r="H920">
        <v>0.152</v>
      </c>
      <c r="I920">
        <v>0</v>
      </c>
      <c r="J920">
        <v>0</v>
      </c>
    </row>
    <row r="921" spans="1:10" x14ac:dyDescent="0.25">
      <c r="A921" t="s">
        <v>4979</v>
      </c>
      <c r="B921">
        <v>52</v>
      </c>
      <c r="C921" t="s">
        <v>5420</v>
      </c>
      <c r="D921" t="s">
        <v>5421</v>
      </c>
      <c r="E921" t="s">
        <v>5430</v>
      </c>
      <c r="F921">
        <v>84</v>
      </c>
      <c r="G921">
        <v>0.45700000000000002</v>
      </c>
      <c r="H921">
        <v>0.45700000000000002</v>
      </c>
      <c r="I921">
        <v>0</v>
      </c>
      <c r="J921">
        <v>0</v>
      </c>
    </row>
    <row r="922" spans="1:10" x14ac:dyDescent="0.25">
      <c r="A922" t="s">
        <v>4984</v>
      </c>
      <c r="B922">
        <v>57</v>
      </c>
      <c r="C922" t="s">
        <v>5420</v>
      </c>
      <c r="D922" t="s">
        <v>5432</v>
      </c>
      <c r="E922" t="s">
        <v>5425</v>
      </c>
      <c r="F922">
        <v>56</v>
      </c>
      <c r="G922">
        <v>0.30399999999999999</v>
      </c>
      <c r="H922">
        <v>0.30399999999999999</v>
      </c>
      <c r="I922">
        <v>0</v>
      </c>
      <c r="J922">
        <v>0</v>
      </c>
    </row>
    <row r="923" spans="1:10" x14ac:dyDescent="0.25">
      <c r="A923" t="s">
        <v>4988</v>
      </c>
      <c r="B923">
        <v>41</v>
      </c>
      <c r="C923" t="s">
        <v>5423</v>
      </c>
      <c r="D923" t="s">
        <v>5432</v>
      </c>
      <c r="E923" t="s">
        <v>5430</v>
      </c>
      <c r="F923">
        <v>112</v>
      </c>
      <c r="G923">
        <v>0.60899999999999999</v>
      </c>
      <c r="H923">
        <v>0.60899999999999999</v>
      </c>
      <c r="I923">
        <v>0</v>
      </c>
      <c r="J923">
        <v>0</v>
      </c>
    </row>
    <row r="924" spans="1:10" x14ac:dyDescent="0.25">
      <c r="A924" t="s">
        <v>4994</v>
      </c>
      <c r="B924">
        <v>49</v>
      </c>
      <c r="C924" t="s">
        <v>5423</v>
      </c>
      <c r="D924" t="s">
        <v>5421</v>
      </c>
      <c r="E924" t="s">
        <v>5428</v>
      </c>
      <c r="F924">
        <v>84</v>
      </c>
      <c r="G924">
        <v>0.45700000000000002</v>
      </c>
      <c r="H924">
        <v>0.45700000000000002</v>
      </c>
      <c r="I924">
        <v>0</v>
      </c>
      <c r="J924">
        <v>0</v>
      </c>
    </row>
    <row r="925" spans="1:10" x14ac:dyDescent="0.25">
      <c r="A925" t="s">
        <v>4999</v>
      </c>
      <c r="B925">
        <v>63</v>
      </c>
      <c r="C925" t="s">
        <v>5423</v>
      </c>
      <c r="D925" t="s">
        <v>5426</v>
      </c>
      <c r="E925" t="s">
        <v>5422</v>
      </c>
      <c r="F925">
        <v>14</v>
      </c>
      <c r="G925">
        <v>7.5999999999999998E-2</v>
      </c>
      <c r="H925">
        <v>7.5999999999999998E-2</v>
      </c>
      <c r="I925">
        <v>0</v>
      </c>
      <c r="J925">
        <v>0</v>
      </c>
    </row>
    <row r="926" spans="1:10" x14ac:dyDescent="0.25">
      <c r="A926" t="s">
        <v>5002</v>
      </c>
      <c r="B926">
        <v>62</v>
      </c>
      <c r="C926" t="s">
        <v>5420</v>
      </c>
      <c r="D926" t="s">
        <v>5426</v>
      </c>
      <c r="E926" t="s">
        <v>5425</v>
      </c>
      <c r="F926">
        <v>28</v>
      </c>
      <c r="G926">
        <v>0.152</v>
      </c>
      <c r="H926">
        <v>0.152</v>
      </c>
      <c r="I926">
        <v>0</v>
      </c>
      <c r="J926">
        <v>0</v>
      </c>
    </row>
    <row r="927" spans="1:10" x14ac:dyDescent="0.25">
      <c r="A927" t="s">
        <v>5006</v>
      </c>
      <c r="B927">
        <v>90</v>
      </c>
      <c r="C927" t="s">
        <v>5423</v>
      </c>
      <c r="D927" t="s">
        <v>5432</v>
      </c>
      <c r="E927" t="s">
        <v>5428</v>
      </c>
      <c r="F927">
        <v>168</v>
      </c>
      <c r="G927">
        <v>0.91300000000000003</v>
      </c>
      <c r="H927">
        <v>0.91300000000000003</v>
      </c>
      <c r="I927">
        <v>0</v>
      </c>
      <c r="J927">
        <v>0</v>
      </c>
    </row>
    <row r="928" spans="1:10" x14ac:dyDescent="0.25">
      <c r="A928" t="s">
        <v>5020</v>
      </c>
      <c r="B928">
        <v>66</v>
      </c>
      <c r="C928" t="s">
        <v>5423</v>
      </c>
      <c r="D928" t="s">
        <v>5426</v>
      </c>
      <c r="E928" t="s">
        <v>5430</v>
      </c>
      <c r="F928">
        <v>60</v>
      </c>
      <c r="G928">
        <v>0.32600000000000001</v>
      </c>
      <c r="H928">
        <v>0.32600000000000001</v>
      </c>
      <c r="I928">
        <v>0</v>
      </c>
      <c r="J928">
        <v>0</v>
      </c>
    </row>
    <row r="929" spans="1:10" x14ac:dyDescent="0.25">
      <c r="A929" t="s">
        <v>5024</v>
      </c>
      <c r="B929">
        <v>54</v>
      </c>
      <c r="C929" t="s">
        <v>5423</v>
      </c>
      <c r="D929" t="s">
        <v>5426</v>
      </c>
      <c r="E929" t="s">
        <v>5446</v>
      </c>
      <c r="F929">
        <v>140</v>
      </c>
      <c r="G929">
        <v>0.76100000000000001</v>
      </c>
      <c r="H929">
        <v>0.76100000000000001</v>
      </c>
      <c r="I929">
        <v>0</v>
      </c>
      <c r="J929">
        <v>0</v>
      </c>
    </row>
    <row r="930" spans="1:10" x14ac:dyDescent="0.25">
      <c r="A930" t="s">
        <v>5031</v>
      </c>
      <c r="B930">
        <v>65</v>
      </c>
      <c r="C930" t="s">
        <v>5420</v>
      </c>
      <c r="D930" t="s">
        <v>5432</v>
      </c>
      <c r="E930" t="s">
        <v>5427</v>
      </c>
      <c r="F930">
        <v>112</v>
      </c>
      <c r="G930">
        <v>0.60899999999999999</v>
      </c>
      <c r="H930">
        <v>0.60899999999999999</v>
      </c>
      <c r="I930">
        <v>0</v>
      </c>
      <c r="J930">
        <v>0</v>
      </c>
    </row>
    <row r="931" spans="1:10" x14ac:dyDescent="0.25">
      <c r="A931" t="s">
        <v>5037</v>
      </c>
      <c r="B931">
        <v>63</v>
      </c>
      <c r="C931" t="s">
        <v>5423</v>
      </c>
      <c r="D931" t="s">
        <v>5426</v>
      </c>
      <c r="E931" t="s">
        <v>5427</v>
      </c>
      <c r="F931">
        <v>90</v>
      </c>
      <c r="G931">
        <v>0.48899999999999999</v>
      </c>
      <c r="H931">
        <v>0.48899999999999999</v>
      </c>
      <c r="I931">
        <v>0</v>
      </c>
      <c r="J931">
        <v>0</v>
      </c>
    </row>
    <row r="932" spans="1:10" x14ac:dyDescent="0.25">
      <c r="A932" t="s">
        <v>5042</v>
      </c>
      <c r="B932">
        <v>59</v>
      </c>
      <c r="C932" t="s">
        <v>5420</v>
      </c>
      <c r="D932" t="s">
        <v>5426</v>
      </c>
      <c r="E932" t="s">
        <v>5427</v>
      </c>
      <c r="F932">
        <v>56</v>
      </c>
      <c r="G932">
        <v>0.30399999999999999</v>
      </c>
      <c r="H932">
        <v>0.30399999999999999</v>
      </c>
      <c r="I932">
        <v>0</v>
      </c>
      <c r="J932">
        <v>0</v>
      </c>
    </row>
    <row r="933" spans="1:10" x14ac:dyDescent="0.25">
      <c r="A933" t="s">
        <v>5046</v>
      </c>
      <c r="B933">
        <v>62</v>
      </c>
      <c r="C933" t="s">
        <v>5420</v>
      </c>
      <c r="D933" t="s">
        <v>5429</v>
      </c>
      <c r="E933" t="s">
        <v>5422</v>
      </c>
      <c r="F933">
        <v>168</v>
      </c>
      <c r="G933">
        <v>0.91300000000000003</v>
      </c>
      <c r="H933">
        <v>0.91300000000000003</v>
      </c>
      <c r="I933">
        <v>0</v>
      </c>
      <c r="J933">
        <v>0</v>
      </c>
    </row>
    <row r="934" spans="1:10" x14ac:dyDescent="0.25">
      <c r="A934" t="s">
        <v>5054</v>
      </c>
      <c r="B934">
        <v>64</v>
      </c>
      <c r="C934" t="s">
        <v>5420</v>
      </c>
      <c r="D934" t="s">
        <v>5426</v>
      </c>
      <c r="E934" t="s">
        <v>5425</v>
      </c>
      <c r="F934">
        <v>84</v>
      </c>
      <c r="G934">
        <v>0.45700000000000002</v>
      </c>
      <c r="H934">
        <v>0.45700000000000002</v>
      </c>
      <c r="I934">
        <v>0</v>
      </c>
      <c r="J934">
        <v>0</v>
      </c>
    </row>
    <row r="935" spans="1:10" x14ac:dyDescent="0.25">
      <c r="A935" t="s">
        <v>5059</v>
      </c>
      <c r="B935">
        <v>68</v>
      </c>
      <c r="C935" t="s">
        <v>5420</v>
      </c>
      <c r="D935" t="s">
        <v>5429</v>
      </c>
      <c r="E935" t="s">
        <v>5428</v>
      </c>
      <c r="F935">
        <v>30</v>
      </c>
      <c r="G935">
        <v>0.16300000000000001</v>
      </c>
      <c r="H935">
        <v>0.16300000000000001</v>
      </c>
      <c r="I935">
        <v>0</v>
      </c>
      <c r="J935">
        <v>0</v>
      </c>
    </row>
    <row r="936" spans="1:10" x14ac:dyDescent="0.25">
      <c r="A936" t="s">
        <v>5062</v>
      </c>
      <c r="B936">
        <v>52</v>
      </c>
      <c r="C936" t="s">
        <v>5420</v>
      </c>
      <c r="D936" t="s">
        <v>5426</v>
      </c>
      <c r="E936" t="s">
        <v>5430</v>
      </c>
      <c r="F936">
        <v>84</v>
      </c>
      <c r="G936">
        <v>0.45700000000000002</v>
      </c>
      <c r="H936">
        <v>0.45700000000000002</v>
      </c>
      <c r="I936">
        <v>0</v>
      </c>
      <c r="J936">
        <v>0</v>
      </c>
    </row>
    <row r="937" spans="1:10" x14ac:dyDescent="0.25">
      <c r="A937" t="s">
        <v>5067</v>
      </c>
      <c r="B937">
        <v>75</v>
      </c>
      <c r="C937" t="s">
        <v>5423</v>
      </c>
      <c r="D937" t="s">
        <v>5426</v>
      </c>
      <c r="E937" t="s">
        <v>5431</v>
      </c>
      <c r="F937">
        <v>180</v>
      </c>
      <c r="G937">
        <v>0.97799999999999998</v>
      </c>
      <c r="H937">
        <v>0.97799999999999998</v>
      </c>
      <c r="I937">
        <v>0</v>
      </c>
      <c r="J937">
        <v>0</v>
      </c>
    </row>
    <row r="938" spans="1:10" x14ac:dyDescent="0.25">
      <c r="A938" t="s">
        <v>5075</v>
      </c>
      <c r="B938">
        <v>53</v>
      </c>
      <c r="C938" t="s">
        <v>5420</v>
      </c>
      <c r="D938" t="s">
        <v>5426</v>
      </c>
      <c r="E938" t="s">
        <v>5431</v>
      </c>
      <c r="F938">
        <v>56</v>
      </c>
      <c r="G938">
        <v>0.30399999999999999</v>
      </c>
      <c r="H938">
        <v>0.30399999999999999</v>
      </c>
      <c r="I938">
        <v>0</v>
      </c>
      <c r="J938">
        <v>0</v>
      </c>
    </row>
    <row r="939" spans="1:10" x14ac:dyDescent="0.25">
      <c r="A939" t="s">
        <v>5079</v>
      </c>
      <c r="B939">
        <v>62</v>
      </c>
      <c r="C939" t="s">
        <v>5420</v>
      </c>
      <c r="D939" t="s">
        <v>5429</v>
      </c>
      <c r="E939" t="s">
        <v>5425</v>
      </c>
      <c r="F939">
        <v>150</v>
      </c>
      <c r="G939">
        <v>0.81499999999999995</v>
      </c>
      <c r="H939">
        <v>0.81499999999999995</v>
      </c>
      <c r="I939">
        <v>0</v>
      </c>
      <c r="J939">
        <v>0</v>
      </c>
    </row>
    <row r="940" spans="1:10" x14ac:dyDescent="0.25">
      <c r="A940" t="s">
        <v>5086</v>
      </c>
      <c r="B940">
        <v>55</v>
      </c>
      <c r="C940" t="s">
        <v>5434</v>
      </c>
      <c r="D940" t="s">
        <v>5432</v>
      </c>
      <c r="E940" t="s">
        <v>5425</v>
      </c>
      <c r="F940">
        <v>147</v>
      </c>
      <c r="G940">
        <v>0.79900000000000004</v>
      </c>
      <c r="H940">
        <v>0.79900000000000004</v>
      </c>
      <c r="I940">
        <v>0</v>
      </c>
      <c r="J940">
        <v>0</v>
      </c>
    </row>
    <row r="941" spans="1:10" x14ac:dyDescent="0.25">
      <c r="A941" t="s">
        <v>5095</v>
      </c>
      <c r="B941">
        <v>59</v>
      </c>
      <c r="C941" t="s">
        <v>5423</v>
      </c>
      <c r="D941" t="s">
        <v>5421</v>
      </c>
      <c r="E941" t="s">
        <v>5430</v>
      </c>
      <c r="F941">
        <v>28</v>
      </c>
      <c r="G941">
        <v>0.152</v>
      </c>
      <c r="H941">
        <v>0.152</v>
      </c>
      <c r="I941">
        <v>0</v>
      </c>
      <c r="J941">
        <v>0</v>
      </c>
    </row>
    <row r="942" spans="1:10" x14ac:dyDescent="0.25">
      <c r="A942" t="s">
        <v>5098</v>
      </c>
      <c r="B942">
        <v>74</v>
      </c>
      <c r="C942" t="s">
        <v>5420</v>
      </c>
      <c r="D942" t="s">
        <v>5432</v>
      </c>
      <c r="E942" t="s">
        <v>5427</v>
      </c>
      <c r="F942">
        <v>56</v>
      </c>
      <c r="G942">
        <v>0.30399999999999999</v>
      </c>
      <c r="H942">
        <v>0.30399999999999999</v>
      </c>
      <c r="I942">
        <v>0</v>
      </c>
      <c r="J942">
        <v>0</v>
      </c>
    </row>
    <row r="943" spans="1:10" x14ac:dyDescent="0.25">
      <c r="A943" t="s">
        <v>5102</v>
      </c>
      <c r="B943">
        <v>65</v>
      </c>
      <c r="C943" t="s">
        <v>5423</v>
      </c>
      <c r="D943" t="s">
        <v>5432</v>
      </c>
      <c r="E943" t="s">
        <v>5425</v>
      </c>
      <c r="F943">
        <v>60</v>
      </c>
      <c r="G943">
        <v>0.32600000000000001</v>
      </c>
      <c r="H943">
        <v>0.32600000000000001</v>
      </c>
      <c r="I943">
        <v>0</v>
      </c>
      <c r="J943">
        <v>0</v>
      </c>
    </row>
    <row r="944" spans="1:10" x14ac:dyDescent="0.25">
      <c r="A944" t="s">
        <v>5106</v>
      </c>
      <c r="B944">
        <v>65</v>
      </c>
      <c r="C944" t="s">
        <v>5423</v>
      </c>
      <c r="D944" t="s">
        <v>5426</v>
      </c>
      <c r="E944" t="s">
        <v>5431</v>
      </c>
      <c r="F944">
        <v>168</v>
      </c>
      <c r="G944">
        <v>0.91300000000000003</v>
      </c>
      <c r="H944">
        <v>0.91300000000000003</v>
      </c>
      <c r="I944">
        <v>0</v>
      </c>
      <c r="J944">
        <v>0</v>
      </c>
    </row>
    <row r="945" spans="1:10" x14ac:dyDescent="0.25">
      <c r="A945" t="s">
        <v>5111</v>
      </c>
      <c r="B945">
        <v>52</v>
      </c>
      <c r="C945" t="s">
        <v>5423</v>
      </c>
      <c r="D945" t="s">
        <v>5424</v>
      </c>
      <c r="E945" t="s">
        <v>5425</v>
      </c>
      <c r="F945">
        <v>70</v>
      </c>
      <c r="G945">
        <v>0.38</v>
      </c>
      <c r="H945">
        <v>0.38</v>
      </c>
      <c r="I945">
        <v>0</v>
      </c>
      <c r="J945">
        <v>0</v>
      </c>
    </row>
    <row r="946" spans="1:10" x14ac:dyDescent="0.25">
      <c r="A946" t="s">
        <v>5118</v>
      </c>
      <c r="B946">
        <v>79</v>
      </c>
      <c r="C946" t="s">
        <v>5420</v>
      </c>
      <c r="D946" t="s">
        <v>5429</v>
      </c>
      <c r="E946" t="s">
        <v>5425</v>
      </c>
      <c r="F946">
        <v>28</v>
      </c>
      <c r="G946">
        <v>0.152</v>
      </c>
      <c r="H946">
        <v>0.152</v>
      </c>
      <c r="I946">
        <v>0</v>
      </c>
      <c r="J946">
        <v>0</v>
      </c>
    </row>
    <row r="947" spans="1:10" x14ac:dyDescent="0.25">
      <c r="A947" t="s">
        <v>5121</v>
      </c>
      <c r="B947">
        <v>61</v>
      </c>
      <c r="C947" t="s">
        <v>5420</v>
      </c>
      <c r="D947" t="s">
        <v>5426</v>
      </c>
      <c r="E947" t="s">
        <v>5430</v>
      </c>
      <c r="F947">
        <v>60</v>
      </c>
      <c r="G947">
        <v>0.32600000000000001</v>
      </c>
      <c r="H947">
        <v>0.32600000000000001</v>
      </c>
      <c r="I947">
        <v>0</v>
      </c>
      <c r="J947">
        <v>0</v>
      </c>
    </row>
    <row r="948" spans="1:10" x14ac:dyDescent="0.25">
      <c r="A948" t="s">
        <v>5125</v>
      </c>
      <c r="B948">
        <v>58</v>
      </c>
      <c r="C948" t="s">
        <v>5423</v>
      </c>
      <c r="D948" t="s">
        <v>5429</v>
      </c>
      <c r="E948" t="s">
        <v>5428</v>
      </c>
      <c r="F948">
        <v>168</v>
      </c>
      <c r="G948">
        <v>0.91300000000000003</v>
      </c>
      <c r="H948">
        <v>0.91300000000000003</v>
      </c>
      <c r="I948">
        <v>0</v>
      </c>
      <c r="J948">
        <v>0</v>
      </c>
    </row>
    <row r="949" spans="1:10" x14ac:dyDescent="0.25">
      <c r="A949" t="s">
        <v>5135</v>
      </c>
      <c r="B949">
        <v>66</v>
      </c>
      <c r="C949" t="s">
        <v>5423</v>
      </c>
      <c r="D949" t="s">
        <v>5426</v>
      </c>
      <c r="E949" t="s">
        <v>5430</v>
      </c>
      <c r="F949">
        <v>56</v>
      </c>
      <c r="G949">
        <v>0.30399999999999999</v>
      </c>
      <c r="H949">
        <v>0.30399999999999999</v>
      </c>
      <c r="I949">
        <v>0</v>
      </c>
      <c r="J949">
        <v>0</v>
      </c>
    </row>
    <row r="950" spans="1:10" x14ac:dyDescent="0.25">
      <c r="A950" t="s">
        <v>5139</v>
      </c>
      <c r="B950">
        <v>63</v>
      </c>
      <c r="C950" t="s">
        <v>5420</v>
      </c>
      <c r="D950" t="s">
        <v>5426</v>
      </c>
      <c r="E950" t="s">
        <v>5427</v>
      </c>
      <c r="F950">
        <v>147</v>
      </c>
      <c r="G950">
        <v>0.79900000000000004</v>
      </c>
      <c r="H950">
        <v>0.79900000000000004</v>
      </c>
      <c r="I950">
        <v>0</v>
      </c>
      <c r="J950">
        <v>0</v>
      </c>
    </row>
    <row r="951" spans="1:10" x14ac:dyDescent="0.25">
      <c r="A951" t="s">
        <v>5148</v>
      </c>
      <c r="B951">
        <v>52</v>
      </c>
      <c r="C951" t="s">
        <v>5420</v>
      </c>
      <c r="D951" t="s">
        <v>5432</v>
      </c>
      <c r="E951" t="s">
        <v>5427</v>
      </c>
      <c r="F951">
        <v>28</v>
      </c>
      <c r="G951">
        <v>0.152</v>
      </c>
      <c r="H951">
        <v>0.152</v>
      </c>
      <c r="I951">
        <v>0</v>
      </c>
      <c r="J951">
        <v>0</v>
      </c>
    </row>
    <row r="952" spans="1:10" x14ac:dyDescent="0.25">
      <c r="A952" t="s">
        <v>5151</v>
      </c>
      <c r="B952">
        <v>51</v>
      </c>
      <c r="C952" t="s">
        <v>5423</v>
      </c>
      <c r="D952" t="s">
        <v>5424</v>
      </c>
      <c r="E952" t="s">
        <v>5428</v>
      </c>
      <c r="F952">
        <v>84</v>
      </c>
      <c r="G952">
        <v>0.45700000000000002</v>
      </c>
      <c r="H952">
        <v>0.45700000000000002</v>
      </c>
      <c r="I952">
        <v>0</v>
      </c>
      <c r="J952">
        <v>0</v>
      </c>
    </row>
    <row r="953" spans="1:10" x14ac:dyDescent="0.25">
      <c r="A953" t="s">
        <v>5156</v>
      </c>
      <c r="B953">
        <v>70</v>
      </c>
      <c r="C953" t="s">
        <v>5423</v>
      </c>
      <c r="D953" t="s">
        <v>5426</v>
      </c>
      <c r="E953" t="s">
        <v>5431</v>
      </c>
      <c r="F953">
        <v>84</v>
      </c>
      <c r="G953">
        <v>0.45700000000000002</v>
      </c>
      <c r="H953">
        <v>0.45700000000000002</v>
      </c>
      <c r="I953">
        <v>0</v>
      </c>
      <c r="J953">
        <v>0</v>
      </c>
    </row>
    <row r="954" spans="1:10" x14ac:dyDescent="0.25">
      <c r="A954" t="s">
        <v>5162</v>
      </c>
      <c r="B954">
        <v>75</v>
      </c>
      <c r="C954" t="s">
        <v>5420</v>
      </c>
      <c r="D954" t="s">
        <v>5426</v>
      </c>
      <c r="E954" t="s">
        <v>5428</v>
      </c>
      <c r="F954">
        <v>14</v>
      </c>
      <c r="G954">
        <v>7.5999999999999998E-2</v>
      </c>
      <c r="H954">
        <v>7.5999999999999998E-2</v>
      </c>
      <c r="I954">
        <v>0</v>
      </c>
      <c r="J954">
        <v>0</v>
      </c>
    </row>
    <row r="955" spans="1:10" x14ac:dyDescent="0.25">
      <c r="A955" t="s">
        <v>5165</v>
      </c>
      <c r="B955">
        <v>48</v>
      </c>
      <c r="C955" t="s">
        <v>5420</v>
      </c>
      <c r="D955" t="s">
        <v>5421</v>
      </c>
      <c r="E955" t="s">
        <v>5430</v>
      </c>
      <c r="F955">
        <v>30</v>
      </c>
      <c r="G955">
        <v>0.16300000000000001</v>
      </c>
      <c r="H955">
        <v>0.16300000000000001</v>
      </c>
      <c r="I955">
        <v>0</v>
      </c>
      <c r="J955">
        <v>0</v>
      </c>
    </row>
    <row r="956" spans="1:10" x14ac:dyDescent="0.25">
      <c r="A956" t="s">
        <v>5168</v>
      </c>
      <c r="B956">
        <v>51</v>
      </c>
      <c r="C956" t="s">
        <v>5420</v>
      </c>
      <c r="D956" t="s">
        <v>5424</v>
      </c>
      <c r="E956" t="s">
        <v>5422</v>
      </c>
      <c r="F956">
        <v>168</v>
      </c>
      <c r="G956">
        <v>0.91300000000000003</v>
      </c>
      <c r="H956">
        <v>0.91300000000000003</v>
      </c>
      <c r="I956">
        <v>0</v>
      </c>
      <c r="J956">
        <v>0</v>
      </c>
    </row>
    <row r="957" spans="1:10" x14ac:dyDescent="0.25">
      <c r="A957" t="s">
        <v>5176</v>
      </c>
      <c r="B957">
        <v>74</v>
      </c>
      <c r="C957" t="s">
        <v>5420</v>
      </c>
      <c r="D957" t="s">
        <v>5421</v>
      </c>
      <c r="E957" t="s">
        <v>5422</v>
      </c>
      <c r="F957">
        <v>90</v>
      </c>
      <c r="G957">
        <v>0.48899999999999999</v>
      </c>
      <c r="H957">
        <v>0.48899999999999999</v>
      </c>
      <c r="I957">
        <v>0</v>
      </c>
      <c r="J957">
        <v>0</v>
      </c>
    </row>
    <row r="958" spans="1:10" x14ac:dyDescent="0.25">
      <c r="A958" t="s">
        <v>5181</v>
      </c>
      <c r="B958">
        <v>56</v>
      </c>
      <c r="C958" t="s">
        <v>5423</v>
      </c>
      <c r="D958" t="s">
        <v>5432</v>
      </c>
      <c r="E958" t="s">
        <v>5425</v>
      </c>
      <c r="F958">
        <v>56</v>
      </c>
      <c r="G958">
        <v>0.30399999999999999</v>
      </c>
      <c r="H958">
        <v>0.30399999999999999</v>
      </c>
      <c r="I958">
        <v>0</v>
      </c>
      <c r="J958">
        <v>0</v>
      </c>
    </row>
    <row r="959" spans="1:10" x14ac:dyDescent="0.25">
      <c r="A959" t="s">
        <v>5185</v>
      </c>
      <c r="B959">
        <v>58</v>
      </c>
      <c r="C959" t="s">
        <v>5420</v>
      </c>
      <c r="D959" t="s">
        <v>5426</v>
      </c>
      <c r="E959" t="s">
        <v>5430</v>
      </c>
      <c r="F959">
        <v>56</v>
      </c>
      <c r="G959">
        <v>0.30399999999999999</v>
      </c>
      <c r="H959">
        <v>0.30399999999999999</v>
      </c>
      <c r="I959">
        <v>0</v>
      </c>
      <c r="J959">
        <v>0</v>
      </c>
    </row>
    <row r="960" spans="1:10" x14ac:dyDescent="0.25">
      <c r="A960" t="s">
        <v>5189</v>
      </c>
      <c r="B960">
        <v>66</v>
      </c>
      <c r="C960" t="s">
        <v>5420</v>
      </c>
      <c r="D960" t="s">
        <v>5432</v>
      </c>
      <c r="E960" t="s">
        <v>5445</v>
      </c>
      <c r="F960">
        <v>28</v>
      </c>
      <c r="G960">
        <v>0.152</v>
      </c>
      <c r="H960">
        <v>0.152</v>
      </c>
      <c r="I960">
        <v>0</v>
      </c>
      <c r="J960">
        <v>0</v>
      </c>
    </row>
    <row r="961" spans="1:11" x14ac:dyDescent="0.25">
      <c r="A961" t="s">
        <v>5192</v>
      </c>
      <c r="B961">
        <v>52</v>
      </c>
      <c r="C961" t="s">
        <v>5420</v>
      </c>
      <c r="D961" t="s">
        <v>5424</v>
      </c>
      <c r="E961" t="s">
        <v>5422</v>
      </c>
      <c r="F961">
        <v>140</v>
      </c>
      <c r="G961">
        <v>0.76100000000000001</v>
      </c>
      <c r="H961">
        <v>0.76100000000000001</v>
      </c>
      <c r="I961">
        <v>0</v>
      </c>
      <c r="J961">
        <v>0</v>
      </c>
    </row>
    <row r="962" spans="1:11" x14ac:dyDescent="0.25">
      <c r="A962" t="s">
        <v>5199</v>
      </c>
      <c r="B962">
        <v>44</v>
      </c>
      <c r="C962" t="s">
        <v>5420</v>
      </c>
      <c r="D962" t="s">
        <v>5426</v>
      </c>
      <c r="E962" t="s">
        <v>5428</v>
      </c>
      <c r="F962">
        <v>90</v>
      </c>
      <c r="G962">
        <v>0.48899999999999999</v>
      </c>
      <c r="H962">
        <v>0.48899999999999999</v>
      </c>
      <c r="I962">
        <v>0</v>
      </c>
      <c r="J962">
        <v>0</v>
      </c>
    </row>
    <row r="963" spans="1:11" x14ac:dyDescent="0.25">
      <c r="A963" t="s">
        <v>5204</v>
      </c>
      <c r="B963">
        <v>48</v>
      </c>
      <c r="C963" t="s">
        <v>5423</v>
      </c>
      <c r="D963" t="s">
        <v>5421</v>
      </c>
      <c r="E963" t="s">
        <v>5425</v>
      </c>
      <c r="F963">
        <v>112</v>
      </c>
      <c r="G963">
        <v>0.60899999999999999</v>
      </c>
      <c r="H963">
        <v>0.60899999999999999</v>
      </c>
      <c r="I963">
        <v>0</v>
      </c>
      <c r="J963">
        <v>0</v>
      </c>
    </row>
    <row r="964" spans="1:11" x14ac:dyDescent="0.25">
      <c r="A964" t="s">
        <v>5210</v>
      </c>
      <c r="B964">
        <v>66</v>
      </c>
      <c r="C964" t="s">
        <v>5420</v>
      </c>
      <c r="D964" t="s">
        <v>5426</v>
      </c>
      <c r="E964" t="s">
        <v>5430</v>
      </c>
      <c r="F964">
        <v>28</v>
      </c>
      <c r="G964">
        <v>0.152</v>
      </c>
      <c r="H964">
        <v>0.152</v>
      </c>
      <c r="I964">
        <v>0</v>
      </c>
      <c r="J964">
        <v>0</v>
      </c>
    </row>
    <row r="965" spans="1:11" x14ac:dyDescent="0.25">
      <c r="A965" t="s">
        <v>5213</v>
      </c>
      <c r="B965">
        <v>63</v>
      </c>
      <c r="C965" t="s">
        <v>5420</v>
      </c>
      <c r="D965" t="s">
        <v>5432</v>
      </c>
      <c r="E965" t="s">
        <v>5422</v>
      </c>
      <c r="F965">
        <v>60</v>
      </c>
      <c r="G965">
        <v>0.32600000000000001</v>
      </c>
      <c r="H965">
        <v>0.32600000000000001</v>
      </c>
      <c r="I965">
        <v>0</v>
      </c>
      <c r="J965">
        <v>0</v>
      </c>
    </row>
    <row r="966" spans="1:11" x14ac:dyDescent="0.25">
      <c r="A966" t="s">
        <v>5217</v>
      </c>
      <c r="B966">
        <v>59</v>
      </c>
      <c r="C966" t="s">
        <v>5423</v>
      </c>
      <c r="D966" t="s">
        <v>5429</v>
      </c>
      <c r="E966" t="s">
        <v>5431</v>
      </c>
      <c r="F966">
        <v>30</v>
      </c>
      <c r="G966">
        <v>0.16300000000000001</v>
      </c>
      <c r="H966">
        <v>0.16300000000000001</v>
      </c>
      <c r="I966">
        <v>0</v>
      </c>
      <c r="J966">
        <v>0</v>
      </c>
    </row>
    <row r="967" spans="1:11" x14ac:dyDescent="0.25">
      <c r="A967" t="s">
        <v>5220</v>
      </c>
      <c r="B967">
        <v>52</v>
      </c>
      <c r="C967" t="s">
        <v>5423</v>
      </c>
      <c r="D967" t="s">
        <v>5426</v>
      </c>
      <c r="E967" t="s">
        <v>5425</v>
      </c>
      <c r="F967">
        <v>28</v>
      </c>
      <c r="G967">
        <v>0.152</v>
      </c>
      <c r="H967">
        <v>0.152</v>
      </c>
      <c r="I967">
        <v>0</v>
      </c>
      <c r="J967">
        <v>0</v>
      </c>
    </row>
    <row r="968" spans="1:11" x14ac:dyDescent="0.25">
      <c r="A968" t="s">
        <v>5223</v>
      </c>
      <c r="B968">
        <v>64</v>
      </c>
      <c r="C968" t="s">
        <v>5423</v>
      </c>
      <c r="D968" t="s">
        <v>5426</v>
      </c>
      <c r="E968" t="s">
        <v>5428</v>
      </c>
      <c r="F968">
        <v>189</v>
      </c>
      <c r="G968">
        <v>1.0269999999999999</v>
      </c>
      <c r="H968">
        <v>1</v>
      </c>
      <c r="I968">
        <v>1</v>
      </c>
      <c r="J968">
        <v>0</v>
      </c>
      <c r="K968" t="s">
        <v>5435</v>
      </c>
    </row>
    <row r="969" spans="1:11" x14ac:dyDescent="0.25">
      <c r="A969" t="s">
        <v>5234</v>
      </c>
      <c r="B969">
        <v>72</v>
      </c>
      <c r="C969" t="s">
        <v>5423</v>
      </c>
      <c r="D969" t="s">
        <v>5421</v>
      </c>
      <c r="E969" t="s">
        <v>5428</v>
      </c>
      <c r="F969">
        <v>84</v>
      </c>
      <c r="G969">
        <v>0.45700000000000002</v>
      </c>
      <c r="H969">
        <v>0.45700000000000002</v>
      </c>
      <c r="I969">
        <v>0</v>
      </c>
      <c r="J969">
        <v>0</v>
      </c>
    </row>
    <row r="970" spans="1:11" x14ac:dyDescent="0.25">
      <c r="A970" t="s">
        <v>5239</v>
      </c>
      <c r="B970">
        <v>46</v>
      </c>
      <c r="C970" t="s">
        <v>5420</v>
      </c>
      <c r="D970" t="s">
        <v>5432</v>
      </c>
      <c r="E970" t="s">
        <v>5428</v>
      </c>
      <c r="F970">
        <v>28</v>
      </c>
      <c r="G970">
        <v>0.152</v>
      </c>
      <c r="H970">
        <v>0.152</v>
      </c>
      <c r="I970">
        <v>0</v>
      </c>
      <c r="J970">
        <v>0</v>
      </c>
    </row>
    <row r="971" spans="1:11" x14ac:dyDescent="0.25">
      <c r="A971" t="s">
        <v>5242</v>
      </c>
      <c r="B971">
        <v>53</v>
      </c>
      <c r="C971" t="s">
        <v>5420</v>
      </c>
      <c r="D971" t="s">
        <v>5421</v>
      </c>
      <c r="E971" t="s">
        <v>5428</v>
      </c>
      <c r="F971">
        <v>140</v>
      </c>
      <c r="G971">
        <v>0.76100000000000001</v>
      </c>
      <c r="H971">
        <v>0.76100000000000001</v>
      </c>
      <c r="I971">
        <v>0</v>
      </c>
      <c r="J971">
        <v>0</v>
      </c>
    </row>
    <row r="972" spans="1:11" x14ac:dyDescent="0.25">
      <c r="A972" t="s">
        <v>5249</v>
      </c>
      <c r="B972">
        <v>67</v>
      </c>
      <c r="C972" t="s">
        <v>5420</v>
      </c>
      <c r="D972" t="s">
        <v>5432</v>
      </c>
      <c r="E972" t="s">
        <v>5428</v>
      </c>
      <c r="F972">
        <v>28</v>
      </c>
      <c r="G972">
        <v>0.152</v>
      </c>
      <c r="H972">
        <v>0.152</v>
      </c>
      <c r="I972">
        <v>0</v>
      </c>
      <c r="J972">
        <v>0</v>
      </c>
    </row>
    <row r="973" spans="1:11" x14ac:dyDescent="0.25">
      <c r="A973" t="s">
        <v>5252</v>
      </c>
      <c r="B973">
        <v>76</v>
      </c>
      <c r="C973" t="s">
        <v>5423</v>
      </c>
      <c r="D973" t="s">
        <v>5424</v>
      </c>
      <c r="E973" t="s">
        <v>5428</v>
      </c>
      <c r="F973">
        <v>21</v>
      </c>
      <c r="G973">
        <v>0.114</v>
      </c>
      <c r="H973">
        <v>0.114</v>
      </c>
      <c r="I973">
        <v>0</v>
      </c>
      <c r="J973">
        <v>0</v>
      </c>
    </row>
    <row r="974" spans="1:11" x14ac:dyDescent="0.25">
      <c r="A974" t="s">
        <v>5255</v>
      </c>
      <c r="B974">
        <v>63</v>
      </c>
      <c r="C974" t="s">
        <v>5423</v>
      </c>
      <c r="D974" t="s">
        <v>5421</v>
      </c>
      <c r="E974" t="s">
        <v>5430</v>
      </c>
      <c r="F974">
        <v>30</v>
      </c>
      <c r="G974">
        <v>0.16300000000000001</v>
      </c>
      <c r="H974">
        <v>0.16300000000000001</v>
      </c>
      <c r="I974">
        <v>0</v>
      </c>
      <c r="J974">
        <v>0</v>
      </c>
    </row>
    <row r="975" spans="1:11" x14ac:dyDescent="0.25">
      <c r="A975" t="s">
        <v>5258</v>
      </c>
      <c r="B975">
        <v>61</v>
      </c>
      <c r="C975" t="s">
        <v>5423</v>
      </c>
      <c r="D975" t="s">
        <v>5429</v>
      </c>
      <c r="E975" t="s">
        <v>5430</v>
      </c>
      <c r="F975">
        <v>168</v>
      </c>
      <c r="G975">
        <v>0.91300000000000003</v>
      </c>
      <c r="H975">
        <v>0.91300000000000003</v>
      </c>
      <c r="I975">
        <v>0</v>
      </c>
      <c r="J975">
        <v>0</v>
      </c>
    </row>
    <row r="976" spans="1:11" x14ac:dyDescent="0.25">
      <c r="A976" t="s">
        <v>5266</v>
      </c>
      <c r="B976">
        <v>66</v>
      </c>
      <c r="C976" t="s">
        <v>5423</v>
      </c>
      <c r="D976" t="s">
        <v>5426</v>
      </c>
      <c r="E976" t="s">
        <v>5425</v>
      </c>
      <c r="F976">
        <v>28</v>
      </c>
      <c r="G976">
        <v>0.152</v>
      </c>
      <c r="H976">
        <v>0.152</v>
      </c>
      <c r="I976">
        <v>0</v>
      </c>
      <c r="J976">
        <v>0</v>
      </c>
    </row>
    <row r="977" spans="1:10" x14ac:dyDescent="0.25">
      <c r="A977" t="s">
        <v>5269</v>
      </c>
      <c r="B977">
        <v>36</v>
      </c>
      <c r="C977" t="s">
        <v>5423</v>
      </c>
      <c r="D977" t="s">
        <v>5421</v>
      </c>
      <c r="E977" t="s">
        <v>5425</v>
      </c>
      <c r="F977">
        <v>60</v>
      </c>
      <c r="G977">
        <v>0.32600000000000001</v>
      </c>
      <c r="H977">
        <v>0.32600000000000001</v>
      </c>
      <c r="I977">
        <v>0</v>
      </c>
      <c r="J977">
        <v>0</v>
      </c>
    </row>
    <row r="978" spans="1:10" x14ac:dyDescent="0.25">
      <c r="A978" t="s">
        <v>5273</v>
      </c>
      <c r="B978">
        <v>55</v>
      </c>
      <c r="C978" t="s">
        <v>5423</v>
      </c>
      <c r="D978" t="s">
        <v>5432</v>
      </c>
      <c r="E978" t="s">
        <v>5425</v>
      </c>
      <c r="F978">
        <v>140</v>
      </c>
      <c r="G978">
        <v>0.76100000000000001</v>
      </c>
      <c r="H978">
        <v>0.76100000000000001</v>
      </c>
      <c r="I978">
        <v>0</v>
      </c>
      <c r="J978">
        <v>0</v>
      </c>
    </row>
    <row r="979" spans="1:10" x14ac:dyDescent="0.25">
      <c r="A979" t="s">
        <v>5280</v>
      </c>
      <c r="B979">
        <v>57</v>
      </c>
      <c r="C979" t="s">
        <v>5423</v>
      </c>
      <c r="D979" t="s">
        <v>5421</v>
      </c>
      <c r="E979" t="s">
        <v>5431</v>
      </c>
      <c r="F979">
        <v>56</v>
      </c>
      <c r="G979">
        <v>0.30399999999999999</v>
      </c>
      <c r="H979">
        <v>0.30399999999999999</v>
      </c>
      <c r="I979">
        <v>0</v>
      </c>
      <c r="J979">
        <v>0</v>
      </c>
    </row>
    <row r="980" spans="1:10" x14ac:dyDescent="0.25">
      <c r="A980" t="s">
        <v>5284</v>
      </c>
      <c r="B980">
        <v>49</v>
      </c>
      <c r="C980" t="s">
        <v>5420</v>
      </c>
      <c r="D980" t="s">
        <v>5424</v>
      </c>
      <c r="E980" t="s">
        <v>5431</v>
      </c>
      <c r="F980">
        <v>147</v>
      </c>
      <c r="G980">
        <v>0.79900000000000004</v>
      </c>
      <c r="H980">
        <v>0.79900000000000004</v>
      </c>
      <c r="I980">
        <v>0</v>
      </c>
      <c r="J980">
        <v>0</v>
      </c>
    </row>
    <row r="981" spans="1:10" x14ac:dyDescent="0.25">
      <c r="A981" t="s">
        <v>5293</v>
      </c>
      <c r="B981">
        <v>56</v>
      </c>
      <c r="C981" t="s">
        <v>5423</v>
      </c>
      <c r="D981" t="s">
        <v>5432</v>
      </c>
      <c r="E981" t="s">
        <v>5422</v>
      </c>
      <c r="F981">
        <v>56</v>
      </c>
      <c r="G981">
        <v>0.30399999999999999</v>
      </c>
      <c r="H981">
        <v>0.30399999999999999</v>
      </c>
      <c r="I981">
        <v>0</v>
      </c>
      <c r="J981">
        <v>0</v>
      </c>
    </row>
    <row r="982" spans="1:10" x14ac:dyDescent="0.25">
      <c r="A982" t="s">
        <v>5297</v>
      </c>
      <c r="B982">
        <v>64</v>
      </c>
      <c r="C982" t="s">
        <v>5423</v>
      </c>
      <c r="D982" t="s">
        <v>5424</v>
      </c>
      <c r="E982" t="s">
        <v>5425</v>
      </c>
      <c r="F982">
        <v>112</v>
      </c>
      <c r="G982">
        <v>0.60899999999999999</v>
      </c>
      <c r="H982">
        <v>0.60899999999999999</v>
      </c>
      <c r="I982">
        <v>0</v>
      </c>
      <c r="J982">
        <v>0</v>
      </c>
    </row>
    <row r="983" spans="1:10" x14ac:dyDescent="0.25">
      <c r="A983" t="s">
        <v>5303</v>
      </c>
      <c r="B983">
        <v>75</v>
      </c>
      <c r="C983" t="s">
        <v>5420</v>
      </c>
      <c r="D983" t="s">
        <v>5421</v>
      </c>
      <c r="E983" t="s">
        <v>5431</v>
      </c>
      <c r="F983">
        <v>84</v>
      </c>
      <c r="G983">
        <v>0.45700000000000002</v>
      </c>
      <c r="H983">
        <v>0.45700000000000002</v>
      </c>
      <c r="I983">
        <v>0</v>
      </c>
      <c r="J983">
        <v>0</v>
      </c>
    </row>
    <row r="984" spans="1:10" x14ac:dyDescent="0.25">
      <c r="A984" t="s">
        <v>5308</v>
      </c>
      <c r="B984">
        <v>84</v>
      </c>
      <c r="C984" t="s">
        <v>5423</v>
      </c>
      <c r="D984" t="s">
        <v>5426</v>
      </c>
      <c r="E984" t="s">
        <v>5427</v>
      </c>
      <c r="F984">
        <v>168</v>
      </c>
      <c r="G984">
        <v>0.91300000000000003</v>
      </c>
      <c r="H984">
        <v>0.91300000000000003</v>
      </c>
      <c r="I984">
        <v>0</v>
      </c>
      <c r="J984">
        <v>0</v>
      </c>
    </row>
    <row r="985" spans="1:10" x14ac:dyDescent="0.25">
      <c r="A985" t="s">
        <v>5316</v>
      </c>
      <c r="B985">
        <v>70</v>
      </c>
      <c r="C985" t="s">
        <v>5420</v>
      </c>
      <c r="D985" t="s">
        <v>5426</v>
      </c>
      <c r="E985" t="s">
        <v>5427</v>
      </c>
      <c r="F985">
        <v>30</v>
      </c>
      <c r="G985">
        <v>0.16300000000000001</v>
      </c>
      <c r="H985">
        <v>0.16300000000000001</v>
      </c>
      <c r="I985">
        <v>0</v>
      </c>
      <c r="J985">
        <v>0</v>
      </c>
    </row>
    <row r="986" spans="1:10" x14ac:dyDescent="0.25">
      <c r="A986" t="s">
        <v>5319</v>
      </c>
      <c r="B986">
        <v>63</v>
      </c>
      <c r="C986" t="s">
        <v>5423</v>
      </c>
      <c r="D986" t="s">
        <v>5429</v>
      </c>
      <c r="E986" t="s">
        <v>5422</v>
      </c>
      <c r="F986">
        <v>90</v>
      </c>
      <c r="G986">
        <v>0.48899999999999999</v>
      </c>
      <c r="H986">
        <v>0.48899999999999999</v>
      </c>
      <c r="I986">
        <v>0</v>
      </c>
      <c r="J986">
        <v>0</v>
      </c>
    </row>
    <row r="987" spans="1:10" x14ac:dyDescent="0.25">
      <c r="A987" t="s">
        <v>5324</v>
      </c>
      <c r="B987">
        <v>77</v>
      </c>
      <c r="C987" t="s">
        <v>5420</v>
      </c>
      <c r="D987" t="s">
        <v>5429</v>
      </c>
      <c r="E987" t="s">
        <v>5427</v>
      </c>
      <c r="F987">
        <v>42</v>
      </c>
      <c r="G987">
        <v>0.22800000000000001</v>
      </c>
      <c r="H987">
        <v>0.22800000000000001</v>
      </c>
      <c r="I987">
        <v>0</v>
      </c>
      <c r="J987">
        <v>0</v>
      </c>
    </row>
    <row r="988" spans="1:10" x14ac:dyDescent="0.25">
      <c r="A988" t="s">
        <v>5328</v>
      </c>
      <c r="B988">
        <v>57</v>
      </c>
      <c r="C988" t="s">
        <v>5420</v>
      </c>
      <c r="D988" t="s">
        <v>5426</v>
      </c>
      <c r="E988" t="s">
        <v>5428</v>
      </c>
      <c r="F988">
        <v>28</v>
      </c>
      <c r="G988">
        <v>0.152</v>
      </c>
      <c r="H988">
        <v>0.152</v>
      </c>
      <c r="I988">
        <v>0</v>
      </c>
      <c r="J988">
        <v>0</v>
      </c>
    </row>
    <row r="989" spans="1:10" x14ac:dyDescent="0.25">
      <c r="A989" t="s">
        <v>5331</v>
      </c>
      <c r="B989">
        <v>49</v>
      </c>
      <c r="C989" t="s">
        <v>5420</v>
      </c>
      <c r="D989" t="s">
        <v>5424</v>
      </c>
      <c r="E989" t="s">
        <v>5422</v>
      </c>
      <c r="F989">
        <v>56</v>
      </c>
      <c r="G989">
        <v>0.30399999999999999</v>
      </c>
      <c r="H989">
        <v>0.30399999999999999</v>
      </c>
      <c r="I989">
        <v>0</v>
      </c>
      <c r="J989">
        <v>0</v>
      </c>
    </row>
    <row r="990" spans="1:10" x14ac:dyDescent="0.25">
      <c r="A990" t="s">
        <v>5335</v>
      </c>
      <c r="B990">
        <v>62</v>
      </c>
      <c r="C990" t="s">
        <v>5420</v>
      </c>
      <c r="D990" t="s">
        <v>5426</v>
      </c>
      <c r="E990" t="s">
        <v>5422</v>
      </c>
      <c r="F990">
        <v>112</v>
      </c>
      <c r="G990">
        <v>0.60899999999999999</v>
      </c>
      <c r="H990">
        <v>0.60899999999999999</v>
      </c>
      <c r="I990">
        <v>0</v>
      </c>
      <c r="J990">
        <v>0</v>
      </c>
    </row>
    <row r="991" spans="1:10" x14ac:dyDescent="0.25">
      <c r="A991" t="s">
        <v>5341</v>
      </c>
      <c r="B991">
        <v>50</v>
      </c>
      <c r="C991" t="s">
        <v>5423</v>
      </c>
      <c r="D991" t="s">
        <v>5426</v>
      </c>
      <c r="E991" t="s">
        <v>5427</v>
      </c>
      <c r="F991">
        <v>140</v>
      </c>
      <c r="G991">
        <v>0.76100000000000001</v>
      </c>
      <c r="H991">
        <v>0.76100000000000001</v>
      </c>
      <c r="I991">
        <v>0</v>
      </c>
      <c r="J991">
        <v>0</v>
      </c>
    </row>
    <row r="992" spans="1:10" x14ac:dyDescent="0.25">
      <c r="A992" t="s">
        <v>5348</v>
      </c>
      <c r="B992">
        <v>63</v>
      </c>
      <c r="C992" t="s">
        <v>5420</v>
      </c>
      <c r="D992" t="s">
        <v>5421</v>
      </c>
      <c r="E992" t="s">
        <v>5425</v>
      </c>
      <c r="F992">
        <v>147</v>
      </c>
      <c r="G992">
        <v>0.79900000000000004</v>
      </c>
      <c r="H992">
        <v>0.79900000000000004</v>
      </c>
      <c r="I992">
        <v>0</v>
      </c>
      <c r="J992">
        <v>0</v>
      </c>
    </row>
    <row r="993" spans="1:10" x14ac:dyDescent="0.25">
      <c r="A993" t="s">
        <v>5357</v>
      </c>
      <c r="B993">
        <v>48</v>
      </c>
      <c r="C993" t="s">
        <v>5420</v>
      </c>
      <c r="D993" t="s">
        <v>5429</v>
      </c>
      <c r="E993" t="s">
        <v>5428</v>
      </c>
      <c r="F993">
        <v>30</v>
      </c>
      <c r="G993">
        <v>0.16300000000000001</v>
      </c>
      <c r="H993">
        <v>0.16300000000000001</v>
      </c>
      <c r="I993">
        <v>0</v>
      </c>
      <c r="J993">
        <v>0</v>
      </c>
    </row>
    <row r="994" spans="1:10" x14ac:dyDescent="0.25">
      <c r="A994" t="s">
        <v>5360</v>
      </c>
      <c r="B994">
        <v>61</v>
      </c>
      <c r="C994" t="s">
        <v>5423</v>
      </c>
      <c r="D994" t="s">
        <v>5429</v>
      </c>
      <c r="E994" t="s">
        <v>5427</v>
      </c>
      <c r="F994">
        <v>84</v>
      </c>
      <c r="G994">
        <v>0.45700000000000002</v>
      </c>
      <c r="H994">
        <v>0.45700000000000002</v>
      </c>
      <c r="I994">
        <v>0</v>
      </c>
      <c r="J994">
        <v>0</v>
      </c>
    </row>
    <row r="995" spans="1:10" x14ac:dyDescent="0.25">
      <c r="A995" t="s">
        <v>5365</v>
      </c>
      <c r="B995">
        <v>61</v>
      </c>
      <c r="C995" t="s">
        <v>5434</v>
      </c>
      <c r="D995" t="s">
        <v>5426</v>
      </c>
      <c r="E995" t="s">
        <v>5425</v>
      </c>
      <c r="F995">
        <v>168</v>
      </c>
      <c r="G995">
        <v>0.91300000000000003</v>
      </c>
      <c r="H995">
        <v>0.91300000000000003</v>
      </c>
      <c r="I995">
        <v>0</v>
      </c>
      <c r="J995">
        <v>0</v>
      </c>
    </row>
    <row r="996" spans="1:10" x14ac:dyDescent="0.25">
      <c r="A996" t="s">
        <v>5373</v>
      </c>
      <c r="B996">
        <v>71</v>
      </c>
      <c r="C996" t="s">
        <v>5420</v>
      </c>
      <c r="D996" t="s">
        <v>5426</v>
      </c>
      <c r="E996" t="s">
        <v>5427</v>
      </c>
      <c r="F996">
        <v>168</v>
      </c>
      <c r="G996">
        <v>0.91300000000000003</v>
      </c>
      <c r="H996">
        <v>0.91300000000000003</v>
      </c>
      <c r="I996">
        <v>0</v>
      </c>
      <c r="J996">
        <v>0</v>
      </c>
    </row>
    <row r="997" spans="1:10" x14ac:dyDescent="0.25">
      <c r="A997" t="s">
        <v>5383</v>
      </c>
      <c r="B997">
        <v>40</v>
      </c>
      <c r="C997" t="s">
        <v>5420</v>
      </c>
      <c r="D997" t="s">
        <v>5432</v>
      </c>
      <c r="E997" t="s">
        <v>5428</v>
      </c>
      <c r="F997">
        <v>84</v>
      </c>
      <c r="G997">
        <v>0.45700000000000002</v>
      </c>
      <c r="H997">
        <v>0.45700000000000002</v>
      </c>
      <c r="I997">
        <v>0</v>
      </c>
      <c r="J997">
        <v>0</v>
      </c>
    </row>
    <row r="998" spans="1:10" x14ac:dyDescent="0.25">
      <c r="A998" t="s">
        <v>5388</v>
      </c>
      <c r="B998">
        <v>58</v>
      </c>
      <c r="C998" t="s">
        <v>5420</v>
      </c>
      <c r="D998" t="s">
        <v>5429</v>
      </c>
      <c r="E998" t="s">
        <v>5428</v>
      </c>
      <c r="F998">
        <v>112</v>
      </c>
      <c r="G998">
        <v>0.60899999999999999</v>
      </c>
      <c r="H998">
        <v>0.60899999999999999</v>
      </c>
      <c r="I998">
        <v>0</v>
      </c>
      <c r="J998">
        <v>0</v>
      </c>
    </row>
    <row r="999" spans="1:10" x14ac:dyDescent="0.25">
      <c r="A999" t="s">
        <v>5394</v>
      </c>
      <c r="B999">
        <v>61</v>
      </c>
      <c r="C999" t="s">
        <v>5423</v>
      </c>
      <c r="D999" t="s">
        <v>5426</v>
      </c>
      <c r="E999" t="s">
        <v>5428</v>
      </c>
      <c r="F999">
        <v>90</v>
      </c>
      <c r="G999">
        <v>0.48899999999999999</v>
      </c>
      <c r="H999">
        <v>0.48899999999999999</v>
      </c>
      <c r="I999">
        <v>0</v>
      </c>
      <c r="J999">
        <v>0</v>
      </c>
    </row>
    <row r="1000" spans="1:10" x14ac:dyDescent="0.25">
      <c r="A1000" t="s">
        <v>5399</v>
      </c>
      <c r="B1000">
        <v>52</v>
      </c>
      <c r="C1000" t="s">
        <v>5420</v>
      </c>
      <c r="D1000" t="s">
        <v>5429</v>
      </c>
      <c r="E1000" t="s">
        <v>5425</v>
      </c>
      <c r="F1000">
        <v>168</v>
      </c>
      <c r="G1000">
        <v>0.91300000000000003</v>
      </c>
      <c r="H1000">
        <v>0.91300000000000003</v>
      </c>
      <c r="I1000">
        <v>0</v>
      </c>
      <c r="J1000">
        <v>0</v>
      </c>
    </row>
    <row r="1001" spans="1:10" x14ac:dyDescent="0.25">
      <c r="A1001" t="s">
        <v>5407</v>
      </c>
      <c r="B1001">
        <v>46</v>
      </c>
      <c r="C1001" t="s">
        <v>5423</v>
      </c>
      <c r="D1001" t="s">
        <v>5426</v>
      </c>
      <c r="E1001" t="s">
        <v>5425</v>
      </c>
      <c r="F1001">
        <v>42</v>
      </c>
      <c r="G1001">
        <v>0.22800000000000001</v>
      </c>
      <c r="H1001">
        <v>0.22800000000000001</v>
      </c>
      <c r="I1001">
        <v>0</v>
      </c>
      <c r="J100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sqref="A1:XFD1048576"/>
    </sheetView>
  </sheetViews>
  <sheetFormatPr defaultRowHeight="15" x14ac:dyDescent="0.25"/>
  <cols>
    <col min="1" max="1" width="13.42578125" bestFit="1" customWidth="1"/>
    <col min="2" max="2" width="15.7109375" bestFit="1" customWidth="1"/>
    <col min="3" max="3" width="10.5703125" bestFit="1" customWidth="1"/>
  </cols>
  <sheetData>
    <row r="1" spans="1:3" x14ac:dyDescent="0.25">
      <c r="A1" s="1" t="s">
        <v>5</v>
      </c>
      <c r="B1" s="1" t="s">
        <v>5460</v>
      </c>
      <c r="C1" s="1" t="s">
        <v>5461</v>
      </c>
    </row>
    <row r="2" spans="1:3" x14ac:dyDescent="0.25">
      <c r="A2">
        <v>1</v>
      </c>
      <c r="B2">
        <v>1000</v>
      </c>
      <c r="C2">
        <v>1000</v>
      </c>
    </row>
    <row r="3" spans="1:3" x14ac:dyDescent="0.25">
      <c r="A3">
        <v>2</v>
      </c>
      <c r="B3">
        <v>784</v>
      </c>
      <c r="C3">
        <v>784</v>
      </c>
    </row>
    <row r="4" spans="1:3" x14ac:dyDescent="0.25">
      <c r="A4">
        <v>3</v>
      </c>
      <c r="B4">
        <v>575</v>
      </c>
      <c r="C4">
        <v>575</v>
      </c>
    </row>
    <row r="5" spans="1:3" x14ac:dyDescent="0.25">
      <c r="A5">
        <v>4</v>
      </c>
      <c r="B5">
        <v>400</v>
      </c>
      <c r="C5">
        <v>400</v>
      </c>
    </row>
    <row r="6" spans="1:3" x14ac:dyDescent="0.25">
      <c r="A6">
        <v>5</v>
      </c>
      <c r="B6">
        <v>280</v>
      </c>
      <c r="C6">
        <v>280</v>
      </c>
    </row>
    <row r="7" spans="1:3" x14ac:dyDescent="0.25">
      <c r="A7">
        <v>6</v>
      </c>
      <c r="B7">
        <v>190</v>
      </c>
      <c r="C7">
        <v>190</v>
      </c>
    </row>
    <row r="8" spans="1:3" x14ac:dyDescent="0.25">
      <c r="A8">
        <v>7</v>
      </c>
      <c r="B8">
        <v>83</v>
      </c>
      <c r="C8">
        <v>83</v>
      </c>
    </row>
    <row r="9" spans="1:3" x14ac:dyDescent="0.25">
      <c r="A9">
        <v>8</v>
      </c>
      <c r="B9">
        <v>35</v>
      </c>
      <c r="C9">
        <v>35</v>
      </c>
    </row>
    <row r="10" spans="1:3" x14ac:dyDescent="0.25">
      <c r="A10">
        <v>9</v>
      </c>
      <c r="B10">
        <v>21</v>
      </c>
      <c r="C10">
        <v>21</v>
      </c>
    </row>
    <row r="11" spans="1:3" x14ac:dyDescent="0.25">
      <c r="A11">
        <v>10</v>
      </c>
      <c r="B11">
        <v>14</v>
      </c>
      <c r="C11">
        <v>14</v>
      </c>
    </row>
    <row r="12" spans="1:3" x14ac:dyDescent="0.25">
      <c r="A12">
        <v>11</v>
      </c>
      <c r="B12">
        <v>11</v>
      </c>
      <c r="C12">
        <v>11</v>
      </c>
    </row>
    <row r="13" spans="1:3" x14ac:dyDescent="0.25">
      <c r="A13">
        <v>12</v>
      </c>
      <c r="B13">
        <v>8</v>
      </c>
      <c r="C13">
        <v>8</v>
      </c>
    </row>
    <row r="14" spans="1:3" x14ac:dyDescent="0.25">
      <c r="A14">
        <v>13</v>
      </c>
      <c r="B14">
        <v>1</v>
      </c>
      <c r="C14">
        <v>1</v>
      </c>
    </row>
    <row r="15" spans="1:3" x14ac:dyDescent="0.25">
      <c r="A15">
        <v>14</v>
      </c>
      <c r="B15">
        <v>1</v>
      </c>
      <c r="C15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1"/>
  <sheetViews>
    <sheetView workbookViewId="0">
      <selection sqref="A1:XFD1048576"/>
    </sheetView>
  </sheetViews>
  <sheetFormatPr defaultRowHeight="15" x14ac:dyDescent="0.25"/>
  <cols>
    <col min="1" max="1" width="8.5703125" bestFit="1" customWidth="1"/>
    <col min="2" max="2" width="13.28515625" bestFit="1" customWidth="1"/>
    <col min="3" max="3" width="8.7109375" bestFit="1" customWidth="1"/>
    <col min="4" max="4" width="9.28515625" bestFit="1" customWidth="1"/>
    <col min="5" max="5" width="21" bestFit="1" customWidth="1"/>
    <col min="6" max="6" width="7.42578125" bestFit="1" customWidth="1"/>
    <col min="7" max="7" width="5.85546875" bestFit="1" customWidth="1"/>
  </cols>
  <sheetData>
    <row r="1" spans="1:7" x14ac:dyDescent="0.25">
      <c r="A1" s="1" t="s">
        <v>5462</v>
      </c>
      <c r="B1" s="1" t="s">
        <v>5463</v>
      </c>
      <c r="C1" s="1" t="s">
        <v>5464</v>
      </c>
      <c r="D1" s="1" t="s">
        <v>5465</v>
      </c>
      <c r="E1" s="1" t="s">
        <v>5466</v>
      </c>
      <c r="F1" s="1" t="s">
        <v>5467</v>
      </c>
      <c r="G1" s="1" t="s">
        <v>5468</v>
      </c>
    </row>
    <row r="2" spans="1:7" x14ac:dyDescent="0.25">
      <c r="A2" t="s">
        <v>5469</v>
      </c>
      <c r="B2">
        <v>5</v>
      </c>
      <c r="C2">
        <v>5</v>
      </c>
      <c r="D2" t="s">
        <v>5470</v>
      </c>
      <c r="E2" t="s">
        <v>5471</v>
      </c>
      <c r="F2" t="s">
        <v>5429</v>
      </c>
      <c r="G2" t="s">
        <v>5472</v>
      </c>
    </row>
    <row r="3" spans="1:7" x14ac:dyDescent="0.25">
      <c r="A3" t="s">
        <v>5473</v>
      </c>
      <c r="B3">
        <v>4</v>
      </c>
      <c r="C3">
        <v>4</v>
      </c>
      <c r="D3" t="s">
        <v>5474</v>
      </c>
      <c r="E3" t="s">
        <v>5475</v>
      </c>
      <c r="F3" t="s">
        <v>5432</v>
      </c>
      <c r="G3" t="s">
        <v>5476</v>
      </c>
    </row>
    <row r="4" spans="1:7" x14ac:dyDescent="0.25">
      <c r="A4" t="s">
        <v>5477</v>
      </c>
      <c r="B4">
        <v>6</v>
      </c>
      <c r="C4">
        <v>6</v>
      </c>
      <c r="D4" t="s">
        <v>5478</v>
      </c>
      <c r="E4" t="s">
        <v>5479</v>
      </c>
      <c r="F4" t="s">
        <v>5432</v>
      </c>
      <c r="G4" t="s">
        <v>5472</v>
      </c>
    </row>
    <row r="5" spans="1:7" x14ac:dyDescent="0.25">
      <c r="A5" t="s">
        <v>5480</v>
      </c>
      <c r="B5">
        <v>6</v>
      </c>
      <c r="C5">
        <v>6</v>
      </c>
      <c r="D5" t="s">
        <v>5481</v>
      </c>
      <c r="E5" t="s">
        <v>5471</v>
      </c>
      <c r="F5" t="s">
        <v>5421</v>
      </c>
      <c r="G5" t="s">
        <v>5472</v>
      </c>
    </row>
    <row r="6" spans="1:7" x14ac:dyDescent="0.25">
      <c r="A6" t="s">
        <v>5482</v>
      </c>
      <c r="B6">
        <v>4</v>
      </c>
      <c r="C6">
        <v>4</v>
      </c>
      <c r="D6" t="s">
        <v>5483</v>
      </c>
      <c r="E6" t="s">
        <v>5471</v>
      </c>
      <c r="F6" t="s">
        <v>5421</v>
      </c>
      <c r="G6" t="s">
        <v>5484</v>
      </c>
    </row>
    <row r="7" spans="1:7" x14ac:dyDescent="0.25">
      <c r="A7" t="s">
        <v>5485</v>
      </c>
      <c r="B7">
        <v>4</v>
      </c>
      <c r="C7">
        <v>4</v>
      </c>
      <c r="D7" t="s">
        <v>5486</v>
      </c>
      <c r="E7" t="s">
        <v>5487</v>
      </c>
      <c r="F7" t="s">
        <v>5429</v>
      </c>
      <c r="G7" t="s">
        <v>5484</v>
      </c>
    </row>
    <row r="8" spans="1:7" x14ac:dyDescent="0.25">
      <c r="A8" t="s">
        <v>5488</v>
      </c>
      <c r="B8">
        <v>8</v>
      </c>
      <c r="C8">
        <v>8</v>
      </c>
      <c r="D8" t="s">
        <v>5489</v>
      </c>
      <c r="E8" t="s">
        <v>5471</v>
      </c>
      <c r="F8" t="s">
        <v>5429</v>
      </c>
      <c r="G8" t="s">
        <v>5484</v>
      </c>
    </row>
    <row r="9" spans="1:7" x14ac:dyDescent="0.25">
      <c r="A9" t="s">
        <v>5490</v>
      </c>
      <c r="B9">
        <v>5</v>
      </c>
      <c r="C9">
        <v>5</v>
      </c>
      <c r="D9" t="s">
        <v>5491</v>
      </c>
      <c r="E9" t="s">
        <v>5479</v>
      </c>
      <c r="F9" t="s">
        <v>5432</v>
      </c>
      <c r="G9" t="s">
        <v>5476</v>
      </c>
    </row>
    <row r="10" spans="1:7" x14ac:dyDescent="0.25">
      <c r="A10" t="s">
        <v>5492</v>
      </c>
      <c r="B10">
        <v>3</v>
      </c>
      <c r="C10">
        <v>3</v>
      </c>
      <c r="D10" t="s">
        <v>5493</v>
      </c>
      <c r="E10" t="s">
        <v>5471</v>
      </c>
      <c r="F10" t="s">
        <v>5421</v>
      </c>
      <c r="G10" t="s">
        <v>5472</v>
      </c>
    </row>
    <row r="11" spans="1:7" x14ac:dyDescent="0.25">
      <c r="A11" t="s">
        <v>5494</v>
      </c>
      <c r="B11">
        <v>8</v>
      </c>
      <c r="C11">
        <v>8</v>
      </c>
      <c r="D11" t="s">
        <v>5495</v>
      </c>
      <c r="E11" t="s">
        <v>5479</v>
      </c>
      <c r="F11" t="s">
        <v>5421</v>
      </c>
      <c r="G11" t="s">
        <v>5472</v>
      </c>
    </row>
    <row r="12" spans="1:7" x14ac:dyDescent="0.25">
      <c r="A12" t="s">
        <v>5496</v>
      </c>
      <c r="B12">
        <v>4</v>
      </c>
      <c r="C12">
        <v>4</v>
      </c>
      <c r="D12" t="s">
        <v>5497</v>
      </c>
      <c r="E12" t="s">
        <v>5487</v>
      </c>
      <c r="F12" t="s">
        <v>5432</v>
      </c>
      <c r="G12" t="s">
        <v>5484</v>
      </c>
    </row>
    <row r="13" spans="1:7" x14ac:dyDescent="0.25">
      <c r="A13" t="s">
        <v>5498</v>
      </c>
      <c r="B13">
        <v>12</v>
      </c>
      <c r="C13">
        <v>12</v>
      </c>
      <c r="D13" t="s">
        <v>5499</v>
      </c>
      <c r="E13" t="s">
        <v>5487</v>
      </c>
      <c r="F13" t="s">
        <v>5421</v>
      </c>
      <c r="G13" t="s">
        <v>5476</v>
      </c>
    </row>
    <row r="14" spans="1:7" x14ac:dyDescent="0.25">
      <c r="A14" t="s">
        <v>5500</v>
      </c>
      <c r="B14">
        <v>8</v>
      </c>
      <c r="C14">
        <v>8</v>
      </c>
      <c r="D14" t="s">
        <v>5501</v>
      </c>
      <c r="E14" t="s">
        <v>5475</v>
      </c>
      <c r="F14" t="s">
        <v>5429</v>
      </c>
      <c r="G14" t="s">
        <v>5476</v>
      </c>
    </row>
    <row r="15" spans="1:7" x14ac:dyDescent="0.25">
      <c r="A15" t="s">
        <v>5502</v>
      </c>
      <c r="B15">
        <v>2</v>
      </c>
      <c r="C15">
        <v>2</v>
      </c>
      <c r="D15" t="s">
        <v>5503</v>
      </c>
      <c r="E15" t="s">
        <v>5479</v>
      </c>
      <c r="F15" t="s">
        <v>5424</v>
      </c>
      <c r="G15" t="s">
        <v>5484</v>
      </c>
    </row>
    <row r="16" spans="1:7" x14ac:dyDescent="0.25">
      <c r="A16" t="s">
        <v>5504</v>
      </c>
      <c r="B16">
        <v>6</v>
      </c>
      <c r="C16">
        <v>6</v>
      </c>
      <c r="D16" t="s">
        <v>5505</v>
      </c>
      <c r="E16" t="s">
        <v>5475</v>
      </c>
      <c r="F16" t="s">
        <v>5426</v>
      </c>
      <c r="G16" t="s">
        <v>5484</v>
      </c>
    </row>
    <row r="17" spans="1:7" x14ac:dyDescent="0.25">
      <c r="A17" t="s">
        <v>5506</v>
      </c>
      <c r="B17">
        <v>8</v>
      </c>
      <c r="C17">
        <v>8</v>
      </c>
      <c r="D17" t="s">
        <v>5507</v>
      </c>
      <c r="E17" t="s">
        <v>5479</v>
      </c>
      <c r="F17" t="s">
        <v>5432</v>
      </c>
      <c r="G17" t="s">
        <v>5484</v>
      </c>
    </row>
    <row r="18" spans="1:7" x14ac:dyDescent="0.25">
      <c r="A18" t="s">
        <v>5508</v>
      </c>
      <c r="B18">
        <v>3</v>
      </c>
      <c r="C18">
        <v>3</v>
      </c>
      <c r="D18" t="s">
        <v>5509</v>
      </c>
      <c r="E18" t="s">
        <v>5475</v>
      </c>
      <c r="F18" t="s">
        <v>5429</v>
      </c>
      <c r="G18" t="s">
        <v>5484</v>
      </c>
    </row>
    <row r="19" spans="1:7" x14ac:dyDescent="0.25">
      <c r="A19" t="s">
        <v>5510</v>
      </c>
      <c r="B19">
        <v>9</v>
      </c>
      <c r="C19">
        <v>9</v>
      </c>
      <c r="D19" t="s">
        <v>5511</v>
      </c>
      <c r="E19" t="s">
        <v>5471</v>
      </c>
      <c r="F19" t="s">
        <v>5424</v>
      </c>
      <c r="G19" t="s">
        <v>5472</v>
      </c>
    </row>
    <row r="20" spans="1:7" x14ac:dyDescent="0.25">
      <c r="A20" t="s">
        <v>5512</v>
      </c>
      <c r="B20">
        <v>12</v>
      </c>
      <c r="C20">
        <v>12</v>
      </c>
      <c r="D20" t="s">
        <v>5513</v>
      </c>
      <c r="E20" t="s">
        <v>5471</v>
      </c>
      <c r="F20" t="s">
        <v>5426</v>
      </c>
      <c r="G20" t="s">
        <v>5472</v>
      </c>
    </row>
    <row r="21" spans="1:7" x14ac:dyDescent="0.25">
      <c r="A21" t="s">
        <v>5514</v>
      </c>
      <c r="B21">
        <v>4</v>
      </c>
      <c r="C21">
        <v>4</v>
      </c>
      <c r="D21" t="s">
        <v>5515</v>
      </c>
      <c r="E21" t="s">
        <v>5475</v>
      </c>
      <c r="F21" t="s">
        <v>5421</v>
      </c>
      <c r="G21" t="s">
        <v>5484</v>
      </c>
    </row>
    <row r="22" spans="1:7" x14ac:dyDescent="0.25">
      <c r="A22" t="s">
        <v>5516</v>
      </c>
      <c r="B22">
        <v>4</v>
      </c>
      <c r="C22">
        <v>4</v>
      </c>
      <c r="D22" t="s">
        <v>5517</v>
      </c>
      <c r="E22" t="s">
        <v>5475</v>
      </c>
      <c r="F22" t="s">
        <v>5429</v>
      </c>
      <c r="G22" t="s">
        <v>5472</v>
      </c>
    </row>
    <row r="23" spans="1:7" x14ac:dyDescent="0.25">
      <c r="A23" t="s">
        <v>5518</v>
      </c>
      <c r="B23">
        <v>10</v>
      </c>
      <c r="C23">
        <v>10</v>
      </c>
      <c r="D23" t="s">
        <v>5519</v>
      </c>
      <c r="E23" t="s">
        <v>5487</v>
      </c>
      <c r="F23" t="s">
        <v>5421</v>
      </c>
      <c r="G23" t="s">
        <v>5484</v>
      </c>
    </row>
    <row r="24" spans="1:7" x14ac:dyDescent="0.25">
      <c r="A24" t="s">
        <v>5520</v>
      </c>
      <c r="B24">
        <v>5</v>
      </c>
      <c r="C24">
        <v>5</v>
      </c>
      <c r="D24" t="s">
        <v>5521</v>
      </c>
      <c r="E24" t="s">
        <v>5471</v>
      </c>
      <c r="F24" t="s">
        <v>5424</v>
      </c>
      <c r="G24" t="s">
        <v>5484</v>
      </c>
    </row>
    <row r="25" spans="1:7" x14ac:dyDescent="0.25">
      <c r="A25" t="s">
        <v>5522</v>
      </c>
      <c r="B25">
        <v>2</v>
      </c>
      <c r="C25">
        <v>2</v>
      </c>
      <c r="D25" t="s">
        <v>5523</v>
      </c>
      <c r="E25" t="s">
        <v>5471</v>
      </c>
      <c r="F25" t="s">
        <v>5421</v>
      </c>
      <c r="G25" t="s">
        <v>5472</v>
      </c>
    </row>
    <row r="26" spans="1:7" x14ac:dyDescent="0.25">
      <c r="A26" t="s">
        <v>5524</v>
      </c>
      <c r="B26">
        <v>11</v>
      </c>
      <c r="C26">
        <v>11</v>
      </c>
      <c r="D26" t="s">
        <v>5525</v>
      </c>
      <c r="E26" t="s">
        <v>5475</v>
      </c>
      <c r="F26" t="s">
        <v>5421</v>
      </c>
      <c r="G26" t="s">
        <v>5472</v>
      </c>
    </row>
    <row r="27" spans="1:7" x14ac:dyDescent="0.25">
      <c r="A27" t="s">
        <v>5526</v>
      </c>
      <c r="B27">
        <v>5</v>
      </c>
      <c r="C27">
        <v>5</v>
      </c>
      <c r="D27" t="s">
        <v>5527</v>
      </c>
      <c r="E27" t="s">
        <v>5475</v>
      </c>
      <c r="F27" t="s">
        <v>5421</v>
      </c>
      <c r="G27" t="s">
        <v>5472</v>
      </c>
    </row>
    <row r="28" spans="1:7" x14ac:dyDescent="0.25">
      <c r="A28" t="s">
        <v>5528</v>
      </c>
      <c r="B28">
        <v>7</v>
      </c>
      <c r="C28">
        <v>7</v>
      </c>
      <c r="D28" t="s">
        <v>5529</v>
      </c>
      <c r="E28" t="s">
        <v>5479</v>
      </c>
      <c r="F28" t="s">
        <v>5429</v>
      </c>
      <c r="G28" t="s">
        <v>5484</v>
      </c>
    </row>
    <row r="29" spans="1:7" x14ac:dyDescent="0.25">
      <c r="A29" t="s">
        <v>5530</v>
      </c>
      <c r="B29">
        <v>11</v>
      </c>
      <c r="C29">
        <v>11</v>
      </c>
      <c r="D29" t="s">
        <v>5531</v>
      </c>
      <c r="E29" t="s">
        <v>5471</v>
      </c>
      <c r="F29" t="s">
        <v>5432</v>
      </c>
      <c r="G29" t="s">
        <v>5472</v>
      </c>
    </row>
    <row r="30" spans="1:7" x14ac:dyDescent="0.25">
      <c r="A30" t="s">
        <v>5532</v>
      </c>
      <c r="B30">
        <v>8</v>
      </c>
      <c r="C30">
        <v>8</v>
      </c>
      <c r="D30" t="s">
        <v>5533</v>
      </c>
      <c r="E30" t="s">
        <v>5475</v>
      </c>
      <c r="F30" t="s">
        <v>5429</v>
      </c>
      <c r="G30" t="s">
        <v>5472</v>
      </c>
    </row>
    <row r="31" spans="1:7" x14ac:dyDescent="0.25">
      <c r="A31" t="s">
        <v>5534</v>
      </c>
      <c r="B31">
        <v>9</v>
      </c>
      <c r="C31">
        <v>9</v>
      </c>
      <c r="D31" t="s">
        <v>5535</v>
      </c>
      <c r="E31" t="s">
        <v>5479</v>
      </c>
      <c r="F31" t="s">
        <v>5429</v>
      </c>
      <c r="G31" t="s">
        <v>5484</v>
      </c>
    </row>
    <row r="32" spans="1:7" x14ac:dyDescent="0.25">
      <c r="A32" t="s">
        <v>5536</v>
      </c>
      <c r="B32">
        <v>5</v>
      </c>
      <c r="C32">
        <v>5</v>
      </c>
      <c r="D32" t="s">
        <v>5537</v>
      </c>
      <c r="E32" t="s">
        <v>5487</v>
      </c>
      <c r="F32" t="s">
        <v>5426</v>
      </c>
      <c r="G32" t="s">
        <v>5472</v>
      </c>
    </row>
    <row r="33" spans="1:7" x14ac:dyDescent="0.25">
      <c r="A33" t="s">
        <v>5538</v>
      </c>
      <c r="B33">
        <v>5</v>
      </c>
      <c r="C33">
        <v>5</v>
      </c>
      <c r="D33" t="s">
        <v>5539</v>
      </c>
      <c r="E33" t="s">
        <v>5487</v>
      </c>
      <c r="F33" t="s">
        <v>5426</v>
      </c>
      <c r="G33" t="s">
        <v>5484</v>
      </c>
    </row>
    <row r="34" spans="1:7" x14ac:dyDescent="0.25">
      <c r="A34" t="s">
        <v>5540</v>
      </c>
      <c r="B34">
        <v>8</v>
      </c>
      <c r="C34">
        <v>8</v>
      </c>
      <c r="D34" t="s">
        <v>5541</v>
      </c>
      <c r="E34" t="s">
        <v>5479</v>
      </c>
      <c r="F34" t="s">
        <v>5426</v>
      </c>
      <c r="G34" t="s">
        <v>5484</v>
      </c>
    </row>
    <row r="35" spans="1:7" x14ac:dyDescent="0.25">
      <c r="A35" t="s">
        <v>5542</v>
      </c>
      <c r="B35">
        <v>10</v>
      </c>
      <c r="C35">
        <v>10</v>
      </c>
      <c r="D35" t="s">
        <v>5543</v>
      </c>
      <c r="E35" t="s">
        <v>5475</v>
      </c>
      <c r="F35" t="s">
        <v>5432</v>
      </c>
      <c r="G35" t="s">
        <v>5476</v>
      </c>
    </row>
    <row r="36" spans="1:7" x14ac:dyDescent="0.25">
      <c r="A36" t="s">
        <v>5544</v>
      </c>
      <c r="B36">
        <v>10</v>
      </c>
      <c r="C36">
        <v>10</v>
      </c>
      <c r="D36" t="s">
        <v>5545</v>
      </c>
      <c r="E36" t="s">
        <v>5475</v>
      </c>
      <c r="F36" t="s">
        <v>5429</v>
      </c>
      <c r="G36" t="s">
        <v>5476</v>
      </c>
    </row>
    <row r="37" spans="1:7" x14ac:dyDescent="0.25">
      <c r="A37" t="s">
        <v>5546</v>
      </c>
      <c r="B37">
        <v>4</v>
      </c>
      <c r="C37">
        <v>4</v>
      </c>
      <c r="D37" t="s">
        <v>5547</v>
      </c>
      <c r="E37" t="s">
        <v>5479</v>
      </c>
      <c r="F37" t="s">
        <v>5421</v>
      </c>
      <c r="G37" t="s">
        <v>5476</v>
      </c>
    </row>
    <row r="38" spans="1:7" x14ac:dyDescent="0.25">
      <c r="A38" t="s">
        <v>5548</v>
      </c>
      <c r="B38">
        <v>10</v>
      </c>
      <c r="C38">
        <v>10</v>
      </c>
      <c r="D38" t="s">
        <v>5549</v>
      </c>
      <c r="E38" t="s">
        <v>5479</v>
      </c>
      <c r="F38" t="s">
        <v>5432</v>
      </c>
      <c r="G38" t="s">
        <v>5484</v>
      </c>
    </row>
    <row r="39" spans="1:7" x14ac:dyDescent="0.25">
      <c r="A39" t="s">
        <v>5550</v>
      </c>
      <c r="B39">
        <v>6</v>
      </c>
      <c r="C39">
        <v>6</v>
      </c>
      <c r="D39" t="s">
        <v>5551</v>
      </c>
      <c r="E39" t="s">
        <v>5487</v>
      </c>
      <c r="F39" t="s">
        <v>5424</v>
      </c>
      <c r="G39" t="s">
        <v>5484</v>
      </c>
    </row>
    <row r="40" spans="1:7" x14ac:dyDescent="0.25">
      <c r="A40" t="s">
        <v>5552</v>
      </c>
      <c r="B40">
        <v>7</v>
      </c>
      <c r="C40">
        <v>7</v>
      </c>
      <c r="D40" t="s">
        <v>5553</v>
      </c>
      <c r="E40" t="s">
        <v>5475</v>
      </c>
      <c r="F40" t="s">
        <v>5421</v>
      </c>
      <c r="G40" t="s">
        <v>5472</v>
      </c>
    </row>
    <row r="41" spans="1:7" x14ac:dyDescent="0.25">
      <c r="A41" t="s">
        <v>5554</v>
      </c>
      <c r="B41">
        <v>9</v>
      </c>
      <c r="C41">
        <v>9</v>
      </c>
      <c r="D41" t="s">
        <v>5555</v>
      </c>
      <c r="E41" t="s">
        <v>5479</v>
      </c>
      <c r="F41" t="s">
        <v>5426</v>
      </c>
      <c r="G41" t="s">
        <v>5472</v>
      </c>
    </row>
    <row r="42" spans="1:7" x14ac:dyDescent="0.25">
      <c r="A42" t="s">
        <v>5556</v>
      </c>
      <c r="B42">
        <v>6</v>
      </c>
      <c r="C42">
        <v>6</v>
      </c>
      <c r="D42" t="s">
        <v>5557</v>
      </c>
      <c r="E42" t="s">
        <v>5471</v>
      </c>
      <c r="F42" t="s">
        <v>5432</v>
      </c>
      <c r="G42" t="s">
        <v>5484</v>
      </c>
    </row>
    <row r="43" spans="1:7" x14ac:dyDescent="0.25">
      <c r="A43" t="s">
        <v>5558</v>
      </c>
      <c r="B43">
        <v>4</v>
      </c>
      <c r="C43">
        <v>4</v>
      </c>
      <c r="D43" t="s">
        <v>5559</v>
      </c>
      <c r="E43" t="s">
        <v>5471</v>
      </c>
      <c r="F43" t="s">
        <v>5426</v>
      </c>
      <c r="G43" t="s">
        <v>5472</v>
      </c>
    </row>
    <row r="44" spans="1:7" x14ac:dyDescent="0.25">
      <c r="A44" t="s">
        <v>5560</v>
      </c>
      <c r="B44">
        <v>5</v>
      </c>
      <c r="C44">
        <v>5</v>
      </c>
      <c r="D44" t="s">
        <v>5561</v>
      </c>
      <c r="E44" t="s">
        <v>5487</v>
      </c>
      <c r="F44" t="s">
        <v>5426</v>
      </c>
      <c r="G44" t="s">
        <v>5484</v>
      </c>
    </row>
    <row r="45" spans="1:7" x14ac:dyDescent="0.25">
      <c r="A45" t="s">
        <v>5562</v>
      </c>
      <c r="B45">
        <v>6</v>
      </c>
      <c r="C45">
        <v>6</v>
      </c>
      <c r="D45" t="s">
        <v>5563</v>
      </c>
      <c r="E45" t="s">
        <v>5471</v>
      </c>
      <c r="F45" t="s">
        <v>5432</v>
      </c>
      <c r="G45" t="s">
        <v>5476</v>
      </c>
    </row>
    <row r="46" spans="1:7" x14ac:dyDescent="0.25">
      <c r="A46" t="s">
        <v>5564</v>
      </c>
      <c r="B46">
        <v>2</v>
      </c>
      <c r="C46">
        <v>2</v>
      </c>
      <c r="D46" t="s">
        <v>5565</v>
      </c>
      <c r="E46" t="s">
        <v>5475</v>
      </c>
      <c r="F46" t="s">
        <v>5432</v>
      </c>
      <c r="G46" t="s">
        <v>5484</v>
      </c>
    </row>
    <row r="47" spans="1:7" x14ac:dyDescent="0.25">
      <c r="A47" t="s">
        <v>5566</v>
      </c>
      <c r="B47">
        <v>7</v>
      </c>
      <c r="C47">
        <v>7</v>
      </c>
      <c r="D47" t="s">
        <v>5567</v>
      </c>
      <c r="E47" t="s">
        <v>5487</v>
      </c>
      <c r="F47" t="s">
        <v>5424</v>
      </c>
      <c r="G47" t="s">
        <v>5472</v>
      </c>
    </row>
    <row r="48" spans="1:7" x14ac:dyDescent="0.25">
      <c r="A48" t="s">
        <v>5568</v>
      </c>
      <c r="B48">
        <v>6</v>
      </c>
      <c r="C48">
        <v>6</v>
      </c>
      <c r="D48" t="s">
        <v>5569</v>
      </c>
      <c r="E48" t="s">
        <v>5487</v>
      </c>
      <c r="F48" t="s">
        <v>5432</v>
      </c>
      <c r="G48" t="s">
        <v>5484</v>
      </c>
    </row>
    <row r="49" spans="1:7" x14ac:dyDescent="0.25">
      <c r="A49" t="s">
        <v>5570</v>
      </c>
      <c r="B49">
        <v>6</v>
      </c>
      <c r="C49">
        <v>6</v>
      </c>
      <c r="D49" t="s">
        <v>5571</v>
      </c>
      <c r="E49" t="s">
        <v>5475</v>
      </c>
      <c r="F49" t="s">
        <v>5432</v>
      </c>
      <c r="G49" t="s">
        <v>5472</v>
      </c>
    </row>
    <row r="50" spans="1:7" x14ac:dyDescent="0.25">
      <c r="A50" t="s">
        <v>5572</v>
      </c>
      <c r="B50">
        <v>8</v>
      </c>
      <c r="C50">
        <v>8</v>
      </c>
      <c r="D50" t="s">
        <v>5573</v>
      </c>
      <c r="E50" t="s">
        <v>5479</v>
      </c>
      <c r="F50" t="s">
        <v>5421</v>
      </c>
      <c r="G50" t="s">
        <v>5472</v>
      </c>
    </row>
    <row r="51" spans="1:7" x14ac:dyDescent="0.25">
      <c r="A51" t="s">
        <v>5574</v>
      </c>
      <c r="B51">
        <v>6</v>
      </c>
      <c r="C51">
        <v>6</v>
      </c>
      <c r="D51" t="s">
        <v>5575</v>
      </c>
      <c r="E51" t="s">
        <v>5475</v>
      </c>
      <c r="F51" t="s">
        <v>5421</v>
      </c>
      <c r="G51" t="s">
        <v>5484</v>
      </c>
    </row>
    <row r="52" spans="1:7" x14ac:dyDescent="0.25">
      <c r="A52" t="s">
        <v>5576</v>
      </c>
      <c r="B52">
        <v>3</v>
      </c>
      <c r="C52">
        <v>3</v>
      </c>
      <c r="D52" t="s">
        <v>5577</v>
      </c>
      <c r="E52" t="s">
        <v>5487</v>
      </c>
      <c r="F52" t="s">
        <v>5421</v>
      </c>
      <c r="G52" t="s">
        <v>5476</v>
      </c>
    </row>
    <row r="53" spans="1:7" x14ac:dyDescent="0.25">
      <c r="A53" t="s">
        <v>5578</v>
      </c>
      <c r="B53">
        <v>5</v>
      </c>
      <c r="C53">
        <v>5</v>
      </c>
      <c r="D53" t="s">
        <v>5579</v>
      </c>
      <c r="E53" t="s">
        <v>5487</v>
      </c>
      <c r="F53" t="s">
        <v>5426</v>
      </c>
      <c r="G53" t="s">
        <v>5472</v>
      </c>
    </row>
    <row r="54" spans="1:7" x14ac:dyDescent="0.25">
      <c r="A54" t="s">
        <v>5580</v>
      </c>
      <c r="B54">
        <v>8</v>
      </c>
      <c r="C54">
        <v>8</v>
      </c>
      <c r="D54" t="s">
        <v>5581</v>
      </c>
      <c r="E54" t="s">
        <v>5479</v>
      </c>
      <c r="F54" t="s">
        <v>5432</v>
      </c>
      <c r="G54" t="s">
        <v>5476</v>
      </c>
    </row>
    <row r="55" spans="1:7" x14ac:dyDescent="0.25">
      <c r="A55" t="s">
        <v>5582</v>
      </c>
      <c r="B55">
        <v>10</v>
      </c>
      <c r="C55">
        <v>10</v>
      </c>
      <c r="D55" t="s">
        <v>5583</v>
      </c>
      <c r="E55" t="s">
        <v>5487</v>
      </c>
      <c r="F55" t="s">
        <v>5429</v>
      </c>
      <c r="G55" t="s">
        <v>5476</v>
      </c>
    </row>
    <row r="56" spans="1:7" x14ac:dyDescent="0.25">
      <c r="A56" t="s">
        <v>5584</v>
      </c>
      <c r="B56">
        <v>6</v>
      </c>
      <c r="C56">
        <v>6</v>
      </c>
      <c r="D56" t="s">
        <v>5585</v>
      </c>
      <c r="E56" t="s">
        <v>5471</v>
      </c>
      <c r="F56" t="s">
        <v>5429</v>
      </c>
      <c r="G56" t="s">
        <v>5472</v>
      </c>
    </row>
    <row r="57" spans="1:7" x14ac:dyDescent="0.25">
      <c r="A57" t="s">
        <v>5586</v>
      </c>
      <c r="B57">
        <v>5</v>
      </c>
      <c r="C57">
        <v>5</v>
      </c>
      <c r="D57" t="s">
        <v>5587</v>
      </c>
      <c r="E57" t="s">
        <v>5479</v>
      </c>
      <c r="F57" t="s">
        <v>5432</v>
      </c>
      <c r="G57" t="s">
        <v>5476</v>
      </c>
    </row>
    <row r="58" spans="1:7" x14ac:dyDescent="0.25">
      <c r="A58" t="s">
        <v>5588</v>
      </c>
      <c r="B58">
        <v>10</v>
      </c>
      <c r="C58">
        <v>10</v>
      </c>
      <c r="D58" t="s">
        <v>5589</v>
      </c>
      <c r="E58" t="s">
        <v>5487</v>
      </c>
      <c r="F58" t="s">
        <v>5421</v>
      </c>
      <c r="G58" t="s">
        <v>5484</v>
      </c>
    </row>
    <row r="59" spans="1:7" x14ac:dyDescent="0.25">
      <c r="A59" t="s">
        <v>5590</v>
      </c>
      <c r="B59">
        <v>13</v>
      </c>
      <c r="C59">
        <v>13</v>
      </c>
      <c r="D59" t="s">
        <v>5591</v>
      </c>
      <c r="E59" t="s">
        <v>5471</v>
      </c>
      <c r="F59" t="s">
        <v>5424</v>
      </c>
      <c r="G59" t="s">
        <v>5484</v>
      </c>
    </row>
    <row r="60" spans="1:7" x14ac:dyDescent="0.25">
      <c r="A60" t="s">
        <v>5592</v>
      </c>
      <c r="B60">
        <v>5</v>
      </c>
      <c r="C60">
        <v>5</v>
      </c>
      <c r="D60" t="s">
        <v>5593</v>
      </c>
      <c r="E60" t="s">
        <v>5487</v>
      </c>
      <c r="F60" t="s">
        <v>5421</v>
      </c>
      <c r="G60" t="s">
        <v>5484</v>
      </c>
    </row>
    <row r="61" spans="1:7" x14ac:dyDescent="0.25">
      <c r="A61" t="s">
        <v>5594</v>
      </c>
      <c r="B61">
        <v>7</v>
      </c>
      <c r="C61">
        <v>7</v>
      </c>
      <c r="D61" t="s">
        <v>5595</v>
      </c>
      <c r="E61" t="s">
        <v>5487</v>
      </c>
      <c r="F61" t="s">
        <v>5421</v>
      </c>
      <c r="G61" t="s">
        <v>5484</v>
      </c>
    </row>
    <row r="62" spans="1:7" x14ac:dyDescent="0.25">
      <c r="A62" t="s">
        <v>5596</v>
      </c>
      <c r="B62">
        <v>4</v>
      </c>
      <c r="C62">
        <v>4</v>
      </c>
      <c r="D62" t="s">
        <v>5597</v>
      </c>
      <c r="E62" t="s">
        <v>5475</v>
      </c>
      <c r="F62" t="s">
        <v>5421</v>
      </c>
      <c r="G62" t="s">
        <v>5472</v>
      </c>
    </row>
    <row r="63" spans="1:7" x14ac:dyDescent="0.25">
      <c r="A63" t="s">
        <v>5598</v>
      </c>
      <c r="B63">
        <v>5</v>
      </c>
      <c r="C63">
        <v>5</v>
      </c>
      <c r="D63" t="s">
        <v>5599</v>
      </c>
      <c r="E63" t="s">
        <v>5471</v>
      </c>
      <c r="F63" t="s">
        <v>5429</v>
      </c>
      <c r="G63" t="s">
        <v>5484</v>
      </c>
    </row>
    <row r="64" spans="1:7" x14ac:dyDescent="0.25">
      <c r="A64" t="s">
        <v>5600</v>
      </c>
      <c r="B64">
        <v>5</v>
      </c>
      <c r="C64">
        <v>5</v>
      </c>
      <c r="D64" t="s">
        <v>5601</v>
      </c>
      <c r="E64" t="s">
        <v>5475</v>
      </c>
      <c r="F64" t="s">
        <v>5426</v>
      </c>
      <c r="G64" t="s">
        <v>5476</v>
      </c>
    </row>
    <row r="65" spans="1:7" x14ac:dyDescent="0.25">
      <c r="A65" t="s">
        <v>5602</v>
      </c>
      <c r="B65">
        <v>3</v>
      </c>
      <c r="C65">
        <v>3</v>
      </c>
      <c r="D65" t="s">
        <v>5603</v>
      </c>
      <c r="E65" t="s">
        <v>5471</v>
      </c>
      <c r="F65" t="s">
        <v>5426</v>
      </c>
      <c r="G65" t="s">
        <v>5472</v>
      </c>
    </row>
    <row r="66" spans="1:7" x14ac:dyDescent="0.25">
      <c r="A66" t="s">
        <v>5604</v>
      </c>
      <c r="B66">
        <v>2</v>
      </c>
      <c r="C66">
        <v>2</v>
      </c>
      <c r="D66" t="s">
        <v>5605</v>
      </c>
      <c r="E66" t="s">
        <v>5487</v>
      </c>
      <c r="F66" t="s">
        <v>5432</v>
      </c>
      <c r="G66" t="s">
        <v>5484</v>
      </c>
    </row>
    <row r="67" spans="1:7" x14ac:dyDescent="0.25">
      <c r="A67" t="s">
        <v>5606</v>
      </c>
      <c r="B67">
        <v>8</v>
      </c>
      <c r="C67">
        <v>8</v>
      </c>
      <c r="D67" t="s">
        <v>5607</v>
      </c>
      <c r="E67" t="s">
        <v>5487</v>
      </c>
      <c r="F67" t="s">
        <v>5429</v>
      </c>
      <c r="G67" t="s">
        <v>5472</v>
      </c>
    </row>
    <row r="68" spans="1:7" x14ac:dyDescent="0.25">
      <c r="A68" t="s">
        <v>5608</v>
      </c>
      <c r="B68">
        <v>8</v>
      </c>
      <c r="C68">
        <v>8</v>
      </c>
      <c r="D68" t="s">
        <v>5609</v>
      </c>
      <c r="E68" t="s">
        <v>5475</v>
      </c>
      <c r="F68" t="s">
        <v>5421</v>
      </c>
      <c r="G68" t="s">
        <v>5484</v>
      </c>
    </row>
    <row r="69" spans="1:7" x14ac:dyDescent="0.25">
      <c r="A69" t="s">
        <v>5610</v>
      </c>
      <c r="B69">
        <v>9</v>
      </c>
      <c r="C69">
        <v>9</v>
      </c>
      <c r="D69" t="s">
        <v>5611</v>
      </c>
      <c r="E69" t="s">
        <v>5479</v>
      </c>
      <c r="F69" t="s">
        <v>5421</v>
      </c>
      <c r="G69" t="s">
        <v>5476</v>
      </c>
    </row>
    <row r="70" spans="1:7" x14ac:dyDescent="0.25">
      <c r="A70" t="s">
        <v>5612</v>
      </c>
      <c r="B70">
        <v>6</v>
      </c>
      <c r="C70">
        <v>6</v>
      </c>
      <c r="D70" t="s">
        <v>5613</v>
      </c>
      <c r="E70" t="s">
        <v>5471</v>
      </c>
      <c r="F70" t="s">
        <v>5426</v>
      </c>
      <c r="G70" t="s">
        <v>5484</v>
      </c>
    </row>
    <row r="71" spans="1:7" x14ac:dyDescent="0.25">
      <c r="A71" t="s">
        <v>5614</v>
      </c>
      <c r="B71">
        <v>7</v>
      </c>
      <c r="C71">
        <v>7</v>
      </c>
      <c r="D71" t="s">
        <v>5615</v>
      </c>
      <c r="E71" t="s">
        <v>5479</v>
      </c>
      <c r="F71" t="s">
        <v>5432</v>
      </c>
      <c r="G71" t="s">
        <v>5476</v>
      </c>
    </row>
    <row r="72" spans="1:7" x14ac:dyDescent="0.25">
      <c r="A72" t="s">
        <v>5616</v>
      </c>
      <c r="B72">
        <v>5</v>
      </c>
      <c r="C72">
        <v>5</v>
      </c>
      <c r="D72" t="s">
        <v>5617</v>
      </c>
      <c r="E72" t="s">
        <v>5475</v>
      </c>
      <c r="F72" t="s">
        <v>5432</v>
      </c>
      <c r="G72" t="s">
        <v>5472</v>
      </c>
    </row>
    <row r="73" spans="1:7" x14ac:dyDescent="0.25">
      <c r="A73" t="s">
        <v>5618</v>
      </c>
      <c r="B73">
        <v>6</v>
      </c>
      <c r="C73">
        <v>6</v>
      </c>
      <c r="D73" t="s">
        <v>5619</v>
      </c>
      <c r="E73" t="s">
        <v>5471</v>
      </c>
      <c r="F73" t="s">
        <v>5421</v>
      </c>
      <c r="G73" t="s">
        <v>5484</v>
      </c>
    </row>
    <row r="74" spans="1:7" x14ac:dyDescent="0.25">
      <c r="A74" t="s">
        <v>5620</v>
      </c>
      <c r="B74">
        <v>5</v>
      </c>
      <c r="C74">
        <v>5</v>
      </c>
      <c r="D74" t="s">
        <v>5621</v>
      </c>
      <c r="E74" t="s">
        <v>5475</v>
      </c>
      <c r="F74" t="s">
        <v>5424</v>
      </c>
      <c r="G74" t="s">
        <v>5484</v>
      </c>
    </row>
    <row r="75" spans="1:7" x14ac:dyDescent="0.25">
      <c r="A75" t="s">
        <v>5622</v>
      </c>
      <c r="B75">
        <v>10</v>
      </c>
      <c r="C75">
        <v>10</v>
      </c>
      <c r="D75" t="s">
        <v>5623</v>
      </c>
      <c r="E75" t="s">
        <v>5471</v>
      </c>
      <c r="F75" t="s">
        <v>5429</v>
      </c>
      <c r="G75" t="s">
        <v>5476</v>
      </c>
    </row>
    <row r="76" spans="1:7" x14ac:dyDescent="0.25">
      <c r="A76" t="s">
        <v>5624</v>
      </c>
      <c r="B76">
        <v>7</v>
      </c>
      <c r="C76">
        <v>7</v>
      </c>
      <c r="D76" t="s">
        <v>5625</v>
      </c>
      <c r="E76" t="s">
        <v>5475</v>
      </c>
      <c r="F76" t="s">
        <v>5426</v>
      </c>
      <c r="G76" t="s">
        <v>5472</v>
      </c>
    </row>
    <row r="77" spans="1:7" x14ac:dyDescent="0.25">
      <c r="A77" t="s">
        <v>5626</v>
      </c>
      <c r="B77">
        <v>4</v>
      </c>
      <c r="C77">
        <v>4</v>
      </c>
      <c r="D77" t="s">
        <v>5627</v>
      </c>
      <c r="E77" t="s">
        <v>5479</v>
      </c>
      <c r="F77" t="s">
        <v>5429</v>
      </c>
      <c r="G77" t="s">
        <v>5472</v>
      </c>
    </row>
    <row r="78" spans="1:7" x14ac:dyDescent="0.25">
      <c r="A78" t="s">
        <v>5628</v>
      </c>
      <c r="B78">
        <v>6</v>
      </c>
      <c r="C78">
        <v>6</v>
      </c>
      <c r="D78" t="s">
        <v>5629</v>
      </c>
      <c r="E78" t="s">
        <v>5479</v>
      </c>
      <c r="F78" t="s">
        <v>5421</v>
      </c>
      <c r="G78" t="s">
        <v>5472</v>
      </c>
    </row>
    <row r="79" spans="1:7" x14ac:dyDescent="0.25">
      <c r="A79" t="s">
        <v>5630</v>
      </c>
      <c r="B79">
        <v>4</v>
      </c>
      <c r="C79">
        <v>4</v>
      </c>
      <c r="D79" t="s">
        <v>5631</v>
      </c>
      <c r="E79" t="s">
        <v>5471</v>
      </c>
      <c r="F79" t="s">
        <v>5429</v>
      </c>
      <c r="G79" t="s">
        <v>5484</v>
      </c>
    </row>
    <row r="80" spans="1:7" x14ac:dyDescent="0.25">
      <c r="A80" t="s">
        <v>5632</v>
      </c>
      <c r="B80">
        <v>5</v>
      </c>
      <c r="C80">
        <v>5</v>
      </c>
      <c r="D80" t="s">
        <v>5633</v>
      </c>
      <c r="E80" t="s">
        <v>5487</v>
      </c>
      <c r="F80" t="s">
        <v>5429</v>
      </c>
      <c r="G80" t="s">
        <v>5472</v>
      </c>
    </row>
    <row r="81" spans="1:7" x14ac:dyDescent="0.25">
      <c r="A81" t="s">
        <v>5634</v>
      </c>
      <c r="B81">
        <v>7</v>
      </c>
      <c r="C81">
        <v>7</v>
      </c>
      <c r="D81" t="s">
        <v>5635</v>
      </c>
      <c r="E81" t="s">
        <v>5479</v>
      </c>
      <c r="F81" t="s">
        <v>5432</v>
      </c>
      <c r="G81" t="s">
        <v>5484</v>
      </c>
    </row>
    <row r="82" spans="1:7" x14ac:dyDescent="0.25">
      <c r="A82" t="s">
        <v>5636</v>
      </c>
      <c r="B82">
        <v>12</v>
      </c>
      <c r="C82">
        <v>12</v>
      </c>
      <c r="D82" t="s">
        <v>5637</v>
      </c>
      <c r="E82" t="s">
        <v>5487</v>
      </c>
      <c r="F82" t="s">
        <v>5421</v>
      </c>
      <c r="G82" t="s">
        <v>5476</v>
      </c>
    </row>
    <row r="83" spans="1:7" x14ac:dyDescent="0.25">
      <c r="A83" t="s">
        <v>5638</v>
      </c>
      <c r="B83">
        <v>12</v>
      </c>
      <c r="C83">
        <v>12</v>
      </c>
      <c r="D83" t="s">
        <v>5639</v>
      </c>
      <c r="E83" t="s">
        <v>5479</v>
      </c>
      <c r="F83" t="s">
        <v>5426</v>
      </c>
      <c r="G83" t="s">
        <v>5472</v>
      </c>
    </row>
    <row r="84" spans="1:7" x14ac:dyDescent="0.25">
      <c r="A84" t="s">
        <v>5640</v>
      </c>
      <c r="B84">
        <v>12</v>
      </c>
      <c r="C84">
        <v>12</v>
      </c>
      <c r="D84" t="s">
        <v>5641</v>
      </c>
      <c r="E84" t="s">
        <v>5487</v>
      </c>
      <c r="F84" t="s">
        <v>5432</v>
      </c>
      <c r="G84" t="s">
        <v>5484</v>
      </c>
    </row>
    <row r="85" spans="1:7" x14ac:dyDescent="0.25">
      <c r="A85" t="s">
        <v>5642</v>
      </c>
      <c r="B85">
        <v>7</v>
      </c>
      <c r="C85">
        <v>7</v>
      </c>
      <c r="D85" t="s">
        <v>5643</v>
      </c>
      <c r="E85" t="s">
        <v>5479</v>
      </c>
      <c r="F85" t="s">
        <v>5426</v>
      </c>
      <c r="G85" t="s">
        <v>5484</v>
      </c>
    </row>
    <row r="86" spans="1:7" x14ac:dyDescent="0.25">
      <c r="A86" t="s">
        <v>5644</v>
      </c>
      <c r="B86">
        <v>5</v>
      </c>
      <c r="C86">
        <v>5</v>
      </c>
      <c r="D86" t="s">
        <v>5645</v>
      </c>
      <c r="E86" t="s">
        <v>5487</v>
      </c>
      <c r="F86" t="s">
        <v>5426</v>
      </c>
      <c r="G86" t="s">
        <v>5484</v>
      </c>
    </row>
    <row r="87" spans="1:7" x14ac:dyDescent="0.25">
      <c r="A87" t="s">
        <v>5646</v>
      </c>
      <c r="B87">
        <v>7</v>
      </c>
      <c r="C87">
        <v>7</v>
      </c>
      <c r="D87" t="s">
        <v>5647</v>
      </c>
      <c r="E87" t="s">
        <v>5487</v>
      </c>
      <c r="F87" t="s">
        <v>5421</v>
      </c>
      <c r="G87" t="s">
        <v>5484</v>
      </c>
    </row>
    <row r="88" spans="1:7" x14ac:dyDescent="0.25">
      <c r="A88" t="s">
        <v>5648</v>
      </c>
      <c r="B88">
        <v>7</v>
      </c>
      <c r="C88">
        <v>7</v>
      </c>
      <c r="D88" t="s">
        <v>5649</v>
      </c>
      <c r="E88" t="s">
        <v>5487</v>
      </c>
      <c r="F88" t="s">
        <v>5429</v>
      </c>
      <c r="G88" t="s">
        <v>5472</v>
      </c>
    </row>
    <row r="89" spans="1:7" x14ac:dyDescent="0.25">
      <c r="A89" t="s">
        <v>5650</v>
      </c>
      <c r="B89">
        <v>5</v>
      </c>
      <c r="C89">
        <v>5</v>
      </c>
      <c r="D89" t="s">
        <v>5651</v>
      </c>
      <c r="E89" t="s">
        <v>5479</v>
      </c>
      <c r="F89" t="s">
        <v>5432</v>
      </c>
      <c r="G89" t="s">
        <v>5472</v>
      </c>
    </row>
    <row r="90" spans="1:7" x14ac:dyDescent="0.25">
      <c r="A90" t="s">
        <v>5652</v>
      </c>
      <c r="B90">
        <v>5</v>
      </c>
      <c r="C90">
        <v>5</v>
      </c>
      <c r="D90" t="s">
        <v>5653</v>
      </c>
      <c r="E90" t="s">
        <v>5471</v>
      </c>
      <c r="F90" t="s">
        <v>5426</v>
      </c>
      <c r="G90" t="s">
        <v>5476</v>
      </c>
    </row>
    <row r="91" spans="1:7" x14ac:dyDescent="0.25">
      <c r="A91" t="s">
        <v>5654</v>
      </c>
      <c r="B91">
        <v>10</v>
      </c>
      <c r="C91">
        <v>10</v>
      </c>
      <c r="D91" t="s">
        <v>5655</v>
      </c>
      <c r="E91" t="s">
        <v>5471</v>
      </c>
      <c r="F91" t="s">
        <v>5421</v>
      </c>
      <c r="G91" t="s">
        <v>5472</v>
      </c>
    </row>
    <row r="92" spans="1:7" x14ac:dyDescent="0.25">
      <c r="A92" t="s">
        <v>5656</v>
      </c>
      <c r="B92">
        <v>7</v>
      </c>
      <c r="C92">
        <v>7</v>
      </c>
      <c r="D92" t="s">
        <v>5657</v>
      </c>
      <c r="E92" t="s">
        <v>5479</v>
      </c>
      <c r="F92" t="s">
        <v>5421</v>
      </c>
      <c r="G92" t="s">
        <v>5484</v>
      </c>
    </row>
    <row r="93" spans="1:7" x14ac:dyDescent="0.25">
      <c r="A93" t="s">
        <v>5658</v>
      </c>
      <c r="B93">
        <v>5</v>
      </c>
      <c r="C93">
        <v>5</v>
      </c>
      <c r="D93" t="s">
        <v>5659</v>
      </c>
      <c r="E93" t="s">
        <v>5479</v>
      </c>
      <c r="F93" t="s">
        <v>5429</v>
      </c>
      <c r="G93" t="s">
        <v>5472</v>
      </c>
    </row>
    <row r="94" spans="1:7" x14ac:dyDescent="0.25">
      <c r="A94" t="s">
        <v>5660</v>
      </c>
      <c r="B94">
        <v>4</v>
      </c>
      <c r="C94">
        <v>4</v>
      </c>
      <c r="D94" t="s">
        <v>5661</v>
      </c>
      <c r="E94" t="s">
        <v>5471</v>
      </c>
      <c r="F94" t="s">
        <v>5429</v>
      </c>
      <c r="G94" t="s">
        <v>5472</v>
      </c>
    </row>
    <row r="95" spans="1:7" x14ac:dyDescent="0.25">
      <c r="A95" t="s">
        <v>5662</v>
      </c>
      <c r="B95">
        <v>6</v>
      </c>
      <c r="C95">
        <v>6</v>
      </c>
      <c r="D95" t="s">
        <v>5663</v>
      </c>
      <c r="E95" t="s">
        <v>5479</v>
      </c>
      <c r="F95" t="s">
        <v>5429</v>
      </c>
      <c r="G95" t="s">
        <v>5472</v>
      </c>
    </row>
    <row r="96" spans="1:7" x14ac:dyDescent="0.25">
      <c r="A96" t="s">
        <v>5664</v>
      </c>
      <c r="B96">
        <v>4</v>
      </c>
      <c r="C96">
        <v>4</v>
      </c>
      <c r="D96" t="s">
        <v>5665</v>
      </c>
      <c r="E96" t="s">
        <v>5471</v>
      </c>
      <c r="F96" t="s">
        <v>5426</v>
      </c>
      <c r="G96" t="s">
        <v>5472</v>
      </c>
    </row>
    <row r="97" spans="1:7" x14ac:dyDescent="0.25">
      <c r="A97" t="s">
        <v>5666</v>
      </c>
      <c r="B97">
        <v>7</v>
      </c>
      <c r="C97">
        <v>7</v>
      </c>
      <c r="D97" t="s">
        <v>5667</v>
      </c>
      <c r="E97" t="s">
        <v>5471</v>
      </c>
      <c r="F97" t="s">
        <v>5421</v>
      </c>
      <c r="G97" t="s">
        <v>5472</v>
      </c>
    </row>
    <row r="98" spans="1:7" x14ac:dyDescent="0.25">
      <c r="A98" t="s">
        <v>5668</v>
      </c>
      <c r="B98">
        <v>7</v>
      </c>
      <c r="C98">
        <v>7</v>
      </c>
      <c r="D98" t="s">
        <v>5669</v>
      </c>
      <c r="E98" t="s">
        <v>5479</v>
      </c>
      <c r="F98" t="s">
        <v>5426</v>
      </c>
      <c r="G98" t="s">
        <v>5472</v>
      </c>
    </row>
    <row r="99" spans="1:7" x14ac:dyDescent="0.25">
      <c r="A99" t="s">
        <v>5670</v>
      </c>
      <c r="B99">
        <v>7</v>
      </c>
      <c r="C99">
        <v>7</v>
      </c>
      <c r="D99" t="s">
        <v>5671</v>
      </c>
      <c r="E99" t="s">
        <v>5487</v>
      </c>
      <c r="F99" t="s">
        <v>5432</v>
      </c>
      <c r="G99" t="s">
        <v>5472</v>
      </c>
    </row>
    <row r="100" spans="1:7" x14ac:dyDescent="0.25">
      <c r="A100" t="s">
        <v>5672</v>
      </c>
      <c r="B100">
        <v>9</v>
      </c>
      <c r="C100">
        <v>9</v>
      </c>
      <c r="D100" t="s">
        <v>5673</v>
      </c>
      <c r="E100" t="s">
        <v>5479</v>
      </c>
      <c r="F100" t="s">
        <v>5421</v>
      </c>
      <c r="G100" t="s">
        <v>5484</v>
      </c>
    </row>
    <row r="101" spans="1:7" x14ac:dyDescent="0.25">
      <c r="A101" t="s">
        <v>5674</v>
      </c>
      <c r="B101">
        <v>6</v>
      </c>
      <c r="C101">
        <v>6</v>
      </c>
      <c r="D101" t="s">
        <v>5675</v>
      </c>
      <c r="E101" t="s">
        <v>5487</v>
      </c>
      <c r="F101" t="s">
        <v>5432</v>
      </c>
      <c r="G101" t="s">
        <v>5484</v>
      </c>
    </row>
    <row r="102" spans="1:7" x14ac:dyDescent="0.25">
      <c r="A102" t="s">
        <v>5676</v>
      </c>
      <c r="B102">
        <v>5</v>
      </c>
      <c r="C102">
        <v>5</v>
      </c>
      <c r="D102" t="s">
        <v>5677</v>
      </c>
      <c r="E102" t="s">
        <v>5487</v>
      </c>
      <c r="F102" t="s">
        <v>5424</v>
      </c>
      <c r="G102" t="s">
        <v>5484</v>
      </c>
    </row>
    <row r="103" spans="1:7" x14ac:dyDescent="0.25">
      <c r="A103" t="s">
        <v>5678</v>
      </c>
      <c r="B103">
        <v>10</v>
      </c>
      <c r="C103">
        <v>10</v>
      </c>
      <c r="D103" t="s">
        <v>5679</v>
      </c>
      <c r="E103" t="s">
        <v>5479</v>
      </c>
      <c r="F103" t="s">
        <v>5429</v>
      </c>
      <c r="G103" t="s">
        <v>5472</v>
      </c>
    </row>
    <row r="104" spans="1:7" x14ac:dyDescent="0.25">
      <c r="A104" t="s">
        <v>5680</v>
      </c>
      <c r="B104">
        <v>10</v>
      </c>
      <c r="C104">
        <v>10</v>
      </c>
      <c r="D104" t="s">
        <v>5681</v>
      </c>
      <c r="E104" t="s">
        <v>5471</v>
      </c>
      <c r="F104" t="s">
        <v>5424</v>
      </c>
      <c r="G104" t="s">
        <v>5484</v>
      </c>
    </row>
    <row r="105" spans="1:7" x14ac:dyDescent="0.25">
      <c r="A105" t="s">
        <v>5682</v>
      </c>
      <c r="B105">
        <v>12</v>
      </c>
      <c r="C105">
        <v>12</v>
      </c>
      <c r="D105" t="s">
        <v>5683</v>
      </c>
      <c r="E105" t="s">
        <v>5475</v>
      </c>
      <c r="F105" t="s">
        <v>5424</v>
      </c>
      <c r="G105" t="s">
        <v>5472</v>
      </c>
    </row>
    <row r="106" spans="1:7" x14ac:dyDescent="0.25">
      <c r="A106" t="s">
        <v>5684</v>
      </c>
      <c r="B106">
        <v>10</v>
      </c>
      <c r="C106">
        <v>10</v>
      </c>
      <c r="D106" t="s">
        <v>5685</v>
      </c>
      <c r="E106" t="s">
        <v>5487</v>
      </c>
      <c r="F106" t="s">
        <v>5424</v>
      </c>
      <c r="G106" t="s">
        <v>5476</v>
      </c>
    </row>
    <row r="107" spans="1:7" x14ac:dyDescent="0.25">
      <c r="A107" t="s">
        <v>5686</v>
      </c>
      <c r="B107">
        <v>9</v>
      </c>
      <c r="C107">
        <v>9</v>
      </c>
      <c r="D107" t="s">
        <v>5687</v>
      </c>
      <c r="E107" t="s">
        <v>5471</v>
      </c>
      <c r="F107" t="s">
        <v>5429</v>
      </c>
      <c r="G107" t="s">
        <v>5484</v>
      </c>
    </row>
    <row r="108" spans="1:7" x14ac:dyDescent="0.25">
      <c r="A108" t="s">
        <v>5688</v>
      </c>
      <c r="B108">
        <v>9</v>
      </c>
      <c r="C108">
        <v>9</v>
      </c>
      <c r="D108" t="s">
        <v>5689</v>
      </c>
      <c r="E108" t="s">
        <v>5471</v>
      </c>
      <c r="F108" t="s">
        <v>5424</v>
      </c>
      <c r="G108" t="s">
        <v>5472</v>
      </c>
    </row>
    <row r="109" spans="1:7" x14ac:dyDescent="0.25">
      <c r="A109" t="s">
        <v>5690</v>
      </c>
      <c r="B109">
        <v>3</v>
      </c>
      <c r="C109">
        <v>3</v>
      </c>
      <c r="D109" t="s">
        <v>5691</v>
      </c>
      <c r="E109" t="s">
        <v>5475</v>
      </c>
      <c r="F109" t="s">
        <v>5429</v>
      </c>
      <c r="G109" t="s">
        <v>5472</v>
      </c>
    </row>
    <row r="110" spans="1:7" x14ac:dyDescent="0.25">
      <c r="A110" t="s">
        <v>5692</v>
      </c>
      <c r="B110">
        <v>8</v>
      </c>
      <c r="C110">
        <v>8</v>
      </c>
      <c r="D110" t="s">
        <v>5693</v>
      </c>
      <c r="E110" t="s">
        <v>5479</v>
      </c>
      <c r="F110" t="s">
        <v>5432</v>
      </c>
      <c r="G110" t="s">
        <v>5484</v>
      </c>
    </row>
    <row r="111" spans="1:7" x14ac:dyDescent="0.25">
      <c r="A111" t="s">
        <v>5694</v>
      </c>
      <c r="B111">
        <v>6</v>
      </c>
      <c r="C111">
        <v>6</v>
      </c>
      <c r="D111" t="s">
        <v>5695</v>
      </c>
      <c r="E111" t="s">
        <v>5479</v>
      </c>
      <c r="F111" t="s">
        <v>5421</v>
      </c>
      <c r="G111" t="s">
        <v>5484</v>
      </c>
    </row>
    <row r="112" spans="1:7" x14ac:dyDescent="0.25">
      <c r="A112" t="s">
        <v>5696</v>
      </c>
      <c r="B112">
        <v>2</v>
      </c>
      <c r="C112">
        <v>2</v>
      </c>
      <c r="D112" t="s">
        <v>5697</v>
      </c>
      <c r="E112" t="s">
        <v>5487</v>
      </c>
      <c r="F112" t="s">
        <v>5432</v>
      </c>
      <c r="G112" t="s">
        <v>5484</v>
      </c>
    </row>
    <row r="113" spans="1:7" x14ac:dyDescent="0.25">
      <c r="A113" t="s">
        <v>5698</v>
      </c>
      <c r="B113">
        <v>10</v>
      </c>
      <c r="C113">
        <v>10</v>
      </c>
      <c r="D113" t="s">
        <v>5699</v>
      </c>
      <c r="E113" t="s">
        <v>5487</v>
      </c>
      <c r="F113" t="s">
        <v>5432</v>
      </c>
      <c r="G113" t="s">
        <v>5484</v>
      </c>
    </row>
    <row r="114" spans="1:7" x14ac:dyDescent="0.25">
      <c r="A114" t="s">
        <v>5700</v>
      </c>
      <c r="B114">
        <v>9</v>
      </c>
      <c r="C114">
        <v>9</v>
      </c>
      <c r="D114" t="s">
        <v>5701</v>
      </c>
      <c r="E114" t="s">
        <v>5475</v>
      </c>
      <c r="F114" t="s">
        <v>5424</v>
      </c>
      <c r="G114" t="s">
        <v>5476</v>
      </c>
    </row>
    <row r="115" spans="1:7" x14ac:dyDescent="0.25">
      <c r="A115" t="s">
        <v>5702</v>
      </c>
      <c r="B115">
        <v>6</v>
      </c>
      <c r="C115">
        <v>6</v>
      </c>
      <c r="D115" t="s">
        <v>5703</v>
      </c>
      <c r="E115" t="s">
        <v>5479</v>
      </c>
      <c r="F115" t="s">
        <v>5429</v>
      </c>
      <c r="G115" t="s">
        <v>5476</v>
      </c>
    </row>
    <row r="116" spans="1:7" x14ac:dyDescent="0.25">
      <c r="A116" t="s">
        <v>5704</v>
      </c>
      <c r="B116">
        <v>3</v>
      </c>
      <c r="C116">
        <v>3</v>
      </c>
      <c r="D116" t="s">
        <v>5705</v>
      </c>
      <c r="E116" t="s">
        <v>5487</v>
      </c>
      <c r="F116" t="s">
        <v>5421</v>
      </c>
      <c r="G116" t="s">
        <v>5472</v>
      </c>
    </row>
    <row r="117" spans="1:7" x14ac:dyDescent="0.25">
      <c r="A117" t="s">
        <v>5706</v>
      </c>
      <c r="B117">
        <v>3</v>
      </c>
      <c r="C117">
        <v>3</v>
      </c>
      <c r="D117" t="s">
        <v>5707</v>
      </c>
      <c r="E117" t="s">
        <v>5471</v>
      </c>
      <c r="F117" t="s">
        <v>5429</v>
      </c>
      <c r="G117" t="s">
        <v>5476</v>
      </c>
    </row>
    <row r="118" spans="1:7" x14ac:dyDescent="0.25">
      <c r="A118" t="s">
        <v>5708</v>
      </c>
      <c r="B118">
        <v>13</v>
      </c>
      <c r="C118">
        <v>13</v>
      </c>
      <c r="D118" t="s">
        <v>5709</v>
      </c>
      <c r="E118" t="s">
        <v>5471</v>
      </c>
      <c r="F118" t="s">
        <v>5429</v>
      </c>
      <c r="G118" t="s">
        <v>5476</v>
      </c>
    </row>
    <row r="119" spans="1:7" x14ac:dyDescent="0.25">
      <c r="A119" t="s">
        <v>5710</v>
      </c>
      <c r="B119">
        <v>11</v>
      </c>
      <c r="C119">
        <v>11</v>
      </c>
      <c r="D119" t="s">
        <v>5711</v>
      </c>
      <c r="E119" t="s">
        <v>5479</v>
      </c>
      <c r="F119" t="s">
        <v>5432</v>
      </c>
      <c r="G119" t="s">
        <v>5484</v>
      </c>
    </row>
    <row r="120" spans="1:7" x14ac:dyDescent="0.25">
      <c r="A120" t="s">
        <v>5712</v>
      </c>
      <c r="B120">
        <v>14</v>
      </c>
      <c r="C120">
        <v>14</v>
      </c>
      <c r="D120" t="s">
        <v>5713</v>
      </c>
      <c r="E120" t="s">
        <v>5487</v>
      </c>
      <c r="F120" t="s">
        <v>5424</v>
      </c>
      <c r="G120" t="s">
        <v>5476</v>
      </c>
    </row>
    <row r="121" spans="1:7" x14ac:dyDescent="0.25">
      <c r="A121" t="s">
        <v>5714</v>
      </c>
      <c r="B121">
        <v>9</v>
      </c>
      <c r="C121">
        <v>9</v>
      </c>
      <c r="D121" t="s">
        <v>5715</v>
      </c>
      <c r="E121" t="s">
        <v>5487</v>
      </c>
      <c r="F121" t="s">
        <v>5432</v>
      </c>
      <c r="G121" t="s">
        <v>5472</v>
      </c>
    </row>
    <row r="122" spans="1:7" x14ac:dyDescent="0.25">
      <c r="A122" t="s">
        <v>5716</v>
      </c>
      <c r="B122">
        <v>9</v>
      </c>
      <c r="C122">
        <v>9</v>
      </c>
      <c r="D122" t="s">
        <v>5717</v>
      </c>
      <c r="E122" t="s">
        <v>5487</v>
      </c>
      <c r="F122" t="s">
        <v>5429</v>
      </c>
      <c r="G122" t="s">
        <v>5476</v>
      </c>
    </row>
    <row r="123" spans="1:7" x14ac:dyDescent="0.25">
      <c r="A123" t="s">
        <v>5718</v>
      </c>
      <c r="B123">
        <v>6</v>
      </c>
      <c r="C123">
        <v>6</v>
      </c>
      <c r="D123" t="s">
        <v>5719</v>
      </c>
      <c r="E123" t="s">
        <v>5479</v>
      </c>
      <c r="F123" t="s">
        <v>5424</v>
      </c>
      <c r="G123" t="s">
        <v>5476</v>
      </c>
    </row>
    <row r="124" spans="1:7" x14ac:dyDescent="0.25">
      <c r="A124" t="s">
        <v>5720</v>
      </c>
      <c r="B124">
        <v>5</v>
      </c>
      <c r="C124">
        <v>5</v>
      </c>
      <c r="D124" t="s">
        <v>5721</v>
      </c>
      <c r="E124" t="s">
        <v>5471</v>
      </c>
      <c r="F124" t="s">
        <v>5424</v>
      </c>
      <c r="G124" t="s">
        <v>5484</v>
      </c>
    </row>
    <row r="125" spans="1:7" x14ac:dyDescent="0.25">
      <c r="A125" t="s">
        <v>5722</v>
      </c>
      <c r="B125">
        <v>4</v>
      </c>
      <c r="C125">
        <v>4</v>
      </c>
      <c r="D125" t="s">
        <v>5723</v>
      </c>
      <c r="E125" t="s">
        <v>5475</v>
      </c>
      <c r="F125" t="s">
        <v>5424</v>
      </c>
      <c r="G125" t="s">
        <v>5484</v>
      </c>
    </row>
    <row r="126" spans="1:7" x14ac:dyDescent="0.25">
      <c r="A126" t="s">
        <v>5724</v>
      </c>
      <c r="B126">
        <v>11</v>
      </c>
      <c r="C126">
        <v>11</v>
      </c>
      <c r="D126" t="s">
        <v>5725</v>
      </c>
      <c r="E126" t="s">
        <v>5475</v>
      </c>
      <c r="F126" t="s">
        <v>5424</v>
      </c>
      <c r="G126" t="s">
        <v>5484</v>
      </c>
    </row>
    <row r="127" spans="1:7" x14ac:dyDescent="0.25">
      <c r="A127" t="s">
        <v>5726</v>
      </c>
      <c r="B127">
        <v>9</v>
      </c>
      <c r="C127">
        <v>9</v>
      </c>
      <c r="D127" t="s">
        <v>5727</v>
      </c>
      <c r="E127" t="s">
        <v>5487</v>
      </c>
      <c r="F127" t="s">
        <v>5432</v>
      </c>
      <c r="G127" t="s">
        <v>5472</v>
      </c>
    </row>
    <row r="128" spans="1:7" x14ac:dyDescent="0.25">
      <c r="A128" t="s">
        <v>5728</v>
      </c>
      <c r="B128">
        <v>2</v>
      </c>
      <c r="C128">
        <v>2</v>
      </c>
      <c r="D128" t="s">
        <v>5729</v>
      </c>
      <c r="E128" t="s">
        <v>5479</v>
      </c>
      <c r="F128" t="s">
        <v>5426</v>
      </c>
      <c r="G128" t="s">
        <v>5476</v>
      </c>
    </row>
    <row r="129" spans="1:7" x14ac:dyDescent="0.25">
      <c r="A129" t="s">
        <v>5730</v>
      </c>
      <c r="B129">
        <v>6</v>
      </c>
      <c r="C129">
        <v>6</v>
      </c>
      <c r="D129" t="s">
        <v>5731</v>
      </c>
      <c r="E129" t="s">
        <v>5479</v>
      </c>
      <c r="F129" t="s">
        <v>5429</v>
      </c>
      <c r="G129" t="s">
        <v>5476</v>
      </c>
    </row>
    <row r="130" spans="1:7" x14ac:dyDescent="0.25">
      <c r="A130" t="s">
        <v>5732</v>
      </c>
      <c r="B130">
        <v>4</v>
      </c>
      <c r="C130">
        <v>4</v>
      </c>
      <c r="D130" t="s">
        <v>5733</v>
      </c>
      <c r="E130" t="s">
        <v>5471</v>
      </c>
      <c r="F130" t="s">
        <v>5426</v>
      </c>
      <c r="G130" t="s">
        <v>5484</v>
      </c>
    </row>
    <row r="131" spans="1:7" x14ac:dyDescent="0.25">
      <c r="A131" t="s">
        <v>5734</v>
      </c>
      <c r="B131">
        <v>5</v>
      </c>
      <c r="C131">
        <v>5</v>
      </c>
      <c r="D131" t="s">
        <v>5735</v>
      </c>
      <c r="E131" t="s">
        <v>5471</v>
      </c>
      <c r="F131" t="s">
        <v>5429</v>
      </c>
      <c r="G131" t="s">
        <v>5472</v>
      </c>
    </row>
    <row r="132" spans="1:7" x14ac:dyDescent="0.25">
      <c r="A132" t="s">
        <v>5736</v>
      </c>
      <c r="B132">
        <v>3</v>
      </c>
      <c r="C132">
        <v>3</v>
      </c>
      <c r="D132" t="s">
        <v>5737</v>
      </c>
      <c r="E132" t="s">
        <v>5487</v>
      </c>
      <c r="F132" t="s">
        <v>5421</v>
      </c>
      <c r="G132" t="s">
        <v>5472</v>
      </c>
    </row>
    <row r="133" spans="1:7" x14ac:dyDescent="0.25">
      <c r="A133" t="s">
        <v>5738</v>
      </c>
      <c r="B133">
        <v>10</v>
      </c>
      <c r="C133">
        <v>10</v>
      </c>
      <c r="D133" t="s">
        <v>5739</v>
      </c>
      <c r="E133" t="s">
        <v>5479</v>
      </c>
      <c r="F133" t="s">
        <v>5429</v>
      </c>
      <c r="G133" t="s">
        <v>5484</v>
      </c>
    </row>
    <row r="134" spans="1:7" x14ac:dyDescent="0.25">
      <c r="A134" t="s">
        <v>5740</v>
      </c>
      <c r="B134">
        <v>8</v>
      </c>
      <c r="C134">
        <v>8</v>
      </c>
      <c r="D134" t="s">
        <v>5741</v>
      </c>
      <c r="E134" t="s">
        <v>5471</v>
      </c>
      <c r="F134" t="s">
        <v>5432</v>
      </c>
      <c r="G134" t="s">
        <v>5484</v>
      </c>
    </row>
    <row r="135" spans="1:7" x14ac:dyDescent="0.25">
      <c r="A135" t="s">
        <v>5742</v>
      </c>
      <c r="B135">
        <v>8</v>
      </c>
      <c r="C135">
        <v>8</v>
      </c>
      <c r="D135" t="s">
        <v>5743</v>
      </c>
      <c r="E135" t="s">
        <v>5471</v>
      </c>
      <c r="F135" t="s">
        <v>5421</v>
      </c>
      <c r="G135" t="s">
        <v>5484</v>
      </c>
    </row>
    <row r="136" spans="1:7" x14ac:dyDescent="0.25">
      <c r="A136" t="s">
        <v>5744</v>
      </c>
      <c r="B136">
        <v>5</v>
      </c>
      <c r="C136">
        <v>5</v>
      </c>
      <c r="D136" t="s">
        <v>5745</v>
      </c>
      <c r="E136" t="s">
        <v>5471</v>
      </c>
      <c r="F136" t="s">
        <v>5432</v>
      </c>
      <c r="G136" t="s">
        <v>5476</v>
      </c>
    </row>
    <row r="137" spans="1:7" x14ac:dyDescent="0.25">
      <c r="A137" t="s">
        <v>5746</v>
      </c>
      <c r="B137">
        <v>2</v>
      </c>
      <c r="C137">
        <v>2</v>
      </c>
      <c r="D137" t="s">
        <v>5747</v>
      </c>
      <c r="E137" t="s">
        <v>5487</v>
      </c>
      <c r="F137" t="s">
        <v>5429</v>
      </c>
      <c r="G137" t="s">
        <v>5484</v>
      </c>
    </row>
    <row r="138" spans="1:7" x14ac:dyDescent="0.25">
      <c r="A138" t="s">
        <v>5748</v>
      </c>
      <c r="B138">
        <v>4</v>
      </c>
      <c r="C138">
        <v>4</v>
      </c>
      <c r="D138" t="s">
        <v>5749</v>
      </c>
      <c r="E138" t="s">
        <v>5479</v>
      </c>
      <c r="F138" t="s">
        <v>5421</v>
      </c>
      <c r="G138" t="s">
        <v>5472</v>
      </c>
    </row>
    <row r="139" spans="1:7" x14ac:dyDescent="0.25">
      <c r="A139" t="s">
        <v>5750</v>
      </c>
      <c r="B139">
        <v>6</v>
      </c>
      <c r="C139">
        <v>6</v>
      </c>
      <c r="D139" t="s">
        <v>5751</v>
      </c>
      <c r="E139" t="s">
        <v>5471</v>
      </c>
      <c r="F139" t="s">
        <v>5421</v>
      </c>
      <c r="G139" t="s">
        <v>5472</v>
      </c>
    </row>
    <row r="140" spans="1:7" x14ac:dyDescent="0.25">
      <c r="A140" t="s">
        <v>5752</v>
      </c>
      <c r="B140">
        <v>3</v>
      </c>
      <c r="C140">
        <v>3</v>
      </c>
      <c r="D140" t="s">
        <v>5753</v>
      </c>
      <c r="E140" t="s">
        <v>5471</v>
      </c>
      <c r="F140" t="s">
        <v>5424</v>
      </c>
      <c r="G140" t="s">
        <v>5472</v>
      </c>
    </row>
    <row r="141" spans="1:7" x14ac:dyDescent="0.25">
      <c r="A141" t="s">
        <v>5754</v>
      </c>
      <c r="B141">
        <v>6</v>
      </c>
      <c r="C141">
        <v>6</v>
      </c>
      <c r="D141" t="s">
        <v>5755</v>
      </c>
      <c r="E141" t="s">
        <v>5475</v>
      </c>
      <c r="F141" t="s">
        <v>5426</v>
      </c>
      <c r="G141" t="s">
        <v>5476</v>
      </c>
    </row>
    <row r="142" spans="1:7" x14ac:dyDescent="0.25">
      <c r="A142" t="s">
        <v>5756</v>
      </c>
      <c r="B142">
        <v>9</v>
      </c>
      <c r="C142">
        <v>9</v>
      </c>
      <c r="D142" t="s">
        <v>5757</v>
      </c>
      <c r="E142" t="s">
        <v>5479</v>
      </c>
      <c r="F142" t="s">
        <v>5426</v>
      </c>
      <c r="G142" t="s">
        <v>5476</v>
      </c>
    </row>
    <row r="143" spans="1:7" x14ac:dyDescent="0.25">
      <c r="A143" t="s">
        <v>5758</v>
      </c>
      <c r="B143">
        <v>10</v>
      </c>
      <c r="C143">
        <v>10</v>
      </c>
      <c r="D143" t="s">
        <v>5759</v>
      </c>
      <c r="E143" t="s">
        <v>5479</v>
      </c>
      <c r="F143" t="s">
        <v>5426</v>
      </c>
      <c r="G143" t="s">
        <v>5484</v>
      </c>
    </row>
    <row r="144" spans="1:7" x14ac:dyDescent="0.25">
      <c r="A144" t="s">
        <v>5760</v>
      </c>
      <c r="B144">
        <v>4</v>
      </c>
      <c r="C144">
        <v>4</v>
      </c>
      <c r="D144" t="s">
        <v>5761</v>
      </c>
      <c r="E144" t="s">
        <v>5487</v>
      </c>
      <c r="F144" t="s">
        <v>5432</v>
      </c>
      <c r="G144" t="s">
        <v>5472</v>
      </c>
    </row>
    <row r="145" spans="1:7" x14ac:dyDescent="0.25">
      <c r="A145" t="s">
        <v>5762</v>
      </c>
      <c r="B145">
        <v>4</v>
      </c>
      <c r="C145">
        <v>4</v>
      </c>
      <c r="D145" t="s">
        <v>5763</v>
      </c>
      <c r="E145" t="s">
        <v>5475</v>
      </c>
      <c r="F145" t="s">
        <v>5424</v>
      </c>
      <c r="G145" t="s">
        <v>5484</v>
      </c>
    </row>
    <row r="146" spans="1:7" x14ac:dyDescent="0.25">
      <c r="A146" t="s">
        <v>5764</v>
      </c>
      <c r="B146">
        <v>6</v>
      </c>
      <c r="C146">
        <v>6</v>
      </c>
      <c r="D146" t="s">
        <v>5765</v>
      </c>
      <c r="E146" t="s">
        <v>5475</v>
      </c>
      <c r="F146" t="s">
        <v>5429</v>
      </c>
      <c r="G146" t="s">
        <v>5484</v>
      </c>
    </row>
    <row r="147" spans="1:7" x14ac:dyDescent="0.25">
      <c r="A147" t="s">
        <v>5766</v>
      </c>
      <c r="B147">
        <v>6</v>
      </c>
      <c r="C147">
        <v>6</v>
      </c>
      <c r="D147" t="s">
        <v>5767</v>
      </c>
      <c r="E147" t="s">
        <v>5471</v>
      </c>
      <c r="F147" t="s">
        <v>5424</v>
      </c>
      <c r="G147" t="s">
        <v>5484</v>
      </c>
    </row>
    <row r="148" spans="1:7" x14ac:dyDescent="0.25">
      <c r="A148" t="s">
        <v>5768</v>
      </c>
      <c r="B148">
        <v>11</v>
      </c>
      <c r="C148">
        <v>11</v>
      </c>
      <c r="D148" t="s">
        <v>5769</v>
      </c>
      <c r="E148" t="s">
        <v>5471</v>
      </c>
      <c r="F148" t="s">
        <v>5429</v>
      </c>
      <c r="G148" t="s">
        <v>5472</v>
      </c>
    </row>
    <row r="149" spans="1:7" x14ac:dyDescent="0.25">
      <c r="A149" t="s">
        <v>5770</v>
      </c>
      <c r="B149">
        <v>6</v>
      </c>
      <c r="C149">
        <v>6</v>
      </c>
      <c r="D149" t="s">
        <v>5771</v>
      </c>
      <c r="E149" t="s">
        <v>5479</v>
      </c>
      <c r="F149" t="s">
        <v>5421</v>
      </c>
      <c r="G149" t="s">
        <v>5472</v>
      </c>
    </row>
    <row r="150" spans="1:7" x14ac:dyDescent="0.25">
      <c r="A150" t="s">
        <v>5772</v>
      </c>
      <c r="B150">
        <v>8</v>
      </c>
      <c r="C150">
        <v>8</v>
      </c>
      <c r="D150" t="s">
        <v>5773</v>
      </c>
      <c r="E150" t="s">
        <v>5475</v>
      </c>
      <c r="F150" t="s">
        <v>5432</v>
      </c>
      <c r="G150" t="s">
        <v>5484</v>
      </c>
    </row>
    <row r="151" spans="1:7" x14ac:dyDescent="0.25">
      <c r="A151" t="s">
        <v>5774</v>
      </c>
      <c r="B151">
        <v>3</v>
      </c>
      <c r="C151">
        <v>3</v>
      </c>
      <c r="D151" t="s">
        <v>5775</v>
      </c>
      <c r="E151" t="s">
        <v>5475</v>
      </c>
      <c r="F151" t="s">
        <v>5429</v>
      </c>
      <c r="G151" t="s">
        <v>5484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01"/>
  <sheetViews>
    <sheetView workbookViewId="0">
      <selection sqref="A1:XFD1048576"/>
    </sheetView>
  </sheetViews>
  <sheetFormatPr defaultRowHeight="15" x14ac:dyDescent="0.25"/>
  <cols>
    <col min="1" max="1" width="10.140625" bestFit="1" customWidth="1"/>
    <col min="2" max="2" width="17.7109375" bestFit="1" customWidth="1"/>
  </cols>
  <sheetData>
    <row r="1" spans="1:2" x14ac:dyDescent="0.25">
      <c r="A1" s="1" t="s">
        <v>1</v>
      </c>
      <c r="B1" s="1" t="s">
        <v>5776</v>
      </c>
    </row>
    <row r="2" spans="1:2" x14ac:dyDescent="0.25">
      <c r="A2" t="s">
        <v>9</v>
      </c>
      <c r="B2">
        <v>28</v>
      </c>
    </row>
    <row r="3" spans="1:2" x14ac:dyDescent="0.25">
      <c r="A3" t="s">
        <v>12</v>
      </c>
      <c r="B3">
        <v>21</v>
      </c>
    </row>
    <row r="4" spans="1:2" x14ac:dyDescent="0.25">
      <c r="A4" t="s">
        <v>20</v>
      </c>
      <c r="B4">
        <v>30</v>
      </c>
    </row>
    <row r="5" spans="1:2" x14ac:dyDescent="0.25">
      <c r="A5" t="s">
        <v>23</v>
      </c>
      <c r="B5">
        <v>28</v>
      </c>
    </row>
    <row r="6" spans="1:2" x14ac:dyDescent="0.25">
      <c r="A6" t="s">
        <v>28</v>
      </c>
      <c r="B6">
        <v>21</v>
      </c>
    </row>
    <row r="7" spans="1:2" x14ac:dyDescent="0.25">
      <c r="A7" t="s">
        <v>33</v>
      </c>
      <c r="B7">
        <v>30</v>
      </c>
    </row>
    <row r="8" spans="1:2" x14ac:dyDescent="0.25">
      <c r="A8" t="s">
        <v>39</v>
      </c>
      <c r="B8">
        <v>21</v>
      </c>
    </row>
    <row r="9" spans="1:2" x14ac:dyDescent="0.25">
      <c r="A9" t="s">
        <v>43</v>
      </c>
      <c r="B9">
        <v>28</v>
      </c>
    </row>
    <row r="10" spans="1:2" x14ac:dyDescent="0.25">
      <c r="A10" t="s">
        <v>50</v>
      </c>
      <c r="B10">
        <v>28</v>
      </c>
    </row>
    <row r="11" spans="1:2" x14ac:dyDescent="0.25">
      <c r="A11" t="s">
        <v>53</v>
      </c>
      <c r="B11">
        <v>28</v>
      </c>
    </row>
    <row r="12" spans="1:2" x14ac:dyDescent="0.25">
      <c r="A12" t="s">
        <v>58</v>
      </c>
      <c r="B12">
        <v>30</v>
      </c>
    </row>
    <row r="13" spans="1:2" x14ac:dyDescent="0.25">
      <c r="A13" t="s">
        <v>64</v>
      </c>
      <c r="B13">
        <v>28</v>
      </c>
    </row>
    <row r="14" spans="1:2" x14ac:dyDescent="0.25">
      <c r="A14" t="s">
        <v>69</v>
      </c>
      <c r="B14">
        <v>28</v>
      </c>
    </row>
    <row r="15" spans="1:2" x14ac:dyDescent="0.25">
      <c r="A15" t="s">
        <v>73</v>
      </c>
      <c r="B15">
        <v>21</v>
      </c>
    </row>
    <row r="16" spans="1:2" x14ac:dyDescent="0.25">
      <c r="A16" t="s">
        <v>82</v>
      </c>
      <c r="B16">
        <v>21</v>
      </c>
    </row>
    <row r="17" spans="1:2" x14ac:dyDescent="0.25">
      <c r="A17" t="s">
        <v>91</v>
      </c>
      <c r="B17">
        <v>21</v>
      </c>
    </row>
    <row r="18" spans="1:2" x14ac:dyDescent="0.25">
      <c r="A18" t="s">
        <v>95</v>
      </c>
      <c r="B18">
        <v>28</v>
      </c>
    </row>
    <row r="19" spans="1:2" x14ac:dyDescent="0.25">
      <c r="A19" t="s">
        <v>102</v>
      </c>
      <c r="B19">
        <v>14</v>
      </c>
    </row>
    <row r="20" spans="1:2" x14ac:dyDescent="0.25">
      <c r="A20" t="s">
        <v>106</v>
      </c>
      <c r="B20">
        <v>14</v>
      </c>
    </row>
    <row r="21" spans="1:2" x14ac:dyDescent="0.25">
      <c r="A21" t="s">
        <v>109</v>
      </c>
      <c r="B21">
        <v>14</v>
      </c>
    </row>
    <row r="22" spans="1:2" x14ac:dyDescent="0.25">
      <c r="A22" t="s">
        <v>112</v>
      </c>
      <c r="B22">
        <v>14</v>
      </c>
    </row>
    <row r="23" spans="1:2" x14ac:dyDescent="0.25">
      <c r="A23" t="s">
        <v>118</v>
      </c>
      <c r="B23">
        <v>28</v>
      </c>
    </row>
    <row r="24" spans="1:2" x14ac:dyDescent="0.25">
      <c r="A24" t="s">
        <v>126</v>
      </c>
      <c r="B24">
        <v>28</v>
      </c>
    </row>
    <row r="25" spans="1:2" x14ac:dyDescent="0.25">
      <c r="A25" t="s">
        <v>134</v>
      </c>
      <c r="B25">
        <v>28</v>
      </c>
    </row>
    <row r="26" spans="1:2" x14ac:dyDescent="0.25">
      <c r="A26" t="s">
        <v>141</v>
      </c>
      <c r="B26">
        <v>21</v>
      </c>
    </row>
    <row r="27" spans="1:2" x14ac:dyDescent="0.25">
      <c r="A27" t="s">
        <v>147</v>
      </c>
      <c r="B27">
        <v>30</v>
      </c>
    </row>
    <row r="28" spans="1:2" x14ac:dyDescent="0.25">
      <c r="A28" t="s">
        <v>154</v>
      </c>
      <c r="B28">
        <v>28</v>
      </c>
    </row>
    <row r="29" spans="1:2" x14ac:dyDescent="0.25">
      <c r="A29" t="s">
        <v>159</v>
      </c>
      <c r="B29">
        <v>28</v>
      </c>
    </row>
    <row r="30" spans="1:2" x14ac:dyDescent="0.25">
      <c r="A30" t="s">
        <v>166</v>
      </c>
      <c r="B30">
        <v>30</v>
      </c>
    </row>
    <row r="31" spans="1:2" x14ac:dyDescent="0.25">
      <c r="A31" t="s">
        <v>171</v>
      </c>
      <c r="B31">
        <v>28</v>
      </c>
    </row>
    <row r="32" spans="1:2" x14ac:dyDescent="0.25">
      <c r="A32" t="s">
        <v>176</v>
      </c>
      <c r="B32">
        <v>21</v>
      </c>
    </row>
    <row r="33" spans="1:2" x14ac:dyDescent="0.25">
      <c r="A33" t="s">
        <v>187</v>
      </c>
      <c r="B33">
        <v>28</v>
      </c>
    </row>
    <row r="34" spans="1:2" x14ac:dyDescent="0.25">
      <c r="A34" t="s">
        <v>192</v>
      </c>
      <c r="B34">
        <v>56</v>
      </c>
    </row>
    <row r="35" spans="1:2" x14ac:dyDescent="0.25">
      <c r="A35" t="s">
        <v>197</v>
      </c>
      <c r="B35">
        <v>28</v>
      </c>
    </row>
    <row r="36" spans="1:2" x14ac:dyDescent="0.25">
      <c r="A36" t="s">
        <v>201</v>
      </c>
      <c r="B36">
        <v>30</v>
      </c>
    </row>
    <row r="37" spans="1:2" x14ac:dyDescent="0.25">
      <c r="A37" t="s">
        <v>208</v>
      </c>
      <c r="B37">
        <v>30</v>
      </c>
    </row>
    <row r="38" spans="1:2" x14ac:dyDescent="0.25">
      <c r="A38" t="s">
        <v>214</v>
      </c>
      <c r="B38">
        <v>28</v>
      </c>
    </row>
    <row r="39" spans="1:2" x14ac:dyDescent="0.25">
      <c r="A39" t="s">
        <v>217</v>
      </c>
      <c r="B39">
        <v>28</v>
      </c>
    </row>
    <row r="40" spans="1:2" x14ac:dyDescent="0.25">
      <c r="A40" t="s">
        <v>223</v>
      </c>
      <c r="B40">
        <v>30</v>
      </c>
    </row>
    <row r="41" spans="1:2" x14ac:dyDescent="0.25">
      <c r="A41" t="s">
        <v>231</v>
      </c>
      <c r="B41">
        <v>28</v>
      </c>
    </row>
    <row r="42" spans="1:2" x14ac:dyDescent="0.25">
      <c r="A42" t="s">
        <v>235</v>
      </c>
      <c r="B42">
        <v>30</v>
      </c>
    </row>
    <row r="43" spans="1:2" x14ac:dyDescent="0.25">
      <c r="A43" t="s">
        <v>240</v>
      </c>
      <c r="B43">
        <v>28</v>
      </c>
    </row>
    <row r="44" spans="1:2" x14ac:dyDescent="0.25">
      <c r="A44" t="s">
        <v>248</v>
      </c>
      <c r="B44">
        <v>28</v>
      </c>
    </row>
    <row r="45" spans="1:2" x14ac:dyDescent="0.25">
      <c r="A45" t="s">
        <v>251</v>
      </c>
      <c r="B45">
        <v>28</v>
      </c>
    </row>
    <row r="46" spans="1:2" x14ac:dyDescent="0.25">
      <c r="A46" t="s">
        <v>256</v>
      </c>
      <c r="B46">
        <v>28</v>
      </c>
    </row>
    <row r="47" spans="1:2" x14ac:dyDescent="0.25">
      <c r="A47" t="s">
        <v>265</v>
      </c>
      <c r="B47">
        <v>30</v>
      </c>
    </row>
    <row r="48" spans="1:2" x14ac:dyDescent="0.25">
      <c r="A48" t="s">
        <v>273</v>
      </c>
      <c r="B48">
        <v>30</v>
      </c>
    </row>
    <row r="49" spans="1:2" x14ac:dyDescent="0.25">
      <c r="A49" t="s">
        <v>280</v>
      </c>
      <c r="B49">
        <v>30</v>
      </c>
    </row>
    <row r="50" spans="1:2" x14ac:dyDescent="0.25">
      <c r="A50" t="s">
        <v>285</v>
      </c>
      <c r="B50">
        <v>28</v>
      </c>
    </row>
    <row r="51" spans="1:2" x14ac:dyDescent="0.25">
      <c r="A51" t="s">
        <v>288</v>
      </c>
      <c r="B51">
        <v>28</v>
      </c>
    </row>
    <row r="52" spans="1:2" x14ac:dyDescent="0.25">
      <c r="A52" t="s">
        <v>293</v>
      </c>
      <c r="B52">
        <v>56</v>
      </c>
    </row>
    <row r="53" spans="1:2" x14ac:dyDescent="0.25">
      <c r="A53" t="s">
        <v>297</v>
      </c>
      <c r="B53">
        <v>28</v>
      </c>
    </row>
    <row r="54" spans="1:2" x14ac:dyDescent="0.25">
      <c r="A54" t="s">
        <v>300</v>
      </c>
      <c r="B54">
        <v>28</v>
      </c>
    </row>
    <row r="55" spans="1:2" x14ac:dyDescent="0.25">
      <c r="A55" t="s">
        <v>309</v>
      </c>
      <c r="B55">
        <v>28</v>
      </c>
    </row>
    <row r="56" spans="1:2" x14ac:dyDescent="0.25">
      <c r="A56" t="s">
        <v>314</v>
      </c>
      <c r="B56">
        <v>28</v>
      </c>
    </row>
    <row r="57" spans="1:2" x14ac:dyDescent="0.25">
      <c r="A57" t="s">
        <v>317</v>
      </c>
      <c r="B57">
        <v>28</v>
      </c>
    </row>
    <row r="58" spans="1:2" x14ac:dyDescent="0.25">
      <c r="A58" t="s">
        <v>325</v>
      </c>
      <c r="B58">
        <v>28</v>
      </c>
    </row>
    <row r="59" spans="1:2" x14ac:dyDescent="0.25">
      <c r="A59" t="s">
        <v>330</v>
      </c>
      <c r="B59">
        <v>28</v>
      </c>
    </row>
    <row r="60" spans="1:2" x14ac:dyDescent="0.25">
      <c r="A60" t="s">
        <v>334</v>
      </c>
      <c r="B60">
        <v>28</v>
      </c>
    </row>
    <row r="61" spans="1:2" x14ac:dyDescent="0.25">
      <c r="A61" t="s">
        <v>337</v>
      </c>
      <c r="B61">
        <v>28</v>
      </c>
    </row>
    <row r="62" spans="1:2" x14ac:dyDescent="0.25">
      <c r="A62" t="s">
        <v>341</v>
      </c>
      <c r="B62">
        <v>30</v>
      </c>
    </row>
    <row r="63" spans="1:2" x14ac:dyDescent="0.25">
      <c r="A63" t="s">
        <v>344</v>
      </c>
      <c r="B63">
        <v>28</v>
      </c>
    </row>
    <row r="64" spans="1:2" x14ac:dyDescent="0.25">
      <c r="A64" t="s">
        <v>350</v>
      </c>
      <c r="B64">
        <v>28</v>
      </c>
    </row>
    <row r="65" spans="1:2" x14ac:dyDescent="0.25">
      <c r="A65" t="s">
        <v>354</v>
      </c>
      <c r="B65">
        <v>30</v>
      </c>
    </row>
    <row r="66" spans="1:2" x14ac:dyDescent="0.25">
      <c r="A66" t="s">
        <v>360</v>
      </c>
      <c r="B66">
        <v>28</v>
      </c>
    </row>
    <row r="67" spans="1:2" x14ac:dyDescent="0.25">
      <c r="A67" t="s">
        <v>364</v>
      </c>
      <c r="B67">
        <v>28</v>
      </c>
    </row>
    <row r="68" spans="1:2" x14ac:dyDescent="0.25">
      <c r="A68" t="s">
        <v>372</v>
      </c>
      <c r="B68">
        <v>28</v>
      </c>
    </row>
    <row r="69" spans="1:2" x14ac:dyDescent="0.25">
      <c r="A69" t="s">
        <v>375</v>
      </c>
      <c r="B69">
        <v>21</v>
      </c>
    </row>
    <row r="70" spans="1:2" x14ac:dyDescent="0.25">
      <c r="A70" t="s">
        <v>380</v>
      </c>
      <c r="B70">
        <v>30</v>
      </c>
    </row>
    <row r="71" spans="1:2" x14ac:dyDescent="0.25">
      <c r="A71" t="s">
        <v>385</v>
      </c>
      <c r="B71">
        <v>28</v>
      </c>
    </row>
    <row r="72" spans="1:2" x14ac:dyDescent="0.25">
      <c r="A72" t="s">
        <v>389</v>
      </c>
      <c r="B72">
        <v>28</v>
      </c>
    </row>
    <row r="73" spans="1:2" x14ac:dyDescent="0.25">
      <c r="A73" t="s">
        <v>394</v>
      </c>
      <c r="B73">
        <v>28</v>
      </c>
    </row>
    <row r="74" spans="1:2" x14ac:dyDescent="0.25">
      <c r="A74" t="s">
        <v>403</v>
      </c>
      <c r="B74">
        <v>28</v>
      </c>
    </row>
    <row r="75" spans="1:2" x14ac:dyDescent="0.25">
      <c r="A75" t="s">
        <v>408</v>
      </c>
      <c r="B75">
        <v>28</v>
      </c>
    </row>
    <row r="76" spans="1:2" x14ac:dyDescent="0.25">
      <c r="A76" t="s">
        <v>411</v>
      </c>
      <c r="B76">
        <v>21</v>
      </c>
    </row>
    <row r="77" spans="1:2" x14ac:dyDescent="0.25">
      <c r="A77" t="s">
        <v>414</v>
      </c>
      <c r="B77">
        <v>14</v>
      </c>
    </row>
    <row r="78" spans="1:2" x14ac:dyDescent="0.25">
      <c r="A78" t="s">
        <v>418</v>
      </c>
      <c r="B78">
        <v>28</v>
      </c>
    </row>
    <row r="79" spans="1:2" x14ac:dyDescent="0.25">
      <c r="A79" t="s">
        <v>426</v>
      </c>
      <c r="B79">
        <v>30</v>
      </c>
    </row>
    <row r="80" spans="1:2" x14ac:dyDescent="0.25">
      <c r="A80" t="s">
        <v>433</v>
      </c>
      <c r="B80">
        <v>28</v>
      </c>
    </row>
    <row r="81" spans="1:2" x14ac:dyDescent="0.25">
      <c r="A81" t="s">
        <v>436</v>
      </c>
      <c r="B81">
        <v>28</v>
      </c>
    </row>
    <row r="82" spans="1:2" x14ac:dyDescent="0.25">
      <c r="A82" t="s">
        <v>444</v>
      </c>
      <c r="B82">
        <v>30</v>
      </c>
    </row>
    <row r="83" spans="1:2" x14ac:dyDescent="0.25">
      <c r="A83" t="s">
        <v>447</v>
      </c>
      <c r="B83">
        <v>30</v>
      </c>
    </row>
    <row r="84" spans="1:2" x14ac:dyDescent="0.25">
      <c r="A84" t="s">
        <v>453</v>
      </c>
      <c r="B84">
        <v>28</v>
      </c>
    </row>
    <row r="85" spans="1:2" x14ac:dyDescent="0.25">
      <c r="A85" t="s">
        <v>457</v>
      </c>
      <c r="B85">
        <v>56</v>
      </c>
    </row>
    <row r="86" spans="1:2" x14ac:dyDescent="0.25">
      <c r="A86" t="s">
        <v>460</v>
      </c>
      <c r="B86">
        <v>30</v>
      </c>
    </row>
    <row r="87" spans="1:2" x14ac:dyDescent="0.25">
      <c r="A87" t="s">
        <v>463</v>
      </c>
      <c r="B87">
        <v>30</v>
      </c>
    </row>
    <row r="88" spans="1:2" x14ac:dyDescent="0.25">
      <c r="A88" t="s">
        <v>466</v>
      </c>
      <c r="B88">
        <v>28</v>
      </c>
    </row>
    <row r="89" spans="1:2" x14ac:dyDescent="0.25">
      <c r="A89" t="s">
        <v>469</v>
      </c>
      <c r="B89">
        <v>28</v>
      </c>
    </row>
    <row r="90" spans="1:2" x14ac:dyDescent="0.25">
      <c r="A90" t="s">
        <v>472</v>
      </c>
      <c r="B90">
        <v>56</v>
      </c>
    </row>
    <row r="91" spans="1:2" x14ac:dyDescent="0.25">
      <c r="A91" t="s">
        <v>477</v>
      </c>
      <c r="B91">
        <v>28</v>
      </c>
    </row>
    <row r="92" spans="1:2" x14ac:dyDescent="0.25">
      <c r="A92" t="s">
        <v>480</v>
      </c>
      <c r="B92">
        <v>28</v>
      </c>
    </row>
    <row r="93" spans="1:2" x14ac:dyDescent="0.25">
      <c r="A93" t="s">
        <v>485</v>
      </c>
      <c r="B93">
        <v>28</v>
      </c>
    </row>
    <row r="94" spans="1:2" x14ac:dyDescent="0.25">
      <c r="A94" t="s">
        <v>490</v>
      </c>
      <c r="B94">
        <v>28</v>
      </c>
    </row>
    <row r="95" spans="1:2" x14ac:dyDescent="0.25">
      <c r="A95" t="s">
        <v>498</v>
      </c>
      <c r="B95">
        <v>28</v>
      </c>
    </row>
    <row r="96" spans="1:2" x14ac:dyDescent="0.25">
      <c r="A96" t="s">
        <v>501</v>
      </c>
      <c r="B96">
        <v>28</v>
      </c>
    </row>
    <row r="97" spans="1:2" x14ac:dyDescent="0.25">
      <c r="A97" t="s">
        <v>507</v>
      </c>
      <c r="B97">
        <v>30</v>
      </c>
    </row>
    <row r="98" spans="1:2" x14ac:dyDescent="0.25">
      <c r="A98" t="s">
        <v>511</v>
      </c>
      <c r="B98">
        <v>28</v>
      </c>
    </row>
    <row r="99" spans="1:2" x14ac:dyDescent="0.25">
      <c r="A99" t="s">
        <v>515</v>
      </c>
      <c r="B99">
        <v>28</v>
      </c>
    </row>
    <row r="100" spans="1:2" x14ac:dyDescent="0.25">
      <c r="A100" t="s">
        <v>522</v>
      </c>
      <c r="B100">
        <v>28</v>
      </c>
    </row>
    <row r="101" spans="1:2" x14ac:dyDescent="0.25">
      <c r="A101" t="s">
        <v>525</v>
      </c>
      <c r="B101">
        <v>28</v>
      </c>
    </row>
    <row r="102" spans="1:2" x14ac:dyDescent="0.25">
      <c r="A102" t="s">
        <v>528</v>
      </c>
      <c r="B102">
        <v>30</v>
      </c>
    </row>
    <row r="103" spans="1:2" x14ac:dyDescent="0.25">
      <c r="A103" t="s">
        <v>536</v>
      </c>
      <c r="B103">
        <v>28</v>
      </c>
    </row>
    <row r="104" spans="1:2" x14ac:dyDescent="0.25">
      <c r="A104" t="s">
        <v>542</v>
      </c>
      <c r="B104">
        <v>30</v>
      </c>
    </row>
    <row r="105" spans="1:2" x14ac:dyDescent="0.25">
      <c r="A105" t="s">
        <v>550</v>
      </c>
      <c r="B105">
        <v>28</v>
      </c>
    </row>
    <row r="106" spans="1:2" x14ac:dyDescent="0.25">
      <c r="A106" t="s">
        <v>556</v>
      </c>
      <c r="B106">
        <v>28</v>
      </c>
    </row>
    <row r="107" spans="1:2" x14ac:dyDescent="0.25">
      <c r="A107" t="s">
        <v>562</v>
      </c>
      <c r="B107">
        <v>28</v>
      </c>
    </row>
    <row r="108" spans="1:2" x14ac:dyDescent="0.25">
      <c r="A108" t="s">
        <v>566</v>
      </c>
      <c r="B108">
        <v>28</v>
      </c>
    </row>
    <row r="109" spans="1:2" x14ac:dyDescent="0.25">
      <c r="A109" t="s">
        <v>572</v>
      </c>
      <c r="B109">
        <v>28</v>
      </c>
    </row>
    <row r="110" spans="1:2" x14ac:dyDescent="0.25">
      <c r="A110" t="s">
        <v>577</v>
      </c>
      <c r="B110">
        <v>30</v>
      </c>
    </row>
    <row r="111" spans="1:2" x14ac:dyDescent="0.25">
      <c r="A111" t="s">
        <v>581</v>
      </c>
      <c r="B111">
        <v>30</v>
      </c>
    </row>
    <row r="112" spans="1:2" x14ac:dyDescent="0.25">
      <c r="A112" t="s">
        <v>585</v>
      </c>
      <c r="B112">
        <v>28</v>
      </c>
    </row>
    <row r="113" spans="1:2" x14ac:dyDescent="0.25">
      <c r="A113" t="s">
        <v>593</v>
      </c>
      <c r="B113">
        <v>28</v>
      </c>
    </row>
    <row r="114" spans="1:2" x14ac:dyDescent="0.25">
      <c r="A114" t="s">
        <v>598</v>
      </c>
      <c r="B114">
        <v>28</v>
      </c>
    </row>
    <row r="115" spans="1:2" x14ac:dyDescent="0.25">
      <c r="A115" t="s">
        <v>603</v>
      </c>
      <c r="B115">
        <v>28</v>
      </c>
    </row>
    <row r="116" spans="1:2" x14ac:dyDescent="0.25">
      <c r="A116" t="s">
        <v>610</v>
      </c>
      <c r="B116">
        <v>30</v>
      </c>
    </row>
    <row r="117" spans="1:2" x14ac:dyDescent="0.25">
      <c r="A117" t="s">
        <v>614</v>
      </c>
      <c r="B117">
        <v>14</v>
      </c>
    </row>
    <row r="118" spans="1:2" x14ac:dyDescent="0.25">
      <c r="A118" t="s">
        <v>628</v>
      </c>
      <c r="B118">
        <v>28</v>
      </c>
    </row>
    <row r="119" spans="1:2" x14ac:dyDescent="0.25">
      <c r="A119" t="s">
        <v>631</v>
      </c>
      <c r="B119">
        <v>28</v>
      </c>
    </row>
    <row r="120" spans="1:2" x14ac:dyDescent="0.25">
      <c r="A120" t="s">
        <v>637</v>
      </c>
      <c r="B120">
        <v>30</v>
      </c>
    </row>
    <row r="121" spans="1:2" x14ac:dyDescent="0.25">
      <c r="A121" t="s">
        <v>642</v>
      </c>
      <c r="B121">
        <v>28</v>
      </c>
    </row>
    <row r="122" spans="1:2" x14ac:dyDescent="0.25">
      <c r="A122" t="s">
        <v>645</v>
      </c>
      <c r="B122">
        <v>28</v>
      </c>
    </row>
    <row r="123" spans="1:2" x14ac:dyDescent="0.25">
      <c r="A123" t="s">
        <v>652</v>
      </c>
      <c r="B123">
        <v>28</v>
      </c>
    </row>
    <row r="124" spans="1:2" x14ac:dyDescent="0.25">
      <c r="A124" t="s">
        <v>657</v>
      </c>
      <c r="B124">
        <v>28</v>
      </c>
    </row>
    <row r="125" spans="1:2" x14ac:dyDescent="0.25">
      <c r="A125" t="s">
        <v>662</v>
      </c>
      <c r="B125">
        <v>28</v>
      </c>
    </row>
    <row r="126" spans="1:2" x14ac:dyDescent="0.25">
      <c r="A126" t="s">
        <v>668</v>
      </c>
      <c r="B126">
        <v>14</v>
      </c>
    </row>
    <row r="127" spans="1:2" x14ac:dyDescent="0.25">
      <c r="A127" t="s">
        <v>676</v>
      </c>
      <c r="B127">
        <v>28</v>
      </c>
    </row>
    <row r="128" spans="1:2" x14ac:dyDescent="0.25">
      <c r="A128" t="s">
        <v>679</v>
      </c>
      <c r="B128">
        <v>28</v>
      </c>
    </row>
    <row r="129" spans="1:2" x14ac:dyDescent="0.25">
      <c r="A129" t="s">
        <v>688</v>
      </c>
      <c r="B129">
        <v>30</v>
      </c>
    </row>
    <row r="130" spans="1:2" x14ac:dyDescent="0.25">
      <c r="A130" t="s">
        <v>691</v>
      </c>
      <c r="B130">
        <v>56</v>
      </c>
    </row>
    <row r="131" spans="1:2" x14ac:dyDescent="0.25">
      <c r="A131" t="s">
        <v>695</v>
      </c>
      <c r="B131">
        <v>28</v>
      </c>
    </row>
    <row r="132" spans="1:2" x14ac:dyDescent="0.25">
      <c r="A132" t="s">
        <v>699</v>
      </c>
      <c r="B132">
        <v>28</v>
      </c>
    </row>
    <row r="133" spans="1:2" x14ac:dyDescent="0.25">
      <c r="A133" t="s">
        <v>702</v>
      </c>
      <c r="B133">
        <v>28</v>
      </c>
    </row>
    <row r="134" spans="1:2" x14ac:dyDescent="0.25">
      <c r="A134" t="s">
        <v>710</v>
      </c>
      <c r="B134">
        <v>28</v>
      </c>
    </row>
    <row r="135" spans="1:2" x14ac:dyDescent="0.25">
      <c r="A135" t="s">
        <v>713</v>
      </c>
      <c r="B135">
        <v>28</v>
      </c>
    </row>
    <row r="136" spans="1:2" x14ac:dyDescent="0.25">
      <c r="A136" t="s">
        <v>718</v>
      </c>
      <c r="B136">
        <v>28</v>
      </c>
    </row>
    <row r="137" spans="1:2" x14ac:dyDescent="0.25">
      <c r="A137" t="s">
        <v>726</v>
      </c>
      <c r="B137">
        <v>30</v>
      </c>
    </row>
    <row r="138" spans="1:2" x14ac:dyDescent="0.25">
      <c r="A138" t="s">
        <v>730</v>
      </c>
      <c r="B138">
        <v>30</v>
      </c>
    </row>
    <row r="139" spans="1:2" x14ac:dyDescent="0.25">
      <c r="A139" t="s">
        <v>733</v>
      </c>
      <c r="B139">
        <v>28</v>
      </c>
    </row>
    <row r="140" spans="1:2" x14ac:dyDescent="0.25">
      <c r="A140" t="s">
        <v>739</v>
      </c>
      <c r="B140">
        <v>30</v>
      </c>
    </row>
    <row r="141" spans="1:2" x14ac:dyDescent="0.25">
      <c r="A141" t="s">
        <v>742</v>
      </c>
      <c r="B141">
        <v>28</v>
      </c>
    </row>
    <row r="142" spans="1:2" x14ac:dyDescent="0.25">
      <c r="A142" t="s">
        <v>746</v>
      </c>
      <c r="B142">
        <v>28</v>
      </c>
    </row>
    <row r="143" spans="1:2" x14ac:dyDescent="0.25">
      <c r="A143" t="s">
        <v>749</v>
      </c>
      <c r="B143">
        <v>28</v>
      </c>
    </row>
    <row r="144" spans="1:2" x14ac:dyDescent="0.25">
      <c r="A144" t="s">
        <v>755</v>
      </c>
      <c r="B144">
        <v>30</v>
      </c>
    </row>
    <row r="145" spans="1:2" x14ac:dyDescent="0.25">
      <c r="A145" t="s">
        <v>760</v>
      </c>
      <c r="B145">
        <v>30</v>
      </c>
    </row>
    <row r="146" spans="1:2" x14ac:dyDescent="0.25">
      <c r="A146" t="s">
        <v>764</v>
      </c>
      <c r="B146">
        <v>28</v>
      </c>
    </row>
    <row r="147" spans="1:2" x14ac:dyDescent="0.25">
      <c r="A147" t="s">
        <v>772</v>
      </c>
      <c r="B147">
        <v>28</v>
      </c>
    </row>
    <row r="148" spans="1:2" x14ac:dyDescent="0.25">
      <c r="A148" t="s">
        <v>778</v>
      </c>
      <c r="B148">
        <v>28</v>
      </c>
    </row>
    <row r="149" spans="1:2" x14ac:dyDescent="0.25">
      <c r="A149" t="s">
        <v>784</v>
      </c>
      <c r="B149">
        <v>28</v>
      </c>
    </row>
    <row r="150" spans="1:2" x14ac:dyDescent="0.25">
      <c r="A150" t="s">
        <v>789</v>
      </c>
      <c r="B150">
        <v>28</v>
      </c>
    </row>
    <row r="151" spans="1:2" x14ac:dyDescent="0.25">
      <c r="A151" t="s">
        <v>793</v>
      </c>
      <c r="B151">
        <v>21</v>
      </c>
    </row>
    <row r="152" spans="1:2" x14ac:dyDescent="0.25">
      <c r="A152" t="s">
        <v>797</v>
      </c>
      <c r="B152">
        <v>28</v>
      </c>
    </row>
    <row r="153" spans="1:2" x14ac:dyDescent="0.25">
      <c r="A153" t="s">
        <v>801</v>
      </c>
      <c r="B153">
        <v>21</v>
      </c>
    </row>
    <row r="154" spans="1:2" x14ac:dyDescent="0.25">
      <c r="A154" t="s">
        <v>806</v>
      </c>
      <c r="B154">
        <v>28</v>
      </c>
    </row>
    <row r="155" spans="1:2" x14ac:dyDescent="0.25">
      <c r="A155" t="s">
        <v>813</v>
      </c>
      <c r="B155">
        <v>28</v>
      </c>
    </row>
    <row r="156" spans="1:2" x14ac:dyDescent="0.25">
      <c r="A156" t="s">
        <v>816</v>
      </c>
      <c r="B156">
        <v>28</v>
      </c>
    </row>
    <row r="157" spans="1:2" x14ac:dyDescent="0.25">
      <c r="A157" t="s">
        <v>821</v>
      </c>
      <c r="B157">
        <v>28</v>
      </c>
    </row>
    <row r="158" spans="1:2" x14ac:dyDescent="0.25">
      <c r="A158" t="s">
        <v>824</v>
      </c>
      <c r="B158">
        <v>28</v>
      </c>
    </row>
    <row r="159" spans="1:2" x14ac:dyDescent="0.25">
      <c r="A159" t="s">
        <v>827</v>
      </c>
      <c r="B159">
        <v>28</v>
      </c>
    </row>
    <row r="160" spans="1:2" x14ac:dyDescent="0.25">
      <c r="A160" t="s">
        <v>834</v>
      </c>
      <c r="B160">
        <v>28</v>
      </c>
    </row>
    <row r="161" spans="1:2" x14ac:dyDescent="0.25">
      <c r="A161" t="s">
        <v>842</v>
      </c>
      <c r="B161">
        <v>28</v>
      </c>
    </row>
    <row r="162" spans="1:2" x14ac:dyDescent="0.25">
      <c r="A162" t="s">
        <v>850</v>
      </c>
      <c r="B162">
        <v>28</v>
      </c>
    </row>
    <row r="163" spans="1:2" x14ac:dyDescent="0.25">
      <c r="A163" t="s">
        <v>858</v>
      </c>
      <c r="B163">
        <v>28</v>
      </c>
    </row>
    <row r="164" spans="1:2" x14ac:dyDescent="0.25">
      <c r="A164" t="s">
        <v>862</v>
      </c>
      <c r="B164">
        <v>30</v>
      </c>
    </row>
    <row r="165" spans="1:2" x14ac:dyDescent="0.25">
      <c r="A165" t="s">
        <v>865</v>
      </c>
      <c r="B165">
        <v>28</v>
      </c>
    </row>
    <row r="166" spans="1:2" x14ac:dyDescent="0.25">
      <c r="A166" t="s">
        <v>871</v>
      </c>
      <c r="B166">
        <v>56</v>
      </c>
    </row>
    <row r="167" spans="1:2" x14ac:dyDescent="0.25">
      <c r="A167" t="s">
        <v>875</v>
      </c>
      <c r="B167">
        <v>30</v>
      </c>
    </row>
    <row r="168" spans="1:2" x14ac:dyDescent="0.25">
      <c r="A168" t="s">
        <v>883</v>
      </c>
      <c r="B168">
        <v>28</v>
      </c>
    </row>
    <row r="169" spans="1:2" x14ac:dyDescent="0.25">
      <c r="A169" t="s">
        <v>887</v>
      </c>
      <c r="B169">
        <v>30</v>
      </c>
    </row>
    <row r="170" spans="1:2" x14ac:dyDescent="0.25">
      <c r="A170" t="s">
        <v>893</v>
      </c>
      <c r="B170">
        <v>28</v>
      </c>
    </row>
    <row r="171" spans="1:2" x14ac:dyDescent="0.25">
      <c r="A171" t="s">
        <v>898</v>
      </c>
      <c r="B171">
        <v>30</v>
      </c>
    </row>
    <row r="172" spans="1:2" x14ac:dyDescent="0.25">
      <c r="A172" t="s">
        <v>901</v>
      </c>
      <c r="B172">
        <v>28</v>
      </c>
    </row>
    <row r="173" spans="1:2" x14ac:dyDescent="0.25">
      <c r="A173" t="s">
        <v>904</v>
      </c>
      <c r="B173">
        <v>28</v>
      </c>
    </row>
    <row r="174" spans="1:2" x14ac:dyDescent="0.25">
      <c r="A174" t="s">
        <v>910</v>
      </c>
      <c r="B174">
        <v>28</v>
      </c>
    </row>
    <row r="175" spans="1:2" x14ac:dyDescent="0.25">
      <c r="A175" t="s">
        <v>913</v>
      </c>
      <c r="B175">
        <v>14</v>
      </c>
    </row>
    <row r="176" spans="1:2" x14ac:dyDescent="0.25">
      <c r="A176" t="s">
        <v>925</v>
      </c>
      <c r="B176">
        <v>28</v>
      </c>
    </row>
    <row r="177" spans="1:2" x14ac:dyDescent="0.25">
      <c r="A177" t="s">
        <v>933</v>
      </c>
      <c r="B177">
        <v>14</v>
      </c>
    </row>
    <row r="178" spans="1:2" x14ac:dyDescent="0.25">
      <c r="A178" t="s">
        <v>939</v>
      </c>
      <c r="B178">
        <v>14</v>
      </c>
    </row>
    <row r="179" spans="1:2" x14ac:dyDescent="0.25">
      <c r="A179" t="s">
        <v>948</v>
      </c>
      <c r="B179">
        <v>28</v>
      </c>
    </row>
    <row r="180" spans="1:2" x14ac:dyDescent="0.25">
      <c r="A180" t="s">
        <v>952</v>
      </c>
      <c r="B180">
        <v>28</v>
      </c>
    </row>
    <row r="181" spans="1:2" x14ac:dyDescent="0.25">
      <c r="A181" t="s">
        <v>957</v>
      </c>
      <c r="B181">
        <v>21</v>
      </c>
    </row>
    <row r="182" spans="1:2" x14ac:dyDescent="0.25">
      <c r="A182" t="s">
        <v>962</v>
      </c>
      <c r="B182">
        <v>28</v>
      </c>
    </row>
    <row r="183" spans="1:2" x14ac:dyDescent="0.25">
      <c r="A183" t="s">
        <v>965</v>
      </c>
      <c r="B183">
        <v>21</v>
      </c>
    </row>
    <row r="184" spans="1:2" x14ac:dyDescent="0.25">
      <c r="A184" t="s">
        <v>975</v>
      </c>
      <c r="B184">
        <v>28</v>
      </c>
    </row>
    <row r="185" spans="1:2" x14ac:dyDescent="0.25">
      <c r="A185" t="s">
        <v>980</v>
      </c>
      <c r="B185">
        <v>14</v>
      </c>
    </row>
    <row r="186" spans="1:2" x14ac:dyDescent="0.25">
      <c r="A186" t="s">
        <v>987</v>
      </c>
      <c r="B186">
        <v>30</v>
      </c>
    </row>
    <row r="187" spans="1:2" x14ac:dyDescent="0.25">
      <c r="A187" t="s">
        <v>992</v>
      </c>
      <c r="B187">
        <v>30</v>
      </c>
    </row>
    <row r="188" spans="1:2" x14ac:dyDescent="0.25">
      <c r="A188" t="s">
        <v>997</v>
      </c>
      <c r="B188">
        <v>56</v>
      </c>
    </row>
    <row r="189" spans="1:2" x14ac:dyDescent="0.25">
      <c r="A189" t="s">
        <v>1000</v>
      </c>
      <c r="B189">
        <v>30</v>
      </c>
    </row>
    <row r="190" spans="1:2" x14ac:dyDescent="0.25">
      <c r="A190" t="s">
        <v>1007</v>
      </c>
      <c r="B190">
        <v>30</v>
      </c>
    </row>
    <row r="191" spans="1:2" x14ac:dyDescent="0.25">
      <c r="A191" t="s">
        <v>1010</v>
      </c>
      <c r="B191">
        <v>30</v>
      </c>
    </row>
    <row r="192" spans="1:2" x14ac:dyDescent="0.25">
      <c r="A192" t="s">
        <v>1015</v>
      </c>
      <c r="B192">
        <v>28</v>
      </c>
    </row>
    <row r="193" spans="1:2" x14ac:dyDescent="0.25">
      <c r="A193" t="s">
        <v>1018</v>
      </c>
      <c r="B193">
        <v>30</v>
      </c>
    </row>
    <row r="194" spans="1:2" x14ac:dyDescent="0.25">
      <c r="A194" t="s">
        <v>1024</v>
      </c>
      <c r="B194">
        <v>21</v>
      </c>
    </row>
    <row r="195" spans="1:2" x14ac:dyDescent="0.25">
      <c r="A195" t="s">
        <v>1028</v>
      </c>
      <c r="B195">
        <v>28</v>
      </c>
    </row>
    <row r="196" spans="1:2" x14ac:dyDescent="0.25">
      <c r="A196" t="s">
        <v>1032</v>
      </c>
      <c r="B196">
        <v>28</v>
      </c>
    </row>
    <row r="197" spans="1:2" x14ac:dyDescent="0.25">
      <c r="A197" t="s">
        <v>1035</v>
      </c>
      <c r="B197">
        <v>28</v>
      </c>
    </row>
    <row r="198" spans="1:2" x14ac:dyDescent="0.25">
      <c r="A198" t="s">
        <v>1039</v>
      </c>
      <c r="B198">
        <v>56</v>
      </c>
    </row>
    <row r="199" spans="1:2" x14ac:dyDescent="0.25">
      <c r="A199" t="s">
        <v>1044</v>
      </c>
      <c r="B199">
        <v>21</v>
      </c>
    </row>
    <row r="200" spans="1:2" x14ac:dyDescent="0.25">
      <c r="A200" t="s">
        <v>1047</v>
      </c>
      <c r="B200">
        <v>28</v>
      </c>
    </row>
    <row r="201" spans="1:2" x14ac:dyDescent="0.25">
      <c r="A201" t="s">
        <v>1054</v>
      </c>
      <c r="B201">
        <v>28</v>
      </c>
    </row>
    <row r="202" spans="1:2" x14ac:dyDescent="0.25">
      <c r="A202" t="s">
        <v>1060</v>
      </c>
      <c r="B202">
        <v>28</v>
      </c>
    </row>
    <row r="203" spans="1:2" x14ac:dyDescent="0.25">
      <c r="A203" t="s">
        <v>1067</v>
      </c>
      <c r="B203">
        <v>28</v>
      </c>
    </row>
    <row r="204" spans="1:2" x14ac:dyDescent="0.25">
      <c r="A204" t="s">
        <v>1071</v>
      </c>
      <c r="B204">
        <v>21</v>
      </c>
    </row>
    <row r="205" spans="1:2" x14ac:dyDescent="0.25">
      <c r="A205" t="s">
        <v>1081</v>
      </c>
      <c r="B205">
        <v>21</v>
      </c>
    </row>
    <row r="206" spans="1:2" x14ac:dyDescent="0.25">
      <c r="A206" t="s">
        <v>1085</v>
      </c>
      <c r="B206">
        <v>28</v>
      </c>
    </row>
    <row r="207" spans="1:2" x14ac:dyDescent="0.25">
      <c r="A207" t="s">
        <v>1089</v>
      </c>
      <c r="B207">
        <v>28</v>
      </c>
    </row>
    <row r="208" spans="1:2" x14ac:dyDescent="0.25">
      <c r="A208" t="s">
        <v>1097</v>
      </c>
      <c r="B208">
        <v>30</v>
      </c>
    </row>
    <row r="209" spans="1:2" x14ac:dyDescent="0.25">
      <c r="A209" t="s">
        <v>1103</v>
      </c>
      <c r="B209">
        <v>56</v>
      </c>
    </row>
    <row r="210" spans="1:2" x14ac:dyDescent="0.25">
      <c r="A210" t="s">
        <v>1106</v>
      </c>
      <c r="B210">
        <v>28</v>
      </c>
    </row>
    <row r="211" spans="1:2" x14ac:dyDescent="0.25">
      <c r="A211" t="s">
        <v>1110</v>
      </c>
      <c r="B211">
        <v>28</v>
      </c>
    </row>
    <row r="212" spans="1:2" x14ac:dyDescent="0.25">
      <c r="A212" t="s">
        <v>1118</v>
      </c>
      <c r="B212">
        <v>30</v>
      </c>
    </row>
    <row r="213" spans="1:2" x14ac:dyDescent="0.25">
      <c r="A213" t="s">
        <v>1122</v>
      </c>
      <c r="B213">
        <v>28</v>
      </c>
    </row>
    <row r="214" spans="1:2" x14ac:dyDescent="0.25">
      <c r="A214" t="s">
        <v>1130</v>
      </c>
      <c r="B214">
        <v>28</v>
      </c>
    </row>
    <row r="215" spans="1:2" x14ac:dyDescent="0.25">
      <c r="A215" t="s">
        <v>1133</v>
      </c>
      <c r="B215">
        <v>28</v>
      </c>
    </row>
    <row r="216" spans="1:2" x14ac:dyDescent="0.25">
      <c r="A216" t="s">
        <v>1137</v>
      </c>
      <c r="B216">
        <v>28</v>
      </c>
    </row>
    <row r="217" spans="1:2" x14ac:dyDescent="0.25">
      <c r="A217" t="s">
        <v>1140</v>
      </c>
      <c r="B217">
        <v>30</v>
      </c>
    </row>
    <row r="218" spans="1:2" x14ac:dyDescent="0.25">
      <c r="A218" t="s">
        <v>1149</v>
      </c>
      <c r="B218">
        <v>30</v>
      </c>
    </row>
    <row r="219" spans="1:2" x14ac:dyDescent="0.25">
      <c r="A219" t="s">
        <v>1152</v>
      </c>
      <c r="B219">
        <v>28</v>
      </c>
    </row>
    <row r="220" spans="1:2" x14ac:dyDescent="0.25">
      <c r="A220" t="s">
        <v>1156</v>
      </c>
      <c r="B220">
        <v>28</v>
      </c>
    </row>
    <row r="221" spans="1:2" x14ac:dyDescent="0.25">
      <c r="A221" t="s">
        <v>1159</v>
      </c>
      <c r="B221">
        <v>21</v>
      </c>
    </row>
    <row r="222" spans="1:2" x14ac:dyDescent="0.25">
      <c r="A222" t="s">
        <v>1163</v>
      </c>
      <c r="B222">
        <v>30</v>
      </c>
    </row>
    <row r="223" spans="1:2" x14ac:dyDescent="0.25">
      <c r="A223" t="s">
        <v>1166</v>
      </c>
      <c r="B223">
        <v>56</v>
      </c>
    </row>
    <row r="224" spans="1:2" x14ac:dyDescent="0.25">
      <c r="A224" t="s">
        <v>1172</v>
      </c>
      <c r="B224">
        <v>21</v>
      </c>
    </row>
    <row r="225" spans="1:2" x14ac:dyDescent="0.25">
      <c r="A225" t="s">
        <v>1176</v>
      </c>
      <c r="B225">
        <v>28</v>
      </c>
    </row>
    <row r="226" spans="1:2" x14ac:dyDescent="0.25">
      <c r="A226" t="s">
        <v>1182</v>
      </c>
      <c r="B226">
        <v>28</v>
      </c>
    </row>
    <row r="227" spans="1:2" x14ac:dyDescent="0.25">
      <c r="A227" t="s">
        <v>1188</v>
      </c>
      <c r="B227">
        <v>28</v>
      </c>
    </row>
    <row r="228" spans="1:2" x14ac:dyDescent="0.25">
      <c r="A228" t="s">
        <v>1195</v>
      </c>
      <c r="B228">
        <v>21</v>
      </c>
    </row>
    <row r="229" spans="1:2" x14ac:dyDescent="0.25">
      <c r="A229" t="s">
        <v>1198</v>
      </c>
      <c r="B229">
        <v>28</v>
      </c>
    </row>
    <row r="230" spans="1:2" x14ac:dyDescent="0.25">
      <c r="A230" t="s">
        <v>1204</v>
      </c>
      <c r="B230">
        <v>28</v>
      </c>
    </row>
    <row r="231" spans="1:2" x14ac:dyDescent="0.25">
      <c r="A231" t="s">
        <v>1212</v>
      </c>
      <c r="B231">
        <v>28</v>
      </c>
    </row>
    <row r="232" spans="1:2" x14ac:dyDescent="0.25">
      <c r="A232" t="s">
        <v>1220</v>
      </c>
      <c r="B232">
        <v>28</v>
      </c>
    </row>
    <row r="233" spans="1:2" x14ac:dyDescent="0.25">
      <c r="A233" t="s">
        <v>1225</v>
      </c>
      <c r="B233">
        <v>28</v>
      </c>
    </row>
    <row r="234" spans="1:2" x14ac:dyDescent="0.25">
      <c r="A234" t="s">
        <v>1230</v>
      </c>
      <c r="B234">
        <v>21</v>
      </c>
    </row>
    <row r="235" spans="1:2" x14ac:dyDescent="0.25">
      <c r="A235" t="s">
        <v>1239</v>
      </c>
      <c r="B235">
        <v>30</v>
      </c>
    </row>
    <row r="236" spans="1:2" x14ac:dyDescent="0.25">
      <c r="A236" t="s">
        <v>1242</v>
      </c>
      <c r="B236">
        <v>28</v>
      </c>
    </row>
    <row r="237" spans="1:2" x14ac:dyDescent="0.25">
      <c r="A237" t="s">
        <v>1248</v>
      </c>
      <c r="B237">
        <v>28</v>
      </c>
    </row>
    <row r="238" spans="1:2" x14ac:dyDescent="0.25">
      <c r="A238" t="s">
        <v>1254</v>
      </c>
      <c r="B238">
        <v>28</v>
      </c>
    </row>
    <row r="239" spans="1:2" x14ac:dyDescent="0.25">
      <c r="A239" t="s">
        <v>1260</v>
      </c>
      <c r="B239">
        <v>28</v>
      </c>
    </row>
    <row r="240" spans="1:2" x14ac:dyDescent="0.25">
      <c r="A240" t="s">
        <v>1268</v>
      </c>
      <c r="B240">
        <v>30</v>
      </c>
    </row>
    <row r="241" spans="1:2" x14ac:dyDescent="0.25">
      <c r="A241" t="s">
        <v>1274</v>
      </c>
      <c r="B241">
        <v>28</v>
      </c>
    </row>
    <row r="242" spans="1:2" x14ac:dyDescent="0.25">
      <c r="A242" t="s">
        <v>1278</v>
      </c>
      <c r="B242">
        <v>21</v>
      </c>
    </row>
    <row r="243" spans="1:2" x14ac:dyDescent="0.25">
      <c r="A243" t="s">
        <v>1285</v>
      </c>
      <c r="B243">
        <v>28</v>
      </c>
    </row>
    <row r="244" spans="1:2" x14ac:dyDescent="0.25">
      <c r="A244" t="s">
        <v>1290</v>
      </c>
      <c r="B244">
        <v>30</v>
      </c>
    </row>
    <row r="245" spans="1:2" x14ac:dyDescent="0.25">
      <c r="A245" t="s">
        <v>1294</v>
      </c>
      <c r="B245">
        <v>28</v>
      </c>
    </row>
    <row r="246" spans="1:2" x14ac:dyDescent="0.25">
      <c r="A246" t="s">
        <v>1301</v>
      </c>
      <c r="B246">
        <v>28</v>
      </c>
    </row>
    <row r="247" spans="1:2" x14ac:dyDescent="0.25">
      <c r="A247" t="s">
        <v>1305</v>
      </c>
      <c r="B247">
        <v>56</v>
      </c>
    </row>
    <row r="248" spans="1:2" x14ac:dyDescent="0.25">
      <c r="A248" t="s">
        <v>1309</v>
      </c>
      <c r="B248">
        <v>30</v>
      </c>
    </row>
    <row r="249" spans="1:2" x14ac:dyDescent="0.25">
      <c r="A249" t="s">
        <v>1312</v>
      </c>
      <c r="B249">
        <v>14</v>
      </c>
    </row>
    <row r="250" spans="1:2" x14ac:dyDescent="0.25">
      <c r="A250" t="s">
        <v>1323</v>
      </c>
      <c r="B250">
        <v>28</v>
      </c>
    </row>
    <row r="251" spans="1:2" x14ac:dyDescent="0.25">
      <c r="A251" t="s">
        <v>1326</v>
      </c>
      <c r="B251">
        <v>14</v>
      </c>
    </row>
    <row r="252" spans="1:2" x14ac:dyDescent="0.25">
      <c r="A252" t="s">
        <v>1336</v>
      </c>
      <c r="B252">
        <v>28</v>
      </c>
    </row>
    <row r="253" spans="1:2" x14ac:dyDescent="0.25">
      <c r="A253" t="s">
        <v>1344</v>
      </c>
      <c r="B253">
        <v>28</v>
      </c>
    </row>
    <row r="254" spans="1:2" x14ac:dyDescent="0.25">
      <c r="A254" t="s">
        <v>1348</v>
      </c>
      <c r="B254">
        <v>56</v>
      </c>
    </row>
    <row r="255" spans="1:2" x14ac:dyDescent="0.25">
      <c r="A255" t="s">
        <v>1352</v>
      </c>
      <c r="B255">
        <v>28</v>
      </c>
    </row>
    <row r="256" spans="1:2" x14ac:dyDescent="0.25">
      <c r="A256" t="s">
        <v>1357</v>
      </c>
      <c r="B256">
        <v>28</v>
      </c>
    </row>
    <row r="257" spans="1:2" x14ac:dyDescent="0.25">
      <c r="A257" t="s">
        <v>1365</v>
      </c>
      <c r="B257">
        <v>30</v>
      </c>
    </row>
    <row r="258" spans="1:2" x14ac:dyDescent="0.25">
      <c r="A258" t="s">
        <v>1369</v>
      </c>
      <c r="B258">
        <v>21</v>
      </c>
    </row>
    <row r="259" spans="1:2" x14ac:dyDescent="0.25">
      <c r="A259" t="s">
        <v>1377</v>
      </c>
      <c r="B259">
        <v>14</v>
      </c>
    </row>
    <row r="260" spans="1:2" x14ac:dyDescent="0.25">
      <c r="A260" t="s">
        <v>1382</v>
      </c>
      <c r="B260">
        <v>28</v>
      </c>
    </row>
    <row r="261" spans="1:2" x14ac:dyDescent="0.25">
      <c r="A261" t="s">
        <v>1391</v>
      </c>
      <c r="B261">
        <v>30</v>
      </c>
    </row>
    <row r="262" spans="1:2" x14ac:dyDescent="0.25">
      <c r="A262" t="s">
        <v>1396</v>
      </c>
      <c r="B262">
        <v>28</v>
      </c>
    </row>
    <row r="263" spans="1:2" x14ac:dyDescent="0.25">
      <c r="A263" t="s">
        <v>1400</v>
      </c>
      <c r="B263">
        <v>28</v>
      </c>
    </row>
    <row r="264" spans="1:2" x14ac:dyDescent="0.25">
      <c r="A264" t="s">
        <v>1403</v>
      </c>
      <c r="B264">
        <v>28</v>
      </c>
    </row>
    <row r="265" spans="1:2" x14ac:dyDescent="0.25">
      <c r="A265" t="s">
        <v>1406</v>
      </c>
      <c r="B265">
        <v>28</v>
      </c>
    </row>
    <row r="266" spans="1:2" x14ac:dyDescent="0.25">
      <c r="A266" t="s">
        <v>1409</v>
      </c>
      <c r="B266">
        <v>28</v>
      </c>
    </row>
    <row r="267" spans="1:2" x14ac:dyDescent="0.25">
      <c r="A267" t="s">
        <v>1417</v>
      </c>
      <c r="B267">
        <v>28</v>
      </c>
    </row>
    <row r="268" spans="1:2" x14ac:dyDescent="0.25">
      <c r="A268" t="s">
        <v>1425</v>
      </c>
      <c r="B268">
        <v>21</v>
      </c>
    </row>
    <row r="269" spans="1:2" x14ac:dyDescent="0.25">
      <c r="A269" t="s">
        <v>1430</v>
      </c>
      <c r="B269">
        <v>14</v>
      </c>
    </row>
    <row r="270" spans="1:2" x14ac:dyDescent="0.25">
      <c r="A270" t="s">
        <v>1439</v>
      </c>
      <c r="B270">
        <v>30</v>
      </c>
    </row>
    <row r="271" spans="1:2" x14ac:dyDescent="0.25">
      <c r="A271" t="s">
        <v>1447</v>
      </c>
      <c r="B271">
        <v>28</v>
      </c>
    </row>
    <row r="272" spans="1:2" x14ac:dyDescent="0.25">
      <c r="A272" t="s">
        <v>1455</v>
      </c>
      <c r="B272">
        <v>28</v>
      </c>
    </row>
    <row r="273" spans="1:2" x14ac:dyDescent="0.25">
      <c r="A273" t="s">
        <v>1459</v>
      </c>
      <c r="B273">
        <v>14</v>
      </c>
    </row>
    <row r="274" spans="1:2" x14ac:dyDescent="0.25">
      <c r="A274" t="s">
        <v>1468</v>
      </c>
      <c r="B274">
        <v>28</v>
      </c>
    </row>
    <row r="275" spans="1:2" x14ac:dyDescent="0.25">
      <c r="A275" t="s">
        <v>1474</v>
      </c>
      <c r="B275">
        <v>30</v>
      </c>
    </row>
    <row r="276" spans="1:2" x14ac:dyDescent="0.25">
      <c r="A276" t="s">
        <v>1479</v>
      </c>
      <c r="B276">
        <v>30</v>
      </c>
    </row>
    <row r="277" spans="1:2" x14ac:dyDescent="0.25">
      <c r="A277" t="s">
        <v>1484</v>
      </c>
      <c r="B277">
        <v>28</v>
      </c>
    </row>
    <row r="278" spans="1:2" x14ac:dyDescent="0.25">
      <c r="A278" t="s">
        <v>1488</v>
      </c>
      <c r="B278">
        <v>28</v>
      </c>
    </row>
    <row r="279" spans="1:2" x14ac:dyDescent="0.25">
      <c r="A279" t="s">
        <v>1491</v>
      </c>
      <c r="B279">
        <v>21</v>
      </c>
    </row>
    <row r="280" spans="1:2" x14ac:dyDescent="0.25">
      <c r="A280" t="s">
        <v>1495</v>
      </c>
      <c r="B280">
        <v>28</v>
      </c>
    </row>
    <row r="281" spans="1:2" x14ac:dyDescent="0.25">
      <c r="A281" t="s">
        <v>1503</v>
      </c>
      <c r="B281">
        <v>21</v>
      </c>
    </row>
    <row r="282" spans="1:2" x14ac:dyDescent="0.25">
      <c r="A282" t="s">
        <v>1510</v>
      </c>
      <c r="B282">
        <v>30</v>
      </c>
    </row>
    <row r="283" spans="1:2" x14ac:dyDescent="0.25">
      <c r="A283" t="s">
        <v>1516</v>
      </c>
      <c r="B283">
        <v>28</v>
      </c>
    </row>
    <row r="284" spans="1:2" x14ac:dyDescent="0.25">
      <c r="A284" t="s">
        <v>1522</v>
      </c>
      <c r="B284">
        <v>28</v>
      </c>
    </row>
    <row r="285" spans="1:2" x14ac:dyDescent="0.25">
      <c r="A285" t="s">
        <v>1530</v>
      </c>
      <c r="B285">
        <v>56</v>
      </c>
    </row>
    <row r="286" spans="1:2" x14ac:dyDescent="0.25">
      <c r="A286" t="s">
        <v>1533</v>
      </c>
      <c r="B286">
        <v>30</v>
      </c>
    </row>
    <row r="287" spans="1:2" x14ac:dyDescent="0.25">
      <c r="A287" t="s">
        <v>1538</v>
      </c>
      <c r="B287">
        <v>30</v>
      </c>
    </row>
    <row r="288" spans="1:2" x14ac:dyDescent="0.25">
      <c r="A288" t="s">
        <v>1547</v>
      </c>
      <c r="B288">
        <v>28</v>
      </c>
    </row>
    <row r="289" spans="1:2" x14ac:dyDescent="0.25">
      <c r="A289" t="s">
        <v>1556</v>
      </c>
      <c r="B289">
        <v>30</v>
      </c>
    </row>
    <row r="290" spans="1:2" x14ac:dyDescent="0.25">
      <c r="A290" t="s">
        <v>1559</v>
      </c>
      <c r="B290">
        <v>30</v>
      </c>
    </row>
    <row r="291" spans="1:2" x14ac:dyDescent="0.25">
      <c r="A291" t="s">
        <v>1562</v>
      </c>
      <c r="B291">
        <v>30</v>
      </c>
    </row>
    <row r="292" spans="1:2" x14ac:dyDescent="0.25">
      <c r="A292" t="s">
        <v>1567</v>
      </c>
      <c r="B292">
        <v>30</v>
      </c>
    </row>
    <row r="293" spans="1:2" x14ac:dyDescent="0.25">
      <c r="A293" t="s">
        <v>1570</v>
      </c>
      <c r="B293">
        <v>28</v>
      </c>
    </row>
    <row r="294" spans="1:2" x14ac:dyDescent="0.25">
      <c r="A294" t="s">
        <v>1575</v>
      </c>
      <c r="B294">
        <v>28</v>
      </c>
    </row>
    <row r="295" spans="1:2" x14ac:dyDescent="0.25">
      <c r="A295" t="s">
        <v>1578</v>
      </c>
      <c r="B295">
        <v>28</v>
      </c>
    </row>
    <row r="296" spans="1:2" x14ac:dyDescent="0.25">
      <c r="A296" t="s">
        <v>1582</v>
      </c>
      <c r="B296">
        <v>28</v>
      </c>
    </row>
    <row r="297" spans="1:2" x14ac:dyDescent="0.25">
      <c r="A297" t="s">
        <v>1585</v>
      </c>
      <c r="B297">
        <v>21</v>
      </c>
    </row>
    <row r="298" spans="1:2" x14ac:dyDescent="0.25">
      <c r="A298" t="s">
        <v>1589</v>
      </c>
      <c r="B298">
        <v>28</v>
      </c>
    </row>
    <row r="299" spans="1:2" x14ac:dyDescent="0.25">
      <c r="A299" t="s">
        <v>1595</v>
      </c>
      <c r="B299">
        <v>21</v>
      </c>
    </row>
    <row r="300" spans="1:2" x14ac:dyDescent="0.25">
      <c r="A300" t="s">
        <v>1600</v>
      </c>
      <c r="B300">
        <v>14</v>
      </c>
    </row>
    <row r="301" spans="1:2" x14ac:dyDescent="0.25">
      <c r="A301" t="s">
        <v>1606</v>
      </c>
      <c r="B301">
        <v>30</v>
      </c>
    </row>
    <row r="302" spans="1:2" x14ac:dyDescent="0.25">
      <c r="A302" t="s">
        <v>1610</v>
      </c>
      <c r="B302">
        <v>28</v>
      </c>
    </row>
    <row r="303" spans="1:2" x14ac:dyDescent="0.25">
      <c r="A303" t="s">
        <v>1615</v>
      </c>
      <c r="B303">
        <v>21</v>
      </c>
    </row>
    <row r="304" spans="1:2" x14ac:dyDescent="0.25">
      <c r="A304" t="s">
        <v>1626</v>
      </c>
      <c r="B304">
        <v>21</v>
      </c>
    </row>
    <row r="305" spans="1:2" x14ac:dyDescent="0.25">
      <c r="A305" t="s">
        <v>1630</v>
      </c>
      <c r="B305">
        <v>30</v>
      </c>
    </row>
    <row r="306" spans="1:2" x14ac:dyDescent="0.25">
      <c r="A306" t="s">
        <v>1638</v>
      </c>
      <c r="B306">
        <v>28</v>
      </c>
    </row>
    <row r="307" spans="1:2" x14ac:dyDescent="0.25">
      <c r="A307" t="s">
        <v>1642</v>
      </c>
      <c r="B307">
        <v>28</v>
      </c>
    </row>
    <row r="308" spans="1:2" x14ac:dyDescent="0.25">
      <c r="A308" t="s">
        <v>1645</v>
      </c>
      <c r="B308">
        <v>28</v>
      </c>
    </row>
    <row r="309" spans="1:2" x14ac:dyDescent="0.25">
      <c r="A309" t="s">
        <v>1654</v>
      </c>
      <c r="B309">
        <v>28</v>
      </c>
    </row>
    <row r="310" spans="1:2" x14ac:dyDescent="0.25">
      <c r="A310" t="s">
        <v>1659</v>
      </c>
      <c r="B310">
        <v>21</v>
      </c>
    </row>
    <row r="311" spans="1:2" x14ac:dyDescent="0.25">
      <c r="A311" t="s">
        <v>1662</v>
      </c>
      <c r="B311">
        <v>30</v>
      </c>
    </row>
    <row r="312" spans="1:2" x14ac:dyDescent="0.25">
      <c r="A312" t="s">
        <v>1666</v>
      </c>
      <c r="B312">
        <v>28</v>
      </c>
    </row>
    <row r="313" spans="1:2" x14ac:dyDescent="0.25">
      <c r="A313" t="s">
        <v>1670</v>
      </c>
      <c r="B313">
        <v>28</v>
      </c>
    </row>
    <row r="314" spans="1:2" x14ac:dyDescent="0.25">
      <c r="A314" t="s">
        <v>1675</v>
      </c>
      <c r="B314">
        <v>28</v>
      </c>
    </row>
    <row r="315" spans="1:2" x14ac:dyDescent="0.25">
      <c r="A315" t="s">
        <v>1679</v>
      </c>
      <c r="B315">
        <v>21</v>
      </c>
    </row>
    <row r="316" spans="1:2" x14ac:dyDescent="0.25">
      <c r="A316" t="s">
        <v>1684</v>
      </c>
      <c r="B316">
        <v>21</v>
      </c>
    </row>
    <row r="317" spans="1:2" x14ac:dyDescent="0.25">
      <c r="A317" t="s">
        <v>1688</v>
      </c>
      <c r="B317">
        <v>56</v>
      </c>
    </row>
    <row r="318" spans="1:2" x14ac:dyDescent="0.25">
      <c r="A318" t="s">
        <v>1692</v>
      </c>
      <c r="B318">
        <v>56</v>
      </c>
    </row>
    <row r="319" spans="1:2" x14ac:dyDescent="0.25">
      <c r="A319" t="s">
        <v>1695</v>
      </c>
      <c r="B319">
        <v>28</v>
      </c>
    </row>
    <row r="320" spans="1:2" x14ac:dyDescent="0.25">
      <c r="A320" t="s">
        <v>1704</v>
      </c>
      <c r="B320">
        <v>28</v>
      </c>
    </row>
    <row r="321" spans="1:2" x14ac:dyDescent="0.25">
      <c r="A321" t="s">
        <v>1707</v>
      </c>
      <c r="B321">
        <v>28</v>
      </c>
    </row>
    <row r="322" spans="1:2" x14ac:dyDescent="0.25">
      <c r="A322" t="s">
        <v>1714</v>
      </c>
      <c r="B322">
        <v>30</v>
      </c>
    </row>
    <row r="323" spans="1:2" x14ac:dyDescent="0.25">
      <c r="A323" t="s">
        <v>1719</v>
      </c>
      <c r="B323">
        <v>30</v>
      </c>
    </row>
    <row r="324" spans="1:2" x14ac:dyDescent="0.25">
      <c r="A324" t="s">
        <v>1724</v>
      </c>
      <c r="B324">
        <v>28</v>
      </c>
    </row>
    <row r="325" spans="1:2" x14ac:dyDescent="0.25">
      <c r="A325" t="s">
        <v>1729</v>
      </c>
      <c r="B325">
        <v>30</v>
      </c>
    </row>
    <row r="326" spans="1:2" x14ac:dyDescent="0.25">
      <c r="A326" t="s">
        <v>1736</v>
      </c>
      <c r="B326">
        <v>28</v>
      </c>
    </row>
    <row r="327" spans="1:2" x14ac:dyDescent="0.25">
      <c r="A327" t="s">
        <v>1741</v>
      </c>
      <c r="B327">
        <v>28</v>
      </c>
    </row>
    <row r="328" spans="1:2" x14ac:dyDescent="0.25">
      <c r="A328" t="s">
        <v>1745</v>
      </c>
      <c r="B328">
        <v>30</v>
      </c>
    </row>
    <row r="329" spans="1:2" x14ac:dyDescent="0.25">
      <c r="A329" t="s">
        <v>1753</v>
      </c>
      <c r="B329">
        <v>28</v>
      </c>
    </row>
    <row r="330" spans="1:2" x14ac:dyDescent="0.25">
      <c r="A330" t="s">
        <v>1757</v>
      </c>
      <c r="B330">
        <v>28</v>
      </c>
    </row>
    <row r="331" spans="1:2" x14ac:dyDescent="0.25">
      <c r="A331" t="s">
        <v>1764</v>
      </c>
      <c r="B331">
        <v>28</v>
      </c>
    </row>
    <row r="332" spans="1:2" x14ac:dyDescent="0.25">
      <c r="A332" t="s">
        <v>1770</v>
      </c>
      <c r="B332">
        <v>28</v>
      </c>
    </row>
    <row r="333" spans="1:2" x14ac:dyDescent="0.25">
      <c r="A333" t="s">
        <v>1775</v>
      </c>
      <c r="B333">
        <v>14</v>
      </c>
    </row>
    <row r="334" spans="1:2" x14ac:dyDescent="0.25">
      <c r="A334" t="s">
        <v>1784</v>
      </c>
      <c r="B334">
        <v>30</v>
      </c>
    </row>
    <row r="335" spans="1:2" x14ac:dyDescent="0.25">
      <c r="A335" t="s">
        <v>1791</v>
      </c>
      <c r="B335">
        <v>28</v>
      </c>
    </row>
    <row r="336" spans="1:2" x14ac:dyDescent="0.25">
      <c r="A336" t="s">
        <v>1795</v>
      </c>
      <c r="B336">
        <v>28</v>
      </c>
    </row>
    <row r="337" spans="1:2" x14ac:dyDescent="0.25">
      <c r="A337" t="s">
        <v>1799</v>
      </c>
      <c r="B337">
        <v>28</v>
      </c>
    </row>
    <row r="338" spans="1:2" x14ac:dyDescent="0.25">
      <c r="A338" t="s">
        <v>1802</v>
      </c>
      <c r="B338">
        <v>21</v>
      </c>
    </row>
    <row r="339" spans="1:2" x14ac:dyDescent="0.25">
      <c r="A339" t="s">
        <v>1805</v>
      </c>
      <c r="B339">
        <v>28</v>
      </c>
    </row>
    <row r="340" spans="1:2" x14ac:dyDescent="0.25">
      <c r="A340" t="s">
        <v>1808</v>
      </c>
      <c r="B340">
        <v>30</v>
      </c>
    </row>
    <row r="341" spans="1:2" x14ac:dyDescent="0.25">
      <c r="A341" t="s">
        <v>1811</v>
      </c>
      <c r="B341">
        <v>28</v>
      </c>
    </row>
    <row r="342" spans="1:2" x14ac:dyDescent="0.25">
      <c r="A342" t="s">
        <v>1818</v>
      </c>
      <c r="B342">
        <v>30</v>
      </c>
    </row>
    <row r="343" spans="1:2" x14ac:dyDescent="0.25">
      <c r="A343" t="s">
        <v>1824</v>
      </c>
      <c r="B343">
        <v>30</v>
      </c>
    </row>
    <row r="344" spans="1:2" x14ac:dyDescent="0.25">
      <c r="A344" t="s">
        <v>1828</v>
      </c>
      <c r="B344">
        <v>28</v>
      </c>
    </row>
    <row r="345" spans="1:2" x14ac:dyDescent="0.25">
      <c r="A345" t="s">
        <v>1831</v>
      </c>
      <c r="B345">
        <v>28</v>
      </c>
    </row>
    <row r="346" spans="1:2" x14ac:dyDescent="0.25">
      <c r="A346" t="s">
        <v>1838</v>
      </c>
      <c r="B346">
        <v>28</v>
      </c>
    </row>
    <row r="347" spans="1:2" x14ac:dyDescent="0.25">
      <c r="A347" t="s">
        <v>1843</v>
      </c>
      <c r="B347">
        <v>56</v>
      </c>
    </row>
    <row r="348" spans="1:2" x14ac:dyDescent="0.25">
      <c r="A348" t="s">
        <v>1846</v>
      </c>
      <c r="B348">
        <v>30</v>
      </c>
    </row>
    <row r="349" spans="1:2" x14ac:dyDescent="0.25">
      <c r="A349" t="s">
        <v>1852</v>
      </c>
      <c r="B349">
        <v>21</v>
      </c>
    </row>
    <row r="350" spans="1:2" x14ac:dyDescent="0.25">
      <c r="A350" t="s">
        <v>1857</v>
      </c>
      <c r="B350">
        <v>28</v>
      </c>
    </row>
    <row r="351" spans="1:2" x14ac:dyDescent="0.25">
      <c r="A351" t="s">
        <v>1864</v>
      </c>
      <c r="B351">
        <v>28</v>
      </c>
    </row>
    <row r="352" spans="1:2" x14ac:dyDescent="0.25">
      <c r="A352" t="s">
        <v>1872</v>
      </c>
      <c r="B352">
        <v>28</v>
      </c>
    </row>
    <row r="353" spans="1:2" x14ac:dyDescent="0.25">
      <c r="A353" t="s">
        <v>1875</v>
      </c>
      <c r="B353">
        <v>28</v>
      </c>
    </row>
    <row r="354" spans="1:2" x14ac:dyDescent="0.25">
      <c r="A354" t="s">
        <v>1878</v>
      </c>
      <c r="B354">
        <v>30</v>
      </c>
    </row>
    <row r="355" spans="1:2" x14ac:dyDescent="0.25">
      <c r="A355" t="s">
        <v>1884</v>
      </c>
      <c r="B355">
        <v>21</v>
      </c>
    </row>
    <row r="356" spans="1:2" x14ac:dyDescent="0.25">
      <c r="A356" t="s">
        <v>1893</v>
      </c>
      <c r="B356">
        <v>28</v>
      </c>
    </row>
    <row r="357" spans="1:2" x14ac:dyDescent="0.25">
      <c r="A357" t="s">
        <v>1902</v>
      </c>
      <c r="B357">
        <v>30</v>
      </c>
    </row>
    <row r="358" spans="1:2" x14ac:dyDescent="0.25">
      <c r="A358" t="s">
        <v>1905</v>
      </c>
      <c r="B358">
        <v>14</v>
      </c>
    </row>
    <row r="359" spans="1:2" x14ac:dyDescent="0.25">
      <c r="A359" t="s">
        <v>1914</v>
      </c>
      <c r="B359">
        <v>30</v>
      </c>
    </row>
    <row r="360" spans="1:2" x14ac:dyDescent="0.25">
      <c r="A360" t="s">
        <v>1917</v>
      </c>
      <c r="B360">
        <v>28</v>
      </c>
    </row>
    <row r="361" spans="1:2" x14ac:dyDescent="0.25">
      <c r="A361" t="s">
        <v>1922</v>
      </c>
      <c r="B361">
        <v>30</v>
      </c>
    </row>
    <row r="362" spans="1:2" x14ac:dyDescent="0.25">
      <c r="A362" t="s">
        <v>1926</v>
      </c>
      <c r="B362">
        <v>28</v>
      </c>
    </row>
    <row r="363" spans="1:2" x14ac:dyDescent="0.25">
      <c r="A363" t="s">
        <v>1930</v>
      </c>
      <c r="B363">
        <v>21</v>
      </c>
    </row>
    <row r="364" spans="1:2" x14ac:dyDescent="0.25">
      <c r="A364" t="s">
        <v>1934</v>
      </c>
      <c r="B364">
        <v>21</v>
      </c>
    </row>
    <row r="365" spans="1:2" x14ac:dyDescent="0.25">
      <c r="A365" t="s">
        <v>1942</v>
      </c>
      <c r="B365">
        <v>28</v>
      </c>
    </row>
    <row r="366" spans="1:2" x14ac:dyDescent="0.25">
      <c r="A366" t="s">
        <v>1946</v>
      </c>
      <c r="B366">
        <v>30</v>
      </c>
    </row>
    <row r="367" spans="1:2" x14ac:dyDescent="0.25">
      <c r="A367" t="s">
        <v>1950</v>
      </c>
      <c r="B367">
        <v>30</v>
      </c>
    </row>
    <row r="368" spans="1:2" x14ac:dyDescent="0.25">
      <c r="A368" t="s">
        <v>1956</v>
      </c>
      <c r="B368">
        <v>28</v>
      </c>
    </row>
    <row r="369" spans="1:2" x14ac:dyDescent="0.25">
      <c r="A369" t="s">
        <v>1959</v>
      </c>
      <c r="B369">
        <v>14</v>
      </c>
    </row>
    <row r="370" spans="1:2" x14ac:dyDescent="0.25">
      <c r="A370" t="s">
        <v>1970</v>
      </c>
      <c r="B370">
        <v>28</v>
      </c>
    </row>
    <row r="371" spans="1:2" x14ac:dyDescent="0.25">
      <c r="A371" t="s">
        <v>1974</v>
      </c>
      <c r="B371">
        <v>56</v>
      </c>
    </row>
    <row r="372" spans="1:2" x14ac:dyDescent="0.25">
      <c r="A372" t="s">
        <v>1979</v>
      </c>
      <c r="B372">
        <v>28</v>
      </c>
    </row>
    <row r="373" spans="1:2" x14ac:dyDescent="0.25">
      <c r="A373" t="s">
        <v>1985</v>
      </c>
      <c r="B373">
        <v>28</v>
      </c>
    </row>
    <row r="374" spans="1:2" x14ac:dyDescent="0.25">
      <c r="A374" t="s">
        <v>1990</v>
      </c>
      <c r="B374">
        <v>28</v>
      </c>
    </row>
    <row r="375" spans="1:2" x14ac:dyDescent="0.25">
      <c r="A375" t="s">
        <v>1993</v>
      </c>
      <c r="B375">
        <v>14</v>
      </c>
    </row>
    <row r="376" spans="1:2" x14ac:dyDescent="0.25">
      <c r="A376" t="s">
        <v>2006</v>
      </c>
      <c r="B376">
        <v>28</v>
      </c>
    </row>
    <row r="377" spans="1:2" x14ac:dyDescent="0.25">
      <c r="A377" t="s">
        <v>2010</v>
      </c>
      <c r="B377">
        <v>28</v>
      </c>
    </row>
    <row r="378" spans="1:2" x14ac:dyDescent="0.25">
      <c r="A378" t="s">
        <v>2015</v>
      </c>
      <c r="B378">
        <v>28</v>
      </c>
    </row>
    <row r="379" spans="1:2" x14ac:dyDescent="0.25">
      <c r="A379" t="s">
        <v>2020</v>
      </c>
      <c r="B379">
        <v>14</v>
      </c>
    </row>
    <row r="380" spans="1:2" x14ac:dyDescent="0.25">
      <c r="A380" t="s">
        <v>2024</v>
      </c>
      <c r="B380">
        <v>28</v>
      </c>
    </row>
    <row r="381" spans="1:2" x14ac:dyDescent="0.25">
      <c r="A381" t="s">
        <v>2030</v>
      </c>
      <c r="B381">
        <v>28</v>
      </c>
    </row>
    <row r="382" spans="1:2" x14ac:dyDescent="0.25">
      <c r="A382" t="s">
        <v>2036</v>
      </c>
      <c r="B382">
        <v>28</v>
      </c>
    </row>
    <row r="383" spans="1:2" x14ac:dyDescent="0.25">
      <c r="A383" t="s">
        <v>2044</v>
      </c>
      <c r="B383">
        <v>28</v>
      </c>
    </row>
    <row r="384" spans="1:2" x14ac:dyDescent="0.25">
      <c r="A384" t="s">
        <v>2052</v>
      </c>
      <c r="B384">
        <v>28</v>
      </c>
    </row>
    <row r="385" spans="1:2" x14ac:dyDescent="0.25">
      <c r="A385" t="s">
        <v>2056</v>
      </c>
      <c r="B385">
        <v>30</v>
      </c>
    </row>
    <row r="386" spans="1:2" x14ac:dyDescent="0.25">
      <c r="A386" t="s">
        <v>2060</v>
      </c>
      <c r="B386">
        <v>28</v>
      </c>
    </row>
    <row r="387" spans="1:2" x14ac:dyDescent="0.25">
      <c r="A387" t="s">
        <v>2069</v>
      </c>
      <c r="B387">
        <v>30</v>
      </c>
    </row>
    <row r="388" spans="1:2" x14ac:dyDescent="0.25">
      <c r="A388" t="s">
        <v>2074</v>
      </c>
      <c r="B388">
        <v>28</v>
      </c>
    </row>
    <row r="389" spans="1:2" x14ac:dyDescent="0.25">
      <c r="A389" t="s">
        <v>2081</v>
      </c>
      <c r="B389">
        <v>14</v>
      </c>
    </row>
    <row r="390" spans="1:2" x14ac:dyDescent="0.25">
      <c r="A390" t="s">
        <v>2084</v>
      </c>
      <c r="B390">
        <v>30</v>
      </c>
    </row>
    <row r="391" spans="1:2" x14ac:dyDescent="0.25">
      <c r="A391" t="s">
        <v>2089</v>
      </c>
      <c r="B391">
        <v>28</v>
      </c>
    </row>
    <row r="392" spans="1:2" x14ac:dyDescent="0.25">
      <c r="A392" t="s">
        <v>2095</v>
      </c>
      <c r="B392">
        <v>21</v>
      </c>
    </row>
    <row r="393" spans="1:2" x14ac:dyDescent="0.25">
      <c r="A393" t="s">
        <v>2107</v>
      </c>
      <c r="B393">
        <v>21</v>
      </c>
    </row>
    <row r="394" spans="1:2" x14ac:dyDescent="0.25">
      <c r="A394" t="s">
        <v>2111</v>
      </c>
      <c r="B394">
        <v>28</v>
      </c>
    </row>
    <row r="395" spans="1:2" x14ac:dyDescent="0.25">
      <c r="A395" t="s">
        <v>2115</v>
      </c>
      <c r="B395">
        <v>30</v>
      </c>
    </row>
    <row r="396" spans="1:2" x14ac:dyDescent="0.25">
      <c r="A396" t="s">
        <v>2121</v>
      </c>
      <c r="B396">
        <v>28</v>
      </c>
    </row>
    <row r="397" spans="1:2" x14ac:dyDescent="0.25">
      <c r="A397" t="s">
        <v>2124</v>
      </c>
      <c r="B397">
        <v>28</v>
      </c>
    </row>
    <row r="398" spans="1:2" x14ac:dyDescent="0.25">
      <c r="A398" t="s">
        <v>2128</v>
      </c>
      <c r="B398">
        <v>28</v>
      </c>
    </row>
    <row r="399" spans="1:2" x14ac:dyDescent="0.25">
      <c r="A399" t="s">
        <v>2132</v>
      </c>
      <c r="B399">
        <v>28</v>
      </c>
    </row>
    <row r="400" spans="1:2" x14ac:dyDescent="0.25">
      <c r="A400" t="s">
        <v>2137</v>
      </c>
      <c r="B400">
        <v>28</v>
      </c>
    </row>
    <row r="401" spans="1:2" x14ac:dyDescent="0.25">
      <c r="A401" t="s">
        <v>2144</v>
      </c>
      <c r="B401">
        <v>28</v>
      </c>
    </row>
    <row r="402" spans="1:2" x14ac:dyDescent="0.25">
      <c r="A402" t="s">
        <v>2152</v>
      </c>
      <c r="B402">
        <v>21</v>
      </c>
    </row>
    <row r="403" spans="1:2" x14ac:dyDescent="0.25">
      <c r="A403" t="s">
        <v>2162</v>
      </c>
      <c r="B403">
        <v>28</v>
      </c>
    </row>
    <row r="404" spans="1:2" x14ac:dyDescent="0.25">
      <c r="A404" t="s">
        <v>2167</v>
      </c>
      <c r="B404">
        <v>28</v>
      </c>
    </row>
    <row r="405" spans="1:2" x14ac:dyDescent="0.25">
      <c r="A405" t="s">
        <v>2174</v>
      </c>
      <c r="B405">
        <v>28</v>
      </c>
    </row>
    <row r="406" spans="1:2" x14ac:dyDescent="0.25">
      <c r="A406" t="s">
        <v>2178</v>
      </c>
      <c r="B406">
        <v>30</v>
      </c>
    </row>
    <row r="407" spans="1:2" x14ac:dyDescent="0.25">
      <c r="A407" t="s">
        <v>2184</v>
      </c>
      <c r="B407">
        <v>14</v>
      </c>
    </row>
    <row r="408" spans="1:2" x14ac:dyDescent="0.25">
      <c r="A408" t="s">
        <v>2188</v>
      </c>
      <c r="B408">
        <v>14</v>
      </c>
    </row>
    <row r="409" spans="1:2" x14ac:dyDescent="0.25">
      <c r="A409" t="s">
        <v>2191</v>
      </c>
      <c r="B409">
        <v>21</v>
      </c>
    </row>
    <row r="410" spans="1:2" x14ac:dyDescent="0.25">
      <c r="A410" t="s">
        <v>2194</v>
      </c>
      <c r="B410">
        <v>28</v>
      </c>
    </row>
    <row r="411" spans="1:2" x14ac:dyDescent="0.25">
      <c r="A411" t="s">
        <v>2197</v>
      </c>
      <c r="B411">
        <v>14</v>
      </c>
    </row>
    <row r="412" spans="1:2" x14ac:dyDescent="0.25">
      <c r="A412" t="s">
        <v>2201</v>
      </c>
      <c r="B412">
        <v>28</v>
      </c>
    </row>
    <row r="413" spans="1:2" x14ac:dyDescent="0.25">
      <c r="A413" t="s">
        <v>2206</v>
      </c>
      <c r="B413">
        <v>28</v>
      </c>
    </row>
    <row r="414" spans="1:2" x14ac:dyDescent="0.25">
      <c r="A414" t="s">
        <v>2212</v>
      </c>
      <c r="B414">
        <v>28</v>
      </c>
    </row>
    <row r="415" spans="1:2" x14ac:dyDescent="0.25">
      <c r="A415" t="s">
        <v>2217</v>
      </c>
      <c r="B415">
        <v>28</v>
      </c>
    </row>
    <row r="416" spans="1:2" x14ac:dyDescent="0.25">
      <c r="A416" t="s">
        <v>2225</v>
      </c>
      <c r="B416">
        <v>28</v>
      </c>
    </row>
    <row r="417" spans="1:2" x14ac:dyDescent="0.25">
      <c r="A417" t="s">
        <v>2229</v>
      </c>
      <c r="B417">
        <v>28</v>
      </c>
    </row>
    <row r="418" spans="1:2" x14ac:dyDescent="0.25">
      <c r="A418" t="s">
        <v>2235</v>
      </c>
      <c r="B418">
        <v>28</v>
      </c>
    </row>
    <row r="419" spans="1:2" x14ac:dyDescent="0.25">
      <c r="A419" t="s">
        <v>2244</v>
      </c>
      <c r="B419">
        <v>28</v>
      </c>
    </row>
    <row r="420" spans="1:2" x14ac:dyDescent="0.25">
      <c r="A420" t="s">
        <v>2250</v>
      </c>
      <c r="B420">
        <v>28</v>
      </c>
    </row>
    <row r="421" spans="1:2" x14ac:dyDescent="0.25">
      <c r="A421" t="s">
        <v>2253</v>
      </c>
      <c r="B421">
        <v>28</v>
      </c>
    </row>
    <row r="422" spans="1:2" x14ac:dyDescent="0.25">
      <c r="A422" t="s">
        <v>2257</v>
      </c>
      <c r="B422">
        <v>28</v>
      </c>
    </row>
    <row r="423" spans="1:2" x14ac:dyDescent="0.25">
      <c r="A423" t="s">
        <v>2263</v>
      </c>
      <c r="B423">
        <v>21</v>
      </c>
    </row>
    <row r="424" spans="1:2" x14ac:dyDescent="0.25">
      <c r="A424" t="s">
        <v>2267</v>
      </c>
      <c r="B424">
        <v>30</v>
      </c>
    </row>
    <row r="425" spans="1:2" x14ac:dyDescent="0.25">
      <c r="A425" t="s">
        <v>2273</v>
      </c>
      <c r="B425">
        <v>14</v>
      </c>
    </row>
    <row r="426" spans="1:2" x14ac:dyDescent="0.25">
      <c r="A426" t="s">
        <v>2282</v>
      </c>
      <c r="B426">
        <v>30</v>
      </c>
    </row>
    <row r="427" spans="1:2" x14ac:dyDescent="0.25">
      <c r="A427" t="s">
        <v>2289</v>
      </c>
      <c r="B427">
        <v>30</v>
      </c>
    </row>
    <row r="428" spans="1:2" x14ac:dyDescent="0.25">
      <c r="A428" t="s">
        <v>2292</v>
      </c>
      <c r="B428">
        <v>28</v>
      </c>
    </row>
    <row r="429" spans="1:2" x14ac:dyDescent="0.25">
      <c r="A429" t="s">
        <v>2297</v>
      </c>
      <c r="B429">
        <v>21</v>
      </c>
    </row>
    <row r="430" spans="1:2" x14ac:dyDescent="0.25">
      <c r="A430" t="s">
        <v>2306</v>
      </c>
      <c r="B430">
        <v>28</v>
      </c>
    </row>
    <row r="431" spans="1:2" x14ac:dyDescent="0.25">
      <c r="A431" t="s">
        <v>2309</v>
      </c>
      <c r="B431">
        <v>21</v>
      </c>
    </row>
    <row r="432" spans="1:2" x14ac:dyDescent="0.25">
      <c r="A432" t="s">
        <v>2312</v>
      </c>
      <c r="B432">
        <v>14</v>
      </c>
    </row>
    <row r="433" spans="1:2" x14ac:dyDescent="0.25">
      <c r="A433" t="s">
        <v>2322</v>
      </c>
      <c r="B433">
        <v>28</v>
      </c>
    </row>
    <row r="434" spans="1:2" x14ac:dyDescent="0.25">
      <c r="A434" t="s">
        <v>2330</v>
      </c>
      <c r="B434">
        <v>14</v>
      </c>
    </row>
    <row r="435" spans="1:2" x14ac:dyDescent="0.25">
      <c r="A435" t="s">
        <v>2340</v>
      </c>
      <c r="B435">
        <v>28</v>
      </c>
    </row>
    <row r="436" spans="1:2" x14ac:dyDescent="0.25">
      <c r="A436" t="s">
        <v>2343</v>
      </c>
      <c r="B436">
        <v>56</v>
      </c>
    </row>
    <row r="437" spans="1:2" x14ac:dyDescent="0.25">
      <c r="A437" t="s">
        <v>2348</v>
      </c>
      <c r="B437">
        <v>28</v>
      </c>
    </row>
    <row r="438" spans="1:2" x14ac:dyDescent="0.25">
      <c r="A438" t="s">
        <v>2353</v>
      </c>
      <c r="B438">
        <v>28</v>
      </c>
    </row>
    <row r="439" spans="1:2" x14ac:dyDescent="0.25">
      <c r="A439" t="s">
        <v>2358</v>
      </c>
      <c r="B439">
        <v>28</v>
      </c>
    </row>
    <row r="440" spans="1:2" x14ac:dyDescent="0.25">
      <c r="A440" t="s">
        <v>2361</v>
      </c>
      <c r="B440">
        <v>28</v>
      </c>
    </row>
    <row r="441" spans="1:2" x14ac:dyDescent="0.25">
      <c r="A441" t="s">
        <v>2366</v>
      </c>
      <c r="B441">
        <v>56</v>
      </c>
    </row>
    <row r="442" spans="1:2" x14ac:dyDescent="0.25">
      <c r="A442" t="s">
        <v>2369</v>
      </c>
      <c r="B442">
        <v>30</v>
      </c>
    </row>
    <row r="443" spans="1:2" x14ac:dyDescent="0.25">
      <c r="A443" t="s">
        <v>2373</v>
      </c>
      <c r="B443">
        <v>28</v>
      </c>
    </row>
    <row r="444" spans="1:2" x14ac:dyDescent="0.25">
      <c r="A444" t="s">
        <v>2376</v>
      </c>
      <c r="B444">
        <v>21</v>
      </c>
    </row>
    <row r="445" spans="1:2" x14ac:dyDescent="0.25">
      <c r="A445" t="s">
        <v>2384</v>
      </c>
      <c r="B445">
        <v>21</v>
      </c>
    </row>
    <row r="446" spans="1:2" x14ac:dyDescent="0.25">
      <c r="A446" t="s">
        <v>2392</v>
      </c>
      <c r="B446">
        <v>28</v>
      </c>
    </row>
    <row r="447" spans="1:2" x14ac:dyDescent="0.25">
      <c r="A447" t="s">
        <v>2396</v>
      </c>
      <c r="B447">
        <v>28</v>
      </c>
    </row>
    <row r="448" spans="1:2" x14ac:dyDescent="0.25">
      <c r="A448" t="s">
        <v>2404</v>
      </c>
      <c r="B448">
        <v>14</v>
      </c>
    </row>
    <row r="449" spans="1:2" x14ac:dyDescent="0.25">
      <c r="A449" t="s">
        <v>2411</v>
      </c>
      <c r="B449">
        <v>21</v>
      </c>
    </row>
    <row r="450" spans="1:2" x14ac:dyDescent="0.25">
      <c r="A450" t="s">
        <v>2414</v>
      </c>
      <c r="B450">
        <v>56</v>
      </c>
    </row>
    <row r="451" spans="1:2" x14ac:dyDescent="0.25">
      <c r="A451" t="s">
        <v>2419</v>
      </c>
      <c r="B451">
        <v>28</v>
      </c>
    </row>
    <row r="452" spans="1:2" x14ac:dyDescent="0.25">
      <c r="A452" t="s">
        <v>2427</v>
      </c>
      <c r="B452">
        <v>28</v>
      </c>
    </row>
    <row r="453" spans="1:2" x14ac:dyDescent="0.25">
      <c r="A453" t="s">
        <v>2431</v>
      </c>
      <c r="B453">
        <v>28</v>
      </c>
    </row>
    <row r="454" spans="1:2" x14ac:dyDescent="0.25">
      <c r="A454" t="s">
        <v>2438</v>
      </c>
      <c r="B454">
        <v>28</v>
      </c>
    </row>
    <row r="455" spans="1:2" x14ac:dyDescent="0.25">
      <c r="A455" t="s">
        <v>2442</v>
      </c>
      <c r="B455">
        <v>28</v>
      </c>
    </row>
    <row r="456" spans="1:2" x14ac:dyDescent="0.25">
      <c r="A456" t="s">
        <v>2449</v>
      </c>
      <c r="B456">
        <v>21</v>
      </c>
    </row>
    <row r="457" spans="1:2" x14ac:dyDescent="0.25">
      <c r="A457" t="s">
        <v>2453</v>
      </c>
      <c r="B457">
        <v>28</v>
      </c>
    </row>
    <row r="458" spans="1:2" x14ac:dyDescent="0.25">
      <c r="A458" t="s">
        <v>2461</v>
      </c>
      <c r="B458">
        <v>28</v>
      </c>
    </row>
    <row r="459" spans="1:2" x14ac:dyDescent="0.25">
      <c r="A459" t="s">
        <v>2468</v>
      </c>
      <c r="B459">
        <v>30</v>
      </c>
    </row>
    <row r="460" spans="1:2" x14ac:dyDescent="0.25">
      <c r="A460" t="s">
        <v>2472</v>
      </c>
      <c r="B460">
        <v>28</v>
      </c>
    </row>
    <row r="461" spans="1:2" x14ac:dyDescent="0.25">
      <c r="A461" t="s">
        <v>2475</v>
      </c>
      <c r="B461">
        <v>21</v>
      </c>
    </row>
    <row r="462" spans="1:2" x14ac:dyDescent="0.25">
      <c r="A462" t="s">
        <v>2480</v>
      </c>
      <c r="B462">
        <v>30</v>
      </c>
    </row>
    <row r="463" spans="1:2" x14ac:dyDescent="0.25">
      <c r="A463" t="s">
        <v>2488</v>
      </c>
      <c r="B463">
        <v>28</v>
      </c>
    </row>
    <row r="464" spans="1:2" x14ac:dyDescent="0.25">
      <c r="A464" t="s">
        <v>2496</v>
      </c>
      <c r="B464">
        <v>21</v>
      </c>
    </row>
    <row r="465" spans="1:2" x14ac:dyDescent="0.25">
      <c r="A465" t="s">
        <v>2502</v>
      </c>
      <c r="B465">
        <v>28</v>
      </c>
    </row>
    <row r="466" spans="1:2" x14ac:dyDescent="0.25">
      <c r="A466" t="s">
        <v>2505</v>
      </c>
      <c r="B466">
        <v>28</v>
      </c>
    </row>
    <row r="467" spans="1:2" x14ac:dyDescent="0.25">
      <c r="A467" t="s">
        <v>2509</v>
      </c>
      <c r="B467">
        <v>56</v>
      </c>
    </row>
    <row r="468" spans="1:2" x14ac:dyDescent="0.25">
      <c r="A468" t="s">
        <v>2512</v>
      </c>
      <c r="B468">
        <v>28</v>
      </c>
    </row>
    <row r="469" spans="1:2" x14ac:dyDescent="0.25">
      <c r="A469" t="s">
        <v>2518</v>
      </c>
      <c r="B469">
        <v>30</v>
      </c>
    </row>
    <row r="470" spans="1:2" x14ac:dyDescent="0.25">
      <c r="A470" t="s">
        <v>2527</v>
      </c>
      <c r="B470">
        <v>28</v>
      </c>
    </row>
    <row r="471" spans="1:2" x14ac:dyDescent="0.25">
      <c r="A471" t="s">
        <v>2534</v>
      </c>
      <c r="B471">
        <v>28</v>
      </c>
    </row>
    <row r="472" spans="1:2" x14ac:dyDescent="0.25">
      <c r="A472" t="s">
        <v>2538</v>
      </c>
      <c r="B472">
        <v>28</v>
      </c>
    </row>
    <row r="473" spans="1:2" x14ac:dyDescent="0.25">
      <c r="A473" t="s">
        <v>2545</v>
      </c>
      <c r="B473">
        <v>14</v>
      </c>
    </row>
    <row r="474" spans="1:2" x14ac:dyDescent="0.25">
      <c r="A474" t="s">
        <v>2559</v>
      </c>
      <c r="B474">
        <v>28</v>
      </c>
    </row>
    <row r="475" spans="1:2" x14ac:dyDescent="0.25">
      <c r="A475" t="s">
        <v>2564</v>
      </c>
      <c r="B475">
        <v>28</v>
      </c>
    </row>
    <row r="476" spans="1:2" x14ac:dyDescent="0.25">
      <c r="A476" t="s">
        <v>2567</v>
      </c>
      <c r="B476">
        <v>30</v>
      </c>
    </row>
    <row r="477" spans="1:2" x14ac:dyDescent="0.25">
      <c r="A477" t="s">
        <v>2571</v>
      </c>
      <c r="B477">
        <v>28</v>
      </c>
    </row>
    <row r="478" spans="1:2" x14ac:dyDescent="0.25">
      <c r="A478" t="s">
        <v>2580</v>
      </c>
      <c r="B478">
        <v>30</v>
      </c>
    </row>
    <row r="479" spans="1:2" x14ac:dyDescent="0.25">
      <c r="A479" t="s">
        <v>2584</v>
      </c>
      <c r="B479">
        <v>28</v>
      </c>
    </row>
    <row r="480" spans="1:2" x14ac:dyDescent="0.25">
      <c r="A480" t="s">
        <v>2589</v>
      </c>
      <c r="B480">
        <v>28</v>
      </c>
    </row>
    <row r="481" spans="1:2" x14ac:dyDescent="0.25">
      <c r="A481" t="s">
        <v>2593</v>
      </c>
      <c r="B481">
        <v>28</v>
      </c>
    </row>
    <row r="482" spans="1:2" x14ac:dyDescent="0.25">
      <c r="A482" t="s">
        <v>2596</v>
      </c>
      <c r="B482">
        <v>30</v>
      </c>
    </row>
    <row r="483" spans="1:2" x14ac:dyDescent="0.25">
      <c r="A483" t="s">
        <v>2599</v>
      </c>
      <c r="B483">
        <v>30</v>
      </c>
    </row>
    <row r="484" spans="1:2" x14ac:dyDescent="0.25">
      <c r="A484" t="s">
        <v>2603</v>
      </c>
      <c r="B484">
        <v>30</v>
      </c>
    </row>
    <row r="485" spans="1:2" x14ac:dyDescent="0.25">
      <c r="A485" t="s">
        <v>2606</v>
      </c>
      <c r="B485">
        <v>28</v>
      </c>
    </row>
    <row r="486" spans="1:2" x14ac:dyDescent="0.25">
      <c r="A486" t="s">
        <v>2612</v>
      </c>
      <c r="B486">
        <v>14</v>
      </c>
    </row>
    <row r="487" spans="1:2" x14ac:dyDescent="0.25">
      <c r="A487" t="s">
        <v>2615</v>
      </c>
      <c r="B487">
        <v>21</v>
      </c>
    </row>
    <row r="488" spans="1:2" x14ac:dyDescent="0.25">
      <c r="A488" t="s">
        <v>2620</v>
      </c>
      <c r="B488">
        <v>21</v>
      </c>
    </row>
    <row r="489" spans="1:2" x14ac:dyDescent="0.25">
      <c r="A489" t="s">
        <v>2623</v>
      </c>
      <c r="B489">
        <v>28</v>
      </c>
    </row>
    <row r="490" spans="1:2" x14ac:dyDescent="0.25">
      <c r="A490" t="s">
        <v>2631</v>
      </c>
      <c r="B490">
        <v>30</v>
      </c>
    </row>
    <row r="491" spans="1:2" x14ac:dyDescent="0.25">
      <c r="A491" t="s">
        <v>2635</v>
      </c>
      <c r="B491">
        <v>14</v>
      </c>
    </row>
    <row r="492" spans="1:2" x14ac:dyDescent="0.25">
      <c r="A492" t="s">
        <v>2641</v>
      </c>
      <c r="B492">
        <v>28</v>
      </c>
    </row>
    <row r="493" spans="1:2" x14ac:dyDescent="0.25">
      <c r="A493" t="s">
        <v>2648</v>
      </c>
      <c r="B493">
        <v>28</v>
      </c>
    </row>
    <row r="494" spans="1:2" x14ac:dyDescent="0.25">
      <c r="A494" t="s">
        <v>2653</v>
      </c>
      <c r="B494">
        <v>28</v>
      </c>
    </row>
    <row r="495" spans="1:2" x14ac:dyDescent="0.25">
      <c r="A495" t="s">
        <v>2662</v>
      </c>
      <c r="B495">
        <v>28</v>
      </c>
    </row>
    <row r="496" spans="1:2" x14ac:dyDescent="0.25">
      <c r="A496" t="s">
        <v>2667</v>
      </c>
      <c r="B496">
        <v>56</v>
      </c>
    </row>
    <row r="497" spans="1:2" x14ac:dyDescent="0.25">
      <c r="A497" t="s">
        <v>2670</v>
      </c>
      <c r="B497">
        <v>28</v>
      </c>
    </row>
    <row r="498" spans="1:2" x14ac:dyDescent="0.25">
      <c r="A498" t="s">
        <v>2674</v>
      </c>
      <c r="B498">
        <v>28</v>
      </c>
    </row>
    <row r="499" spans="1:2" x14ac:dyDescent="0.25">
      <c r="A499" t="s">
        <v>2681</v>
      </c>
      <c r="B499">
        <v>30</v>
      </c>
    </row>
    <row r="500" spans="1:2" x14ac:dyDescent="0.25">
      <c r="A500" t="s">
        <v>2686</v>
      </c>
      <c r="B500">
        <v>28</v>
      </c>
    </row>
    <row r="501" spans="1:2" x14ac:dyDescent="0.25">
      <c r="A501" t="s">
        <v>2691</v>
      </c>
      <c r="B501">
        <v>28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"/>
  <sheetViews>
    <sheetView workbookViewId="0">
      <selection activeCell="B7" sqref="B7"/>
    </sheetView>
  </sheetViews>
  <sheetFormatPr defaultRowHeight="15" x14ac:dyDescent="0.25"/>
  <cols>
    <col min="1" max="1" width="15.85546875" bestFit="1" customWidth="1"/>
    <col min="2" max="2" width="6" bestFit="1" customWidth="1"/>
    <col min="3" max="3" width="18.85546875" bestFit="1" customWidth="1"/>
  </cols>
  <sheetData>
    <row r="1" spans="1:3" x14ac:dyDescent="0.25">
      <c r="A1" s="1" t="s">
        <v>5777</v>
      </c>
      <c r="B1" s="1" t="s">
        <v>5778</v>
      </c>
      <c r="C1" s="1" t="s">
        <v>5779</v>
      </c>
    </row>
    <row r="2" spans="1:3" x14ac:dyDescent="0.25">
      <c r="A2">
        <v>0</v>
      </c>
      <c r="B2">
        <v>870</v>
      </c>
      <c r="C2">
        <v>75.242528735632177</v>
      </c>
    </row>
    <row r="3" spans="1:3" x14ac:dyDescent="0.25">
      <c r="A3">
        <v>1</v>
      </c>
      <c r="B3">
        <v>130</v>
      </c>
      <c r="C3">
        <v>61.692307692307693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 Data</vt:lpstr>
      <vt:lpstr>Refill Gap Model</vt:lpstr>
      <vt:lpstr>QC Check</vt:lpstr>
      <vt:lpstr>QC_Summary</vt:lpstr>
      <vt:lpstr>QC_Tracker</vt:lpstr>
      <vt:lpstr>Pivot_RefillCounts</vt:lpstr>
      <vt:lpstr>Pivot_StartsByHCP</vt:lpstr>
      <vt:lpstr>Pivot_AvgQtyByPatient</vt:lpstr>
      <vt:lpstr>Pivot_OutcomesSummary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vidisha dixit</cp:lastModifiedBy>
  <dcterms:created xsi:type="dcterms:W3CDTF">2025-11-19T09:55:22Z</dcterms:created>
  <dcterms:modified xsi:type="dcterms:W3CDTF">2026-02-26T12:16:05Z</dcterms:modified>
</cp:coreProperties>
</file>